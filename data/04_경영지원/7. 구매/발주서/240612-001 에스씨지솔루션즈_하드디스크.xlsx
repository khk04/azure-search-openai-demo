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juxtagene/구매/2405-0012-씨젠-하드디스크/발주서/"/>
    </mc:Choice>
  </mc:AlternateContent>
  <xr:revisionPtr revIDLastSave="3" documentId="13_ncr:1_{01462466-6063-5D48-8984-D0BE06BF78F0}" xr6:coauthVersionLast="47" xr6:coauthVersionMax="47" xr10:uidLastSave="{86547557-CFF5-48B6-B447-66185318287B}"/>
  <bookViews>
    <workbookView xWindow="0" yWindow="500" windowWidth="35840" windowHeight="21900" xr2:uid="{8B81FA25-8F46-B447-BFFD-8E3DA213BE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/>
  <c r="G26" i="1"/>
  <c r="G37" i="1"/>
  <c r="G36" i="1"/>
  <c r="G35" i="1"/>
  <c r="G34" i="1"/>
  <c r="G33" i="1"/>
  <c r="G32" i="1"/>
  <c r="G31" i="1"/>
  <c r="G30" i="1"/>
  <c r="G28" i="1"/>
  <c r="E19" i="1" l="1"/>
  <c r="E20" i="1" s="1"/>
  <c r="E21" i="1" l="1"/>
</calcChain>
</file>

<file path=xl/sharedStrings.xml><?xml version="1.0" encoding="utf-8"?>
<sst xmlns="http://schemas.openxmlformats.org/spreadsheetml/2006/main" count="50" uniqueCount="43">
  <si>
    <t>담당자</t>
    <phoneticPr fontId="2" type="noConversion"/>
  </si>
  <si>
    <t>대표이사</t>
    <phoneticPr fontId="2" type="noConversion"/>
  </si>
  <si>
    <t>결</t>
    <phoneticPr fontId="2" type="noConversion"/>
  </si>
  <si>
    <t>발주서</t>
    <phoneticPr fontId="2" type="noConversion"/>
  </si>
  <si>
    <t>재</t>
    <phoneticPr fontId="2" type="noConversion"/>
  </si>
  <si>
    <t>프로젝트 코드</t>
    <phoneticPr fontId="2" type="noConversion"/>
  </si>
  <si>
    <t>2405-0012</t>
    <phoneticPr fontId="2" type="noConversion"/>
  </si>
  <si>
    <t>프로젝트명</t>
    <phoneticPr fontId="2" type="noConversion"/>
  </si>
  <si>
    <t>씨젠 유지보수</t>
    <phoneticPr fontId="2" type="noConversion"/>
  </si>
  <si>
    <t>문 서 번 호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</si>
  <si>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</si>
  <si>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</si>
  <si>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</si>
  <si>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</si>
  <si>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에스씨지솔루션즈</t>
    <phoneticPr fontId="2" type="noConversion"/>
  </si>
  <si>
    <t>젝사젠 주식회사</t>
    <phoneticPr fontId="2" type="noConversion"/>
  </si>
  <si>
    <t>담당</t>
    <phoneticPr fontId="2" type="noConversion"/>
  </si>
  <si>
    <t>강명우 차장</t>
    <phoneticPr fontId="2" type="noConversion"/>
  </si>
  <si>
    <t>김현기</t>
    <phoneticPr fontId="2" type="noConversion"/>
  </si>
  <si>
    <t>전화</t>
    <phoneticPr fontId="2" type="noConversion"/>
  </si>
  <si>
    <t>-</t>
    <phoneticPr fontId="2" type="noConversion"/>
  </si>
  <si>
    <t>031-360-0861</t>
    <phoneticPr fontId="5" type="noConversion"/>
  </si>
  <si>
    <t>휴대전화</t>
    <phoneticPr fontId="2" type="noConversion"/>
  </si>
  <si>
    <t>010-6542-6504</t>
    <phoneticPr fontId="2" type="noConversion"/>
  </si>
  <si>
    <t>010-7793-7389</t>
    <phoneticPr fontId="2" type="noConversion"/>
  </si>
  <si>
    <t>팩스</t>
    <phoneticPr fontId="2" type="noConversion"/>
  </si>
  <si>
    <t>-</t>
    <phoneticPr fontId="5" type="noConversion"/>
  </si>
  <si>
    <t>납기일</t>
    <phoneticPr fontId="2" type="noConversion"/>
  </si>
  <si>
    <t>발주후 14일</t>
    <phoneticPr fontId="2" type="noConversion"/>
  </si>
  <si>
    <t>발주일</t>
    <phoneticPr fontId="2" type="noConversion"/>
  </si>
  <si>
    <t>납품장소</t>
    <phoneticPr fontId="2" type="noConversion"/>
  </si>
  <si>
    <t>경기도 안양시 동안구 벌말로 126, 오비즈타워 2005호</t>
    <phoneticPr fontId="2" type="noConversion"/>
  </si>
  <si>
    <t>특기사항</t>
    <phoneticPr fontId="2" type="noConversion"/>
  </si>
  <si>
    <t>결제조건 : 선 결제</t>
    <phoneticPr fontId="5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</si>
  <si>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</si>
  <si>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</si>
  <si>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</si>
  <si>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</si>
  <si>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</si>
  <si>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</si>
  <si>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</si>
  <si>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</si>
  <si>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Seagate EXOS 7E10 SAS/7200/256M 
(ST8000NM018B, 8TB)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</si>
</sst>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9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176" fontId="7" fillId="2" borderId="2" xfId="0" applyNumberFormat="1" applyFont="1" applyFill="1" applyBorder="1" applyAlignment="1"/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41" xfId="0" applyFon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176" fontId="8" fillId="2" borderId="2" xfId="0" applyNumberFormat="1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3" fontId="0" fillId="0" borderId="3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</cellXfs>
  <cellStyles count="2">
    <cellStyle name="표준" xfId="0" builtinId="0"/>
    <cellStyle name="Normal_Notification template" xfId="1" xr:uid="{F96DF483-F733-4B44-B96F-793C414B16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1788" y="444034"/>
          <a:ext cx="734711" cy="530101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7"/>
  <sheetViews>
    <sheetView showGridLines="0" tabSelected="1" showRuler="0" view="pageBreakPreview" zoomScale="120" zoomScaleNormal="90" zoomScaleSheetLayoutView="120" workbookViewId="0">
      <selection activeCell="O18" sqref="O18"/>
    </sheetView>
  </sheetViews>
  <sheetFormatPr baseColWidth="10" defaultColWidth="10.5703125" defaultRowHeight="18"/>
  <cols>
    <col min="1" max="1" width="11" customWidth="1"/>
    <col min="2" max="4" width="10.7109375" customWidth="1"/>
    <col min="5" max="5" width="4.28515625" customWidth="1"/>
  </cols>
  <sheetData>
    <row r="1" spans="1:7">
      <c r="A1" s="30"/>
      <c r="B1" s="31"/>
      <c r="C1" s="31"/>
      <c r="D1" s="31"/>
      <c r="E1" s="34"/>
      <c r="F1" s="35" t="s">
        <v>0</v>
      </c>
      <c r="G1" s="36" t="s">
        <v>1</v>
      </c>
    </row>
    <row r="2" spans="1:7">
      <c r="A2" s="5"/>
      <c r="E2" s="18" t="s">
        <v>2</v>
      </c>
      <c r="F2" s="3"/>
      <c r="G2" s="37"/>
    </row>
    <row r="3" spans="1:7" ht="53" thickBot="1">
      <c r="A3" s="5"/>
      <c r="B3" s="38" t="s">
        <v>3</v>
      </c>
      <c r="E3" s="18" t="s">
        <v>4</v>
      </c>
      <c r="F3" s="29"/>
      <c r="G3" s="39"/>
    </row>
    <row r="4" spans="1:7">
      <c r="A4" s="30"/>
      <c r="B4" s="31"/>
      <c r="C4" s="31"/>
      <c r="D4" s="31"/>
      <c r="E4" s="31"/>
      <c r="F4" s="32"/>
      <c r="G4" s="33"/>
    </row>
    <row r="5" spans="1:7" ht="19" thickBot="1">
      <c r="A5" s="5"/>
      <c r="G5" s="6"/>
    </row>
    <row r="6" spans="1:7">
      <c r="A6" s="11" t="s">
        <v>5</v>
      </c>
      <c r="B6" s="41" t="s">
        <v>6</v>
      </c>
      <c r="C6" s="41"/>
      <c r="D6" s="12" t="s">
        <v>7</v>
      </c>
      <c r="E6" s="41" t="s">
        <v>8</v>
      </c>
      <c r="F6" s="41"/>
      <c r="G6" s="42"/>
    </row>
    <row r="7" spans="1:7" ht="19" thickBot="1">
      <c r="A7" s="14" t="s">
        <v>9</v>
      </c>
      <c r="B7" s="60"/>
      <c r="C7" s="60"/>
      <c r="D7" s="15" t="s">
        <v>10</v>
      </c>
      <c r="E7" s="60"/>
      <c r="F7" s="60"/>
      <c r="G7" s="61"/>
    </row>
    <row r="8" spans="1:7" ht="19" thickBot="1">
      <c r="A8" s="5"/>
      <c r="G8" s="6"/>
    </row>
    <row r="9" spans="1:7">
      <c r="A9" s="43" t="s">
        <v>11</v>
      </c>
      <c r="B9" s="41"/>
      <c r="C9" s="41"/>
      <c r="D9" s="41" t="s">
        <v>12</v>
      </c>
      <c r="E9" s="41"/>
      <c r="F9" s="41"/>
      <c r="G9" s="42"/>
    </row>
    <row r="10" spans="1:7">
      <c r="A10" s="13" t="s">
        <v>13</v>
      </c>
      <c r="B10" s="62" t="s">
        <v>14</v>
      </c>
      <c r="C10" s="62"/>
      <c r="D10" s="10" t="s">
        <v>13</v>
      </c>
      <c r="E10" s="62" t="s">
        <v>15</v>
      </c>
      <c r="F10" s="62"/>
      <c r="G10" s="63"/>
    </row>
    <row r="11" spans="1:7">
      <c r="A11" s="13" t="s">
        <v>16</v>
      </c>
      <c r="B11" s="62" t="s">
        <v>17</v>
      </c>
      <c r="C11" s="62"/>
      <c r="D11" s="10" t="s">
        <v>16</v>
      </c>
      <c r="E11" s="62" t="s">
        <v>18</v>
      </c>
      <c r="F11" s="62"/>
      <c r="G11" s="63"/>
    </row>
    <row r="12" spans="1:7">
      <c r="A12" s="13" t="s">
        <v>19</v>
      </c>
      <c r="B12" s="62" t="s">
        <v>20</v>
      </c>
      <c r="C12" s="62"/>
      <c r="D12" s="10" t="s">
        <v>19</v>
      </c>
      <c r="E12" s="62" t="s">
        <v>21</v>
      </c>
      <c r="F12" s="62"/>
      <c r="G12" s="63"/>
    </row>
    <row r="13" spans="1:7">
      <c r="A13" s="13" t="s">
        <v>22</v>
      </c>
      <c r="B13" s="62" t="s">
        <v>23</v>
      </c>
      <c r="C13" s="62"/>
      <c r="D13" s="10" t="s">
        <v>22</v>
      </c>
      <c r="E13" s="62" t="s">
        <v>24</v>
      </c>
      <c r="F13" s="62"/>
      <c r="G13" s="63"/>
    </row>
    <row r="14" spans="1:7">
      <c r="A14" s="13" t="s">
        <v>25</v>
      </c>
      <c r="B14" s="62" t="s">
        <v>26</v>
      </c>
      <c r="C14" s="62"/>
      <c r="D14" s="10" t="s">
        <v>25</v>
      </c>
      <c r="E14" s="62" t="s">
        <v>26</v>
      </c>
      <c r="F14" s="62"/>
      <c r="G14" s="63"/>
    </row>
    <row r="15" spans="1:7">
      <c r="A15" s="13" t="s">
        <v>27</v>
      </c>
      <c r="B15" s="62" t="s">
        <v>28</v>
      </c>
      <c r="C15" s="62"/>
      <c r="D15" s="10" t="s">
        <v>29</v>
      </c>
      <c r="E15" s="64">
        <v>45455</v>
      </c>
      <c r="F15" s="62"/>
      <c r="G15" s="63"/>
    </row>
    <row r="16" spans="1:7">
      <c r="A16" s="13" t="s">
        <v>30</v>
      </c>
      <c r="B16" s="56" t="s">
        <v>31</v>
      </c>
      <c r="C16" s="56"/>
      <c r="D16" s="56"/>
      <c r="E16" s="56"/>
      <c r="F16" s="56"/>
      <c r="G16" s="57"/>
    </row>
    <row r="17" spans="1:7">
      <c r="A17" s="13" t="s">
        <v>32</v>
      </c>
      <c r="B17" s="56" t="s">
        <v>33</v>
      </c>
      <c r="C17" s="56"/>
      <c r="D17" s="56"/>
      <c r="E17" s="56"/>
      <c r="F17" s="56"/>
      <c r="G17" s="57"/>
    </row>
    <row r="18" spans="1:7">
      <c r="A18" s="5"/>
      <c r="G18" s="6"/>
    </row>
    <row r="19" spans="1:7">
      <c r="A19" s="16"/>
      <c r="B19" s="2"/>
      <c r="C19" s="2"/>
      <c r="D19" s="2" t="s">
        <v>34</v>
      </c>
      <c r="E19" s="58">
        <f>SUM(G26:G37)</f>
        <v>270000</v>
      </c>
      <c r="F19" s="58"/>
      <c r="G19" s="59"/>
    </row>
    <row r="20" spans="1:7">
      <c r="A20" s="5"/>
      <c r="D20" t="s">
        <v>35</v>
      </c>
      <c r="E20" s="65">
        <f>E19*10%</f>
        <v>27000</v>
      </c>
      <c r="F20" s="65"/>
      <c r="G20" s="66"/>
    </row>
    <row r="21" spans="1:7">
      <c r="A21" s="17"/>
      <c r="B21" s="1"/>
      <c r="C21" s="1"/>
      <c r="D21" s="1" t="s">
        <v>36</v>
      </c>
      <c r="E21" s="67">
        <f>SUM(E19:G20)</f>
        <v>297000</v>
      </c>
      <c r="F21" s="67"/>
      <c r="G21" s="68"/>
    </row>
    <row r="22" spans="1:7">
      <c r="A22" s="5"/>
      <c r="G22" s="6"/>
    </row>
    <row r="23" spans="1:7" ht="19" thickBot="1">
      <c r="A23" s="7" t="s">
        <v>37</v>
      </c>
      <c r="B23" s="8"/>
      <c r="C23" s="8"/>
      <c r="D23" s="8"/>
      <c r="E23" s="8"/>
      <c r="F23" s="8"/>
      <c r="G23" s="9"/>
    </row>
    <row r="24" spans="1:7" ht="19" thickBot="1">
      <c r="A24" s="5"/>
      <c r="G24" s="6"/>
    </row>
    <row r="25" spans="1:7" ht="19" thickBot="1">
      <c r="A25" s="20" t="s">
        <v>38</v>
      </c>
      <c r="B25" s="53" t="s">
        <v>39</v>
      </c>
      <c r="C25" s="54"/>
      <c r="D25" s="55"/>
      <c r="E25" s="21" t="s">
        <v>40</v>
      </c>
      <c r="F25" s="21" t="s">
        <v>41</v>
      </c>
      <c r="G25" s="22" t="s">
        <v>34</v>
      </c>
    </row>
    <row r="26" spans="1:7" ht="29" customHeight="1">
      <c r="A26" s="19">
        <v>1</v>
      </c>
      <c r="B26" s="47" t="s">
        <v>42</v>
      </c>
      <c r="C26" s="48"/>
      <c r="D26" s="49"/>
      <c r="E26" s="4">
        <v>1</v>
      </c>
      <c r="F26" s="40">
        <v>270000</v>
      </c>
      <c r="G26" s="23">
        <f>IF(E26=0,"",E26*F26)</f>
        <v>270000</v>
      </c>
    </row>
    <row r="27" spans="1:7">
      <c r="A27" s="13"/>
      <c r="B27" s="26"/>
      <c r="C27" s="28"/>
      <c r="D27" s="27"/>
      <c r="E27" s="10"/>
      <c r="F27" s="25"/>
      <c r="G27" s="23" t="str">
        <f>IF(E27=0,"",E27*F27)</f>
        <v/>
      </c>
    </row>
    <row r="28" spans="1:7" ht="18" customHeight="1">
      <c r="A28" s="13"/>
      <c r="B28" s="50"/>
      <c r="C28" s="51"/>
      <c r="D28" s="52"/>
      <c r="E28" s="10"/>
      <c r="F28" s="25"/>
      <c r="G28" s="23" t="str">
        <f t="shared" ref="G28:G37" si="0">IF(E28=0,"",E28*F28)</f>
        <v/>
      </c>
    </row>
    <row r="29" spans="1:7" ht="18" customHeight="1">
      <c r="A29" s="13"/>
      <c r="B29" s="50"/>
      <c r="C29" s="51"/>
      <c r="D29" s="52"/>
      <c r="E29" s="10"/>
      <c r="F29" s="25"/>
      <c r="G29" s="23" t="str">
        <f t="shared" si="0"/>
        <v/>
      </c>
    </row>
    <row r="30" spans="1:7" ht="18" customHeight="1">
      <c r="A30" s="13"/>
      <c r="B30" s="50"/>
      <c r="C30" s="51"/>
      <c r="D30" s="52"/>
      <c r="E30" s="10"/>
      <c r="F30" s="10"/>
      <c r="G30" s="23" t="str">
        <f t="shared" si="0"/>
        <v/>
      </c>
    </row>
    <row r="31" spans="1:7" ht="18" customHeight="1">
      <c r="A31" s="13"/>
      <c r="B31" s="50"/>
      <c r="C31" s="51"/>
      <c r="D31" s="52"/>
      <c r="E31" s="10"/>
      <c r="F31" s="10"/>
      <c r="G31" s="23" t="str">
        <f t="shared" si="0"/>
        <v/>
      </c>
    </row>
    <row r="32" spans="1:7">
      <c r="A32" s="13"/>
      <c r="B32" s="50"/>
      <c r="C32" s="51"/>
      <c r="D32" s="52"/>
      <c r="E32" s="10"/>
      <c r="F32" s="10"/>
      <c r="G32" s="23" t="str">
        <f t="shared" si="0"/>
        <v/>
      </c>
    </row>
    <row r="33" spans="1:7" ht="18" customHeight="1">
      <c r="A33" s="13"/>
      <c r="B33" s="50"/>
      <c r="C33" s="51"/>
      <c r="D33" s="52"/>
      <c r="E33" s="10"/>
      <c r="F33" s="10"/>
      <c r="G33" s="23" t="str">
        <f t="shared" si="0"/>
        <v/>
      </c>
    </row>
    <row r="34" spans="1:7">
      <c r="A34" s="13"/>
      <c r="B34" s="50"/>
      <c r="C34" s="51"/>
      <c r="D34" s="52"/>
      <c r="E34" s="10"/>
      <c r="F34" s="10"/>
      <c r="G34" s="23" t="str">
        <f t="shared" si="0"/>
        <v/>
      </c>
    </row>
    <row r="35" spans="1:7">
      <c r="A35" s="13"/>
      <c r="B35" s="50"/>
      <c r="C35" s="51"/>
      <c r="D35" s="52"/>
      <c r="E35" s="10"/>
      <c r="F35" s="10"/>
      <c r="G35" s="23" t="str">
        <f t="shared" si="0"/>
        <v/>
      </c>
    </row>
    <row r="36" spans="1:7">
      <c r="A36" s="13"/>
      <c r="B36" s="50"/>
      <c r="C36" s="51"/>
      <c r="D36" s="52"/>
      <c r="E36" s="10"/>
      <c r="F36" s="10"/>
      <c r="G36" s="23" t="str">
        <f t="shared" si="0"/>
        <v/>
      </c>
    </row>
    <row r="37" spans="1:7" ht="19" thickBot="1">
      <c r="A37" s="14"/>
      <c r="B37" s="44"/>
      <c r="C37" s="45"/>
      <c r="D37" s="46"/>
      <c r="E37" s="15"/>
      <c r="F37" s="15"/>
      <c r="G37" s="24" t="str">
        <f t="shared" si="0"/>
        <v/>
      </c>
    </row>
  </sheetData>
  <mergeCells count="35">
    <mergeCell ref="E20:G20"/>
    <mergeCell ref="E21:G21"/>
    <mergeCell ref="E13:G13"/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0:G10"/>
    <mergeCell ref="E11:G11"/>
    <mergeCell ref="E12:G12"/>
    <mergeCell ref="D9:G9"/>
    <mergeCell ref="A9:C9"/>
    <mergeCell ref="B37:D37"/>
    <mergeCell ref="B26:D26"/>
    <mergeCell ref="B32:D32"/>
    <mergeCell ref="B33:D33"/>
    <mergeCell ref="B34:D34"/>
    <mergeCell ref="B35:D35"/>
    <mergeCell ref="B36:D36"/>
    <mergeCell ref="B28:D28"/>
    <mergeCell ref="B29:D29"/>
    <mergeCell ref="B30:D30"/>
    <mergeCell ref="B31:D31"/>
    <mergeCell ref="B25:D25"/>
    <mergeCell ref="B17:G17"/>
    <mergeCell ref="E19:G19"/>
  </mergeCells>
  <phoneticPr fontId="5" type="noConversion"/>
  <pageMargins left="0.7" right="0.7" top="0.75" bottom="0.75" header="0.3" footer="0.3"/>
  <pageSetup paperSize="9" orientation="portrait" horizontalDpi="0" verticalDpi="0"/>
  <headerFooter>
    <oddFooter>&amp;R&amp;"맑은 고딕,보통"&amp;11&amp;G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 현기</dc:creator>
  <cp:keywords/>
  <dc:description/>
  <cp:lastModifiedBy>김 현기</cp:lastModifiedBy>
  <cp:revision/>
  <dcterms:created xsi:type="dcterms:W3CDTF">2024-05-09T02:22:12Z</dcterms:created>
  <dcterms:modified xsi:type="dcterms:W3CDTF">2025-03-14T05:17:30Z</dcterms:modified>
  <cp:category/>
  <cp:contentStatus/>
</cp:coreProperties>
</file>