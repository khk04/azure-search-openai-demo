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hk/Desktop/구매/발주서/"/>
    </mc:Choice>
  </mc:AlternateContent>
  <xr:revisionPtr revIDLastSave="0" documentId="13_ncr:1_{E07DF960-BB9C-714B-A80A-FEB669B866FC}" xr6:coauthVersionLast="47" xr6:coauthVersionMax="47" xr10:uidLastSave="{00000000-0000-0000-0000-000000000000}"/>
  <bookViews>
    <workbookView xWindow="74240" yWindow="-21100" windowWidth="3840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<sst xmlns="http://schemas.openxmlformats.org/spreadsheetml/2006/main" count="52" uniqueCount="45">
  <si>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</si>
  <si>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</si>
  <si>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</si>
  <si>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</si>
  <si>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</si>
  <si>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</si>
  <si>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2405-0012</t>
    <phoneticPr fontId="2" type="noConversion"/>
  </si>
  <si>
    <t>프로젝트명</t>
    <phoneticPr fontId="2" type="noConversion"/>
  </si>
  <si>
    <t>문 서 번 호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</si>
  <si>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</si>
  <si>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</si>
  <si>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</si>
  <si>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</si>
  <si>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젝사젠 주식회사</t>
    <phoneticPr fontId="2" type="noConversion"/>
  </si>
  <si>
    <t>담당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</si>
  <si>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</si>
  <si>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</si>
  <si>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</si>
  <si>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</si>
  <si>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</si>
  <si>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</si>
  <si>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</si>
  <si>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</si>
  <si>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</si>
  <si>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</si>
  <si>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</si>
  <si>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</si>
  <si>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</si>
  <si>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</si>
  <si>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</si>
  <si>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</si>
  <si>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</si>
  <si>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</si>
  <si>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</si>
  <si>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</si>
  <si>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</si>
  <si>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맹주엽 대리</t>
    <phoneticPr fontId="2" type="noConversion"/>
  </si>
  <si>
    <t>이테크시스템</t>
    <phoneticPr fontId="2" type="noConversion"/>
  </si>
  <si>
    <t>010-8720-6996</t>
    <phoneticPr fontId="5" type="noConversion"/>
  </si>
  <si>
    <t>VPN장비(MX85)</t>
    <phoneticPr fontId="5" type="noConversion"/>
  </si>
  <si>
    <t>MR36 인젝터</t>
    <phoneticPr fontId="5" type="noConversion"/>
  </si>
  <si>
    <t>네트워크장비</t>
    <phoneticPr fontId="5" type="noConversion"/>
  </si>
  <si>
    <t>초기창업패키지</t>
    <phoneticPr fontId="2" type="noConversion"/>
  </si>
  <si>
    <t>24년 11월 말</t>
    <phoneticPr fontId="2" type="noConversion"/>
  </si>
  <si>
    <t>결제조건: 계산서 발행 후 30일 이내 현금 결제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</si>
</sst>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88" y="444034"/>
          <a:ext cx="734711" cy="53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B16" sqref="B16:G16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27"/>
      <c r="B1" s="28"/>
      <c r="C1" s="28"/>
      <c r="D1" s="28"/>
      <c r="E1" s="31"/>
      <c r="F1" s="32" t="s">
        <v>0</v>
      </c>
      <c r="G1" s="33" t="s">
        <v>1</v>
      </c>
    </row>
    <row r="2" spans="1:7">
      <c r="A2" s="5"/>
      <c r="E2" s="18" t="s">
        <v>2</v>
      </c>
      <c r="F2" s="3"/>
      <c r="G2" s="34"/>
    </row>
    <row r="3" spans="1:7" ht="53" thickBot="1">
      <c r="A3" s="5"/>
      <c r="B3" s="35" t="s">
        <v>3</v>
      </c>
      <c r="E3" s="18" t="s">
        <v>4</v>
      </c>
      <c r="F3" s="26"/>
      <c r="G3" s="36"/>
    </row>
    <row r="4" spans="1:7">
      <c r="A4" s="27"/>
      <c r="B4" s="28"/>
      <c r="C4" s="28"/>
      <c r="D4" s="28"/>
      <c r="E4" s="28"/>
      <c r="F4" s="29"/>
      <c r="G4" s="30"/>
    </row>
    <row r="5" spans="1:7" ht="19" thickBot="1">
      <c r="A5" s="5"/>
      <c r="G5" s="6"/>
    </row>
    <row r="6" spans="1:7">
      <c r="A6" s="11" t="s">
        <v>5</v>
      </c>
      <c r="B6" s="57" t="s">
        <v>6</v>
      </c>
      <c r="C6" s="57"/>
      <c r="D6" s="12" t="s">
        <v>7</v>
      </c>
      <c r="E6" s="57" t="s">
        <v>42</v>
      </c>
      <c r="F6" s="57"/>
      <c r="G6" s="58"/>
    </row>
    <row r="7" spans="1:7" ht="19" thickBot="1">
      <c r="A7" s="14" t="s">
        <v>8</v>
      </c>
      <c r="B7" s="64"/>
      <c r="C7" s="64"/>
      <c r="D7" s="15" t="s">
        <v>9</v>
      </c>
      <c r="E7" s="64" t="s">
        <v>41</v>
      </c>
      <c r="F7" s="64"/>
      <c r="G7" s="65"/>
    </row>
    <row r="8" spans="1:7" ht="19" thickBot="1">
      <c r="A8" s="5"/>
      <c r="G8" s="6"/>
    </row>
    <row r="9" spans="1:7">
      <c r="A9" s="59" t="s">
        <v>10</v>
      </c>
      <c r="B9" s="57"/>
      <c r="C9" s="57"/>
      <c r="D9" s="57" t="s">
        <v>11</v>
      </c>
      <c r="E9" s="57"/>
      <c r="F9" s="57"/>
      <c r="G9" s="58"/>
    </row>
    <row r="10" spans="1:7">
      <c r="A10" s="13" t="s">
        <v>12</v>
      </c>
      <c r="B10" s="55" t="s">
        <v>37</v>
      </c>
      <c r="C10" s="55"/>
      <c r="D10" s="10" t="s">
        <v>12</v>
      </c>
      <c r="E10" s="55" t="s">
        <v>13</v>
      </c>
      <c r="F10" s="55"/>
      <c r="G10" s="56"/>
    </row>
    <row r="11" spans="1:7">
      <c r="A11" s="13" t="s">
        <v>14</v>
      </c>
      <c r="B11" s="55" t="s">
        <v>36</v>
      </c>
      <c r="C11" s="55"/>
      <c r="D11" s="10" t="s">
        <v>14</v>
      </c>
      <c r="E11" s="55" t="s">
        <v>15</v>
      </c>
      <c r="F11" s="55"/>
      <c r="G11" s="56"/>
    </row>
    <row r="12" spans="1:7">
      <c r="A12" s="13" t="s">
        <v>16</v>
      </c>
      <c r="B12" s="55" t="s">
        <v>17</v>
      </c>
      <c r="C12" s="55"/>
      <c r="D12" s="10" t="s">
        <v>16</v>
      </c>
      <c r="E12" s="55" t="s">
        <v>18</v>
      </c>
      <c r="F12" s="55"/>
      <c r="G12" s="56"/>
    </row>
    <row r="13" spans="1:7">
      <c r="A13" s="13" t="s">
        <v>19</v>
      </c>
      <c r="B13" s="55" t="s">
        <v>38</v>
      </c>
      <c r="C13" s="55"/>
      <c r="D13" s="10" t="s">
        <v>19</v>
      </c>
      <c r="E13" s="55" t="s">
        <v>20</v>
      </c>
      <c r="F13" s="55"/>
      <c r="G13" s="56"/>
    </row>
    <row r="14" spans="1:7">
      <c r="A14" s="13" t="s">
        <v>21</v>
      </c>
      <c r="B14" s="55" t="s">
        <v>22</v>
      </c>
      <c r="C14" s="55"/>
      <c r="D14" s="10" t="s">
        <v>21</v>
      </c>
      <c r="E14" s="55" t="s">
        <v>22</v>
      </c>
      <c r="F14" s="55"/>
      <c r="G14" s="56"/>
    </row>
    <row r="15" spans="1:7">
      <c r="A15" s="13" t="s">
        <v>23</v>
      </c>
      <c r="B15" s="55" t="s">
        <v>43</v>
      </c>
      <c r="C15" s="55"/>
      <c r="D15" s="10" t="s">
        <v>24</v>
      </c>
      <c r="E15" s="66">
        <v>45609</v>
      </c>
      <c r="F15" s="55"/>
      <c r="G15" s="56"/>
    </row>
    <row r="16" spans="1:7">
      <c r="A16" s="13" t="s">
        <v>25</v>
      </c>
      <c r="B16" s="42" t="s">
        <v>26</v>
      </c>
      <c r="C16" s="42"/>
      <c r="D16" s="42"/>
      <c r="E16" s="42"/>
      <c r="F16" s="42"/>
      <c r="G16" s="43"/>
    </row>
    <row r="17" spans="1:7">
      <c r="A17" s="13" t="s">
        <v>27</v>
      </c>
      <c r="B17" s="42" t="s">
        <v>44</v>
      </c>
      <c r="C17" s="42"/>
      <c r="D17" s="42"/>
      <c r="E17" s="42"/>
      <c r="F17" s="42"/>
      <c r="G17" s="43"/>
    </row>
    <row r="18" spans="1:7">
      <c r="A18" s="5"/>
      <c r="G18" s="6"/>
    </row>
    <row r="19" spans="1:7">
      <c r="A19" s="16"/>
      <c r="B19" s="2"/>
      <c r="C19" s="2"/>
      <c r="D19" s="2" t="s">
        <v>28</v>
      </c>
      <c r="E19" s="44">
        <f>SUM(G26:G37)</f>
        <v>2621750</v>
      </c>
      <c r="F19" s="44"/>
      <c r="G19" s="45"/>
    </row>
    <row r="20" spans="1:7">
      <c r="A20" s="5"/>
      <c r="D20" t="s">
        <v>29</v>
      </c>
      <c r="E20" s="60">
        <f>E19*10%</f>
        <v>262175</v>
      </c>
      <c r="F20" s="60"/>
      <c r="G20" s="61"/>
    </row>
    <row r="21" spans="1:7">
      <c r="A21" s="17"/>
      <c r="B21" s="1"/>
      <c r="C21" s="1"/>
      <c r="D21" s="1" t="s">
        <v>30</v>
      </c>
      <c r="E21" s="62">
        <f>SUM(E19:G20)</f>
        <v>2883925</v>
      </c>
      <c r="F21" s="62"/>
      <c r="G21" s="63"/>
    </row>
    <row r="22" spans="1:7">
      <c r="A22" s="5"/>
      <c r="G22" s="6"/>
    </row>
    <row r="23" spans="1:7" ht="19" thickBot="1">
      <c r="A23" s="7" t="s">
        <v>31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32</v>
      </c>
      <c r="B25" s="39" t="s">
        <v>33</v>
      </c>
      <c r="C25" s="40"/>
      <c r="D25" s="41"/>
      <c r="E25" s="21" t="s">
        <v>34</v>
      </c>
      <c r="F25" s="21" t="s">
        <v>35</v>
      </c>
      <c r="G25" s="22" t="s">
        <v>28</v>
      </c>
    </row>
    <row r="26" spans="1:7" ht="29" customHeight="1">
      <c r="A26" s="19">
        <v>1</v>
      </c>
      <c r="B26" s="49" t="s">
        <v>39</v>
      </c>
      <c r="C26" s="50"/>
      <c r="D26" s="51"/>
      <c r="E26" s="4">
        <v>1</v>
      </c>
      <c r="F26" s="37">
        <v>2508000</v>
      </c>
      <c r="G26" s="23">
        <f>IF(E26=0,"",E26*F26)</f>
        <v>2508000</v>
      </c>
    </row>
    <row r="27" spans="1:7">
      <c r="A27" s="13">
        <v>2</v>
      </c>
      <c r="B27" s="52" t="s">
        <v>40</v>
      </c>
      <c r="C27" s="53"/>
      <c r="D27" s="54"/>
      <c r="E27" s="10">
        <v>1</v>
      </c>
      <c r="F27" s="38">
        <v>113750</v>
      </c>
      <c r="G27" s="23">
        <f>IF(E27=0,"",E27*F27)</f>
        <v>113750</v>
      </c>
    </row>
    <row r="28" spans="1:7" ht="18" customHeight="1">
      <c r="A28" s="13"/>
      <c r="B28" s="52"/>
      <c r="C28" s="53"/>
      <c r="D28" s="54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52"/>
      <c r="C29" s="53"/>
      <c r="D29" s="54"/>
      <c r="E29" s="10"/>
      <c r="F29" s="25"/>
      <c r="G29" s="23" t="str">
        <f t="shared" si="0"/>
        <v/>
      </c>
    </row>
    <row r="30" spans="1:7" ht="18" customHeight="1">
      <c r="A30" s="13"/>
      <c r="B30" s="52"/>
      <c r="C30" s="53"/>
      <c r="D30" s="54"/>
      <c r="E30" s="10"/>
      <c r="F30" s="10"/>
      <c r="G30" s="23" t="str">
        <f t="shared" si="0"/>
        <v/>
      </c>
    </row>
    <row r="31" spans="1:7" ht="18" customHeight="1">
      <c r="A31" s="13"/>
      <c r="B31" s="52"/>
      <c r="C31" s="53"/>
      <c r="D31" s="54"/>
      <c r="E31" s="10"/>
      <c r="F31" s="10"/>
      <c r="G31" s="23" t="str">
        <f t="shared" si="0"/>
        <v/>
      </c>
    </row>
    <row r="32" spans="1:7">
      <c r="A32" s="13"/>
      <c r="B32" s="52"/>
      <c r="C32" s="53"/>
      <c r="D32" s="54"/>
      <c r="E32" s="10"/>
      <c r="F32" s="10"/>
      <c r="G32" s="23" t="str">
        <f t="shared" si="0"/>
        <v/>
      </c>
    </row>
    <row r="33" spans="1:7" ht="18" customHeight="1">
      <c r="A33" s="13"/>
      <c r="B33" s="52"/>
      <c r="C33" s="53"/>
      <c r="D33" s="54"/>
      <c r="E33" s="10"/>
      <c r="F33" s="10"/>
      <c r="G33" s="23" t="str">
        <f t="shared" si="0"/>
        <v/>
      </c>
    </row>
    <row r="34" spans="1:7">
      <c r="A34" s="13"/>
      <c r="B34" s="52"/>
      <c r="C34" s="53"/>
      <c r="D34" s="54"/>
      <c r="E34" s="10"/>
      <c r="F34" s="10"/>
      <c r="G34" s="23" t="str">
        <f t="shared" si="0"/>
        <v/>
      </c>
    </row>
    <row r="35" spans="1:7">
      <c r="A35" s="13"/>
      <c r="B35" s="52"/>
      <c r="C35" s="53"/>
      <c r="D35" s="54"/>
      <c r="E35" s="10"/>
      <c r="F35" s="10"/>
      <c r="G35" s="23" t="str">
        <f t="shared" si="0"/>
        <v/>
      </c>
    </row>
    <row r="36" spans="1:7">
      <c r="A36" s="13"/>
      <c r="B36" s="52"/>
      <c r="C36" s="53"/>
      <c r="D36" s="54"/>
      <c r="E36" s="10"/>
      <c r="F36" s="10"/>
      <c r="G36" s="23" t="str">
        <f t="shared" si="0"/>
        <v/>
      </c>
    </row>
    <row r="37" spans="1:7" ht="19" thickBot="1">
      <c r="A37" s="14"/>
      <c r="B37" s="46"/>
      <c r="C37" s="47"/>
      <c r="D37" s="48"/>
      <c r="E37" s="15"/>
      <c r="F37" s="15"/>
      <c r="G37" s="24" t="str">
        <f t="shared" si="0"/>
        <v/>
      </c>
    </row>
  </sheetData>
  <mergeCells count="36">
    <mergeCell ref="B27:D27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  <mergeCell ref="E12:G12"/>
    <mergeCell ref="D9:G9"/>
    <mergeCell ref="A9:C9"/>
    <mergeCell ref="E13:G13"/>
    <mergeCell ref="B25:D25"/>
    <mergeCell ref="B17:G17"/>
    <mergeCell ref="E19:G19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E20:G20"/>
    <mergeCell ref="E21:G21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현기</cp:lastModifiedBy>
  <cp:revision/>
  <dcterms:created xsi:type="dcterms:W3CDTF">2024-05-09T02:22:12Z</dcterms:created>
  <dcterms:modified xsi:type="dcterms:W3CDTF">2024-11-13T06:12:14Z</dcterms:modified>
  <cp:category/>
  <cp:contentStatus/>
</cp:coreProperties>
</file>