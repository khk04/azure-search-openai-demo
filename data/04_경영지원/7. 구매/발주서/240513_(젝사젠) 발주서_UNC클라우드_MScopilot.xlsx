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uxtagene-my.sharepoint.com/personal/boggle70_juxtagene_com/Documents/juxtagene/발주서/"/>
    </mc:Choice>
  </mc:AlternateContent>
  <xr:revisionPtr revIDLastSave="267" documentId="8_{3DF83081-4AFD-3340-AA01-3161D67F2F13}" xr6:coauthVersionLast="47" xr6:coauthVersionMax="47" xr10:uidLastSave="{4504748D-A8C4-1649-A72A-88BB5F49DE44}"/>
  <bookViews>
    <workbookView xWindow="38400" yWindow="500" windowWidth="38400" windowHeight="21100" xr2:uid="{8B81FA25-8F46-B447-BFFD-8E3DA213BE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" l="1"/>
  <c r="G37" i="1"/>
  <c r="G36" i="1"/>
  <c r="G35" i="1"/>
  <c r="G34" i="1"/>
  <c r="G33" i="1"/>
  <c r="G32" i="1"/>
  <c r="G31" i="1"/>
  <c r="G30" i="1"/>
  <c r="G29" i="1"/>
  <c r="G28" i="1"/>
  <c r="G27" i="1"/>
  <c r="E19" i="1" l="1"/>
  <c r="E20" i="1" s="1"/>
  <c r="E21" i="1" l="1"/>
</calcChain>
</file>

<file path=xl/sharedStrings.xml><?xml version="1.0" encoding="utf-8"?>
<sst xmlns="http://schemas.openxmlformats.org/spreadsheetml/2006/main" count="49" uniqueCount="43">
  <si>
    <t>발주서</t>
    <phoneticPr fontId="2" type="noConversion"/>
  </si>
  <si>
    <t>결</t>
    <phoneticPr fontId="2" type="noConversion"/>
  </si>
  <si>
    <t>담당자</t>
    <phoneticPr fontId="2" type="noConversion"/>
  </si>
  <si>
    <t>대표이사</t>
    <phoneticPr fontId="2" type="noConversion"/>
  </si>
  <si>
    <t>재</t>
    <phoneticPr fontId="2" type="noConversion"/>
  </si>
  <si>
    <t>프로젝트 코드</t>
    <phoneticPr fontId="2" type="noConversion"/>
  </si>
  <si>
    <t>문 서 번 호</t>
    <phoneticPr fontId="2" type="noConversion"/>
  </si>
  <si>
    <t>프로젝트명</t>
    <phoneticPr fontId="2" type="noConversion"/>
  </si>
  <si>
    <t>문 서 제 목</t>
    <phoneticPr fontId="2" type="noConversion"/>
  </si>
  <si>
    <t>납 품 업 체</t>
    <phoneticPr fontId="2" type="noConversion"/>
  </si>
  <si>
    <t>발 주 업 체</t>
    <phoneticPr fontId="2" type="noConversion"/>
  </si>
  <si>
    <t>업체명</t>
    <phoneticPr fontId="2" type="noConversion"/>
  </si>
  <si>
    <t>담당</t>
    <phoneticPr fontId="2" type="noConversion"/>
  </si>
  <si>
    <t>전화</t>
    <phoneticPr fontId="2" type="noConversion"/>
  </si>
  <si>
    <t>휴대전화</t>
    <phoneticPr fontId="2" type="noConversion"/>
  </si>
  <si>
    <t>팩스</t>
    <phoneticPr fontId="2" type="noConversion"/>
  </si>
  <si>
    <t>납기일</t>
    <phoneticPr fontId="2" type="noConversion"/>
  </si>
  <si>
    <t>납품장소</t>
    <phoneticPr fontId="2" type="noConversion"/>
  </si>
  <si>
    <t>특기사항</t>
    <phoneticPr fontId="2" type="noConversion"/>
  </si>
  <si>
    <t>공급가액</t>
    <phoneticPr fontId="2" type="noConversion"/>
  </si>
  <si>
    <t>부가세</t>
    <phoneticPr fontId="2" type="noConversion"/>
  </si>
  <si>
    <t>합계</t>
    <phoneticPr fontId="2" type="noConversion"/>
  </si>
  <si>
    <t>하기와 같이 발주 하오니 처리 부탁드립니다.</t>
    <phoneticPr fontId="2" type="noConversion"/>
  </si>
  <si>
    <t>번호</t>
    <phoneticPr fontId="2" type="noConversion"/>
  </si>
  <si>
    <t>발 주 품 명</t>
    <phoneticPr fontId="2" type="noConversion"/>
  </si>
  <si>
    <t>수량</t>
    <phoneticPr fontId="2" type="noConversion"/>
  </si>
  <si>
    <t>단가</t>
    <phoneticPr fontId="2" type="noConversion"/>
  </si>
  <si>
    <t>규격</t>
    <phoneticPr fontId="2" type="noConversion"/>
  </si>
  <si>
    <t>젝사젠 주식회사</t>
    <phoneticPr fontId="2" type="noConversion"/>
  </si>
  <si>
    <t>김현기</t>
    <phoneticPr fontId="2" type="noConversion"/>
  </si>
  <si>
    <t>010-7793-7389</t>
    <phoneticPr fontId="2" type="noConversion"/>
  </si>
  <si>
    <t>2405-0010</t>
    <phoneticPr fontId="2" type="noConversion"/>
  </si>
  <si>
    <t>서비스 구매</t>
    <phoneticPr fontId="2" type="noConversion"/>
  </si>
  <si>
    <t>MS copilot</t>
    <phoneticPr fontId="2" type="noConversion"/>
  </si>
  <si>
    <t>(주) 유니클라우드</t>
    <phoneticPr fontId="2" type="noConversion"/>
  </si>
  <si>
    <t>정영호</t>
    <phoneticPr fontId="2" type="noConversion"/>
  </si>
  <si>
    <t>010-6233-3622</t>
    <phoneticPr fontId="2" type="noConversion"/>
  </si>
  <si>
    <t>02-6952-9222</t>
    <phoneticPr fontId="2" type="noConversion"/>
  </si>
  <si>
    <t>발주후 15일</t>
    <phoneticPr fontId="2" type="noConversion"/>
  </si>
  <si>
    <t>온라인</t>
    <phoneticPr fontId="2" type="noConversion"/>
  </si>
  <si>
    <t>현금 결제 조건</t>
    <phoneticPr fontId="2" type="noConversion"/>
  </si>
  <si>
    <t>Microsoft Copilot for M365</t>
    <phoneticPr fontId="2" type="noConversion"/>
  </si>
  <si>
    <t>발주일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</si>
</sst>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36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0" xfId="0" applyFont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4" xfId="0" applyBorder="1">
      <alignment vertical="center"/>
    </xf>
    <xf numFmtId="0" fontId="0" fillId="0" borderId="26" xfId="0" applyBorder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3" fontId="0" fillId="0" borderId="32" xfId="0" applyNumberFormat="1" applyBorder="1" applyAlignment="1">
      <alignment horizontal="center" vertical="center"/>
    </xf>
    <xf numFmtId="3" fontId="0" fillId="0" borderId="38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30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3" fontId="0" fillId="0" borderId="0" xfId="0" applyNumberFormat="1" applyAlignment="1">
      <alignment horizontal="right" vertical="center"/>
    </xf>
    <xf numFmtId="3" fontId="0" fillId="0" borderId="11" xfId="0" applyNumberFormat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3" fontId="0" fillId="0" borderId="27" xfId="0" applyNumberFormat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3" fontId="0" fillId="0" borderId="3" xfId="0" applyNumberFormat="1" applyBorder="1" applyAlignment="1">
      <alignment horizontal="right" vertical="center"/>
    </xf>
    <xf numFmtId="3" fontId="0" fillId="0" borderId="25" xfId="0" applyNumberFormat="1" applyBorder="1" applyAlignment="1">
      <alignment horizontal="right" vertical="center"/>
    </xf>
    <xf numFmtId="0" fontId="0" fillId="0" borderId="1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79263</xdr:colOff>
      <xdr:row>1</xdr:row>
      <xdr:rowOff>215434</xdr:rowOff>
    </xdr:from>
    <xdr:to>
      <xdr:col>6</xdr:col>
      <xdr:colOff>813974</xdr:colOff>
      <xdr:row>2</xdr:row>
      <xdr:rowOff>516935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92FF0A9-6569-F450-11C4-30406D583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60346" y="448267"/>
          <a:ext cx="734711" cy="534335"/>
        </a:xfrm>
        <a:prstGeom prst="rect">
          <a:avLst/>
        </a:prstGeom>
      </xdr:spPr>
    </xdr:pic>
    <xdr:clientData/>
  </xdr:twoCellAnchor>
  <xdr:twoCellAnchor editAs="oneCell">
    <xdr:from>
      <xdr:col>5</xdr:col>
      <xdr:colOff>137582</xdr:colOff>
      <xdr:row>1</xdr:row>
      <xdr:rowOff>201084</xdr:rowOff>
    </xdr:from>
    <xdr:to>
      <xdr:col>5</xdr:col>
      <xdr:colOff>772582</xdr:colOff>
      <xdr:row>2</xdr:row>
      <xdr:rowOff>402166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E75EA5A-344E-4E50-5C14-849569086A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634" r="9859" b="5093"/>
        <a:stretch/>
      </xdr:blipFill>
      <xdr:spPr>
        <a:xfrm>
          <a:off x="4476749" y="433917"/>
          <a:ext cx="635000" cy="4339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42444-CF47-C641-9F36-8E82999107A6}">
  <dimension ref="A1:G38"/>
  <sheetViews>
    <sheetView showGridLines="0" tabSelected="1" showRuler="0" view="pageBreakPreview" zoomScale="120" zoomScaleNormal="100" zoomScaleSheetLayoutView="120" workbookViewId="0">
      <selection activeCell="I6" sqref="I6"/>
    </sheetView>
  </sheetViews>
  <sheetFormatPr baseColWidth="10" defaultColWidth="10.5703125" defaultRowHeight="18"/>
  <cols>
    <col min="1" max="1" width="12.5703125" bestFit="1" customWidth="1"/>
    <col min="3" max="3" width="10.7109375" customWidth="1"/>
    <col min="4" max="4" width="10.5703125" customWidth="1"/>
    <col min="5" max="5" width="4.28515625" customWidth="1"/>
  </cols>
  <sheetData>
    <row r="1" spans="1:7">
      <c r="E1" s="22"/>
      <c r="F1" s="25" t="s">
        <v>2</v>
      </c>
      <c r="G1" s="25" t="s">
        <v>3</v>
      </c>
    </row>
    <row r="2" spans="1:7">
      <c r="E2" s="23" t="s">
        <v>1</v>
      </c>
      <c r="F2" s="3"/>
      <c r="G2" s="4"/>
    </row>
    <row r="3" spans="1:7" ht="52">
      <c r="B3" s="8" t="s">
        <v>0</v>
      </c>
      <c r="E3" s="24" t="s">
        <v>4</v>
      </c>
      <c r="F3" s="6"/>
      <c r="G3" s="7"/>
    </row>
    <row r="4" spans="1:7">
      <c r="F4" s="5"/>
      <c r="G4" s="5"/>
    </row>
    <row r="5" spans="1:7" ht="19" thickBot="1"/>
    <row r="6" spans="1:7">
      <c r="A6" s="15" t="s">
        <v>5</v>
      </c>
      <c r="B6" s="33" t="s">
        <v>31</v>
      </c>
      <c r="C6" s="33"/>
      <c r="D6" s="16" t="s">
        <v>7</v>
      </c>
      <c r="E6" s="33" t="s">
        <v>32</v>
      </c>
      <c r="F6" s="33"/>
      <c r="G6" s="35"/>
    </row>
    <row r="7" spans="1:7" ht="19" thickBot="1">
      <c r="A7" s="18" t="s">
        <v>6</v>
      </c>
      <c r="B7" s="34"/>
      <c r="C7" s="34"/>
      <c r="D7" s="19" t="s">
        <v>8</v>
      </c>
      <c r="E7" s="34" t="s">
        <v>33</v>
      </c>
      <c r="F7" s="34"/>
      <c r="G7" s="36"/>
    </row>
    <row r="8" spans="1:7" ht="19" thickBot="1"/>
    <row r="9" spans="1:7">
      <c r="A9" s="51" t="s">
        <v>9</v>
      </c>
      <c r="B9" s="33"/>
      <c r="C9" s="33"/>
      <c r="D9" s="33" t="s">
        <v>10</v>
      </c>
      <c r="E9" s="33"/>
      <c r="F9" s="33"/>
      <c r="G9" s="35"/>
    </row>
    <row r="10" spans="1:7">
      <c r="A10" s="17" t="s">
        <v>11</v>
      </c>
      <c r="B10" s="47" t="s">
        <v>34</v>
      </c>
      <c r="C10" s="47"/>
      <c r="D10" s="14" t="s">
        <v>11</v>
      </c>
      <c r="E10" s="47" t="s">
        <v>28</v>
      </c>
      <c r="F10" s="47"/>
      <c r="G10" s="48"/>
    </row>
    <row r="11" spans="1:7">
      <c r="A11" s="17" t="s">
        <v>12</v>
      </c>
      <c r="B11" s="47" t="s">
        <v>35</v>
      </c>
      <c r="C11" s="47"/>
      <c r="D11" s="14" t="s">
        <v>12</v>
      </c>
      <c r="E11" s="47" t="s">
        <v>29</v>
      </c>
      <c r="F11" s="47"/>
      <c r="G11" s="48"/>
    </row>
    <row r="12" spans="1:7">
      <c r="A12" s="17" t="s">
        <v>13</v>
      </c>
      <c r="B12" s="47" t="s">
        <v>37</v>
      </c>
      <c r="C12" s="47"/>
      <c r="D12" s="14" t="s">
        <v>13</v>
      </c>
      <c r="E12" s="47"/>
      <c r="F12" s="47"/>
      <c r="G12" s="48"/>
    </row>
    <row r="13" spans="1:7">
      <c r="A13" s="17" t="s">
        <v>14</v>
      </c>
      <c r="B13" s="47" t="s">
        <v>36</v>
      </c>
      <c r="C13" s="47"/>
      <c r="D13" s="14" t="s">
        <v>14</v>
      </c>
      <c r="E13" s="47" t="s">
        <v>30</v>
      </c>
      <c r="F13" s="47"/>
      <c r="G13" s="48"/>
    </row>
    <row r="14" spans="1:7">
      <c r="A14" s="17" t="s">
        <v>15</v>
      </c>
      <c r="B14" s="47"/>
      <c r="C14" s="47"/>
      <c r="D14" s="14" t="s">
        <v>15</v>
      </c>
      <c r="E14" s="47"/>
      <c r="F14" s="47"/>
      <c r="G14" s="48"/>
    </row>
    <row r="15" spans="1:7">
      <c r="A15" s="17" t="s">
        <v>16</v>
      </c>
      <c r="B15" s="47" t="s">
        <v>38</v>
      </c>
      <c r="C15" s="47"/>
      <c r="D15" s="14" t="s">
        <v>42</v>
      </c>
      <c r="E15" s="56">
        <v>45425</v>
      </c>
      <c r="F15" s="47"/>
      <c r="G15" s="48"/>
    </row>
    <row r="16" spans="1:7">
      <c r="A16" s="17" t="s">
        <v>17</v>
      </c>
      <c r="B16" s="37" t="s">
        <v>39</v>
      </c>
      <c r="C16" s="37"/>
      <c r="D16" s="37"/>
      <c r="E16" s="37"/>
      <c r="F16" s="37"/>
      <c r="G16" s="38"/>
    </row>
    <row r="17" spans="1:7">
      <c r="A17" s="17" t="s">
        <v>18</v>
      </c>
      <c r="B17" s="37" t="s">
        <v>40</v>
      </c>
      <c r="C17" s="37"/>
      <c r="D17" s="37"/>
      <c r="E17" s="37"/>
      <c r="F17" s="37"/>
      <c r="G17" s="38"/>
    </row>
    <row r="18" spans="1:7">
      <c r="A18" s="9"/>
      <c r="G18" s="10"/>
    </row>
    <row r="19" spans="1:7">
      <c r="A19" s="20"/>
      <c r="B19" s="2"/>
      <c r="C19" s="2"/>
      <c r="D19" s="2" t="s">
        <v>19</v>
      </c>
      <c r="E19" s="49">
        <f>SUM(G26:G37)</f>
        <v>340000</v>
      </c>
      <c r="F19" s="49"/>
      <c r="G19" s="50"/>
    </row>
    <row r="20" spans="1:7">
      <c r="A20" s="9"/>
      <c r="D20" t="s">
        <v>20</v>
      </c>
      <c r="E20" s="43">
        <f>E19*10%</f>
        <v>34000</v>
      </c>
      <c r="F20" s="43"/>
      <c r="G20" s="44"/>
    </row>
    <row r="21" spans="1:7">
      <c r="A21" s="21"/>
      <c r="B21" s="1"/>
      <c r="C21" s="1"/>
      <c r="D21" s="1" t="s">
        <v>21</v>
      </c>
      <c r="E21" s="45">
        <f>SUM(E19:G20)</f>
        <v>374000</v>
      </c>
      <c r="F21" s="45"/>
      <c r="G21" s="46"/>
    </row>
    <row r="22" spans="1:7">
      <c r="A22" s="9"/>
      <c r="G22" s="10"/>
    </row>
    <row r="23" spans="1:7" ht="19" thickBot="1">
      <c r="A23" s="11" t="s">
        <v>22</v>
      </c>
      <c r="B23" s="12"/>
      <c r="C23" s="12"/>
      <c r="D23" s="12"/>
      <c r="E23" s="12"/>
      <c r="F23" s="12"/>
      <c r="G23" s="13"/>
    </row>
    <row r="24" spans="1:7" ht="19" thickBot="1"/>
    <row r="25" spans="1:7" ht="19" thickBot="1">
      <c r="A25" s="27" t="s">
        <v>23</v>
      </c>
      <c r="B25" s="54" t="s">
        <v>24</v>
      </c>
      <c r="C25" s="55"/>
      <c r="D25" s="28" t="s">
        <v>27</v>
      </c>
      <c r="E25" s="28" t="s">
        <v>25</v>
      </c>
      <c r="F25" s="28" t="s">
        <v>26</v>
      </c>
      <c r="G25" s="29" t="s">
        <v>19</v>
      </c>
    </row>
    <row r="26" spans="1:7">
      <c r="A26" s="26">
        <v>1</v>
      </c>
      <c r="B26" s="52" t="s">
        <v>41</v>
      </c>
      <c r="C26" s="53"/>
      <c r="D26" s="6"/>
      <c r="E26" s="6">
        <v>1</v>
      </c>
      <c r="F26" s="30">
        <v>340000</v>
      </c>
      <c r="G26" s="31">
        <f>IF(E26=0,"",E26*F26)</f>
        <v>340000</v>
      </c>
    </row>
    <row r="27" spans="1:7">
      <c r="A27" s="17">
        <v>2</v>
      </c>
      <c r="B27" s="39"/>
      <c r="C27" s="40"/>
      <c r="D27" s="14"/>
      <c r="E27" s="14"/>
      <c r="F27" s="14"/>
      <c r="G27" s="31" t="str">
        <f t="shared" ref="G27:G37" si="0">IF(E27=0,"",E27*F27)</f>
        <v/>
      </c>
    </row>
    <row r="28" spans="1:7">
      <c r="A28" s="17"/>
      <c r="B28" s="39"/>
      <c r="C28" s="40"/>
      <c r="D28" s="14"/>
      <c r="E28" s="14"/>
      <c r="F28" s="14"/>
      <c r="G28" s="31" t="str">
        <f t="shared" si="0"/>
        <v/>
      </c>
    </row>
    <row r="29" spans="1:7">
      <c r="A29" s="17"/>
      <c r="B29" s="39"/>
      <c r="C29" s="40"/>
      <c r="D29" s="14"/>
      <c r="E29" s="14"/>
      <c r="F29" s="14"/>
      <c r="G29" s="31" t="str">
        <f t="shared" si="0"/>
        <v/>
      </c>
    </row>
    <row r="30" spans="1:7">
      <c r="A30" s="17"/>
      <c r="B30" s="39"/>
      <c r="C30" s="40"/>
      <c r="D30" s="14"/>
      <c r="E30" s="14"/>
      <c r="F30" s="14"/>
      <c r="G30" s="31" t="str">
        <f t="shared" si="0"/>
        <v/>
      </c>
    </row>
    <row r="31" spans="1:7">
      <c r="A31" s="17"/>
      <c r="B31" s="39"/>
      <c r="C31" s="40"/>
      <c r="D31" s="14"/>
      <c r="E31" s="14"/>
      <c r="F31" s="14"/>
      <c r="G31" s="31" t="str">
        <f t="shared" si="0"/>
        <v/>
      </c>
    </row>
    <row r="32" spans="1:7">
      <c r="A32" s="17"/>
      <c r="B32" s="39"/>
      <c r="C32" s="40"/>
      <c r="D32" s="14"/>
      <c r="E32" s="14"/>
      <c r="F32" s="14"/>
      <c r="G32" s="31" t="str">
        <f t="shared" si="0"/>
        <v/>
      </c>
    </row>
    <row r="33" spans="1:7">
      <c r="A33" s="17"/>
      <c r="B33" s="39"/>
      <c r="C33" s="40"/>
      <c r="D33" s="14"/>
      <c r="E33" s="14"/>
      <c r="F33" s="14"/>
      <c r="G33" s="31" t="str">
        <f t="shared" si="0"/>
        <v/>
      </c>
    </row>
    <row r="34" spans="1:7">
      <c r="A34" s="17"/>
      <c r="B34" s="39"/>
      <c r="C34" s="40"/>
      <c r="D34" s="14"/>
      <c r="E34" s="14"/>
      <c r="F34" s="14"/>
      <c r="G34" s="31" t="str">
        <f t="shared" si="0"/>
        <v/>
      </c>
    </row>
    <row r="35" spans="1:7">
      <c r="A35" s="17"/>
      <c r="B35" s="39"/>
      <c r="C35" s="40"/>
      <c r="D35" s="14"/>
      <c r="E35" s="14"/>
      <c r="F35" s="14"/>
      <c r="G35" s="31" t="str">
        <f t="shared" si="0"/>
        <v/>
      </c>
    </row>
    <row r="36" spans="1:7">
      <c r="A36" s="17"/>
      <c r="B36" s="39"/>
      <c r="C36" s="40"/>
      <c r="D36" s="14"/>
      <c r="E36" s="14"/>
      <c r="F36" s="14"/>
      <c r="G36" s="31" t="str">
        <f t="shared" si="0"/>
        <v/>
      </c>
    </row>
    <row r="37" spans="1:7" ht="19" thickBot="1">
      <c r="A37" s="18"/>
      <c r="B37" s="41"/>
      <c r="C37" s="42"/>
      <c r="D37" s="19"/>
      <c r="E37" s="19"/>
      <c r="F37" s="19"/>
      <c r="G37" s="32" t="str">
        <f t="shared" si="0"/>
        <v/>
      </c>
    </row>
    <row r="38" spans="1:7" ht="19" thickBot="1">
      <c r="A38" s="11"/>
      <c r="B38" s="12"/>
      <c r="C38" s="12"/>
      <c r="D38" s="12"/>
      <c r="E38" s="12"/>
      <c r="F38" s="12"/>
      <c r="G38" s="13"/>
    </row>
  </sheetData>
  <mergeCells count="36">
    <mergeCell ref="B17:G17"/>
    <mergeCell ref="E19:G19"/>
    <mergeCell ref="D9:G9"/>
    <mergeCell ref="A9:C9"/>
    <mergeCell ref="E10:G10"/>
    <mergeCell ref="E11:G11"/>
    <mergeCell ref="E12:G12"/>
    <mergeCell ref="B34:C34"/>
    <mergeCell ref="B35:C35"/>
    <mergeCell ref="B36:C36"/>
    <mergeCell ref="B37:C37"/>
    <mergeCell ref="E20:G20"/>
    <mergeCell ref="E21:G21"/>
    <mergeCell ref="B33:C33"/>
    <mergeCell ref="B26:C26"/>
    <mergeCell ref="B25:C25"/>
    <mergeCell ref="B32:C32"/>
    <mergeCell ref="B31:C31"/>
    <mergeCell ref="B30:C30"/>
    <mergeCell ref="B29:C29"/>
    <mergeCell ref="B28:C28"/>
    <mergeCell ref="B27:C27"/>
    <mergeCell ref="B6:C6"/>
    <mergeCell ref="B7:C7"/>
    <mergeCell ref="E6:G6"/>
    <mergeCell ref="E7:G7"/>
    <mergeCell ref="B16:G16"/>
    <mergeCell ref="E14:G14"/>
    <mergeCell ref="E15:G15"/>
    <mergeCell ref="B10:C10"/>
    <mergeCell ref="B11:C11"/>
    <mergeCell ref="B12:C12"/>
    <mergeCell ref="B13:C13"/>
    <mergeCell ref="B14:C14"/>
    <mergeCell ref="B15:C15"/>
    <mergeCell ref="E13:G13"/>
  </mergeCells>
  <phoneticPr fontId="2" type="noConversion"/>
  <pageMargins left="0.7" right="0.7" top="0.75" bottom="0.75" header="0.3" footer="0.3"/>
  <pageSetup paperSize="9" orientation="portrait" horizontalDpi="0" verticalDpi="0"/>
  <headerFooter>
    <oddFooter>&amp;R&amp;G</oddFoot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현기</dc:creator>
  <cp:lastModifiedBy>김 현기</cp:lastModifiedBy>
  <cp:lastPrinted>2024-05-13T00:55:23Z</cp:lastPrinted>
  <dcterms:created xsi:type="dcterms:W3CDTF">2024-05-09T02:22:12Z</dcterms:created>
  <dcterms:modified xsi:type="dcterms:W3CDTF">2024-05-13T01:27:06Z</dcterms:modified>
</cp:coreProperties>
</file>