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강명우\Desktop\견적서\견적서\에프에이리눅스\박문식 이사님\"/>
    </mc:Choice>
  </mc:AlternateContent>
  <xr:revisionPtr revIDLastSave="0" documentId="13_ncr:1_{D328525E-25BB-40D4-8460-41453F5237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Quote" sheetId="1" r:id="rId1"/>
  </sheets>
  <definedNames>
    <definedName name="_xlnm.Print_Area" localSheetId="0">Quote!$A$1:$H$38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1" l="1"/>
  <c r="F13" i="1" l="1"/>
  <c r="F14" i="1" s="1"/>
  <c r="F15" i="1" s="1"/>
  <c r="C9" i="1" l="1"/>
</calcChain>
</file>

<file path=xl/sharedStrings.xml><?xml version="1.0" encoding="utf-8"?>
<sst xmlns="http://schemas.openxmlformats.org/spreadsheetml/2006/main" count="46" uniqueCount="46">
  <si>
    <t>[ REMARKS ]</t>
  </si>
  <si>
    <t>합계(VAT별도)</t>
    <phoneticPr fontId="1" type="noConversion"/>
  </si>
  <si>
    <t>부가세</t>
    <phoneticPr fontId="1" type="noConversion"/>
  </si>
  <si>
    <t>제안가 합계(VAT포함)</t>
    <phoneticPr fontId="1" type="noConversion"/>
  </si>
  <si>
    <t>견 적 번 호:</t>
    <phoneticPr fontId="4" type="noConversion"/>
  </si>
  <si>
    <t>수         신:</t>
    <phoneticPr fontId="4" type="noConversion"/>
  </si>
  <si>
    <t>No.</t>
    <phoneticPr fontId="1" type="noConversion"/>
  </si>
  <si>
    <t>품명 및 세부사양</t>
    <phoneticPr fontId="1" type="noConversion"/>
  </si>
  <si>
    <t>단가</t>
    <phoneticPr fontId="1" type="noConversion"/>
  </si>
  <si>
    <t>금액</t>
    <phoneticPr fontId="1" type="noConversion"/>
  </si>
  <si>
    <t>비고</t>
    <phoneticPr fontId="1" type="noConversion"/>
  </si>
  <si>
    <t>견   적   서</t>
    <phoneticPr fontId="1" type="noConversion"/>
  </si>
  <si>
    <t>견 적  금 액:</t>
    <phoneticPr fontId="4" type="noConversion"/>
  </si>
  <si>
    <t>당사는 이 견적서상의 가격 및 조건들을 수용하며, 이 견적서를 귀사에 대한 공식 발주서로 대신하는데 동의합니다.</t>
    <phoneticPr fontId="15" type="noConversion"/>
  </si>
  <si>
    <t>ㆍ발주업체 :</t>
    <phoneticPr fontId="15" type="noConversion"/>
  </si>
  <si>
    <t>(아래 빈 공간에 업체의 명판 및 인감을 날인해 주십시오. 명판,직인이 날인되지 않은 경우 정상 발주되지 않을 수 있습니다.)</t>
    <phoneticPr fontId="15" type="noConversion"/>
  </si>
  <si>
    <t>ㆍ배송지 :</t>
    <phoneticPr fontId="15" type="noConversion"/>
  </si>
  <si>
    <t>ㆍ세금계산서 담당자 :</t>
    <phoneticPr fontId="15" type="noConversion"/>
  </si>
  <si>
    <t xml:space="preserve">ㆍ수령인 : </t>
    <phoneticPr fontId="15" type="noConversion"/>
  </si>
  <si>
    <t>(성명)                          (연락처)</t>
  </si>
  <si>
    <t>: 109-86-20739</t>
    <phoneticPr fontId="1" type="noConversion"/>
  </si>
  <si>
    <t>: 에스씨지솔루션즈㈜</t>
    <phoneticPr fontId="1" type="noConversion"/>
  </si>
  <si>
    <t>: 도소매외, 컴퓨터및전기통신기자재외</t>
    <phoneticPr fontId="1" type="noConversion"/>
  </si>
  <si>
    <t>대   표   자</t>
    <phoneticPr fontId="1" type="noConversion"/>
  </si>
  <si>
    <t>주         소</t>
    <phoneticPr fontId="1" type="noConversion"/>
  </si>
  <si>
    <t>업태 및 종목</t>
    <phoneticPr fontId="1" type="noConversion"/>
  </si>
  <si>
    <t>사업자 번호</t>
    <phoneticPr fontId="1" type="noConversion"/>
  </si>
  <si>
    <t>상         호</t>
    <phoneticPr fontId="1" type="noConversion"/>
  </si>
  <si>
    <t>견 적 일 자:</t>
    <phoneticPr fontId="4" type="noConversion"/>
  </si>
  <si>
    <t>참         조:</t>
    <phoneticPr fontId="4" type="noConversion"/>
  </si>
  <si>
    <t>구분(품번)</t>
    <phoneticPr fontId="1" type="noConversion"/>
  </si>
  <si>
    <t>www.scgs.co.kr</t>
    <phoneticPr fontId="1" type="noConversion"/>
  </si>
  <si>
    <t>: 서울시 용산구 원효로 138 (원효로3가)</t>
    <phoneticPr fontId="1" type="noConversion"/>
  </si>
  <si>
    <t>3. 유상유지보수 : 제품 보증에 따름</t>
  </si>
  <si>
    <t>4. 결제 계좌 :</t>
  </si>
  <si>
    <t>: 남 성 능</t>
    <phoneticPr fontId="1" type="noConversion"/>
  </si>
  <si>
    <t>1. 견적 유효 기간 : 견적일로부터 1주</t>
    <phoneticPr fontId="1" type="noConversion"/>
  </si>
  <si>
    <t>수량</t>
    <phoneticPr fontId="1" type="noConversion"/>
  </si>
  <si>
    <t>6. 해당 견적서는 Seagate 공식 수입사간 거래에서만 사용되며, 해당 가격의 외부 노출은 금합니다.</t>
    <phoneticPr fontId="1" type="noConversion"/>
  </si>
  <si>
    <t>HDD</t>
    <phoneticPr fontId="1" type="noConversion"/>
  </si>
  <si>
    <t>에프에이리눅스㈜</t>
    <phoneticPr fontId="1" type="noConversion"/>
  </si>
  <si>
    <t>2. 결제 조건 : 선 결제</t>
    <phoneticPr fontId="1" type="noConversion"/>
  </si>
  <si>
    <t>Seagate EXOS 7E10 SAS/7200/256M (ST8000NM018B, 8TB)</t>
    <phoneticPr fontId="1" type="noConversion"/>
  </si>
  <si>
    <t>김현기 책임님</t>
    <phoneticPr fontId="1" type="noConversion"/>
  </si>
  <si>
    <t>SCGS-24-0612-001</t>
    <phoneticPr fontId="4" type="noConversion"/>
  </si>
  <si>
    <t>5. 담당자 : 강명우 차장 (010-6542-6504)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</si>
</sst>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yyyy&quot;년&quot;\ m&quot;월&quot;\ d&quot;일&quot;;@"/>
    <numFmt numFmtId="177" formatCode="#,##0_ ;[Red]\-#,##0\ "/>
    <numFmt numFmtId="178" formatCode="_(* #,##0_);_(* \(#,##0\);_(* &quot;-&quot;_);_(@_)"/>
    <numFmt numFmtId="179" formatCode="_(* #,##0.00_);_(* \(#,##0.00\);_(* &quot;-&quot;??_);_(@_)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name val="바탕체"/>
      <family val="1"/>
      <charset val="129"/>
    </font>
    <font>
      <sz val="10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ajor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8"/>
      <color theme="1" tint="0.49998474074526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굴림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Calibri"/>
      <family val="2"/>
    </font>
    <font>
      <sz val="10"/>
      <color rgb="FF9C6500"/>
      <name val="Calibri"/>
      <family val="2"/>
    </font>
    <font>
      <b/>
      <sz val="9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>
      <alignment vertical="center"/>
    </xf>
    <xf numFmtId="0" fontId="2" fillId="0" borderId="0"/>
    <xf numFmtId="0" fontId="6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2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4" fillId="0" borderId="0"/>
    <xf numFmtId="178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9" fillId="0" borderId="0"/>
    <xf numFmtId="179" fontId="19" fillId="0" borderId="0" applyFont="0" applyFill="0" applyBorder="0" applyAlignment="0" applyProtection="0"/>
    <xf numFmtId="0" fontId="20" fillId="5" borderId="0" applyNumberFormat="0" applyBorder="0" applyAlignment="0" applyProtection="0"/>
  </cellStyleXfs>
  <cellXfs count="67">
    <xf numFmtId="0" fontId="0" fillId="0" borderId="0" xfId="0">
      <alignment vertical="center"/>
    </xf>
    <xf numFmtId="0" fontId="3" fillId="0" borderId="0" xfId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177" fontId="7" fillId="0" borderId="0" xfId="0" applyNumberFormat="1" applyFont="1">
      <alignment vertical="center"/>
    </xf>
    <xf numFmtId="0" fontId="7" fillId="0" borderId="2" xfId="0" applyFont="1" applyBorder="1">
      <alignment vertical="center"/>
    </xf>
    <xf numFmtId="0" fontId="7" fillId="0" borderId="3" xfId="0" applyFont="1" applyBorder="1">
      <alignment vertical="center"/>
    </xf>
    <xf numFmtId="177" fontId="7" fillId="0" borderId="3" xfId="0" applyNumberFormat="1" applyFont="1" applyBorder="1">
      <alignment vertical="center"/>
    </xf>
    <xf numFmtId="0" fontId="7" fillId="0" borderId="4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8" xfId="0" applyFont="1" applyBorder="1">
      <alignment vertical="center"/>
    </xf>
    <xf numFmtId="177" fontId="7" fillId="0" borderId="8" xfId="0" applyNumberFormat="1" applyFont="1" applyBorder="1">
      <alignment vertical="center"/>
    </xf>
    <xf numFmtId="0" fontId="7" fillId="0" borderId="9" xfId="0" applyFont="1" applyBorder="1">
      <alignment vertical="center"/>
    </xf>
    <xf numFmtId="0" fontId="3" fillId="0" borderId="10" xfId="1" applyFont="1" applyBorder="1" applyAlignment="1">
      <alignment vertical="center"/>
    </xf>
    <xf numFmtId="0" fontId="11" fillId="0" borderId="0" xfId="3" applyFont="1" applyAlignment="1" applyProtection="1">
      <alignment horizontal="right" vertical="center"/>
    </xf>
    <xf numFmtId="41" fontId="7" fillId="0" borderId="0" xfId="5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6" fillId="3" borderId="5" xfId="2" applyFont="1" applyFill="1" applyBorder="1" applyAlignment="1">
      <alignment horizontal="left" vertical="center"/>
    </xf>
    <xf numFmtId="0" fontId="16" fillId="3" borderId="0" xfId="2" applyFont="1" applyFill="1" applyAlignment="1">
      <alignment horizontal="left" vertical="center"/>
    </xf>
    <xf numFmtId="0" fontId="18" fillId="3" borderId="0" xfId="0" applyFont="1" applyFill="1">
      <alignment vertical="center"/>
    </xf>
    <xf numFmtId="0" fontId="18" fillId="3" borderId="0" xfId="0" applyFont="1" applyFill="1" applyAlignment="1">
      <alignment horizontal="center" vertical="center"/>
    </xf>
    <xf numFmtId="0" fontId="17" fillId="3" borderId="5" xfId="2" applyFont="1" applyFill="1" applyBorder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0" fontId="16" fillId="3" borderId="0" xfId="2" applyFont="1" applyFill="1" applyAlignment="1">
      <alignment vertical="center"/>
    </xf>
    <xf numFmtId="0" fontId="16" fillId="3" borderId="6" xfId="2" applyFont="1" applyFill="1" applyBorder="1" applyAlignment="1">
      <alignment horizontal="left" vertical="center"/>
    </xf>
    <xf numFmtId="0" fontId="18" fillId="3" borderId="6" xfId="0" applyFont="1" applyFill="1" applyBorder="1">
      <alignment vertical="center"/>
    </xf>
    <xf numFmtId="0" fontId="18" fillId="3" borderId="6" xfId="0" applyFont="1" applyFill="1" applyBorder="1" applyAlignment="1">
      <alignment horizontal="left" vertical="center"/>
    </xf>
    <xf numFmtId="0" fontId="5" fillId="2" borderId="1" xfId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77" fontId="8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0" fontId="8" fillId="2" borderId="11" xfId="0" applyFont="1" applyFill="1" applyBorder="1" applyAlignment="1">
      <alignment horizontal="center" vertical="center"/>
    </xf>
    <xf numFmtId="177" fontId="7" fillId="0" borderId="0" xfId="0" applyNumberFormat="1" applyFont="1" applyAlignment="1">
      <alignment horizontal="distributed" vertical="center"/>
    </xf>
    <xf numFmtId="0" fontId="3" fillId="0" borderId="0" xfId="1" applyFont="1" applyAlignment="1">
      <alignment horizontal="distributed" vertical="center"/>
    </xf>
    <xf numFmtId="177" fontId="8" fillId="0" borderId="0" xfId="0" applyNumberFormat="1" applyFont="1">
      <alignment vertical="center"/>
    </xf>
    <xf numFmtId="0" fontId="8" fillId="0" borderId="0" xfId="0" applyFont="1" applyAlignment="1">
      <alignment horizontal="left" vertical="center"/>
    </xf>
    <xf numFmtId="0" fontId="16" fillId="0" borderId="5" xfId="0" applyFont="1" applyBorder="1">
      <alignment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right" vertical="center"/>
    </xf>
    <xf numFmtId="10" fontId="7" fillId="0" borderId="0" xfId="12" applyNumberFormat="1" applyFont="1" applyAlignment="1">
      <alignment vertical="center"/>
    </xf>
    <xf numFmtId="41" fontId="7" fillId="0" borderId="0" xfId="0" applyNumberFormat="1" applyFont="1">
      <alignment vertical="center"/>
    </xf>
    <xf numFmtId="177" fontId="7" fillId="0" borderId="0" xfId="0" applyNumberFormat="1" applyFont="1" applyAlignment="1">
      <alignment horizontal="distributed"/>
    </xf>
    <xf numFmtId="4" fontId="7" fillId="0" borderId="1" xfId="0" applyNumberFormat="1" applyFont="1" applyBorder="1">
      <alignment vertical="center"/>
    </xf>
    <xf numFmtId="0" fontId="8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77" fontId="21" fillId="0" borderId="1" xfId="0" applyNumberFormat="1" applyFont="1" applyBorder="1" applyAlignment="1">
      <alignment horizontal="center" vertical="center"/>
    </xf>
    <xf numFmtId="41" fontId="21" fillId="4" borderId="1" xfId="5" applyFont="1" applyFill="1" applyBorder="1" applyProtection="1">
      <alignment vertical="center"/>
      <protection hidden="1"/>
    </xf>
    <xf numFmtId="41" fontId="21" fillId="0" borderId="1" xfId="5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3" fillId="0" borderId="10" xfId="1" applyFont="1" applyBorder="1" applyAlignment="1">
      <alignment horizontal="left" vertical="center"/>
    </xf>
    <xf numFmtId="176" fontId="5" fillId="0" borderId="0" xfId="1" applyNumberFormat="1" applyFont="1" applyAlignment="1">
      <alignment horizontal="left" vertical="center"/>
    </xf>
    <xf numFmtId="0" fontId="16" fillId="3" borderId="5" xfId="2" applyFont="1" applyFill="1" applyBorder="1" applyAlignment="1">
      <alignment horizontal="left" vertical="center"/>
    </xf>
    <xf numFmtId="0" fontId="16" fillId="3" borderId="0" xfId="2" applyFont="1" applyFill="1" applyAlignment="1">
      <alignment horizontal="left" vertical="center"/>
    </xf>
    <xf numFmtId="0" fontId="16" fillId="3" borderId="6" xfId="2" applyFont="1" applyFill="1" applyBorder="1" applyAlignment="1">
      <alignment horizontal="left" vertical="center"/>
    </xf>
    <xf numFmtId="177" fontId="8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0" xfId="2" applyFont="1" applyFill="1" applyAlignment="1">
      <alignment horizontal="left" vertical="center"/>
    </xf>
    <xf numFmtId="0" fontId="17" fillId="3" borderId="5" xfId="2" applyFont="1" applyFill="1" applyBorder="1" applyAlignment="1">
      <alignment horizontal="left" vertical="center"/>
    </xf>
    <xf numFmtId="0" fontId="17" fillId="3" borderId="0" xfId="2" applyFont="1" applyFill="1" applyAlignment="1">
      <alignment horizontal="left" vertical="center"/>
    </xf>
  </cellXfs>
  <cellStyles count="17">
    <cellStyle name="Comma 49" xfId="15" xr:uid="{00000000-0005-0000-0000-000000000000}"/>
    <cellStyle name="Neutral 10" xfId="16" xr:uid="{00000000-0005-0000-0000-000001000000}"/>
    <cellStyle name="Normal 67" xfId="14" xr:uid="{00000000-0005-0000-0000-000002000000}"/>
    <cellStyle name="백분율" xfId="12" builtinId="5"/>
    <cellStyle name="쉼표 [0]" xfId="5" builtinId="6"/>
    <cellStyle name="쉼표 [0] 2" xfId="7" xr:uid="{00000000-0005-0000-0000-000005000000}"/>
    <cellStyle name="쉼표 [0] 2 2" xfId="10" xr:uid="{00000000-0005-0000-0000-000006000000}"/>
    <cellStyle name="쉼표 [0] 3" xfId="8" xr:uid="{00000000-0005-0000-0000-000007000000}"/>
    <cellStyle name="쉼표 [0] 3 2" xfId="11" xr:uid="{00000000-0005-0000-0000-000008000000}"/>
    <cellStyle name="쉼표 [0] 4" xfId="9" xr:uid="{00000000-0005-0000-0000-000009000000}"/>
    <cellStyle name="표준" xfId="0" builtinId="0"/>
    <cellStyle name="표준 2" xfId="2" xr:uid="{00000000-0005-0000-0000-00000B000000}"/>
    <cellStyle name="표준 2 2" xfId="6" xr:uid="{00000000-0005-0000-0000-00000C000000}"/>
    <cellStyle name="표준 3" xfId="13" xr:uid="{00000000-0005-0000-0000-00000D000000}"/>
    <cellStyle name="표준 5" xfId="4" xr:uid="{00000000-0005-0000-0000-00000E000000}"/>
    <cellStyle name="표준_기안_수주품의서외_1009" xfId="1" xr:uid="{00000000-0005-0000-0000-00000F000000}"/>
    <cellStyle name="하이퍼링크" xfId="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jpe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11207</xdr:colOff>
      <xdr:row>36</xdr:row>
      <xdr:rowOff>23014</xdr:rowOff>
    </xdr:from>
    <xdr:to>
      <xdr:col>2</xdr:col>
      <xdr:colOff>897495</xdr:colOff>
      <xdr:row>38</xdr:row>
      <xdr:rowOff>35171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295" y="10623779"/>
          <a:ext cx="1861200" cy="393157"/>
        </a:xfrm>
        <a:prstGeom prst="rect">
          <a:avLst/>
        </a:prstGeom>
      </xdr:spPr>
    </xdr:pic>
    <xdr:clientData/>
  </xdr:twoCellAnchor>
  <xdr:twoCellAnchor>
    <xdr:from>
      <xdr:col>2</xdr:col>
      <xdr:colOff>1</xdr:colOff>
      <xdr:row>35</xdr:row>
      <xdr:rowOff>52733</xdr:rowOff>
    </xdr:from>
    <xdr:to>
      <xdr:col>8</xdr:col>
      <xdr:colOff>17588</xdr:colOff>
      <xdr:row>36</xdr:row>
      <xdr:rowOff>44294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1135381" y="8518553"/>
          <a:ext cx="9969307" cy="189681"/>
          <a:chOff x="495300" y="7610699"/>
          <a:chExt cx="8123362" cy="163898"/>
        </a:xfrm>
      </xdr:grpSpPr>
      <xdr:pic>
        <xdr:nvPicPr>
          <xdr:cNvPr id="9" name="Picture 4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6337953" y="7610699"/>
            <a:ext cx="2280709" cy="163892"/>
          </a:xfrm>
          <a:prstGeom prst="rect">
            <a:avLst/>
          </a:prstGeom>
          <a:noFill/>
        </xdr:spPr>
      </xdr:pic>
      <xdr:cxnSp macro="">
        <xdr:nvCxnSpPr>
          <xdr:cNvPr id="10" name="직선 연결선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CxnSpPr/>
        </xdr:nvCxnSpPr>
        <xdr:spPr>
          <a:xfrm>
            <a:off x="495300" y="7774597"/>
            <a:ext cx="8105775" cy="0"/>
          </a:xfrm>
          <a:prstGeom prst="line">
            <a:avLst/>
          </a:prstGeom>
          <a:ln w="15875">
            <a:solidFill>
              <a:schemeClr val="bg1">
                <a:lumMod val="85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28575</xdr:colOff>
      <xdr:row>0</xdr:row>
      <xdr:rowOff>66675</xdr:rowOff>
    </xdr:from>
    <xdr:to>
      <xdr:col>8</xdr:col>
      <xdr:colOff>9525</xdr:colOff>
      <xdr:row>1</xdr:row>
      <xdr:rowOff>29514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196215" y="66675"/>
          <a:ext cx="10900410" cy="229539"/>
          <a:chOff x="180975" y="503886"/>
          <a:chExt cx="8429625" cy="229539"/>
        </a:xfrm>
      </xdr:grpSpPr>
      <xdr:cxnSp macro="">
        <xdr:nvCxnSpPr>
          <xdr:cNvPr id="12" name="직선 연결선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CxnSpPr/>
        </xdr:nvCxnSpPr>
        <xdr:spPr>
          <a:xfrm>
            <a:off x="180975" y="733425"/>
            <a:ext cx="8429625" cy="0"/>
          </a:xfrm>
          <a:prstGeom prst="line">
            <a:avLst/>
          </a:prstGeom>
          <a:ln w="15875">
            <a:solidFill>
              <a:schemeClr val="bg1">
                <a:lumMod val="85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13" name="Picture 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BEBA8EAE-BF5A-486C-A8C5-ECC9F3942E4B}">
                <a14:imgProps xmlns:a14="http://schemas.microsoft.com/office/drawing/2010/main">
                  <a14:imgLayer r:embed="rId4">
                    <a14:imgEffect>
                      <a14:sharpenSoften amount="25000"/>
                    </a14:imgEffect>
                    <a14:imgEffect>
                      <a14:brightnessContrast bright="20000" contrast="-40000"/>
                    </a14:imgEffect>
                  </a14:imgLayer>
                </a14:imgProps>
              </a:ext>
            </a:extLst>
          </a:blip>
          <a:srcRect/>
          <a:stretch>
            <a:fillRect/>
          </a:stretch>
        </xdr:blipFill>
        <xdr:spPr bwMode="auto">
          <a:xfrm>
            <a:off x="180975" y="503886"/>
            <a:ext cx="1133475" cy="219249"/>
          </a:xfrm>
          <a:prstGeom prst="rect">
            <a:avLst/>
          </a:prstGeom>
          <a:noFill/>
        </xdr:spPr>
      </xdr:pic>
    </xdr:grpSp>
    <xdr:clientData/>
  </xdr:twoCellAnchor>
  <xdr:twoCellAnchor>
    <xdr:from>
      <xdr:col>4</xdr:col>
      <xdr:colOff>0</xdr:colOff>
      <xdr:row>2</xdr:row>
      <xdr:rowOff>0</xdr:rowOff>
    </xdr:from>
    <xdr:to>
      <xdr:col>4</xdr:col>
      <xdr:colOff>0</xdr:colOff>
      <xdr:row>3</xdr:row>
      <xdr:rowOff>200025</xdr:rowOff>
    </xdr:to>
    <xdr:pic>
      <xdr:nvPicPr>
        <xdr:cNvPr id="15" name="Picture 3" descr="사용인감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00" y="1323975"/>
          <a:ext cx="6572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38"/>
  <sheetViews>
    <sheetView showGridLines="0" tabSelected="1" view="pageBreakPreview" topLeftCell="A2" zoomScaleNormal="100" zoomScaleSheetLayoutView="100" workbookViewId="0">
      <selection activeCell="B22" sqref="B22"/>
    </sheetView>
  </sheetViews>
  <sheetFormatPr defaultColWidth="9" defaultRowHeight="15.6" x14ac:dyDescent="0.4"/>
  <cols>
    <col min="1" max="1" width="2.19921875" style="3" customWidth="1"/>
    <col min="2" max="2" width="12.69921875" style="3" customWidth="1"/>
    <col min="3" max="3" width="17" style="3" customWidth="1"/>
    <col min="4" max="4" width="65.5" style="3" customWidth="1"/>
    <col min="5" max="5" width="10.3984375" style="4" customWidth="1"/>
    <col min="6" max="6" width="13" style="4" customWidth="1"/>
    <col min="7" max="7" width="13.59765625" style="4" bestFit="1" customWidth="1"/>
    <col min="8" max="8" width="11.09765625" style="3" customWidth="1"/>
    <col min="9" max="9" width="10.69921875" style="3" customWidth="1"/>
    <col min="10" max="11" width="9.59765625" style="3" bestFit="1" customWidth="1"/>
    <col min="12" max="16384" width="9" style="3"/>
  </cols>
  <sheetData>
    <row r="1" spans="2:15" ht="21" customHeight="1" x14ac:dyDescent="0.4">
      <c r="H1" s="16"/>
    </row>
    <row r="2" spans="2:15" ht="27.6" x14ac:dyDescent="0.4">
      <c r="B2" s="54" t="s">
        <v>11</v>
      </c>
      <c r="C2" s="54"/>
      <c r="D2" s="54"/>
      <c r="E2" s="54"/>
      <c r="F2" s="54"/>
      <c r="G2" s="54"/>
      <c r="H2" s="54"/>
    </row>
    <row r="3" spans="2:15" ht="20.100000000000001" customHeight="1" x14ac:dyDescent="0.4">
      <c r="B3" s="1"/>
      <c r="C3" s="56"/>
      <c r="D3" s="56"/>
      <c r="E3" s="20"/>
      <c r="F3" s="20"/>
      <c r="G3" s="20"/>
      <c r="H3" s="20"/>
    </row>
    <row r="4" spans="2:15" ht="20.100000000000001" customHeight="1" x14ac:dyDescent="0.4">
      <c r="B4" s="38" t="s">
        <v>4</v>
      </c>
      <c r="C4" s="18" t="s">
        <v>44</v>
      </c>
      <c r="D4" s="19"/>
      <c r="E4" s="37" t="s">
        <v>26</v>
      </c>
      <c r="F4" s="39" t="s">
        <v>20</v>
      </c>
    </row>
    <row r="5" spans="2:15" ht="20.100000000000001" customHeight="1" x14ac:dyDescent="0.35">
      <c r="B5" s="38" t="s">
        <v>28</v>
      </c>
      <c r="C5" s="56">
        <v>45455</v>
      </c>
      <c r="D5" s="56"/>
      <c r="E5" s="46" t="s">
        <v>27</v>
      </c>
      <c r="F5" s="39" t="s">
        <v>21</v>
      </c>
    </row>
    <row r="6" spans="2:15" ht="20.100000000000001" customHeight="1" x14ac:dyDescent="0.4">
      <c r="B6" s="38" t="s">
        <v>5</v>
      </c>
      <c r="C6" s="18" t="s">
        <v>40</v>
      </c>
      <c r="D6" s="18"/>
      <c r="E6" s="37" t="s">
        <v>23</v>
      </c>
      <c r="F6" s="39" t="s">
        <v>35</v>
      </c>
    </row>
    <row r="7" spans="2:15" ht="20.100000000000001" customHeight="1" x14ac:dyDescent="0.4">
      <c r="B7" s="38" t="s">
        <v>29</v>
      </c>
      <c r="C7" s="18" t="s">
        <v>43</v>
      </c>
      <c r="D7" s="18"/>
      <c r="E7" s="37" t="s">
        <v>24</v>
      </c>
      <c r="F7" s="39" t="s">
        <v>32</v>
      </c>
    </row>
    <row r="8" spans="2:15" ht="20.100000000000001" customHeight="1" x14ac:dyDescent="0.4">
      <c r="B8" s="1"/>
      <c r="C8" s="18"/>
      <c r="D8" s="18"/>
      <c r="E8" s="37" t="s">
        <v>25</v>
      </c>
      <c r="F8" s="40" t="s">
        <v>22</v>
      </c>
      <c r="G8" s="21"/>
      <c r="H8" s="20"/>
    </row>
    <row r="9" spans="2:15" ht="20.100000000000001" customHeight="1" thickBot="1" x14ac:dyDescent="0.45">
      <c r="B9" s="15" t="s">
        <v>12</v>
      </c>
      <c r="C9" s="55" t="str">
        <f>TEXT(F15,"一金[DBNum4][$-412]G/표준원整")&amp;"  (\"&amp;(FIXED(F15,0)&amp;", VAT포함)")</f>
        <v>一金이십구만칠천원整  (\297,000, VAT포함)</v>
      </c>
      <c r="D9" s="55"/>
      <c r="E9" s="55"/>
    </row>
    <row r="10" spans="2:15" ht="12" customHeight="1" thickTop="1" x14ac:dyDescent="0.4">
      <c r="H10" s="43"/>
    </row>
    <row r="11" spans="2:15" s="2" customFormat="1" ht="20.100000000000001" customHeight="1" x14ac:dyDescent="0.4">
      <c r="B11" s="32" t="s">
        <v>6</v>
      </c>
      <c r="C11" s="36" t="s">
        <v>30</v>
      </c>
      <c r="D11" s="33" t="s">
        <v>7</v>
      </c>
      <c r="E11" s="34" t="s">
        <v>37</v>
      </c>
      <c r="F11" s="34" t="s">
        <v>8</v>
      </c>
      <c r="G11" s="34" t="s">
        <v>9</v>
      </c>
      <c r="H11" s="33" t="s">
        <v>10</v>
      </c>
    </row>
    <row r="12" spans="2:15" ht="26.25" customHeight="1" x14ac:dyDescent="0.4">
      <c r="B12" s="49">
        <v>1</v>
      </c>
      <c r="C12" s="50" t="s">
        <v>39</v>
      </c>
      <c r="D12" s="48" t="s">
        <v>42</v>
      </c>
      <c r="E12" s="51">
        <v>1</v>
      </c>
      <c r="F12" s="52">
        <v>270000</v>
      </c>
      <c r="G12" s="53">
        <f>SUM(F12*E12)</f>
        <v>270000</v>
      </c>
      <c r="H12" s="47"/>
      <c r="K12" s="17"/>
      <c r="L12" s="17"/>
      <c r="M12" s="44"/>
      <c r="N12" s="45"/>
      <c r="O12" s="44"/>
    </row>
    <row r="13" spans="2:15" ht="20.100000000000001" customHeight="1" x14ac:dyDescent="0.4">
      <c r="B13" s="61" t="s">
        <v>1</v>
      </c>
      <c r="C13" s="61"/>
      <c r="D13" s="61"/>
      <c r="E13" s="61"/>
      <c r="F13" s="60">
        <f>SUM(G12:G12)</f>
        <v>270000</v>
      </c>
      <c r="G13" s="60"/>
      <c r="H13" s="35"/>
      <c r="J13" s="17"/>
    </row>
    <row r="14" spans="2:15" ht="20.100000000000001" customHeight="1" x14ac:dyDescent="0.4">
      <c r="B14" s="61" t="s">
        <v>2</v>
      </c>
      <c r="C14" s="61"/>
      <c r="D14" s="61"/>
      <c r="E14" s="61"/>
      <c r="F14" s="60">
        <f>F13*10%</f>
        <v>27000</v>
      </c>
      <c r="G14" s="60"/>
      <c r="H14" s="35"/>
    </row>
    <row r="15" spans="2:15" ht="20.100000000000001" customHeight="1" x14ac:dyDescent="0.4">
      <c r="B15" s="61" t="s">
        <v>3</v>
      </c>
      <c r="C15" s="61"/>
      <c r="D15" s="61"/>
      <c r="E15" s="61"/>
      <c r="F15" s="60">
        <f>SUM(F13:G14)</f>
        <v>297000</v>
      </c>
      <c r="G15" s="60"/>
      <c r="H15" s="35"/>
    </row>
    <row r="16" spans="2:15" ht="15.9" customHeight="1" x14ac:dyDescent="0.4">
      <c r="B16" s="5" t="s">
        <v>0</v>
      </c>
      <c r="C16" s="6"/>
      <c r="D16" s="6"/>
      <c r="E16" s="7"/>
      <c r="F16" s="7"/>
      <c r="G16" s="7"/>
      <c r="H16" s="8"/>
    </row>
    <row r="17" spans="2:9" ht="15.9" customHeight="1" x14ac:dyDescent="0.4">
      <c r="B17" s="9" t="s">
        <v>36</v>
      </c>
      <c r="H17" s="10"/>
    </row>
    <row r="18" spans="2:9" ht="15.9" customHeight="1" x14ac:dyDescent="0.4">
      <c r="B18" s="9" t="s">
        <v>41</v>
      </c>
      <c r="H18" s="10"/>
    </row>
    <row r="19" spans="2:9" ht="15.9" customHeight="1" x14ac:dyDescent="0.4">
      <c r="B19" s="9" t="s">
        <v>33</v>
      </c>
      <c r="H19" s="10"/>
    </row>
    <row r="20" spans="2:9" ht="15.9" customHeight="1" x14ac:dyDescent="0.4">
      <c r="B20" s="9" t="s">
        <v>34</v>
      </c>
      <c r="H20" s="10"/>
    </row>
    <row r="21" spans="2:9" ht="15.9" customHeight="1" x14ac:dyDescent="0.4">
      <c r="B21" s="9" t="s">
        <v>45</v>
      </c>
      <c r="H21" s="10"/>
    </row>
    <row r="22" spans="2:9" ht="15.9" customHeight="1" x14ac:dyDescent="0.4">
      <c r="B22" s="41" t="s">
        <v>38</v>
      </c>
      <c r="H22" s="10"/>
    </row>
    <row r="23" spans="2:9" ht="15.9" customHeight="1" x14ac:dyDescent="0.4">
      <c r="B23" s="41"/>
      <c r="H23" s="10"/>
    </row>
    <row r="24" spans="2:9" ht="20.100000000000001" customHeight="1" x14ac:dyDescent="0.4">
      <c r="B24" s="57" t="s">
        <v>13</v>
      </c>
      <c r="C24" s="58"/>
      <c r="D24" s="58"/>
      <c r="E24" s="58"/>
      <c r="F24" s="58"/>
      <c r="G24" s="58"/>
      <c r="H24" s="59"/>
      <c r="I24" s="28"/>
    </row>
    <row r="25" spans="2:9" ht="20.100000000000001" customHeight="1" x14ac:dyDescent="0.4">
      <c r="B25" s="22"/>
      <c r="C25" s="23"/>
      <c r="D25" s="23"/>
      <c r="F25" s="23"/>
      <c r="G25" s="23"/>
      <c r="H25" s="29"/>
      <c r="I25" s="28"/>
    </row>
    <row r="26" spans="2:9" ht="20.100000000000001" customHeight="1" x14ac:dyDescent="0.4">
      <c r="B26" s="26" t="s">
        <v>16</v>
      </c>
      <c r="C26" s="64"/>
      <c r="D26" s="64"/>
      <c r="E26" s="64"/>
      <c r="F26" s="64"/>
      <c r="G26" s="64"/>
      <c r="H26" s="30"/>
      <c r="I26" s="25"/>
    </row>
    <row r="27" spans="2:9" ht="20.100000000000001" customHeight="1" x14ac:dyDescent="0.4">
      <c r="B27" s="26" t="s">
        <v>18</v>
      </c>
      <c r="C27" s="64" t="s">
        <v>19</v>
      </c>
      <c r="D27" s="64"/>
      <c r="E27" s="64"/>
      <c r="F27" s="64"/>
      <c r="G27" s="64"/>
      <c r="H27" s="30"/>
      <c r="I27" s="25"/>
    </row>
    <row r="28" spans="2:9" ht="20.100000000000001" customHeight="1" x14ac:dyDescent="0.4">
      <c r="B28" s="65" t="s">
        <v>17</v>
      </c>
      <c r="C28" s="66"/>
      <c r="D28" s="64"/>
      <c r="E28" s="64"/>
      <c r="F28" s="64"/>
      <c r="G28" s="64"/>
      <c r="H28" s="30"/>
      <c r="I28" s="25"/>
    </row>
    <row r="29" spans="2:9" ht="20.100000000000001" customHeight="1" x14ac:dyDescent="0.4">
      <c r="B29" s="26" t="s">
        <v>14</v>
      </c>
      <c r="C29" s="62" t="s">
        <v>15</v>
      </c>
      <c r="D29" s="62"/>
      <c r="E29" s="62"/>
      <c r="F29" s="62"/>
      <c r="G29" s="62"/>
      <c r="H29" s="63"/>
      <c r="I29" s="24"/>
    </row>
    <row r="30" spans="2:9" ht="20.100000000000001" customHeight="1" x14ac:dyDescent="0.4">
      <c r="B30" s="26"/>
      <c r="C30" s="27"/>
      <c r="D30" s="27"/>
      <c r="E30" s="27"/>
      <c r="F30" s="27"/>
      <c r="G30" s="27"/>
      <c r="H30" s="31"/>
      <c r="I30" s="27"/>
    </row>
    <row r="31" spans="2:9" ht="20.100000000000001" customHeight="1" x14ac:dyDescent="0.4">
      <c r="B31" s="26"/>
      <c r="C31" s="27"/>
      <c r="D31" s="27"/>
      <c r="E31" s="27"/>
      <c r="F31" s="27"/>
      <c r="G31" s="27"/>
      <c r="H31" s="31"/>
      <c r="I31" s="27"/>
    </row>
    <row r="32" spans="2:9" ht="20.100000000000001" customHeight="1" x14ac:dyDescent="0.4">
      <c r="B32" s="26"/>
      <c r="C32" s="27"/>
      <c r="D32" s="27"/>
      <c r="E32" s="27"/>
      <c r="F32" s="27"/>
      <c r="G32" s="27"/>
      <c r="H32" s="31"/>
      <c r="I32" s="27"/>
    </row>
    <row r="33" spans="2:9" ht="20.100000000000001" customHeight="1" x14ac:dyDescent="0.4">
      <c r="B33" s="26"/>
      <c r="C33" s="27"/>
      <c r="D33" s="27"/>
      <c r="E33" s="27"/>
      <c r="F33" s="27"/>
      <c r="G33" s="27"/>
      <c r="H33" s="31"/>
      <c r="I33" s="27"/>
    </row>
    <row r="34" spans="2:9" ht="20.100000000000001" customHeight="1" x14ac:dyDescent="0.4">
      <c r="B34" s="26"/>
      <c r="C34" s="27"/>
      <c r="D34" s="27"/>
      <c r="E34" s="27"/>
      <c r="F34" s="27"/>
      <c r="G34" s="27"/>
      <c r="H34" s="31"/>
      <c r="I34" s="27"/>
    </row>
    <row r="35" spans="2:9" ht="20.100000000000001" customHeight="1" x14ac:dyDescent="0.4">
      <c r="B35" s="11"/>
      <c r="C35" s="12"/>
      <c r="D35" s="12"/>
      <c r="E35" s="13"/>
      <c r="F35" s="13"/>
      <c r="G35" s="13"/>
      <c r="H35" s="14"/>
    </row>
    <row r="38" spans="2:9" ht="17.399999999999999" x14ac:dyDescent="0.4">
      <c r="G38" s="3"/>
      <c r="H38" s="42" t="s">
        <v>31</v>
      </c>
    </row>
  </sheetData>
  <mergeCells count="16">
    <mergeCell ref="C29:H29"/>
    <mergeCell ref="C26:G26"/>
    <mergeCell ref="C27:G27"/>
    <mergeCell ref="B28:C28"/>
    <mergeCell ref="D28:G28"/>
    <mergeCell ref="B2:H2"/>
    <mergeCell ref="C9:E9"/>
    <mergeCell ref="C3:D3"/>
    <mergeCell ref="C5:D5"/>
    <mergeCell ref="B24:H24"/>
    <mergeCell ref="F15:G15"/>
    <mergeCell ref="B13:E13"/>
    <mergeCell ref="B14:E14"/>
    <mergeCell ref="B15:E15"/>
    <mergeCell ref="F13:G13"/>
    <mergeCell ref="F14:G14"/>
  </mergeCells>
  <phoneticPr fontId="1" type="noConversion"/>
  <printOptions horizontalCentered="1"/>
  <pageMargins left="0.11811023622047245" right="0.11811023622047245" top="0.59055118110236227" bottom="0.39370078740157483" header="0.39370078740157483" footer="0.19685039370078741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Quote</vt:lpstr>
      <vt:lpstr>Quote!Print_Area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DBCNI</dc:creator>
  <cp:lastModifiedBy>강명우</cp:lastModifiedBy>
  <cp:lastPrinted>2023-02-02T01:12:19Z</cp:lastPrinted>
  <dcterms:created xsi:type="dcterms:W3CDTF">2014-08-26T01:18:12Z</dcterms:created>
  <dcterms:modified xsi:type="dcterms:W3CDTF">2024-06-12T00:14:23Z</dcterms:modified>
</cp:coreProperties>
</file>