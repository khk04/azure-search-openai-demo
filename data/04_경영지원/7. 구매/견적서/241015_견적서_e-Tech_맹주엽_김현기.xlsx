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4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aodwn\OneDrive\Desktop\견적서\젝사젠\"/>
    </mc:Choice>
  </mc:AlternateContent>
  <xr:revisionPtr revIDLastSave="0" documentId="8_{8B1CC695-2E19-4EE8-B84D-A290E488D6F5}" xr6:coauthVersionLast="36" xr6:coauthVersionMax="36" xr10:uidLastSave="{00000000-0000-0000-0000-000000000000}"/>
  <bookViews>
    <workbookView xWindow="28800" yWindow="500" windowWidth="38400" windowHeight="21100" xr2:uid="{00000000-000D-0000-FFFF-FFFF00000000}"/>
  </bookViews>
  <sheets>
    <sheet name="골드파트너 견적" sheetId="7" r:id="rId1"/>
  </sheets>
  <externalReferences>
    <externalReference r:id="rId2"/>
  </externalReferences>
  <definedNames>
    <definedName name="Category">[1]data!$A$2:$A$15</definedName>
    <definedName name="_xlnm.Print_Area" localSheetId="0">'골드파트너 견적'!$A$1:$G$27</definedName>
  </definedNames>
  <calcPr calcId="191029"/>
</workbook>
</file>

<file path=xl/calcChain.xml><?xml version="1.0" encoding="utf-8"?>
<calcChain xmlns="http://schemas.openxmlformats.org/spreadsheetml/2006/main">
  <c r="G22" i="7" l="1"/>
  <c r="G21" i="7" l="1"/>
  <c r="G20" i="7"/>
  <c r="G23" i="7" l="1"/>
  <c r="B12" i="7" s="1"/>
  <c r="G24" i="7" l="1"/>
</calcChain>
</file>

<file path=xl/sharedStrings.xml><?xml version="1.0" encoding="utf-8"?>
<sst xmlns="http://schemas.openxmlformats.org/spreadsheetml/2006/main" count="44" uniqueCount="43">
  <si>
    <t>견적일자</t>
  </si>
  <si>
    <t>유효기간</t>
  </si>
  <si>
    <t xml:space="preserve">담 당 자 </t>
  </si>
  <si>
    <t>귀사 지정 장소</t>
  </si>
  <si>
    <t>품         명</t>
  </si>
  <si>
    <t>수량</t>
  </si>
  <si>
    <t>합계(V.A.T.별도)</t>
  </si>
  <si>
    <t>공급가액합계(V.A.T.포함)</t>
  </si>
  <si>
    <t>Mobile</t>
  </si>
  <si>
    <t>1.견 적 금 액:</t>
  </si>
  <si>
    <t>2.결 제 조 건:</t>
  </si>
  <si>
    <t>4.납 품 장 소:</t>
  </si>
  <si>
    <t>(V.A.T.별도, 단위 : 원)</t>
  </si>
  <si>
    <t>공급가 합계</t>
  </si>
  <si>
    <t xml:space="preserve">견    적    서 </t>
  </si>
  <si>
    <t>E-MAIL</t>
  </si>
  <si>
    <t>TEL</t>
  </si>
  <si>
    <t>공급가단가</t>
  </si>
  <si>
    <t>규             격</t>
  </si>
  <si>
    <t>구 분</t>
  </si>
  <si>
    <t xml:space="preserve">5.기       타: </t>
  </si>
  <si>
    <t>3.납품 예정일:</t>
    <phoneticPr fontId="1" type="noConversion"/>
  </si>
  <si>
    <t>(VAT 제외)</t>
    <phoneticPr fontId="1" type="noConversion"/>
  </si>
  <si>
    <t>대표이사  김  군  도</t>
    <phoneticPr fontId="1" type="noConversion"/>
  </si>
  <si>
    <t>서울시 중구 소월로 3길 에티버스타워 18층</t>
    <phoneticPr fontId="1" type="noConversion"/>
  </si>
  <si>
    <t>계산서 발행 일 기준 30일 이내 현금 (별도 협의 가능)</t>
    <phoneticPr fontId="1" type="noConversion"/>
  </si>
  <si>
    <t>*Remarkable</t>
    <phoneticPr fontId="1" type="noConversion"/>
  </si>
  <si>
    <t>8주</t>
    <phoneticPr fontId="1" type="noConversion"/>
  </si>
  <si>
    <t>발주 후 80일 이내</t>
    <phoneticPr fontId="1" type="noConversion"/>
  </si>
  <si>
    <t>고 객 사 : 젝사젠</t>
    <phoneticPr fontId="1" type="noConversion"/>
  </si>
  <si>
    <t>수     신 : 김현기 책임님</t>
    <phoneticPr fontId="1" type="noConversion"/>
  </si>
  <si>
    <t>MX85-HW</t>
  </si>
  <si>
    <t>Meraki MX85 Router/Security Appliance</t>
  </si>
  <si>
    <t>Meraki MX85 Enterprise License and Support, 1YR</t>
  </si>
  <si>
    <t>Meraki AC Power Cord for MX and MS (EU Plug)</t>
  </si>
  <si>
    <t>VPN장비
(MX85-HW)</t>
    <phoneticPr fontId="1" type="noConversion"/>
  </si>
  <si>
    <t>MA-PWR-CORD-EU</t>
    <phoneticPr fontId="1" type="noConversion"/>
  </si>
  <si>
    <t>LIC-MX85-ENT-1Y</t>
    <phoneticPr fontId="1" type="noConversion"/>
  </si>
  <si>
    <t>견적서No.: SOL20241015001A</t>
    <phoneticPr fontId="1" type="noConversion"/>
  </si>
  <si>
    <t>010-8720-6996</t>
    <phoneticPr fontId="1" type="noConversion"/>
  </si>
  <si>
    <t>jym96@etechsystem.co.kr</t>
    <phoneticPr fontId="1" type="noConversion"/>
  </si>
  <si>
    <t xml:space="preserve">*리드타임 14일 예상됩니다. </t>
    <phoneticPr fontId="1" type="noConversion"/>
  </si>
  <si>
    <t xml:space="preserve">맹주엽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</si>
</sst>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_(* #,##0.00_);_(* \(#,##0.00\);_(* &quot;-&quot;??_);_(@_)"/>
    <numFmt numFmtId="178" formatCode="_-* #,##0.0_-;\-* #,##0.0_-;_-* &quot;-&quot;?_-;_-@_-"/>
    <numFmt numFmtId="179" formatCode="_(&quot;$&quot;* #,##0.00_);_(&quot;$&quot;* \(#,##0.00\);_(&quot;$&quot;* &quot;-&quot;??_);_(@_)"/>
    <numFmt numFmtId="180" formatCode="_-&quot;$&quot;* #,##0.00_-;\-&quot;$&quot;* #,##0.00_-;_-&quot;$&quot;* &quot;-&quot;??_-;_-@_-"/>
    <numFmt numFmtId="181" formatCode="#,##0;\-#,##0;&quot;-&quot;"/>
    <numFmt numFmtId="182" formatCode="_ * #,##0_ ;_ * \-#,##0_ ;_ * &quot;-&quot;_ ;_ @_ "/>
    <numFmt numFmtId="183" formatCode="_ * #,##0.00_ ;_ * \-#,##0.00_ ;_ * &quot;-&quot;??_ ;_ @_ "/>
    <numFmt numFmtId="184" formatCode="_ &quot;₩&quot;* #,##0_ ;_ &quot;₩&quot;* \-#,##0_ ;_ &quot;₩&quot;* &quot;-&quot;_ ;_ @_ "/>
    <numFmt numFmtId="185" formatCode="_ &quot;₩&quot;* #,##0.00_ ;_ &quot;₩&quot;* \-#,##0.00_ ;_ &quot;₩&quot;* &quot;-&quot;??_ ;_ @_ "/>
  </numFmts>
  <fonts count="34">
    <font>
      <sz val="11"/>
      <color rgb="FF000000"/>
      <name val="돋움"/>
    </font>
    <font>
      <sz val="12"/>
      <color rgb="FF000000"/>
      <name val="바탕체"/>
      <family val="1"/>
      <charset val="129"/>
    </font>
    <font>
      <u/>
      <sz val="11"/>
      <color rgb="FF0000FF"/>
      <name val="돋움"/>
      <family val="3"/>
      <charset val="129"/>
    </font>
    <font>
      <sz val="9"/>
      <color rgb="FF000000"/>
      <name val="Arial"/>
      <family val="2"/>
    </font>
    <font>
      <sz val="10"/>
      <color rgb="FF000000"/>
      <name val="Helv"/>
    </font>
    <font>
      <sz val="10"/>
      <color rgb="FF000000"/>
      <name val="Arial"/>
      <family val="2"/>
    </font>
    <font>
      <b/>
      <sz val="10"/>
      <color rgb="FF000000"/>
      <name val="Helv"/>
    </font>
    <font>
      <b/>
      <sz val="12"/>
      <color rgb="FF000000"/>
      <name val="Arial"/>
      <family val="2"/>
    </font>
    <font>
      <sz val="10"/>
      <color rgb="FF000000"/>
      <name val="MS Sans Serif"/>
    </font>
    <font>
      <sz val="10"/>
      <color rgb="FF000000"/>
      <name val="Arial"/>
      <family val="2"/>
    </font>
    <font>
      <sz val="12"/>
      <color rgb="FF000000"/>
      <name val="宋体"/>
      <family val="3"/>
      <charset val="129"/>
    </font>
    <font>
      <sz val="12"/>
      <color rgb="FF000000"/>
      <name val="夥鰻羹"/>
      <family val="3"/>
      <charset val="129"/>
    </font>
    <font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3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28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i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u/>
      <sz val="11"/>
      <color theme="11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color rgb="FF000000"/>
      <name val="맑은 고딕"/>
      <family val="2"/>
      <charset val="129"/>
    </font>
    <font>
      <sz val="9"/>
      <name val="Helvetica"/>
      <family val="2"/>
    </font>
    <font>
      <b/>
      <u val="singleAccounting"/>
      <sz val="11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double">
        <color rgb="FF000000"/>
      </bottom>
      <diagonal/>
    </border>
    <border>
      <left/>
      <right/>
      <top style="medium">
        <color indexed="64"/>
      </top>
      <bottom style="double">
        <color rgb="FF000000"/>
      </bottom>
      <diagonal/>
    </border>
    <border>
      <left/>
      <right style="medium">
        <color indexed="64"/>
      </right>
      <top style="medium">
        <color indexed="64"/>
      </top>
      <bottom style="double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574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1" fontId="9" fillId="0" borderId="0" applyFill="0" applyBorder="0" applyAlignment="0"/>
    <xf numFmtId="176" fontId="5" fillId="0" borderId="0" applyFont="0" applyFill="0" applyBorder="0" applyAlignment="0" applyProtection="0"/>
    <xf numFmtId="41" fontId="25" fillId="0" borderId="0" applyFont="0" applyFill="0" applyBorder="0" applyAlignment="0" applyProtection="0"/>
    <xf numFmtId="177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2" fontId="6" fillId="0" borderId="0">
      <alignment horizont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8" fillId="0" borderId="0"/>
    <xf numFmtId="0" fontId="12" fillId="0" borderId="0"/>
    <xf numFmtId="0" fontId="5" fillId="0" borderId="0"/>
    <xf numFmtId="0" fontId="5" fillId="0" borderId="0"/>
    <xf numFmtId="0" fontId="12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11" fillId="0" borderId="0"/>
    <xf numFmtId="9" fontId="22" fillId="0" borderId="0" applyFont="0" applyFill="0" applyBorder="0" applyAlignment="0" applyProtection="0">
      <alignment vertical="center"/>
    </xf>
    <xf numFmtId="0" fontId="10" fillId="0" borderId="0"/>
    <xf numFmtId="184" fontId="11" fillId="0" borderId="0" applyFont="0" applyFill="0" applyBorder="0" applyAlignment="0" applyProtection="0"/>
    <xf numFmtId="185" fontId="11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/>
    <xf numFmtId="0" fontId="4" fillId="0" borderId="0"/>
    <xf numFmtId="182" fontId="11" fillId="0" borderId="0" applyFont="0" applyFill="0" applyBorder="0" applyAlignment="0" applyProtection="0"/>
    <xf numFmtId="183" fontId="11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42" fontId="25" fillId="0" borderId="0" applyFont="0" applyFill="0" applyBorder="0" applyAlignment="0" applyProtection="0"/>
    <xf numFmtId="0" fontId="22" fillId="0" borderId="0">
      <alignment vertical="center"/>
    </xf>
    <xf numFmtId="0" fontId="3" fillId="0" borderId="0">
      <alignment vertical="center"/>
    </xf>
    <xf numFmtId="0" fontId="25" fillId="0" borderId="0"/>
    <xf numFmtId="0" fontId="3" fillId="0" borderId="0">
      <alignment vertical="center"/>
    </xf>
    <xf numFmtId="0" fontId="25" fillId="0" borderId="0"/>
    <xf numFmtId="0" fontId="2" fillId="0" borderId="0" applyNumberFormat="0" applyFill="0" applyBorder="0" applyAlignment="0" applyProtection="0">
      <alignment vertical="top"/>
      <protection locked="0"/>
    </xf>
    <xf numFmtId="180" fontId="5" fillId="0" borderId="0" applyFont="0" applyFill="0" applyBorder="0" applyAlignment="0" applyProtection="0"/>
    <xf numFmtId="0" fontId="24" fillId="0" borderId="0" applyNumberFormat="0" applyFill="0" applyBorder="0" applyAlignment="0" applyProtection="0">
      <alignment vertical="center"/>
    </xf>
  </cellStyleXfs>
  <cellXfs count="84">
    <xf numFmtId="0" fontId="0" fillId="0" borderId="0" xfId="0"/>
    <xf numFmtId="41" fontId="15" fillId="2" borderId="0" xfId="0" applyNumberFormat="1" applyFont="1" applyFill="1"/>
    <xf numFmtId="41" fontId="16" fillId="2" borderId="0" xfId="0" applyNumberFormat="1" applyFont="1" applyFill="1" applyBorder="1" applyAlignment="1">
      <alignment horizontal="center"/>
    </xf>
    <xf numFmtId="0" fontId="17" fillId="2" borderId="0" xfId="0" applyFont="1" applyFill="1" applyBorder="1" applyAlignment="1">
      <alignment vertical="center"/>
    </xf>
    <xf numFmtId="0" fontId="15" fillId="2" borderId="0" xfId="0" applyFont="1" applyFill="1" applyBorder="1" applyAlignment="1">
      <alignment vertical="center"/>
    </xf>
    <xf numFmtId="0" fontId="17" fillId="2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178" fontId="15" fillId="2" borderId="0" xfId="0" applyNumberFormat="1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horizontal="right" vertical="center"/>
    </xf>
    <xf numFmtId="0" fontId="17" fillId="2" borderId="0" xfId="0" applyFont="1" applyFill="1" applyBorder="1" applyAlignment="1">
      <alignment horizontal="left" vertical="center"/>
    </xf>
    <xf numFmtId="41" fontId="15" fillId="2" borderId="0" xfId="0" applyNumberFormat="1" applyFont="1" applyFill="1" applyBorder="1" applyAlignment="1">
      <alignment vertical="center"/>
    </xf>
    <xf numFmtId="43" fontId="15" fillId="2" borderId="0" xfId="0" applyNumberFormat="1" applyFont="1" applyFill="1" applyBorder="1" applyAlignment="1">
      <alignment vertical="center"/>
    </xf>
    <xf numFmtId="41" fontId="15" fillId="2" borderId="0" xfId="0" applyNumberFormat="1" applyFont="1" applyFill="1" applyBorder="1"/>
    <xf numFmtId="42" fontId="15" fillId="2" borderId="0" xfId="1564" applyFont="1" applyFill="1" applyBorder="1"/>
    <xf numFmtId="41" fontId="19" fillId="2" borderId="0" xfId="0" applyNumberFormat="1" applyFont="1" applyFill="1" applyAlignment="1">
      <alignment vertical="center"/>
    </xf>
    <xf numFmtId="0" fontId="15" fillId="2" borderId="0" xfId="0" applyFont="1" applyFill="1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41" fontId="15" fillId="2" borderId="0" xfId="0" applyNumberFormat="1" applyFont="1" applyFill="1" applyBorder="1" applyAlignment="1">
      <alignment horizontal="center"/>
    </xf>
    <xf numFmtId="41" fontId="15" fillId="2" borderId="0" xfId="0" applyNumberFormat="1" applyFont="1" applyFill="1" applyAlignment="1">
      <alignment horizontal="center"/>
    </xf>
    <xf numFmtId="0" fontId="17" fillId="2" borderId="0" xfId="0" applyFont="1" applyFill="1" applyBorder="1" applyAlignment="1">
      <alignment horizontal="center" vertical="center"/>
    </xf>
    <xf numFmtId="0" fontId="23" fillId="2" borderId="0" xfId="0" applyFont="1" applyFill="1" applyBorder="1" applyAlignment="1">
      <alignment horizontal="left" vertical="center"/>
    </xf>
    <xf numFmtId="0" fontId="15" fillId="2" borderId="0" xfId="0" applyFont="1" applyFill="1" applyBorder="1" applyAlignment="1">
      <alignment horizontal="left" vertical="center"/>
    </xf>
    <xf numFmtId="41" fontId="16" fillId="2" borderId="7" xfId="0" applyNumberFormat="1" applyFont="1" applyFill="1" applyBorder="1" applyAlignment="1">
      <alignment horizontal="center"/>
    </xf>
    <xf numFmtId="41" fontId="16" fillId="2" borderId="8" xfId="0" applyNumberFormat="1" applyFont="1" applyFill="1" applyBorder="1" applyAlignment="1">
      <alignment horizontal="center"/>
    </xf>
    <xf numFmtId="0" fontId="17" fillId="2" borderId="7" xfId="0" applyFont="1" applyFill="1" applyBorder="1" applyAlignment="1">
      <alignment horizontal="left" vertical="center"/>
    </xf>
    <xf numFmtId="0" fontId="15" fillId="2" borderId="7" xfId="0" applyFont="1" applyFill="1" applyBorder="1" applyAlignment="1">
      <alignment vertical="center"/>
    </xf>
    <xf numFmtId="14" fontId="15" fillId="2" borderId="8" xfId="0" applyNumberFormat="1" applyFont="1" applyFill="1" applyBorder="1" applyAlignment="1">
      <alignment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left" vertical="center"/>
    </xf>
    <xf numFmtId="0" fontId="15" fillId="2" borderId="8" xfId="0" applyFont="1" applyFill="1" applyBorder="1" applyAlignment="1">
      <alignment vertical="center"/>
    </xf>
    <xf numFmtId="41" fontId="15" fillId="2" borderId="7" xfId="0" applyNumberFormat="1" applyFont="1" applyFill="1" applyBorder="1"/>
    <xf numFmtId="41" fontId="15" fillId="2" borderId="8" xfId="0" applyNumberFormat="1" applyFont="1" applyFill="1" applyBorder="1"/>
    <xf numFmtId="41" fontId="19" fillId="6" borderId="12" xfId="1551" applyFont="1" applyFill="1" applyBorder="1" applyAlignment="1">
      <alignment horizontal="center" vertical="center" wrapText="1"/>
    </xf>
    <xf numFmtId="41" fontId="19" fillId="6" borderId="16" xfId="1551" applyFont="1" applyFill="1" applyBorder="1" applyAlignment="1">
      <alignment horizontal="center" vertical="center" wrapText="1"/>
    </xf>
    <xf numFmtId="41" fontId="27" fillId="3" borderId="11" xfId="1564" quotePrefix="1" applyNumberFormat="1" applyFont="1" applyFill="1" applyBorder="1" applyAlignment="1">
      <alignment horizontal="right" vertical="center"/>
    </xf>
    <xf numFmtId="41" fontId="21" fillId="3" borderId="20" xfId="0" applyNumberFormat="1" applyFont="1" applyFill="1" applyBorder="1" applyAlignment="1">
      <alignment vertical="center"/>
    </xf>
    <xf numFmtId="41" fontId="21" fillId="3" borderId="22" xfId="0" applyNumberFormat="1" applyFont="1" applyFill="1" applyBorder="1" applyAlignment="1">
      <alignment horizontal="center" vertical="center"/>
    </xf>
    <xf numFmtId="41" fontId="21" fillId="3" borderId="22" xfId="1564" quotePrefix="1" applyNumberFormat="1" applyFont="1" applyFill="1" applyBorder="1" applyAlignment="1">
      <alignment horizontal="right" vertical="center"/>
    </xf>
    <xf numFmtId="41" fontId="21" fillId="3" borderId="21" xfId="1564" quotePrefix="1" applyNumberFormat="1" applyFont="1" applyFill="1" applyBorder="1" applyAlignment="1">
      <alignment horizontal="right" vertical="center"/>
    </xf>
    <xf numFmtId="41" fontId="19" fillId="6" borderId="23" xfId="1551" applyFont="1" applyFill="1" applyBorder="1" applyAlignment="1">
      <alignment horizontal="center" vertical="center" wrapText="1"/>
    </xf>
    <xf numFmtId="41" fontId="17" fillId="3" borderId="14" xfId="0" applyNumberFormat="1" applyFont="1" applyFill="1" applyBorder="1" applyAlignment="1">
      <alignment horizontal="center" vertical="center"/>
    </xf>
    <xf numFmtId="41" fontId="15" fillId="2" borderId="26" xfId="0" applyNumberFormat="1" applyFont="1" applyFill="1" applyBorder="1"/>
    <xf numFmtId="41" fontId="15" fillId="2" borderId="25" xfId="0" applyNumberFormat="1" applyFont="1" applyFill="1" applyBorder="1" applyAlignment="1">
      <alignment horizontal="center"/>
    </xf>
    <xf numFmtId="41" fontId="15" fillId="2" borderId="25" xfId="0" applyNumberFormat="1" applyFont="1" applyFill="1" applyBorder="1"/>
    <xf numFmtId="41" fontId="15" fillId="2" borderId="24" xfId="0" applyNumberFormat="1" applyFont="1" applyFill="1" applyBorder="1" applyAlignment="1">
      <alignment horizontal="right" vertical="center"/>
    </xf>
    <xf numFmtId="41" fontId="17" fillId="3" borderId="8" xfId="0" applyNumberFormat="1" applyFont="1" applyFill="1" applyBorder="1" applyAlignment="1">
      <alignment horizontal="center" vertical="center"/>
    </xf>
    <xf numFmtId="41" fontId="17" fillId="3" borderId="28" xfId="0" applyNumberFormat="1" applyFont="1" applyFill="1" applyBorder="1" applyAlignment="1">
      <alignment horizontal="center" vertical="center"/>
    </xf>
    <xf numFmtId="0" fontId="30" fillId="0" borderId="13" xfId="0" applyFont="1" applyBorder="1" applyAlignment="1">
      <alignment horizontal="left" vertical="center" wrapText="1"/>
    </xf>
    <xf numFmtId="0" fontId="30" fillId="0" borderId="14" xfId="0" applyFont="1" applyBorder="1" applyAlignment="1">
      <alignment horizontal="left" vertical="center" wrapText="1"/>
    </xf>
    <xf numFmtId="0" fontId="30" fillId="0" borderId="13" xfId="0" applyFont="1" applyBorder="1" applyAlignment="1">
      <alignment horizontal="left" vertical="center"/>
    </xf>
    <xf numFmtId="0" fontId="30" fillId="0" borderId="14" xfId="0" applyFont="1" applyBorder="1" applyAlignment="1">
      <alignment horizontal="left" vertical="center"/>
    </xf>
    <xf numFmtId="42" fontId="31" fillId="2" borderId="0" xfId="1563" applyNumberFormat="1" applyFont="1" applyFill="1" applyBorder="1" applyAlignment="1">
      <alignment horizontal="left" vertical="center" wrapText="1"/>
    </xf>
    <xf numFmtId="41" fontId="32" fillId="2" borderId="7" xfId="0" applyNumberFormat="1" applyFont="1" applyFill="1" applyBorder="1"/>
    <xf numFmtId="41" fontId="33" fillId="2" borderId="7" xfId="0" applyNumberFormat="1" applyFont="1" applyFill="1" applyBorder="1"/>
    <xf numFmtId="41" fontId="20" fillId="4" borderId="32" xfId="0" applyNumberFormat="1" applyFont="1" applyFill="1" applyBorder="1" applyAlignment="1">
      <alignment vertical="center"/>
    </xf>
    <xf numFmtId="41" fontId="20" fillId="4" borderId="10" xfId="0" applyNumberFormat="1" applyFont="1" applyFill="1" applyBorder="1" applyAlignment="1">
      <alignment horizontal="center" vertical="center"/>
    </xf>
    <xf numFmtId="41" fontId="17" fillId="4" borderId="10" xfId="0" applyNumberFormat="1" applyFont="1" applyFill="1" applyBorder="1" applyAlignment="1">
      <alignment horizontal="center" vertical="center"/>
    </xf>
    <xf numFmtId="41" fontId="21" fillId="4" borderId="10" xfId="0" applyNumberFormat="1" applyFont="1" applyFill="1" applyBorder="1" applyAlignment="1">
      <alignment horizontal="center" vertical="center"/>
    </xf>
    <xf numFmtId="41" fontId="21" fillId="4" borderId="10" xfId="1564" quotePrefix="1" applyNumberFormat="1" applyFont="1" applyFill="1" applyBorder="1" applyAlignment="1">
      <alignment horizontal="right" vertical="center"/>
    </xf>
    <xf numFmtId="41" fontId="21" fillId="4" borderId="11" xfId="1564" quotePrefix="1" applyNumberFormat="1" applyFont="1" applyFill="1" applyBorder="1" applyAlignment="1">
      <alignment horizontal="right" vertical="center"/>
    </xf>
    <xf numFmtId="41" fontId="27" fillId="4" borderId="15" xfId="1564" quotePrefix="1" applyNumberFormat="1" applyFont="1" applyFill="1" applyBorder="1" applyAlignment="1">
      <alignment horizontal="right" vertical="center"/>
    </xf>
    <xf numFmtId="0" fontId="30" fillId="0" borderId="15" xfId="0" applyFont="1" applyBorder="1" applyAlignment="1">
      <alignment horizontal="left" vertical="center" wrapText="1"/>
    </xf>
    <xf numFmtId="0" fontId="30" fillId="0" borderId="15" xfId="0" applyFont="1" applyBorder="1" applyAlignment="1">
      <alignment horizontal="left" vertical="center"/>
    </xf>
    <xf numFmtId="41" fontId="28" fillId="0" borderId="33" xfId="1551" applyFont="1" applyFill="1" applyBorder="1" applyAlignment="1">
      <alignment horizontal="right" vertical="center" wrapText="1"/>
    </xf>
    <xf numFmtId="41" fontId="28" fillId="0" borderId="8" xfId="1551" applyFont="1" applyFill="1" applyBorder="1" applyAlignment="1">
      <alignment horizontal="right" vertical="center" wrapText="1"/>
    </xf>
    <xf numFmtId="41" fontId="28" fillId="0" borderId="11" xfId="1551" applyFont="1" applyFill="1" applyBorder="1" applyAlignment="1">
      <alignment horizontal="right" vertical="center" wrapText="1"/>
    </xf>
    <xf numFmtId="41" fontId="14" fillId="5" borderId="4" xfId="0" applyNumberFormat="1" applyFont="1" applyFill="1" applyBorder="1" applyAlignment="1">
      <alignment horizontal="center"/>
    </xf>
    <xf numFmtId="41" fontId="14" fillId="5" borderId="5" xfId="0" applyNumberFormat="1" applyFont="1" applyFill="1" applyBorder="1" applyAlignment="1">
      <alignment horizontal="center"/>
    </xf>
    <xf numFmtId="41" fontId="14" fillId="5" borderId="6" xfId="0" applyNumberFormat="1" applyFont="1" applyFill="1" applyBorder="1" applyAlignment="1">
      <alignment horizontal="center"/>
    </xf>
    <xf numFmtId="56" fontId="17" fillId="2" borderId="3" xfId="0" applyNumberFormat="1" applyFont="1" applyFill="1" applyBorder="1" applyAlignment="1">
      <alignment horizontal="center" vertical="center"/>
    </xf>
    <xf numFmtId="56" fontId="17" fillId="2" borderId="9" xfId="0" applyNumberFormat="1" applyFont="1" applyFill="1" applyBorder="1" applyAlignment="1">
      <alignment horizontal="center" vertical="center"/>
    </xf>
    <xf numFmtId="0" fontId="29" fillId="0" borderId="13" xfId="1529" applyFont="1" applyFill="1" applyBorder="1" applyAlignment="1">
      <alignment horizontal="center" vertical="center" wrapText="1"/>
    </xf>
    <xf numFmtId="0" fontId="29" fillId="0" borderId="15" xfId="1529" applyFont="1" applyFill="1" applyBorder="1" applyAlignment="1">
      <alignment horizontal="center" vertical="center" wrapText="1"/>
    </xf>
    <xf numFmtId="41" fontId="19" fillId="6" borderId="17" xfId="1551" applyFont="1" applyFill="1" applyBorder="1" applyAlignment="1">
      <alignment horizontal="center" vertical="center" wrapText="1"/>
    </xf>
    <xf numFmtId="41" fontId="19" fillId="6" borderId="31" xfId="1551" applyFont="1" applyFill="1" applyBorder="1" applyAlignment="1">
      <alignment horizontal="center" vertical="center" wrapText="1"/>
    </xf>
    <xf numFmtId="41" fontId="19" fillId="6" borderId="29" xfId="1551" applyFont="1" applyFill="1" applyBorder="1" applyAlignment="1">
      <alignment horizontal="center" vertical="center" wrapText="1"/>
    </xf>
    <xf numFmtId="41" fontId="19" fillId="6" borderId="30" xfId="1551" applyFont="1" applyFill="1" applyBorder="1" applyAlignment="1">
      <alignment horizontal="center" vertical="center" wrapText="1"/>
    </xf>
    <xf numFmtId="56" fontId="2" fillId="2" borderId="3" xfId="1571" applyNumberFormat="1" applyFill="1" applyBorder="1" applyAlignment="1" applyProtection="1">
      <alignment horizontal="center" vertical="center"/>
    </xf>
    <xf numFmtId="56" fontId="26" fillId="2" borderId="9" xfId="0" applyNumberFormat="1" applyFont="1" applyFill="1" applyBorder="1" applyAlignment="1">
      <alignment horizontal="center" vertical="center"/>
    </xf>
    <xf numFmtId="41" fontId="17" fillId="3" borderId="0" xfId="0" applyNumberFormat="1" applyFont="1" applyFill="1" applyBorder="1" applyAlignment="1">
      <alignment horizontal="center" vertical="center"/>
    </xf>
    <xf numFmtId="41" fontId="17" fillId="3" borderId="27" xfId="0" applyNumberFormat="1" applyFont="1" applyFill="1" applyBorder="1" applyAlignment="1">
      <alignment horizontal="center" vertical="center"/>
    </xf>
    <xf numFmtId="41" fontId="19" fillId="6" borderId="19" xfId="1551" applyFont="1" applyFill="1" applyBorder="1" applyAlignment="1">
      <alignment horizontal="center" vertical="center" wrapText="1"/>
    </xf>
    <xf numFmtId="41" fontId="19" fillId="6" borderId="18" xfId="1551" applyFont="1" applyFill="1" applyBorder="1" applyAlignment="1">
      <alignment horizontal="center" vertical="center" wrapText="1"/>
    </xf>
    <xf numFmtId="0" fontId="29" fillId="0" borderId="14" xfId="1529" applyFont="1" applyFill="1" applyBorder="1" applyAlignment="1">
      <alignment horizontal="center" vertical="center" wrapText="1"/>
    </xf>
  </cellXfs>
  <cellStyles count="1574">
    <cellStyle name="_Academic Availability" xfId="1" xr:uid="{00000000-0005-0000-0000-000000000000}"/>
    <cellStyle name="_APAC Elite Ghost Solution Suite Pricing Template" xfId="2" xr:uid="{00000000-0005-0000-0000-000001000000}"/>
    <cellStyle name="_Appliances" xfId="3" xr:uid="{00000000-0005-0000-0000-000002000000}"/>
    <cellStyle name="_Appliances (Malaysia Only)" xfId="4" xr:uid="{00000000-0005-0000-0000-000003000000}"/>
    <cellStyle name="_ASEAN" xfId="5" xr:uid="{00000000-0005-0000-0000-000004000000}"/>
    <cellStyle name="_ASEAN Price List" xfId="6" xr:uid="{00000000-0005-0000-0000-000005000000}"/>
    <cellStyle name="_ASEAN Price List 10" xfId="7" xr:uid="{00000000-0005-0000-0000-000006000000}"/>
    <cellStyle name="_ASEAN Price List 11" xfId="8" xr:uid="{00000000-0005-0000-0000-000007000000}"/>
    <cellStyle name="_ASEAN Price List 12" xfId="9" xr:uid="{00000000-0005-0000-0000-000008000000}"/>
    <cellStyle name="_ASEAN Price List 13" xfId="10" xr:uid="{00000000-0005-0000-0000-000009000000}"/>
    <cellStyle name="_ASEAN Price List 14" xfId="11" xr:uid="{00000000-0005-0000-0000-00000A000000}"/>
    <cellStyle name="_ASEAN Price List 2" xfId="12" xr:uid="{00000000-0005-0000-0000-00000B000000}"/>
    <cellStyle name="_ASEAN Price List 3" xfId="13" xr:uid="{00000000-0005-0000-0000-00000C000000}"/>
    <cellStyle name="_ASEAN Price List 4" xfId="14" xr:uid="{00000000-0005-0000-0000-00000D000000}"/>
    <cellStyle name="_ASEAN Price List 5" xfId="15" xr:uid="{00000000-0005-0000-0000-00000E000000}"/>
    <cellStyle name="_ASEAN Price List 6" xfId="16" xr:uid="{00000000-0005-0000-0000-00000F000000}"/>
    <cellStyle name="_ASEAN Price List 7" xfId="17" xr:uid="{00000000-0005-0000-0000-000010000000}"/>
    <cellStyle name="_ASEAN Price List 8" xfId="18" xr:uid="{00000000-0005-0000-0000-000011000000}"/>
    <cellStyle name="_ASEAN Price List 9" xfId="19" xr:uid="{00000000-0005-0000-0000-000012000000}"/>
    <cellStyle name="_ASEAN Price List_1" xfId="20" xr:uid="{00000000-0005-0000-0000-000013000000}"/>
    <cellStyle name="_ASEAN_Express_Academic_Government" xfId="21" xr:uid="{00000000-0005-0000-0000-000014000000}"/>
    <cellStyle name="_ASEAN_Jan_07" xfId="22" xr:uid="{00000000-0005-0000-0000-000015000000}"/>
    <cellStyle name="_ASEAN_Jul_05" xfId="23" xr:uid="{00000000-0005-0000-0000-000016000000}"/>
    <cellStyle name="_ASEAN_May_07" xfId="24" xr:uid="{00000000-0005-0000-0000-000017000000}"/>
    <cellStyle name="_ASEAN_Nov_06" xfId="25" xr:uid="{00000000-0005-0000-0000-000018000000}"/>
    <cellStyle name="_ASEAN_Powerquest_Feb_04" xfId="26" xr:uid="{00000000-0005-0000-0000-000019000000}"/>
    <cellStyle name="_ASEAN_Sep_04" xfId="27" xr:uid="{00000000-0005-0000-0000-00001A000000}"/>
    <cellStyle name="_ASEAN_Sygate_Aug_06" xfId="28" xr:uid="{00000000-0005-0000-0000-00001B000000}"/>
    <cellStyle name="_Attributes_EAG" xfId="29" xr:uid="{00000000-0005-0000-0000-00001C000000}"/>
    <cellStyle name="_Attributes_EAG_SF" xfId="30" xr:uid="{00000000-0005-0000-0000-00001D000000}"/>
    <cellStyle name="_Australia" xfId="31" xr:uid="{00000000-0005-0000-0000-00001E000000}"/>
    <cellStyle name="_Australia_Dec_03" xfId="32" xr:uid="{00000000-0005-0000-0000-00001F000000}"/>
    <cellStyle name="_Australia_Express_Academic_Government" xfId="33" xr:uid="{00000000-0005-0000-0000-000020000000}"/>
    <cellStyle name="_Australia_Nov_06" xfId="34" xr:uid="{00000000-0005-0000-0000-000021000000}"/>
    <cellStyle name="_Australia_Sygate_Aug_06" xfId="35" xr:uid="{00000000-0005-0000-0000-000022000000}"/>
    <cellStyle name="_Availability SMB &amp; Media Packs" xfId="36" xr:uid="{00000000-0005-0000-0000-000023000000}"/>
    <cellStyle name="_Availability SMB &amp; Media Packs_Appliances" xfId="37" xr:uid="{00000000-0005-0000-0000-000024000000}"/>
    <cellStyle name="_Availability SMB &amp; Media Packs_Hong Kong_Security Margin Alignment" xfId="38" xr:uid="{00000000-0005-0000-0000-000025000000}"/>
    <cellStyle name="_Availability SMB &amp; Media Packs_Taiwan_Sep_08" xfId="39" xr:uid="{00000000-0005-0000-0000-000026000000}"/>
    <cellStyle name="_Book1" xfId="40" xr:uid="{00000000-0005-0000-0000-000027000000}"/>
    <cellStyle name="_Book1_1" xfId="41" xr:uid="{00000000-0005-0000-0000-000028000000}"/>
    <cellStyle name="_Book2" xfId="42" xr:uid="{00000000-0005-0000-0000-000029000000}"/>
    <cellStyle name="_Book2_Notification_Event Collector for Checkpoint 2.5_Australia (Draft)" xfId="43" xr:uid="{00000000-0005-0000-0000-00002A000000}"/>
    <cellStyle name="_Book2_Notification_Event Collector for Checkpoint 2.5_Australia (Draft) 10" xfId="44" xr:uid="{00000000-0005-0000-0000-00002B000000}"/>
    <cellStyle name="_Book2_Notification_Event Collector for Checkpoint 2.5_Australia (Draft) 11" xfId="45" xr:uid="{00000000-0005-0000-0000-00002C000000}"/>
    <cellStyle name="_Book2_Notification_Event Collector for Checkpoint 2.5_Australia (Draft) 12" xfId="46" xr:uid="{00000000-0005-0000-0000-00002D000000}"/>
    <cellStyle name="_Book2_Notification_Event Collector for Checkpoint 2.5_Australia (Draft) 13" xfId="47" xr:uid="{00000000-0005-0000-0000-00002E000000}"/>
    <cellStyle name="_Book2_Notification_Event Collector for Checkpoint 2.5_Australia (Draft) 14" xfId="48" xr:uid="{00000000-0005-0000-0000-00002F000000}"/>
    <cellStyle name="_Book2_Notification_Event Collector for Checkpoint 2.5_Australia (Draft) 2" xfId="49" xr:uid="{00000000-0005-0000-0000-000030000000}"/>
    <cellStyle name="_Book2_Notification_Event Collector for Checkpoint 2.5_Australia (Draft) 3" xfId="50" xr:uid="{00000000-0005-0000-0000-000031000000}"/>
    <cellStyle name="_Book2_Notification_Event Collector for Checkpoint 2.5_Australia (Draft) 4" xfId="51" xr:uid="{00000000-0005-0000-0000-000032000000}"/>
    <cellStyle name="_Book2_Notification_Event Collector for Checkpoint 2.5_Australia (Draft) 5" xfId="52" xr:uid="{00000000-0005-0000-0000-000033000000}"/>
    <cellStyle name="_Book2_Notification_Event Collector for Checkpoint 2.5_Australia (Draft) 6" xfId="53" xr:uid="{00000000-0005-0000-0000-000034000000}"/>
    <cellStyle name="_Book2_Notification_Event Collector for Checkpoint 2.5_Australia (Draft) 7" xfId="54" xr:uid="{00000000-0005-0000-0000-000035000000}"/>
    <cellStyle name="_Book2_Notification_Event Collector for Checkpoint 2.5_Australia (Draft) 8" xfId="55" xr:uid="{00000000-0005-0000-0000-000036000000}"/>
    <cellStyle name="_Book2_Notification_Event Collector for Checkpoint 2.5_Australia (Draft) 9" xfId="56" xr:uid="{00000000-0005-0000-0000-000037000000}"/>
    <cellStyle name="_Book2_Notification_Event Collector for Checkpoint 2.5_China USD (Draft)" xfId="57" xr:uid="{00000000-0005-0000-0000-000038000000}"/>
    <cellStyle name="_Book2_Notification_Event Collector for Checkpoint 2.5_China USD (Draft) 10" xfId="58" xr:uid="{00000000-0005-0000-0000-000039000000}"/>
    <cellStyle name="_Book2_Notification_Event Collector for Checkpoint 2.5_China USD (Draft) 11" xfId="59" xr:uid="{00000000-0005-0000-0000-00003A000000}"/>
    <cellStyle name="_Book2_Notification_Event Collector for Checkpoint 2.5_China USD (Draft) 12" xfId="60" xr:uid="{00000000-0005-0000-0000-00003B000000}"/>
    <cellStyle name="_Book2_Notification_Event Collector for Checkpoint 2.5_China USD (Draft) 13" xfId="61" xr:uid="{00000000-0005-0000-0000-00003C000000}"/>
    <cellStyle name="_Book2_Notification_Event Collector for Checkpoint 2.5_China USD (Draft) 14" xfId="62" xr:uid="{00000000-0005-0000-0000-00003D000000}"/>
    <cellStyle name="_Book2_Notification_Event Collector for Checkpoint 2.5_China USD (Draft) 2" xfId="63" xr:uid="{00000000-0005-0000-0000-00003E000000}"/>
    <cellStyle name="_Book2_Notification_Event Collector for Checkpoint 2.5_China USD (Draft) 3" xfId="64" xr:uid="{00000000-0005-0000-0000-00003F000000}"/>
    <cellStyle name="_Book2_Notification_Event Collector for Checkpoint 2.5_China USD (Draft) 4" xfId="65" xr:uid="{00000000-0005-0000-0000-000040000000}"/>
    <cellStyle name="_Book2_Notification_Event Collector for Checkpoint 2.5_China USD (Draft) 5" xfId="66" xr:uid="{00000000-0005-0000-0000-000041000000}"/>
    <cellStyle name="_Book2_Notification_Event Collector for Checkpoint 2.5_China USD (Draft) 6" xfId="67" xr:uid="{00000000-0005-0000-0000-000042000000}"/>
    <cellStyle name="_Book2_Notification_Event Collector for Checkpoint 2.5_China USD (Draft) 7" xfId="68" xr:uid="{00000000-0005-0000-0000-000043000000}"/>
    <cellStyle name="_Book2_Notification_Event Collector for Checkpoint 2.5_China USD (Draft) 8" xfId="69" xr:uid="{00000000-0005-0000-0000-000044000000}"/>
    <cellStyle name="_Book2_Notification_Event Collector for Checkpoint 2.5_China USD (Draft) 9" xfId="70" xr:uid="{00000000-0005-0000-0000-000045000000}"/>
    <cellStyle name="_Book2_Notification_Event Collector for Checkpoint 2.5_Hong Kong (Draft)" xfId="71" xr:uid="{00000000-0005-0000-0000-000046000000}"/>
    <cellStyle name="_Book2_Notification_Event Collector for Checkpoint 2.5_Hong Kong (Draft) 10" xfId="72" xr:uid="{00000000-0005-0000-0000-000047000000}"/>
    <cellStyle name="_Book2_Notification_Event Collector for Checkpoint 2.5_Hong Kong (Draft) 11" xfId="73" xr:uid="{00000000-0005-0000-0000-000048000000}"/>
    <cellStyle name="_Book2_Notification_Event Collector for Checkpoint 2.5_Hong Kong (Draft) 12" xfId="74" xr:uid="{00000000-0005-0000-0000-000049000000}"/>
    <cellStyle name="_Book2_Notification_Event Collector for Checkpoint 2.5_Hong Kong (Draft) 13" xfId="75" xr:uid="{00000000-0005-0000-0000-00004A000000}"/>
    <cellStyle name="_Book2_Notification_Event Collector for Checkpoint 2.5_Hong Kong (Draft) 14" xfId="76" xr:uid="{00000000-0005-0000-0000-00004B000000}"/>
    <cellStyle name="_Book2_Notification_Event Collector for Checkpoint 2.5_Hong Kong (Draft) 2" xfId="77" xr:uid="{00000000-0005-0000-0000-00004C000000}"/>
    <cellStyle name="_Book2_Notification_Event Collector for Checkpoint 2.5_Hong Kong (Draft) 3" xfId="78" xr:uid="{00000000-0005-0000-0000-00004D000000}"/>
    <cellStyle name="_Book2_Notification_Event Collector for Checkpoint 2.5_Hong Kong (Draft) 4" xfId="79" xr:uid="{00000000-0005-0000-0000-00004E000000}"/>
    <cellStyle name="_Book2_Notification_Event Collector for Checkpoint 2.5_Hong Kong (Draft) 5" xfId="80" xr:uid="{00000000-0005-0000-0000-00004F000000}"/>
    <cellStyle name="_Book2_Notification_Event Collector for Checkpoint 2.5_Hong Kong (Draft) 6" xfId="81" xr:uid="{00000000-0005-0000-0000-000050000000}"/>
    <cellStyle name="_Book2_Notification_Event Collector for Checkpoint 2.5_Hong Kong (Draft) 7" xfId="82" xr:uid="{00000000-0005-0000-0000-000051000000}"/>
    <cellStyle name="_Book2_Notification_Event Collector for Checkpoint 2.5_Hong Kong (Draft) 8" xfId="83" xr:uid="{00000000-0005-0000-0000-000052000000}"/>
    <cellStyle name="_Book2_Notification_Event Collector for Checkpoint 2.5_Hong Kong (Draft) 9" xfId="84" xr:uid="{00000000-0005-0000-0000-000053000000}"/>
    <cellStyle name="_Book2_Notification_Event Collector for Checkpoint 2.5_India (Draft)" xfId="85" xr:uid="{00000000-0005-0000-0000-000054000000}"/>
    <cellStyle name="_Book2_Notification_Event Collector for Checkpoint 2.5_India (Draft) 10" xfId="86" xr:uid="{00000000-0005-0000-0000-000055000000}"/>
    <cellStyle name="_Book2_Notification_Event Collector for Checkpoint 2.5_India (Draft) 11" xfId="87" xr:uid="{00000000-0005-0000-0000-000056000000}"/>
    <cellStyle name="_Book2_Notification_Event Collector for Checkpoint 2.5_India (Draft) 12" xfId="88" xr:uid="{00000000-0005-0000-0000-000057000000}"/>
    <cellStyle name="_Book2_Notification_Event Collector for Checkpoint 2.5_India (Draft) 13" xfId="89" xr:uid="{00000000-0005-0000-0000-000058000000}"/>
    <cellStyle name="_Book2_Notification_Event Collector for Checkpoint 2.5_India (Draft) 14" xfId="90" xr:uid="{00000000-0005-0000-0000-000059000000}"/>
    <cellStyle name="_Book2_Notification_Event Collector for Checkpoint 2.5_India (Draft) 2" xfId="91" xr:uid="{00000000-0005-0000-0000-00005A000000}"/>
    <cellStyle name="_Book2_Notification_Event Collector for Checkpoint 2.5_India (Draft) 3" xfId="92" xr:uid="{00000000-0005-0000-0000-00005B000000}"/>
    <cellStyle name="_Book2_Notification_Event Collector for Checkpoint 2.5_India (Draft) 4" xfId="93" xr:uid="{00000000-0005-0000-0000-00005C000000}"/>
    <cellStyle name="_Book2_Notification_Event Collector for Checkpoint 2.5_India (Draft) 5" xfId="94" xr:uid="{00000000-0005-0000-0000-00005D000000}"/>
    <cellStyle name="_Book2_Notification_Event Collector for Checkpoint 2.5_India (Draft) 6" xfId="95" xr:uid="{00000000-0005-0000-0000-00005E000000}"/>
    <cellStyle name="_Book2_Notification_Event Collector for Checkpoint 2.5_India (Draft) 7" xfId="96" xr:uid="{00000000-0005-0000-0000-00005F000000}"/>
    <cellStyle name="_Book2_Notification_Event Collector for Checkpoint 2.5_India (Draft) 8" xfId="97" xr:uid="{00000000-0005-0000-0000-000060000000}"/>
    <cellStyle name="_Book2_Notification_Event Collector for Checkpoint 2.5_India (Draft) 9" xfId="98" xr:uid="{00000000-0005-0000-0000-000061000000}"/>
    <cellStyle name="_Book2_Notification_Event Collector for Checkpoint 2.5_Korea (Draft)" xfId="99" xr:uid="{00000000-0005-0000-0000-000062000000}"/>
    <cellStyle name="_Book2_Notification_Event Collector for Checkpoint 2.5_Korea (Draft) 10" xfId="100" xr:uid="{00000000-0005-0000-0000-000063000000}"/>
    <cellStyle name="_Book2_Notification_Event Collector for Checkpoint 2.5_Korea (Draft) 11" xfId="101" xr:uid="{00000000-0005-0000-0000-000064000000}"/>
    <cellStyle name="_Book2_Notification_Event Collector for Checkpoint 2.5_Korea (Draft) 12" xfId="102" xr:uid="{00000000-0005-0000-0000-000065000000}"/>
    <cellStyle name="_Book2_Notification_Event Collector for Checkpoint 2.5_Korea (Draft) 13" xfId="103" xr:uid="{00000000-0005-0000-0000-000066000000}"/>
    <cellStyle name="_Book2_Notification_Event Collector for Checkpoint 2.5_Korea (Draft) 14" xfId="104" xr:uid="{00000000-0005-0000-0000-000067000000}"/>
    <cellStyle name="_Book2_Notification_Event Collector for Checkpoint 2.5_Korea (Draft) 2" xfId="105" xr:uid="{00000000-0005-0000-0000-000068000000}"/>
    <cellStyle name="_Book2_Notification_Event Collector for Checkpoint 2.5_Korea (Draft) 3" xfId="106" xr:uid="{00000000-0005-0000-0000-000069000000}"/>
    <cellStyle name="_Book2_Notification_Event Collector for Checkpoint 2.5_Korea (Draft) 4" xfId="107" xr:uid="{00000000-0005-0000-0000-00006A000000}"/>
    <cellStyle name="_Book2_Notification_Event Collector for Checkpoint 2.5_Korea (Draft) 5" xfId="108" xr:uid="{00000000-0005-0000-0000-00006B000000}"/>
    <cellStyle name="_Book2_Notification_Event Collector for Checkpoint 2.5_Korea (Draft) 6" xfId="109" xr:uid="{00000000-0005-0000-0000-00006C000000}"/>
    <cellStyle name="_Book2_Notification_Event Collector for Checkpoint 2.5_Korea (Draft) 7" xfId="110" xr:uid="{00000000-0005-0000-0000-00006D000000}"/>
    <cellStyle name="_Book2_Notification_Event Collector for Checkpoint 2.5_Korea (Draft) 8" xfId="111" xr:uid="{00000000-0005-0000-0000-00006E000000}"/>
    <cellStyle name="_Book2_Notification_Event Collector for Checkpoint 2.5_Korea (Draft) 9" xfId="112" xr:uid="{00000000-0005-0000-0000-00006F000000}"/>
    <cellStyle name="_Book2_Notification_Event Collector for Checkpoint 2.5_New Zealand (Draft)" xfId="113" xr:uid="{00000000-0005-0000-0000-000070000000}"/>
    <cellStyle name="_Book2_Notification_Event Collector for Checkpoint 2.5_New Zealand (Draft) 10" xfId="114" xr:uid="{00000000-0005-0000-0000-000071000000}"/>
    <cellStyle name="_Book2_Notification_Event Collector for Checkpoint 2.5_New Zealand (Draft) 11" xfId="115" xr:uid="{00000000-0005-0000-0000-000072000000}"/>
    <cellStyle name="_Book2_Notification_Event Collector for Checkpoint 2.5_New Zealand (Draft) 12" xfId="116" xr:uid="{00000000-0005-0000-0000-000073000000}"/>
    <cellStyle name="_Book2_Notification_Event Collector for Checkpoint 2.5_New Zealand (Draft) 13" xfId="117" xr:uid="{00000000-0005-0000-0000-000074000000}"/>
    <cellStyle name="_Book2_Notification_Event Collector for Checkpoint 2.5_New Zealand (Draft) 14" xfId="118" xr:uid="{00000000-0005-0000-0000-000075000000}"/>
    <cellStyle name="_Book2_Notification_Event Collector for Checkpoint 2.5_New Zealand (Draft) 2" xfId="119" xr:uid="{00000000-0005-0000-0000-000076000000}"/>
    <cellStyle name="_Book2_Notification_Event Collector for Checkpoint 2.5_New Zealand (Draft) 3" xfId="120" xr:uid="{00000000-0005-0000-0000-000077000000}"/>
    <cellStyle name="_Book2_Notification_Event Collector for Checkpoint 2.5_New Zealand (Draft) 4" xfId="121" xr:uid="{00000000-0005-0000-0000-000078000000}"/>
    <cellStyle name="_Book2_Notification_Event Collector for Checkpoint 2.5_New Zealand (Draft) 5" xfId="122" xr:uid="{00000000-0005-0000-0000-000079000000}"/>
    <cellStyle name="_Book2_Notification_Event Collector for Checkpoint 2.5_New Zealand (Draft) 6" xfId="123" xr:uid="{00000000-0005-0000-0000-00007A000000}"/>
    <cellStyle name="_Book2_Notification_Event Collector for Checkpoint 2.5_New Zealand (Draft) 7" xfId="124" xr:uid="{00000000-0005-0000-0000-00007B000000}"/>
    <cellStyle name="_Book2_Notification_Event Collector for Checkpoint 2.5_New Zealand (Draft) 8" xfId="125" xr:uid="{00000000-0005-0000-0000-00007C000000}"/>
    <cellStyle name="_Book2_Notification_Event Collector for Checkpoint 2.5_New Zealand (Draft) 9" xfId="126" xr:uid="{00000000-0005-0000-0000-00007D000000}"/>
    <cellStyle name="_Book2_Notification_Event Collector for Checkpoint 2.5_Singapore (Draft)" xfId="127" xr:uid="{00000000-0005-0000-0000-00007E000000}"/>
    <cellStyle name="_Book2_Notification_Event Collector for Checkpoint 2.5_Singapore (Draft) 10" xfId="128" xr:uid="{00000000-0005-0000-0000-00007F000000}"/>
    <cellStyle name="_Book2_Notification_Event Collector for Checkpoint 2.5_Singapore (Draft) 11" xfId="129" xr:uid="{00000000-0005-0000-0000-000080000000}"/>
    <cellStyle name="_Book2_Notification_Event Collector for Checkpoint 2.5_Singapore (Draft) 12" xfId="130" xr:uid="{00000000-0005-0000-0000-000081000000}"/>
    <cellStyle name="_Book2_Notification_Event Collector for Checkpoint 2.5_Singapore (Draft) 13" xfId="131" xr:uid="{00000000-0005-0000-0000-000082000000}"/>
    <cellStyle name="_Book2_Notification_Event Collector for Checkpoint 2.5_Singapore (Draft) 14" xfId="132" xr:uid="{00000000-0005-0000-0000-000083000000}"/>
    <cellStyle name="_Book2_Notification_Event Collector for Checkpoint 2.5_Singapore (Draft) 2" xfId="133" xr:uid="{00000000-0005-0000-0000-000084000000}"/>
    <cellStyle name="_Book2_Notification_Event Collector for Checkpoint 2.5_Singapore (Draft) 3" xfId="134" xr:uid="{00000000-0005-0000-0000-000085000000}"/>
    <cellStyle name="_Book2_Notification_Event Collector for Checkpoint 2.5_Singapore (Draft) 4" xfId="135" xr:uid="{00000000-0005-0000-0000-000086000000}"/>
    <cellStyle name="_Book2_Notification_Event Collector for Checkpoint 2.5_Singapore (Draft) 5" xfId="136" xr:uid="{00000000-0005-0000-0000-000087000000}"/>
    <cellStyle name="_Book2_Notification_Event Collector for Checkpoint 2.5_Singapore (Draft) 6" xfId="137" xr:uid="{00000000-0005-0000-0000-000088000000}"/>
    <cellStyle name="_Book2_Notification_Event Collector for Checkpoint 2.5_Singapore (Draft) 7" xfId="138" xr:uid="{00000000-0005-0000-0000-000089000000}"/>
    <cellStyle name="_Book2_Notification_Event Collector for Checkpoint 2.5_Singapore (Draft) 8" xfId="139" xr:uid="{00000000-0005-0000-0000-00008A000000}"/>
    <cellStyle name="_Book2_Notification_Event Collector for Checkpoint 2.5_Singapore (Draft) 9" xfId="140" xr:uid="{00000000-0005-0000-0000-00008B000000}"/>
    <cellStyle name="_Book2_Notification_Event Collector for Checkpoint 2.5_Taiwan (Draft)" xfId="141" xr:uid="{00000000-0005-0000-0000-00008C000000}"/>
    <cellStyle name="_Book2_Notification_Event Collector for Checkpoint 2.5_Taiwan (Draft) 10" xfId="142" xr:uid="{00000000-0005-0000-0000-00008D000000}"/>
    <cellStyle name="_Book2_Notification_Event Collector for Checkpoint 2.5_Taiwan (Draft) 11" xfId="143" xr:uid="{00000000-0005-0000-0000-00008E000000}"/>
    <cellStyle name="_Book2_Notification_Event Collector for Checkpoint 2.5_Taiwan (Draft) 12" xfId="144" xr:uid="{00000000-0005-0000-0000-00008F000000}"/>
    <cellStyle name="_Book2_Notification_Event Collector for Checkpoint 2.5_Taiwan (Draft) 13" xfId="145" xr:uid="{00000000-0005-0000-0000-000090000000}"/>
    <cellStyle name="_Book2_Notification_Event Collector for Checkpoint 2.5_Taiwan (Draft) 14" xfId="146" xr:uid="{00000000-0005-0000-0000-000091000000}"/>
    <cellStyle name="_Book2_Notification_Event Collector for Checkpoint 2.5_Taiwan (Draft) 2" xfId="147" xr:uid="{00000000-0005-0000-0000-000092000000}"/>
    <cellStyle name="_Book2_Notification_Event Collector for Checkpoint 2.5_Taiwan (Draft) 3" xfId="148" xr:uid="{00000000-0005-0000-0000-000093000000}"/>
    <cellStyle name="_Book2_Notification_Event Collector for Checkpoint 2.5_Taiwan (Draft) 4" xfId="149" xr:uid="{00000000-0005-0000-0000-000094000000}"/>
    <cellStyle name="_Book2_Notification_Event Collector for Checkpoint 2.5_Taiwan (Draft) 5" xfId="150" xr:uid="{00000000-0005-0000-0000-000095000000}"/>
    <cellStyle name="_Book2_Notification_Event Collector for Checkpoint 2.5_Taiwan (Draft) 6" xfId="151" xr:uid="{00000000-0005-0000-0000-000096000000}"/>
    <cellStyle name="_Book2_Notification_Event Collector for Checkpoint 2.5_Taiwan (Draft) 7" xfId="152" xr:uid="{00000000-0005-0000-0000-000097000000}"/>
    <cellStyle name="_Book2_Notification_Event Collector for Checkpoint 2.5_Taiwan (Draft) 8" xfId="153" xr:uid="{00000000-0005-0000-0000-000098000000}"/>
    <cellStyle name="_Book2_Notification_Event Collector for Checkpoint 2.5_Taiwan (Draft) 9" xfId="154" xr:uid="{00000000-0005-0000-0000-000099000000}"/>
    <cellStyle name="_Book2_Notification_Event Collector for Checkpoint 2.5_Thailand (Draft)" xfId="155" xr:uid="{00000000-0005-0000-0000-00009A000000}"/>
    <cellStyle name="_Book2_Notification_Event Collector for Checkpoint 2.5_Thailand (Draft) 10" xfId="156" xr:uid="{00000000-0005-0000-0000-00009B000000}"/>
    <cellStyle name="_Book2_Notification_Event Collector for Checkpoint 2.5_Thailand (Draft) 11" xfId="157" xr:uid="{00000000-0005-0000-0000-00009C000000}"/>
    <cellStyle name="_Book2_Notification_Event Collector for Checkpoint 2.5_Thailand (Draft) 12" xfId="158" xr:uid="{00000000-0005-0000-0000-00009D000000}"/>
    <cellStyle name="_Book2_Notification_Event Collector for Checkpoint 2.5_Thailand (Draft) 13" xfId="159" xr:uid="{00000000-0005-0000-0000-00009E000000}"/>
    <cellStyle name="_Book2_Notification_Event Collector for Checkpoint 2.5_Thailand (Draft) 14" xfId="160" xr:uid="{00000000-0005-0000-0000-00009F000000}"/>
    <cellStyle name="_Book2_Notification_Event Collector for Checkpoint 2.5_Thailand (Draft) 2" xfId="161" xr:uid="{00000000-0005-0000-0000-0000A0000000}"/>
    <cellStyle name="_Book2_Notification_Event Collector for Checkpoint 2.5_Thailand (Draft) 3" xfId="162" xr:uid="{00000000-0005-0000-0000-0000A1000000}"/>
    <cellStyle name="_Book2_Notification_Event Collector for Checkpoint 2.5_Thailand (Draft) 4" xfId="163" xr:uid="{00000000-0005-0000-0000-0000A2000000}"/>
    <cellStyle name="_Book2_Notification_Event Collector for Checkpoint 2.5_Thailand (Draft) 5" xfId="164" xr:uid="{00000000-0005-0000-0000-0000A3000000}"/>
    <cellStyle name="_Book2_Notification_Event Collector for Checkpoint 2.5_Thailand (Draft) 6" xfId="165" xr:uid="{00000000-0005-0000-0000-0000A4000000}"/>
    <cellStyle name="_Book2_Notification_Event Collector for Checkpoint 2.5_Thailand (Draft) 7" xfId="166" xr:uid="{00000000-0005-0000-0000-0000A5000000}"/>
    <cellStyle name="_Book2_Notification_Event Collector for Checkpoint 2.5_Thailand (Draft) 8" xfId="167" xr:uid="{00000000-0005-0000-0000-0000A6000000}"/>
    <cellStyle name="_Book2_Notification_Event Collector for Checkpoint 2.5_Thailand (Draft) 9" xfId="168" xr:uid="{00000000-0005-0000-0000-0000A7000000}"/>
    <cellStyle name="_Book3" xfId="169" xr:uid="{00000000-0005-0000-0000-0000A8000000}"/>
    <cellStyle name="_Changes" xfId="170" xr:uid="{00000000-0005-0000-0000-0000A9000000}"/>
    <cellStyle name="_Changes_1" xfId="171" xr:uid="{00000000-0005-0000-0000-0000AA000000}"/>
    <cellStyle name="_China" xfId="172" xr:uid="{00000000-0005-0000-0000-0000AB000000}"/>
    <cellStyle name="_China CNY_Express_Academic_Government" xfId="173" xr:uid="{00000000-0005-0000-0000-0000AC000000}"/>
    <cellStyle name="_China Price List" xfId="174" xr:uid="{00000000-0005-0000-0000-0000AD000000}"/>
    <cellStyle name="_China Price List 10" xfId="175" xr:uid="{00000000-0005-0000-0000-0000AE000000}"/>
    <cellStyle name="_China Price List 11" xfId="176" xr:uid="{00000000-0005-0000-0000-0000AF000000}"/>
    <cellStyle name="_China Price List 12" xfId="177" xr:uid="{00000000-0005-0000-0000-0000B0000000}"/>
    <cellStyle name="_China Price List 13" xfId="178" xr:uid="{00000000-0005-0000-0000-0000B1000000}"/>
    <cellStyle name="_China Price List 14" xfId="179" xr:uid="{00000000-0005-0000-0000-0000B2000000}"/>
    <cellStyle name="_China Price List 2" xfId="180" xr:uid="{00000000-0005-0000-0000-0000B3000000}"/>
    <cellStyle name="_China Price List 3" xfId="181" xr:uid="{00000000-0005-0000-0000-0000B4000000}"/>
    <cellStyle name="_China Price List 4" xfId="182" xr:uid="{00000000-0005-0000-0000-0000B5000000}"/>
    <cellStyle name="_China Price List 5" xfId="183" xr:uid="{00000000-0005-0000-0000-0000B6000000}"/>
    <cellStyle name="_China Price List 6" xfId="184" xr:uid="{00000000-0005-0000-0000-0000B7000000}"/>
    <cellStyle name="_China Price List 7" xfId="185" xr:uid="{00000000-0005-0000-0000-0000B8000000}"/>
    <cellStyle name="_China Price List 8" xfId="186" xr:uid="{00000000-0005-0000-0000-0000B9000000}"/>
    <cellStyle name="_China Price List 9" xfId="187" xr:uid="{00000000-0005-0000-0000-0000BA000000}"/>
    <cellStyle name="_China USD_Express_Academic_Government" xfId="188" xr:uid="{00000000-0005-0000-0000-0000BB000000}"/>
    <cellStyle name="_China USD_Sygate_Aug_06" xfId="189" xr:uid="{00000000-0005-0000-0000-0000BC000000}"/>
    <cellStyle name="_China_CNY_Feb_07" xfId="190" xr:uid="{00000000-0005-0000-0000-0000BD000000}"/>
    <cellStyle name="_China_RMB_Nov_06" xfId="191" xr:uid="{00000000-0005-0000-0000-0000BE000000}"/>
    <cellStyle name="_China_USD_Elite_Apr_04" xfId="192" xr:uid="{00000000-0005-0000-0000-0000BF000000}"/>
    <cellStyle name="_China_USD_Nov_06" xfId="193" xr:uid="{00000000-0005-0000-0000-0000C0000000}"/>
    <cellStyle name="_Deepsight Notification Master" xfId="194" xr:uid="{00000000-0005-0000-0000-0000C1000000}"/>
    <cellStyle name="_DeployCenter Library 2.0_ASEAN" xfId="195" xr:uid="{00000000-0005-0000-0000-0000C2000000}"/>
    <cellStyle name="_DeployCenter Library 2.0_Australia" xfId="196" xr:uid="{00000000-0005-0000-0000-0000C3000000}"/>
    <cellStyle name="_DeployCenter Library 2.0_China" xfId="197" xr:uid="{00000000-0005-0000-0000-0000C4000000}"/>
    <cellStyle name="_DeployCenter Library 2.0_HK" xfId="198" xr:uid="{00000000-0005-0000-0000-0000C5000000}"/>
    <cellStyle name="_DeployCenter Library 2.0_India" xfId="199" xr:uid="{00000000-0005-0000-0000-0000C6000000}"/>
    <cellStyle name="_DeployCenter Library 2.0_Korea" xfId="200" xr:uid="{00000000-0005-0000-0000-0000C7000000}"/>
    <cellStyle name="_DeployCenter Library 2.0_NZ" xfId="201" xr:uid="{00000000-0005-0000-0000-0000C8000000}"/>
    <cellStyle name="_DeployCenter Library 2.0_Singapore" xfId="202" xr:uid="{00000000-0005-0000-0000-0000C9000000}"/>
    <cellStyle name="_DeployCenter Library 2.0_Taiwan" xfId="203" xr:uid="{00000000-0005-0000-0000-0000CA000000}"/>
    <cellStyle name="_DeployCenter Library 2.0_Thailand" xfId="204" xr:uid="{00000000-0005-0000-0000-0000CB000000}"/>
    <cellStyle name="_Discontinue &amp; Mapping" xfId="205" xr:uid="{00000000-0005-0000-0000-0000CC000000}"/>
    <cellStyle name="_Edu AV &amp; Filtering" xfId="206" xr:uid="{00000000-0005-0000-0000-0000CD000000}"/>
    <cellStyle name="_Edu Enterprise Administration" xfId="207" xr:uid="{00000000-0005-0000-0000-0000CE000000}"/>
    <cellStyle name="_Elite C" xfId="208" xr:uid="{00000000-0005-0000-0000-0000CF000000}"/>
    <cellStyle name="_Elite Commit" xfId="209" xr:uid="{00000000-0005-0000-0000-0000D0000000}"/>
    <cellStyle name="_Elite Commit 10" xfId="210" xr:uid="{00000000-0005-0000-0000-0000D1000000}"/>
    <cellStyle name="_Elite Commit 11" xfId="211" xr:uid="{00000000-0005-0000-0000-0000D2000000}"/>
    <cellStyle name="_Elite Commit 12" xfId="212" xr:uid="{00000000-0005-0000-0000-0000D3000000}"/>
    <cellStyle name="_Elite Commit 13" xfId="213" xr:uid="{00000000-0005-0000-0000-0000D4000000}"/>
    <cellStyle name="_Elite Commit 14" xfId="214" xr:uid="{00000000-0005-0000-0000-0000D5000000}"/>
    <cellStyle name="_Elite Commit 2" xfId="215" xr:uid="{00000000-0005-0000-0000-0000D6000000}"/>
    <cellStyle name="_Elite Commit 3" xfId="216" xr:uid="{00000000-0005-0000-0000-0000D7000000}"/>
    <cellStyle name="_Elite Commit 4" xfId="217" xr:uid="{00000000-0005-0000-0000-0000D8000000}"/>
    <cellStyle name="_Elite Commit 5" xfId="218" xr:uid="{00000000-0005-0000-0000-0000D9000000}"/>
    <cellStyle name="_Elite Commit 6" xfId="219" xr:uid="{00000000-0005-0000-0000-0000DA000000}"/>
    <cellStyle name="_Elite Commit 7" xfId="220" xr:uid="{00000000-0005-0000-0000-0000DB000000}"/>
    <cellStyle name="_Elite Commit 8" xfId="221" xr:uid="{00000000-0005-0000-0000-0000DC000000}"/>
    <cellStyle name="_Elite Commit 9" xfId="222" xr:uid="{00000000-0005-0000-0000-0000DD000000}"/>
    <cellStyle name="_Elite Commit_1" xfId="223" xr:uid="{00000000-0005-0000-0000-0000DE000000}"/>
    <cellStyle name="_Elite Commit_ASEAN_Jan_07" xfId="224" xr:uid="{00000000-0005-0000-0000-0000DF000000}"/>
    <cellStyle name="_Elite Commit_ASEAN_Jan_07 10" xfId="225" xr:uid="{00000000-0005-0000-0000-0000E0000000}"/>
    <cellStyle name="_Elite Commit_ASEAN_Jan_07 11" xfId="226" xr:uid="{00000000-0005-0000-0000-0000E1000000}"/>
    <cellStyle name="_Elite Commit_ASEAN_Jan_07 12" xfId="227" xr:uid="{00000000-0005-0000-0000-0000E2000000}"/>
    <cellStyle name="_Elite Commit_ASEAN_Jan_07 13" xfId="228" xr:uid="{00000000-0005-0000-0000-0000E3000000}"/>
    <cellStyle name="_Elite Commit_ASEAN_Jan_07 14" xfId="229" xr:uid="{00000000-0005-0000-0000-0000E4000000}"/>
    <cellStyle name="_Elite Commit_ASEAN_Jan_07 2" xfId="230" xr:uid="{00000000-0005-0000-0000-0000E5000000}"/>
    <cellStyle name="_Elite Commit_ASEAN_Jan_07 3" xfId="231" xr:uid="{00000000-0005-0000-0000-0000E6000000}"/>
    <cellStyle name="_Elite Commit_ASEAN_Jan_07 4" xfId="232" xr:uid="{00000000-0005-0000-0000-0000E7000000}"/>
    <cellStyle name="_Elite Commit_ASEAN_Jan_07 5" xfId="233" xr:uid="{00000000-0005-0000-0000-0000E8000000}"/>
    <cellStyle name="_Elite Commit_ASEAN_Jan_07 6" xfId="234" xr:uid="{00000000-0005-0000-0000-0000E9000000}"/>
    <cellStyle name="_Elite Commit_ASEAN_Jan_07 7" xfId="235" xr:uid="{00000000-0005-0000-0000-0000EA000000}"/>
    <cellStyle name="_Elite Commit_ASEAN_Jan_07 8" xfId="236" xr:uid="{00000000-0005-0000-0000-0000EB000000}"/>
    <cellStyle name="_Elite Commit_ASEAN_Jan_07 9" xfId="237" xr:uid="{00000000-0005-0000-0000-0000EC000000}"/>
    <cellStyle name="_Elite Commit_ASEAN_Nov_06" xfId="238" xr:uid="{00000000-0005-0000-0000-0000ED000000}"/>
    <cellStyle name="_Elite Commit_ASEAN_Nov_06 10" xfId="239" xr:uid="{00000000-0005-0000-0000-0000EE000000}"/>
    <cellStyle name="_Elite Commit_ASEAN_Nov_06 11" xfId="240" xr:uid="{00000000-0005-0000-0000-0000EF000000}"/>
    <cellStyle name="_Elite Commit_ASEAN_Nov_06 12" xfId="241" xr:uid="{00000000-0005-0000-0000-0000F0000000}"/>
    <cellStyle name="_Elite Commit_ASEAN_Nov_06 13" xfId="242" xr:uid="{00000000-0005-0000-0000-0000F1000000}"/>
    <cellStyle name="_Elite Commit_ASEAN_Nov_06 14" xfId="243" xr:uid="{00000000-0005-0000-0000-0000F2000000}"/>
    <cellStyle name="_Elite Commit_ASEAN_Nov_06 2" xfId="244" xr:uid="{00000000-0005-0000-0000-0000F3000000}"/>
    <cellStyle name="_Elite Commit_ASEAN_Nov_06 3" xfId="245" xr:uid="{00000000-0005-0000-0000-0000F4000000}"/>
    <cellStyle name="_Elite Commit_ASEAN_Nov_06 4" xfId="246" xr:uid="{00000000-0005-0000-0000-0000F5000000}"/>
    <cellStyle name="_Elite Commit_ASEAN_Nov_06 5" xfId="247" xr:uid="{00000000-0005-0000-0000-0000F6000000}"/>
    <cellStyle name="_Elite Commit_ASEAN_Nov_06 6" xfId="248" xr:uid="{00000000-0005-0000-0000-0000F7000000}"/>
    <cellStyle name="_Elite Commit_ASEAN_Nov_06 7" xfId="249" xr:uid="{00000000-0005-0000-0000-0000F8000000}"/>
    <cellStyle name="_Elite Commit_ASEAN_Nov_06 8" xfId="250" xr:uid="{00000000-0005-0000-0000-0000F9000000}"/>
    <cellStyle name="_Elite Commit_ASEAN_Nov_06 9" xfId="251" xr:uid="{00000000-0005-0000-0000-0000FA000000}"/>
    <cellStyle name="_Elite Commit_ASEAN_Rewards_Aug_08" xfId="252" xr:uid="{00000000-0005-0000-0000-0000FB000000}"/>
    <cellStyle name="_Elite Commit_Australia_Elite_Oct_04" xfId="253" xr:uid="{00000000-0005-0000-0000-0000FC000000}"/>
    <cellStyle name="_Elite Commit_Australia_Elite_Oct_04 10" xfId="254" xr:uid="{00000000-0005-0000-0000-0000FD000000}"/>
    <cellStyle name="_Elite Commit_Australia_Elite_Oct_04 11" xfId="255" xr:uid="{00000000-0005-0000-0000-0000FE000000}"/>
    <cellStyle name="_Elite Commit_Australia_Elite_Oct_04 12" xfId="256" xr:uid="{00000000-0005-0000-0000-0000FF000000}"/>
    <cellStyle name="_Elite Commit_Australia_Elite_Oct_04 13" xfId="257" xr:uid="{00000000-0005-0000-0000-000000010000}"/>
    <cellStyle name="_Elite Commit_Australia_Elite_Oct_04 14" xfId="258" xr:uid="{00000000-0005-0000-0000-000001010000}"/>
    <cellStyle name="_Elite Commit_Australia_Elite_Oct_04 2" xfId="259" xr:uid="{00000000-0005-0000-0000-000002010000}"/>
    <cellStyle name="_Elite Commit_Australia_Elite_Oct_04 3" xfId="260" xr:uid="{00000000-0005-0000-0000-000003010000}"/>
    <cellStyle name="_Elite Commit_Australia_Elite_Oct_04 4" xfId="261" xr:uid="{00000000-0005-0000-0000-000004010000}"/>
    <cellStyle name="_Elite Commit_Australia_Elite_Oct_04 5" xfId="262" xr:uid="{00000000-0005-0000-0000-000005010000}"/>
    <cellStyle name="_Elite Commit_Australia_Elite_Oct_04 6" xfId="263" xr:uid="{00000000-0005-0000-0000-000006010000}"/>
    <cellStyle name="_Elite Commit_Australia_Elite_Oct_04 7" xfId="264" xr:uid="{00000000-0005-0000-0000-000007010000}"/>
    <cellStyle name="_Elite Commit_Australia_Elite_Oct_04 8" xfId="265" xr:uid="{00000000-0005-0000-0000-000008010000}"/>
    <cellStyle name="_Elite Commit_Australia_Elite_Oct_04 9" xfId="266" xr:uid="{00000000-0005-0000-0000-000009010000}"/>
    <cellStyle name="_Elite Commit_Australia_Elite_Oct_04_rounded" xfId="267" xr:uid="{00000000-0005-0000-0000-00000A010000}"/>
    <cellStyle name="_Elite Commit_Australia_Elite_Oct_04_rounded 10" xfId="268" xr:uid="{00000000-0005-0000-0000-00000B010000}"/>
    <cellStyle name="_Elite Commit_Australia_Elite_Oct_04_rounded 11" xfId="269" xr:uid="{00000000-0005-0000-0000-00000C010000}"/>
    <cellStyle name="_Elite Commit_Australia_Elite_Oct_04_rounded 12" xfId="270" xr:uid="{00000000-0005-0000-0000-00000D010000}"/>
    <cellStyle name="_Elite Commit_Australia_Elite_Oct_04_rounded 13" xfId="271" xr:uid="{00000000-0005-0000-0000-00000E010000}"/>
    <cellStyle name="_Elite Commit_Australia_Elite_Oct_04_rounded 14" xfId="272" xr:uid="{00000000-0005-0000-0000-00000F010000}"/>
    <cellStyle name="_Elite Commit_Australia_Elite_Oct_04_rounded 2" xfId="273" xr:uid="{00000000-0005-0000-0000-000010010000}"/>
    <cellStyle name="_Elite Commit_Australia_Elite_Oct_04_rounded 3" xfId="274" xr:uid="{00000000-0005-0000-0000-000011010000}"/>
    <cellStyle name="_Elite Commit_Australia_Elite_Oct_04_rounded 4" xfId="275" xr:uid="{00000000-0005-0000-0000-000012010000}"/>
    <cellStyle name="_Elite Commit_Australia_Elite_Oct_04_rounded 5" xfId="276" xr:uid="{00000000-0005-0000-0000-000013010000}"/>
    <cellStyle name="_Elite Commit_Australia_Elite_Oct_04_rounded 6" xfId="277" xr:uid="{00000000-0005-0000-0000-000014010000}"/>
    <cellStyle name="_Elite Commit_Australia_Elite_Oct_04_rounded 7" xfId="278" xr:uid="{00000000-0005-0000-0000-000015010000}"/>
    <cellStyle name="_Elite Commit_Australia_Elite_Oct_04_rounded 8" xfId="279" xr:uid="{00000000-0005-0000-0000-000016010000}"/>
    <cellStyle name="_Elite Commit_Australia_Elite_Oct_04_rounded 9" xfId="280" xr:uid="{00000000-0005-0000-0000-000017010000}"/>
    <cellStyle name="_Elite Commit_Australia_Nov_06" xfId="281" xr:uid="{00000000-0005-0000-0000-000018010000}"/>
    <cellStyle name="_Elite Commit_Australia_Nov_06 10" xfId="282" xr:uid="{00000000-0005-0000-0000-000019010000}"/>
    <cellStyle name="_Elite Commit_Australia_Nov_06 11" xfId="283" xr:uid="{00000000-0005-0000-0000-00001A010000}"/>
    <cellStyle name="_Elite Commit_Australia_Nov_06 12" xfId="284" xr:uid="{00000000-0005-0000-0000-00001B010000}"/>
    <cellStyle name="_Elite Commit_Australia_Nov_06 13" xfId="285" xr:uid="{00000000-0005-0000-0000-00001C010000}"/>
    <cellStyle name="_Elite Commit_Australia_Nov_06 14" xfId="286" xr:uid="{00000000-0005-0000-0000-00001D010000}"/>
    <cellStyle name="_Elite Commit_Australia_Nov_06 2" xfId="287" xr:uid="{00000000-0005-0000-0000-00001E010000}"/>
    <cellStyle name="_Elite Commit_Australia_Nov_06 3" xfId="288" xr:uid="{00000000-0005-0000-0000-00001F010000}"/>
    <cellStyle name="_Elite Commit_Australia_Nov_06 4" xfId="289" xr:uid="{00000000-0005-0000-0000-000020010000}"/>
    <cellStyle name="_Elite Commit_Australia_Nov_06 5" xfId="290" xr:uid="{00000000-0005-0000-0000-000021010000}"/>
    <cellStyle name="_Elite Commit_Australia_Nov_06 6" xfId="291" xr:uid="{00000000-0005-0000-0000-000022010000}"/>
    <cellStyle name="_Elite Commit_Australia_Nov_06 7" xfId="292" xr:uid="{00000000-0005-0000-0000-000023010000}"/>
    <cellStyle name="_Elite Commit_Australia_Nov_06 8" xfId="293" xr:uid="{00000000-0005-0000-0000-000024010000}"/>
    <cellStyle name="_Elite Commit_Australia_Nov_06 9" xfId="294" xr:uid="{00000000-0005-0000-0000-000025010000}"/>
    <cellStyle name="_Elite Commit_Australia_Rewards_Aug_08" xfId="295" xr:uid="{00000000-0005-0000-0000-000026010000}"/>
    <cellStyle name="_Elite Commit_Availability SMB &amp; Media Packs" xfId="296" xr:uid="{00000000-0005-0000-0000-000027010000}"/>
    <cellStyle name="_Elite Commit_Availability SMB &amp; Media Packs 10" xfId="297" xr:uid="{00000000-0005-0000-0000-000028010000}"/>
    <cellStyle name="_Elite Commit_Availability SMB &amp; Media Packs 11" xfId="298" xr:uid="{00000000-0005-0000-0000-000029010000}"/>
    <cellStyle name="_Elite Commit_Availability SMB &amp; Media Packs 12" xfId="299" xr:uid="{00000000-0005-0000-0000-00002A010000}"/>
    <cellStyle name="_Elite Commit_Availability SMB &amp; Media Packs 13" xfId="300" xr:uid="{00000000-0005-0000-0000-00002B010000}"/>
    <cellStyle name="_Elite Commit_Availability SMB &amp; Media Packs 14" xfId="301" xr:uid="{00000000-0005-0000-0000-00002C010000}"/>
    <cellStyle name="_Elite Commit_Availability SMB &amp; Media Packs 2" xfId="302" xr:uid="{00000000-0005-0000-0000-00002D010000}"/>
    <cellStyle name="_Elite Commit_Availability SMB &amp; Media Packs 3" xfId="303" xr:uid="{00000000-0005-0000-0000-00002E010000}"/>
    <cellStyle name="_Elite Commit_Availability SMB &amp; Media Packs 4" xfId="304" xr:uid="{00000000-0005-0000-0000-00002F010000}"/>
    <cellStyle name="_Elite Commit_Availability SMB &amp; Media Packs 5" xfId="305" xr:uid="{00000000-0005-0000-0000-000030010000}"/>
    <cellStyle name="_Elite Commit_Availability SMB &amp; Media Packs 6" xfId="306" xr:uid="{00000000-0005-0000-0000-000031010000}"/>
    <cellStyle name="_Elite Commit_Availability SMB &amp; Media Packs 7" xfId="307" xr:uid="{00000000-0005-0000-0000-000032010000}"/>
    <cellStyle name="_Elite Commit_Availability SMB &amp; Media Packs 8" xfId="308" xr:uid="{00000000-0005-0000-0000-000033010000}"/>
    <cellStyle name="_Elite Commit_Availability SMB &amp; Media Packs 9" xfId="309" xr:uid="{00000000-0005-0000-0000-000034010000}"/>
    <cellStyle name="_Elite Commit_Changes" xfId="310" xr:uid="{00000000-0005-0000-0000-000035010000}"/>
    <cellStyle name="_Elite Commit_Changes 10" xfId="311" xr:uid="{00000000-0005-0000-0000-000036010000}"/>
    <cellStyle name="_Elite Commit_Changes 11" xfId="312" xr:uid="{00000000-0005-0000-0000-000037010000}"/>
    <cellStyle name="_Elite Commit_Changes 12" xfId="313" xr:uid="{00000000-0005-0000-0000-000038010000}"/>
    <cellStyle name="_Elite Commit_Changes 13" xfId="314" xr:uid="{00000000-0005-0000-0000-000039010000}"/>
    <cellStyle name="_Elite Commit_Changes 14" xfId="315" xr:uid="{00000000-0005-0000-0000-00003A010000}"/>
    <cellStyle name="_Elite Commit_Changes 2" xfId="316" xr:uid="{00000000-0005-0000-0000-00003B010000}"/>
    <cellStyle name="_Elite Commit_Changes 3" xfId="317" xr:uid="{00000000-0005-0000-0000-00003C010000}"/>
    <cellStyle name="_Elite Commit_Changes 4" xfId="318" xr:uid="{00000000-0005-0000-0000-00003D010000}"/>
    <cellStyle name="_Elite Commit_Changes 5" xfId="319" xr:uid="{00000000-0005-0000-0000-00003E010000}"/>
    <cellStyle name="_Elite Commit_Changes 6" xfId="320" xr:uid="{00000000-0005-0000-0000-00003F010000}"/>
    <cellStyle name="_Elite Commit_Changes 7" xfId="321" xr:uid="{00000000-0005-0000-0000-000040010000}"/>
    <cellStyle name="_Elite Commit_Changes 8" xfId="322" xr:uid="{00000000-0005-0000-0000-000041010000}"/>
    <cellStyle name="_Elite Commit_Changes 9" xfId="323" xr:uid="{00000000-0005-0000-0000-000042010000}"/>
    <cellStyle name="_Elite Commit_China CNY_Rewards_Aug_08" xfId="324" xr:uid="{00000000-0005-0000-0000-000043010000}"/>
    <cellStyle name="_Elite Commit_China USD_Rewards_Aug_08" xfId="325" xr:uid="{00000000-0005-0000-0000-000044010000}"/>
    <cellStyle name="_Elite Commit_China_RMB_Nov_06" xfId="326" xr:uid="{00000000-0005-0000-0000-000045010000}"/>
    <cellStyle name="_Elite Commit_China_RMB_Nov_06 10" xfId="327" xr:uid="{00000000-0005-0000-0000-000046010000}"/>
    <cellStyle name="_Elite Commit_China_RMB_Nov_06 11" xfId="328" xr:uid="{00000000-0005-0000-0000-000047010000}"/>
    <cellStyle name="_Elite Commit_China_RMB_Nov_06 12" xfId="329" xr:uid="{00000000-0005-0000-0000-000048010000}"/>
    <cellStyle name="_Elite Commit_China_RMB_Nov_06 13" xfId="330" xr:uid="{00000000-0005-0000-0000-000049010000}"/>
    <cellStyle name="_Elite Commit_China_RMB_Nov_06 14" xfId="331" xr:uid="{00000000-0005-0000-0000-00004A010000}"/>
    <cellStyle name="_Elite Commit_China_RMB_Nov_06 2" xfId="332" xr:uid="{00000000-0005-0000-0000-00004B010000}"/>
    <cellStyle name="_Elite Commit_China_RMB_Nov_06 3" xfId="333" xr:uid="{00000000-0005-0000-0000-00004C010000}"/>
    <cellStyle name="_Elite Commit_China_RMB_Nov_06 4" xfId="334" xr:uid="{00000000-0005-0000-0000-00004D010000}"/>
    <cellStyle name="_Elite Commit_China_RMB_Nov_06 5" xfId="335" xr:uid="{00000000-0005-0000-0000-00004E010000}"/>
    <cellStyle name="_Elite Commit_China_RMB_Nov_06 6" xfId="336" xr:uid="{00000000-0005-0000-0000-00004F010000}"/>
    <cellStyle name="_Elite Commit_China_RMB_Nov_06 7" xfId="337" xr:uid="{00000000-0005-0000-0000-000050010000}"/>
    <cellStyle name="_Elite Commit_China_RMB_Nov_06 8" xfId="338" xr:uid="{00000000-0005-0000-0000-000051010000}"/>
    <cellStyle name="_Elite Commit_China_RMB_Nov_06 9" xfId="339" xr:uid="{00000000-0005-0000-0000-000052010000}"/>
    <cellStyle name="_Elite Commit_China_USD_Nov_06" xfId="340" xr:uid="{00000000-0005-0000-0000-000053010000}"/>
    <cellStyle name="_Elite Commit_China_USD_Nov_06 10" xfId="341" xr:uid="{00000000-0005-0000-0000-000054010000}"/>
    <cellStyle name="_Elite Commit_China_USD_Nov_06 11" xfId="342" xr:uid="{00000000-0005-0000-0000-000055010000}"/>
    <cellStyle name="_Elite Commit_China_USD_Nov_06 12" xfId="343" xr:uid="{00000000-0005-0000-0000-000056010000}"/>
    <cellStyle name="_Elite Commit_China_USD_Nov_06 13" xfId="344" xr:uid="{00000000-0005-0000-0000-000057010000}"/>
    <cellStyle name="_Elite Commit_China_USD_Nov_06 14" xfId="345" xr:uid="{00000000-0005-0000-0000-000058010000}"/>
    <cellStyle name="_Elite Commit_China_USD_Nov_06 2" xfId="346" xr:uid="{00000000-0005-0000-0000-000059010000}"/>
    <cellStyle name="_Elite Commit_China_USD_Nov_06 3" xfId="347" xr:uid="{00000000-0005-0000-0000-00005A010000}"/>
    <cellStyle name="_Elite Commit_China_USD_Nov_06 4" xfId="348" xr:uid="{00000000-0005-0000-0000-00005B010000}"/>
    <cellStyle name="_Elite Commit_China_USD_Nov_06 5" xfId="349" xr:uid="{00000000-0005-0000-0000-00005C010000}"/>
    <cellStyle name="_Elite Commit_China_USD_Nov_06 6" xfId="350" xr:uid="{00000000-0005-0000-0000-00005D010000}"/>
    <cellStyle name="_Elite Commit_China_USD_Nov_06 7" xfId="351" xr:uid="{00000000-0005-0000-0000-00005E010000}"/>
    <cellStyle name="_Elite Commit_China_USD_Nov_06 8" xfId="352" xr:uid="{00000000-0005-0000-0000-00005F010000}"/>
    <cellStyle name="_Elite Commit_China_USD_Nov_06 9" xfId="353" xr:uid="{00000000-0005-0000-0000-000060010000}"/>
    <cellStyle name="_Elite Commit_Elite Commit" xfId="354" xr:uid="{00000000-0005-0000-0000-000061010000}"/>
    <cellStyle name="_Elite Commit_Elite Commit 10" xfId="355" xr:uid="{00000000-0005-0000-0000-000062010000}"/>
    <cellStyle name="_Elite Commit_Elite Commit 11" xfId="356" xr:uid="{00000000-0005-0000-0000-000063010000}"/>
    <cellStyle name="_Elite Commit_Elite Commit 12" xfId="357" xr:uid="{00000000-0005-0000-0000-000064010000}"/>
    <cellStyle name="_Elite Commit_Elite Commit 13" xfId="358" xr:uid="{00000000-0005-0000-0000-000065010000}"/>
    <cellStyle name="_Elite Commit_Elite Commit 14" xfId="359" xr:uid="{00000000-0005-0000-0000-000066010000}"/>
    <cellStyle name="_Elite Commit_Elite Commit 2" xfId="360" xr:uid="{00000000-0005-0000-0000-000067010000}"/>
    <cellStyle name="_Elite Commit_Elite Commit 3" xfId="361" xr:uid="{00000000-0005-0000-0000-000068010000}"/>
    <cellStyle name="_Elite Commit_Elite Commit 4" xfId="362" xr:uid="{00000000-0005-0000-0000-000069010000}"/>
    <cellStyle name="_Elite Commit_Elite Commit 5" xfId="363" xr:uid="{00000000-0005-0000-0000-00006A010000}"/>
    <cellStyle name="_Elite Commit_Elite Commit 6" xfId="364" xr:uid="{00000000-0005-0000-0000-00006B010000}"/>
    <cellStyle name="_Elite Commit_Elite Commit 7" xfId="365" xr:uid="{00000000-0005-0000-0000-00006C010000}"/>
    <cellStyle name="_Elite Commit_Elite Commit 8" xfId="366" xr:uid="{00000000-0005-0000-0000-00006D010000}"/>
    <cellStyle name="_Elite Commit_Elite Commit 9" xfId="367" xr:uid="{00000000-0005-0000-0000-00006E010000}"/>
    <cellStyle name="_Elite Commit_Elite Forecast" xfId="368" xr:uid="{00000000-0005-0000-0000-00006F010000}"/>
    <cellStyle name="_Elite Commit_Elite Forecast 10" xfId="369" xr:uid="{00000000-0005-0000-0000-000070010000}"/>
    <cellStyle name="_Elite Commit_Elite Forecast 11" xfId="370" xr:uid="{00000000-0005-0000-0000-000071010000}"/>
    <cellStyle name="_Elite Commit_Elite Forecast 12" xfId="371" xr:uid="{00000000-0005-0000-0000-000072010000}"/>
    <cellStyle name="_Elite Commit_Elite Forecast 13" xfId="372" xr:uid="{00000000-0005-0000-0000-000073010000}"/>
    <cellStyle name="_Elite Commit_Elite Forecast 14" xfId="373" xr:uid="{00000000-0005-0000-0000-000074010000}"/>
    <cellStyle name="_Elite Commit_Elite Forecast 2" xfId="374" xr:uid="{00000000-0005-0000-0000-000075010000}"/>
    <cellStyle name="_Elite Commit_Elite Forecast 3" xfId="375" xr:uid="{00000000-0005-0000-0000-000076010000}"/>
    <cellStyle name="_Elite Commit_Elite Forecast 4" xfId="376" xr:uid="{00000000-0005-0000-0000-000077010000}"/>
    <cellStyle name="_Elite Commit_Elite Forecast 5" xfId="377" xr:uid="{00000000-0005-0000-0000-000078010000}"/>
    <cellStyle name="_Elite Commit_Elite Forecast 6" xfId="378" xr:uid="{00000000-0005-0000-0000-000079010000}"/>
    <cellStyle name="_Elite Commit_Elite Forecast 7" xfId="379" xr:uid="{00000000-0005-0000-0000-00007A010000}"/>
    <cellStyle name="_Elite Commit_Elite Forecast 8" xfId="380" xr:uid="{00000000-0005-0000-0000-00007B010000}"/>
    <cellStyle name="_Elite Commit_Elite Forecast 9" xfId="381" xr:uid="{00000000-0005-0000-0000-00007C010000}"/>
    <cellStyle name="_Elite Commit_Hong Kong_Nov_06" xfId="382" xr:uid="{00000000-0005-0000-0000-00007D010000}"/>
    <cellStyle name="_Elite Commit_Hong Kong_Nov_06 10" xfId="383" xr:uid="{00000000-0005-0000-0000-00007E010000}"/>
    <cellStyle name="_Elite Commit_Hong Kong_Nov_06 11" xfId="384" xr:uid="{00000000-0005-0000-0000-00007F010000}"/>
    <cellStyle name="_Elite Commit_Hong Kong_Nov_06 12" xfId="385" xr:uid="{00000000-0005-0000-0000-000080010000}"/>
    <cellStyle name="_Elite Commit_Hong Kong_Nov_06 13" xfId="386" xr:uid="{00000000-0005-0000-0000-000081010000}"/>
    <cellStyle name="_Elite Commit_Hong Kong_Nov_06 14" xfId="387" xr:uid="{00000000-0005-0000-0000-000082010000}"/>
    <cellStyle name="_Elite Commit_Hong Kong_Nov_06 2" xfId="388" xr:uid="{00000000-0005-0000-0000-000083010000}"/>
    <cellStyle name="_Elite Commit_Hong Kong_Nov_06 3" xfId="389" xr:uid="{00000000-0005-0000-0000-000084010000}"/>
    <cellStyle name="_Elite Commit_Hong Kong_Nov_06 4" xfId="390" xr:uid="{00000000-0005-0000-0000-000085010000}"/>
    <cellStyle name="_Elite Commit_Hong Kong_Nov_06 5" xfId="391" xr:uid="{00000000-0005-0000-0000-000086010000}"/>
    <cellStyle name="_Elite Commit_Hong Kong_Nov_06 6" xfId="392" xr:uid="{00000000-0005-0000-0000-000087010000}"/>
    <cellStyle name="_Elite Commit_Hong Kong_Nov_06 7" xfId="393" xr:uid="{00000000-0005-0000-0000-000088010000}"/>
    <cellStyle name="_Elite Commit_Hong Kong_Nov_06 8" xfId="394" xr:uid="{00000000-0005-0000-0000-000089010000}"/>
    <cellStyle name="_Elite Commit_Hong Kong_Nov_06 9" xfId="395" xr:uid="{00000000-0005-0000-0000-00008A010000}"/>
    <cellStyle name="_Elite Commit_Hong Kong_Rewards_Aug_08" xfId="396" xr:uid="{00000000-0005-0000-0000-00008B010000}"/>
    <cellStyle name="_Elite Commit_India_Nov_06" xfId="397" xr:uid="{00000000-0005-0000-0000-00008C010000}"/>
    <cellStyle name="_Elite Commit_India_Nov_06 10" xfId="398" xr:uid="{00000000-0005-0000-0000-00008D010000}"/>
    <cellStyle name="_Elite Commit_India_Nov_06 11" xfId="399" xr:uid="{00000000-0005-0000-0000-00008E010000}"/>
    <cellStyle name="_Elite Commit_India_Nov_06 12" xfId="400" xr:uid="{00000000-0005-0000-0000-00008F010000}"/>
    <cellStyle name="_Elite Commit_India_Nov_06 13" xfId="401" xr:uid="{00000000-0005-0000-0000-000090010000}"/>
    <cellStyle name="_Elite Commit_India_Nov_06 14" xfId="402" xr:uid="{00000000-0005-0000-0000-000091010000}"/>
    <cellStyle name="_Elite Commit_India_Nov_06 2" xfId="403" xr:uid="{00000000-0005-0000-0000-000092010000}"/>
    <cellStyle name="_Elite Commit_India_Nov_06 3" xfId="404" xr:uid="{00000000-0005-0000-0000-000093010000}"/>
    <cellStyle name="_Elite Commit_India_Nov_06 4" xfId="405" xr:uid="{00000000-0005-0000-0000-000094010000}"/>
    <cellStyle name="_Elite Commit_India_Nov_06 5" xfId="406" xr:uid="{00000000-0005-0000-0000-000095010000}"/>
    <cellStyle name="_Elite Commit_India_Nov_06 6" xfId="407" xr:uid="{00000000-0005-0000-0000-000096010000}"/>
    <cellStyle name="_Elite Commit_India_Nov_06 7" xfId="408" xr:uid="{00000000-0005-0000-0000-000097010000}"/>
    <cellStyle name="_Elite Commit_India_Nov_06 8" xfId="409" xr:uid="{00000000-0005-0000-0000-000098010000}"/>
    <cellStyle name="_Elite Commit_India_Nov_06 9" xfId="410" xr:uid="{00000000-0005-0000-0000-000099010000}"/>
    <cellStyle name="_Elite Commit_India_Rewards_Aug_08" xfId="411" xr:uid="{00000000-0005-0000-0000-00009A010000}"/>
    <cellStyle name="_Elite Commit_Korea_KRW_Rewards_Aug_08" xfId="412" xr:uid="{00000000-0005-0000-0000-00009B010000}"/>
    <cellStyle name="_Elite Commit_Korea_USD_Nov_06" xfId="413" xr:uid="{00000000-0005-0000-0000-00009C010000}"/>
    <cellStyle name="_Elite Commit_Korea_USD_Nov_06 10" xfId="414" xr:uid="{00000000-0005-0000-0000-00009D010000}"/>
    <cellStyle name="_Elite Commit_Korea_USD_Nov_06 11" xfId="415" xr:uid="{00000000-0005-0000-0000-00009E010000}"/>
    <cellStyle name="_Elite Commit_Korea_USD_Nov_06 12" xfId="416" xr:uid="{00000000-0005-0000-0000-00009F010000}"/>
    <cellStyle name="_Elite Commit_Korea_USD_Nov_06 13" xfId="417" xr:uid="{00000000-0005-0000-0000-0000A0010000}"/>
    <cellStyle name="_Elite Commit_Korea_USD_Nov_06 14" xfId="418" xr:uid="{00000000-0005-0000-0000-0000A1010000}"/>
    <cellStyle name="_Elite Commit_Korea_USD_Nov_06 2" xfId="419" xr:uid="{00000000-0005-0000-0000-0000A2010000}"/>
    <cellStyle name="_Elite Commit_Korea_USD_Nov_06 3" xfId="420" xr:uid="{00000000-0005-0000-0000-0000A3010000}"/>
    <cellStyle name="_Elite Commit_Korea_USD_Nov_06 4" xfId="421" xr:uid="{00000000-0005-0000-0000-0000A4010000}"/>
    <cellStyle name="_Elite Commit_Korea_USD_Nov_06 5" xfId="422" xr:uid="{00000000-0005-0000-0000-0000A5010000}"/>
    <cellStyle name="_Elite Commit_Korea_USD_Nov_06 6" xfId="423" xr:uid="{00000000-0005-0000-0000-0000A6010000}"/>
    <cellStyle name="_Elite Commit_Korea_USD_Nov_06 7" xfId="424" xr:uid="{00000000-0005-0000-0000-0000A7010000}"/>
    <cellStyle name="_Elite Commit_Korea_USD_Nov_06 8" xfId="425" xr:uid="{00000000-0005-0000-0000-0000A8010000}"/>
    <cellStyle name="_Elite Commit_Korea_USD_Nov_06 9" xfId="426" xr:uid="{00000000-0005-0000-0000-0000A9010000}"/>
    <cellStyle name="_Elite Commit_New_Zealand_Nov_06" xfId="427" xr:uid="{00000000-0005-0000-0000-0000AA010000}"/>
    <cellStyle name="_Elite Commit_New_Zealand_Nov_06 10" xfId="428" xr:uid="{00000000-0005-0000-0000-0000AB010000}"/>
    <cellStyle name="_Elite Commit_New_Zealand_Nov_06 11" xfId="429" xr:uid="{00000000-0005-0000-0000-0000AC010000}"/>
    <cellStyle name="_Elite Commit_New_Zealand_Nov_06 12" xfId="430" xr:uid="{00000000-0005-0000-0000-0000AD010000}"/>
    <cellStyle name="_Elite Commit_New_Zealand_Nov_06 13" xfId="431" xr:uid="{00000000-0005-0000-0000-0000AE010000}"/>
    <cellStyle name="_Elite Commit_New_Zealand_Nov_06 14" xfId="432" xr:uid="{00000000-0005-0000-0000-0000AF010000}"/>
    <cellStyle name="_Elite Commit_New_Zealand_Nov_06 2" xfId="433" xr:uid="{00000000-0005-0000-0000-0000B0010000}"/>
    <cellStyle name="_Elite Commit_New_Zealand_Nov_06 3" xfId="434" xr:uid="{00000000-0005-0000-0000-0000B1010000}"/>
    <cellStyle name="_Elite Commit_New_Zealand_Nov_06 4" xfId="435" xr:uid="{00000000-0005-0000-0000-0000B2010000}"/>
    <cellStyle name="_Elite Commit_New_Zealand_Nov_06 5" xfId="436" xr:uid="{00000000-0005-0000-0000-0000B3010000}"/>
    <cellStyle name="_Elite Commit_New_Zealand_Nov_06 6" xfId="437" xr:uid="{00000000-0005-0000-0000-0000B4010000}"/>
    <cellStyle name="_Elite Commit_New_Zealand_Nov_06 7" xfId="438" xr:uid="{00000000-0005-0000-0000-0000B5010000}"/>
    <cellStyle name="_Elite Commit_New_Zealand_Nov_06 8" xfId="439" xr:uid="{00000000-0005-0000-0000-0000B6010000}"/>
    <cellStyle name="_Elite Commit_New_Zealand_Nov_06 9" xfId="440" xr:uid="{00000000-0005-0000-0000-0000B7010000}"/>
    <cellStyle name="_Elite Commit_New_Zealand_Rewards_Aug_08" xfId="441" xr:uid="{00000000-0005-0000-0000-0000B8010000}"/>
    <cellStyle name="_Elite Commit_Notification_Availability Releases_China CNY (507-514)" xfId="442" xr:uid="{00000000-0005-0000-0000-0000B9010000}"/>
    <cellStyle name="_Elite Commit_Notification_Availability Releases_China CNY (507-514) 10" xfId="443" xr:uid="{00000000-0005-0000-0000-0000BA010000}"/>
    <cellStyle name="_Elite Commit_Notification_Availability Releases_China CNY (507-514) 11" xfId="444" xr:uid="{00000000-0005-0000-0000-0000BB010000}"/>
    <cellStyle name="_Elite Commit_Notification_Availability Releases_China CNY (507-514) 12" xfId="445" xr:uid="{00000000-0005-0000-0000-0000BC010000}"/>
    <cellStyle name="_Elite Commit_Notification_Availability Releases_China CNY (507-514) 13" xfId="446" xr:uid="{00000000-0005-0000-0000-0000BD010000}"/>
    <cellStyle name="_Elite Commit_Notification_Availability Releases_China CNY (507-514) 14" xfId="447" xr:uid="{00000000-0005-0000-0000-0000BE010000}"/>
    <cellStyle name="_Elite Commit_Notification_Availability Releases_China CNY (507-514) 2" xfId="448" xr:uid="{00000000-0005-0000-0000-0000BF010000}"/>
    <cellStyle name="_Elite Commit_Notification_Availability Releases_China CNY (507-514) 3" xfId="449" xr:uid="{00000000-0005-0000-0000-0000C0010000}"/>
    <cellStyle name="_Elite Commit_Notification_Availability Releases_China CNY (507-514) 4" xfId="450" xr:uid="{00000000-0005-0000-0000-0000C1010000}"/>
    <cellStyle name="_Elite Commit_Notification_Availability Releases_China CNY (507-514) 5" xfId="451" xr:uid="{00000000-0005-0000-0000-0000C2010000}"/>
    <cellStyle name="_Elite Commit_Notification_Availability Releases_China CNY (507-514) 6" xfId="452" xr:uid="{00000000-0005-0000-0000-0000C3010000}"/>
    <cellStyle name="_Elite Commit_Notification_Availability Releases_China CNY (507-514) 7" xfId="453" xr:uid="{00000000-0005-0000-0000-0000C4010000}"/>
    <cellStyle name="_Elite Commit_Notification_Availability Releases_China CNY (507-514) 8" xfId="454" xr:uid="{00000000-0005-0000-0000-0000C5010000}"/>
    <cellStyle name="_Elite Commit_Notification_Availability Releases_China CNY (507-514) 9" xfId="455" xr:uid="{00000000-0005-0000-0000-0000C6010000}"/>
    <cellStyle name="_Elite Commit_Rewards AIM" xfId="456" xr:uid="{00000000-0005-0000-0000-0000C7010000}"/>
    <cellStyle name="_Elite Commit_Rewards AIM 10" xfId="457" xr:uid="{00000000-0005-0000-0000-0000C8010000}"/>
    <cellStyle name="_Elite Commit_Rewards AIM 11" xfId="458" xr:uid="{00000000-0005-0000-0000-0000C9010000}"/>
    <cellStyle name="_Elite Commit_Rewards AIM 12" xfId="459" xr:uid="{00000000-0005-0000-0000-0000CA010000}"/>
    <cellStyle name="_Elite Commit_Rewards AIM 13" xfId="460" xr:uid="{00000000-0005-0000-0000-0000CB010000}"/>
    <cellStyle name="_Elite Commit_Rewards AIM 14" xfId="461" xr:uid="{00000000-0005-0000-0000-0000CC010000}"/>
    <cellStyle name="_Elite Commit_Rewards AIM 2" xfId="462" xr:uid="{00000000-0005-0000-0000-0000CD010000}"/>
    <cellStyle name="_Elite Commit_Rewards AIM 3" xfId="463" xr:uid="{00000000-0005-0000-0000-0000CE010000}"/>
    <cellStyle name="_Elite Commit_Rewards AIM 4" xfId="464" xr:uid="{00000000-0005-0000-0000-0000CF010000}"/>
    <cellStyle name="_Elite Commit_Rewards AIM 5" xfId="465" xr:uid="{00000000-0005-0000-0000-0000D0010000}"/>
    <cellStyle name="_Elite Commit_Rewards AIM 6" xfId="466" xr:uid="{00000000-0005-0000-0000-0000D1010000}"/>
    <cellStyle name="_Elite Commit_Rewards AIM 7" xfId="467" xr:uid="{00000000-0005-0000-0000-0000D2010000}"/>
    <cellStyle name="_Elite Commit_Rewards AIM 8" xfId="468" xr:uid="{00000000-0005-0000-0000-0000D3010000}"/>
    <cellStyle name="_Elite Commit_Rewards AIM 9" xfId="469" xr:uid="{00000000-0005-0000-0000-0000D4010000}"/>
    <cellStyle name="_Elite Commit_Rewards Security" xfId="470" xr:uid="{00000000-0005-0000-0000-0000D5010000}"/>
    <cellStyle name="_Elite Commit_Rewards Security 10" xfId="471" xr:uid="{00000000-0005-0000-0000-0000D6010000}"/>
    <cellStyle name="_Elite Commit_Rewards Security 11" xfId="472" xr:uid="{00000000-0005-0000-0000-0000D7010000}"/>
    <cellStyle name="_Elite Commit_Rewards Security 12" xfId="473" xr:uid="{00000000-0005-0000-0000-0000D8010000}"/>
    <cellStyle name="_Elite Commit_Rewards Security 13" xfId="474" xr:uid="{00000000-0005-0000-0000-0000D9010000}"/>
    <cellStyle name="_Elite Commit_Rewards Security 14" xfId="475" xr:uid="{00000000-0005-0000-0000-0000DA010000}"/>
    <cellStyle name="_Elite Commit_Rewards Security 2" xfId="476" xr:uid="{00000000-0005-0000-0000-0000DB010000}"/>
    <cellStyle name="_Elite Commit_Rewards Security 3" xfId="477" xr:uid="{00000000-0005-0000-0000-0000DC010000}"/>
    <cellStyle name="_Elite Commit_Rewards Security 4" xfId="478" xr:uid="{00000000-0005-0000-0000-0000DD010000}"/>
    <cellStyle name="_Elite Commit_Rewards Security 5" xfId="479" xr:uid="{00000000-0005-0000-0000-0000DE010000}"/>
    <cellStyle name="_Elite Commit_Rewards Security 6" xfId="480" xr:uid="{00000000-0005-0000-0000-0000DF010000}"/>
    <cellStyle name="_Elite Commit_Rewards Security 7" xfId="481" xr:uid="{00000000-0005-0000-0000-0000E0010000}"/>
    <cellStyle name="_Elite Commit_Rewards Security 8" xfId="482" xr:uid="{00000000-0005-0000-0000-0000E1010000}"/>
    <cellStyle name="_Elite Commit_Rewards Security 9" xfId="483" xr:uid="{00000000-0005-0000-0000-0000E2010000}"/>
    <cellStyle name="_Elite Commit_Security Media Packs" xfId="484" xr:uid="{00000000-0005-0000-0000-0000E3010000}"/>
    <cellStyle name="_Elite Commit_Security Media Packs 10" xfId="485" xr:uid="{00000000-0005-0000-0000-0000E4010000}"/>
    <cellStyle name="_Elite Commit_Security Media Packs 11" xfId="486" xr:uid="{00000000-0005-0000-0000-0000E5010000}"/>
    <cellStyle name="_Elite Commit_Security Media Packs 12" xfId="487" xr:uid="{00000000-0005-0000-0000-0000E6010000}"/>
    <cellStyle name="_Elite Commit_Security Media Packs 13" xfId="488" xr:uid="{00000000-0005-0000-0000-0000E7010000}"/>
    <cellStyle name="_Elite Commit_Security Media Packs 14" xfId="489" xr:uid="{00000000-0005-0000-0000-0000E8010000}"/>
    <cellStyle name="_Elite Commit_Security Media Packs 2" xfId="490" xr:uid="{00000000-0005-0000-0000-0000E9010000}"/>
    <cellStyle name="_Elite Commit_Security Media Packs 3" xfId="491" xr:uid="{00000000-0005-0000-0000-0000EA010000}"/>
    <cellStyle name="_Elite Commit_Security Media Packs 4" xfId="492" xr:uid="{00000000-0005-0000-0000-0000EB010000}"/>
    <cellStyle name="_Elite Commit_Security Media Packs 5" xfId="493" xr:uid="{00000000-0005-0000-0000-0000EC010000}"/>
    <cellStyle name="_Elite Commit_Security Media Packs 6" xfId="494" xr:uid="{00000000-0005-0000-0000-0000ED010000}"/>
    <cellStyle name="_Elite Commit_Security Media Packs 7" xfId="495" xr:uid="{00000000-0005-0000-0000-0000EE010000}"/>
    <cellStyle name="_Elite Commit_Security Media Packs 8" xfId="496" xr:uid="{00000000-0005-0000-0000-0000EF010000}"/>
    <cellStyle name="_Elite Commit_Security Media Packs 9" xfId="497" xr:uid="{00000000-0005-0000-0000-0000F0010000}"/>
    <cellStyle name="_Elite Commit_SF Description" xfId="498" xr:uid="{00000000-0005-0000-0000-0000F1010000}"/>
    <cellStyle name="_Elite Commit_Singapore_Nov_06" xfId="499" xr:uid="{00000000-0005-0000-0000-0000F2010000}"/>
    <cellStyle name="_Elite Commit_Singapore_Nov_06 10" xfId="500" xr:uid="{00000000-0005-0000-0000-0000F3010000}"/>
    <cellStyle name="_Elite Commit_Singapore_Nov_06 11" xfId="501" xr:uid="{00000000-0005-0000-0000-0000F4010000}"/>
    <cellStyle name="_Elite Commit_Singapore_Nov_06 12" xfId="502" xr:uid="{00000000-0005-0000-0000-0000F5010000}"/>
    <cellStyle name="_Elite Commit_Singapore_Nov_06 13" xfId="503" xr:uid="{00000000-0005-0000-0000-0000F6010000}"/>
    <cellStyle name="_Elite Commit_Singapore_Nov_06 14" xfId="504" xr:uid="{00000000-0005-0000-0000-0000F7010000}"/>
    <cellStyle name="_Elite Commit_Singapore_Nov_06 2" xfId="505" xr:uid="{00000000-0005-0000-0000-0000F8010000}"/>
    <cellStyle name="_Elite Commit_Singapore_Nov_06 3" xfId="506" xr:uid="{00000000-0005-0000-0000-0000F9010000}"/>
    <cellStyle name="_Elite Commit_Singapore_Nov_06 4" xfId="507" xr:uid="{00000000-0005-0000-0000-0000FA010000}"/>
    <cellStyle name="_Elite Commit_Singapore_Nov_06 5" xfId="508" xr:uid="{00000000-0005-0000-0000-0000FB010000}"/>
    <cellStyle name="_Elite Commit_Singapore_Nov_06 6" xfId="509" xr:uid="{00000000-0005-0000-0000-0000FC010000}"/>
    <cellStyle name="_Elite Commit_Singapore_Nov_06 7" xfId="510" xr:uid="{00000000-0005-0000-0000-0000FD010000}"/>
    <cellStyle name="_Elite Commit_Singapore_Nov_06 8" xfId="511" xr:uid="{00000000-0005-0000-0000-0000FE010000}"/>
    <cellStyle name="_Elite Commit_Singapore_Nov_06 9" xfId="512" xr:uid="{00000000-0005-0000-0000-0000FF010000}"/>
    <cellStyle name="_Elite Commit_Singapore_Rewards_Aug_08" xfId="513" xr:uid="{00000000-0005-0000-0000-000000020000}"/>
    <cellStyle name="_Elite Commit_Skus to Withdraw" xfId="514" xr:uid="{00000000-0005-0000-0000-000001020000}"/>
    <cellStyle name="_Elite Commit_Taiwan_Nov_06" xfId="515" xr:uid="{00000000-0005-0000-0000-000002020000}"/>
    <cellStyle name="_Elite Commit_Taiwan_Nov_06 10" xfId="516" xr:uid="{00000000-0005-0000-0000-000003020000}"/>
    <cellStyle name="_Elite Commit_Taiwan_Nov_06 11" xfId="517" xr:uid="{00000000-0005-0000-0000-000004020000}"/>
    <cellStyle name="_Elite Commit_Taiwan_Nov_06 12" xfId="518" xr:uid="{00000000-0005-0000-0000-000005020000}"/>
    <cellStyle name="_Elite Commit_Taiwan_Nov_06 13" xfId="519" xr:uid="{00000000-0005-0000-0000-000006020000}"/>
    <cellStyle name="_Elite Commit_Taiwan_Nov_06 14" xfId="520" xr:uid="{00000000-0005-0000-0000-000007020000}"/>
    <cellStyle name="_Elite Commit_Taiwan_Nov_06 2" xfId="521" xr:uid="{00000000-0005-0000-0000-000008020000}"/>
    <cellStyle name="_Elite Commit_Taiwan_Nov_06 3" xfId="522" xr:uid="{00000000-0005-0000-0000-000009020000}"/>
    <cellStyle name="_Elite Commit_Taiwan_Nov_06 4" xfId="523" xr:uid="{00000000-0005-0000-0000-00000A020000}"/>
    <cellStyle name="_Elite Commit_Taiwan_Nov_06 5" xfId="524" xr:uid="{00000000-0005-0000-0000-00000B020000}"/>
    <cellStyle name="_Elite Commit_Taiwan_Nov_06 6" xfId="525" xr:uid="{00000000-0005-0000-0000-00000C020000}"/>
    <cellStyle name="_Elite Commit_Taiwan_Nov_06 7" xfId="526" xr:uid="{00000000-0005-0000-0000-00000D020000}"/>
    <cellStyle name="_Elite Commit_Taiwan_Nov_06 8" xfId="527" xr:uid="{00000000-0005-0000-0000-00000E020000}"/>
    <cellStyle name="_Elite Commit_Taiwan_Nov_06 9" xfId="528" xr:uid="{00000000-0005-0000-0000-00000F020000}"/>
    <cellStyle name="_Elite Commit_Taiwan_Rewards_Aug_08" xfId="529" xr:uid="{00000000-0005-0000-0000-000010020000}"/>
    <cellStyle name="_Elite Commit_Taiwan_Rewards_Feb_08" xfId="530" xr:uid="{00000000-0005-0000-0000-000011020000}"/>
    <cellStyle name="_Elite Commit_Thailand_USD_Nov_06" xfId="531" xr:uid="{00000000-0005-0000-0000-000012020000}"/>
    <cellStyle name="_Elite Commit_Thailand_USD_Nov_06 10" xfId="532" xr:uid="{00000000-0005-0000-0000-000013020000}"/>
    <cellStyle name="_Elite Commit_Thailand_USD_Nov_06 11" xfId="533" xr:uid="{00000000-0005-0000-0000-000014020000}"/>
    <cellStyle name="_Elite Commit_Thailand_USD_Nov_06 12" xfId="534" xr:uid="{00000000-0005-0000-0000-000015020000}"/>
    <cellStyle name="_Elite Commit_Thailand_USD_Nov_06 13" xfId="535" xr:uid="{00000000-0005-0000-0000-000016020000}"/>
    <cellStyle name="_Elite Commit_Thailand_USD_Nov_06 14" xfId="536" xr:uid="{00000000-0005-0000-0000-000017020000}"/>
    <cellStyle name="_Elite Commit_Thailand_USD_Nov_06 2" xfId="537" xr:uid="{00000000-0005-0000-0000-000018020000}"/>
    <cellStyle name="_Elite Commit_Thailand_USD_Nov_06 3" xfId="538" xr:uid="{00000000-0005-0000-0000-000019020000}"/>
    <cellStyle name="_Elite Commit_Thailand_USD_Nov_06 4" xfId="539" xr:uid="{00000000-0005-0000-0000-00001A020000}"/>
    <cellStyle name="_Elite Commit_Thailand_USD_Nov_06 5" xfId="540" xr:uid="{00000000-0005-0000-0000-00001B020000}"/>
    <cellStyle name="_Elite Commit_Thailand_USD_Nov_06 6" xfId="541" xr:uid="{00000000-0005-0000-0000-00001C020000}"/>
    <cellStyle name="_Elite Commit_Thailand_USD_Nov_06 7" xfId="542" xr:uid="{00000000-0005-0000-0000-00001D020000}"/>
    <cellStyle name="_Elite Commit_Thailand_USD_Nov_06 8" xfId="543" xr:uid="{00000000-0005-0000-0000-00001E020000}"/>
    <cellStyle name="_Elite Commit_Thailand_USD_Nov_06 9" xfId="544" xr:uid="{00000000-0005-0000-0000-00001F020000}"/>
    <cellStyle name="_Elite F" xfId="545" xr:uid="{00000000-0005-0000-0000-000020020000}"/>
    <cellStyle name="_Elite Forecast" xfId="546" xr:uid="{00000000-0005-0000-0000-000021020000}"/>
    <cellStyle name="_Express" xfId="547" xr:uid="{00000000-0005-0000-0000-000022020000}"/>
    <cellStyle name="_Express Availability" xfId="548" xr:uid="{00000000-0005-0000-0000-000023020000}"/>
    <cellStyle name="_Feb US TS" xfId="549" xr:uid="{00000000-0005-0000-0000-000024020000}"/>
    <cellStyle name="_Govt AV &amp; Filtering" xfId="550" xr:uid="{00000000-0005-0000-0000-000025020000}"/>
    <cellStyle name="_Govt Availability" xfId="551" xr:uid="{00000000-0005-0000-0000-000026020000}"/>
    <cellStyle name="_Govt Enterprise Administration" xfId="552" xr:uid="{00000000-0005-0000-0000-000027020000}"/>
    <cellStyle name="_Hong Kong" xfId="553" xr:uid="{00000000-0005-0000-0000-000028020000}"/>
    <cellStyle name="_Hong Kong Price List" xfId="554" xr:uid="{00000000-0005-0000-0000-000029020000}"/>
    <cellStyle name="_Hong Kong Price List 10" xfId="555" xr:uid="{00000000-0005-0000-0000-00002A020000}"/>
    <cellStyle name="_Hong Kong Price List 11" xfId="556" xr:uid="{00000000-0005-0000-0000-00002B020000}"/>
    <cellStyle name="_Hong Kong Price List 12" xfId="557" xr:uid="{00000000-0005-0000-0000-00002C020000}"/>
    <cellStyle name="_Hong Kong Price List 13" xfId="558" xr:uid="{00000000-0005-0000-0000-00002D020000}"/>
    <cellStyle name="_Hong Kong Price List 14" xfId="559" xr:uid="{00000000-0005-0000-0000-00002E020000}"/>
    <cellStyle name="_Hong Kong Price List 2" xfId="560" xr:uid="{00000000-0005-0000-0000-00002F020000}"/>
    <cellStyle name="_Hong Kong Price List 3" xfId="561" xr:uid="{00000000-0005-0000-0000-000030020000}"/>
    <cellStyle name="_Hong Kong Price List 4" xfId="562" xr:uid="{00000000-0005-0000-0000-000031020000}"/>
    <cellStyle name="_Hong Kong Price List 5" xfId="563" xr:uid="{00000000-0005-0000-0000-000032020000}"/>
    <cellStyle name="_Hong Kong Price List 6" xfId="564" xr:uid="{00000000-0005-0000-0000-000033020000}"/>
    <cellStyle name="_Hong Kong Price List 7" xfId="565" xr:uid="{00000000-0005-0000-0000-000034020000}"/>
    <cellStyle name="_Hong Kong Price List 8" xfId="566" xr:uid="{00000000-0005-0000-0000-000035020000}"/>
    <cellStyle name="_Hong Kong Price List 9" xfId="567" xr:uid="{00000000-0005-0000-0000-000036020000}"/>
    <cellStyle name="_Hong Kong_Express_Academic_Government" xfId="568" xr:uid="{00000000-0005-0000-0000-000037020000}"/>
    <cellStyle name="_Hong Kong_Nov_06" xfId="569" xr:uid="{00000000-0005-0000-0000-000038020000}"/>
    <cellStyle name="_Hong Kong_Sygate_Aug_06" xfId="570" xr:uid="{00000000-0005-0000-0000-000039020000}"/>
    <cellStyle name="_India" xfId="571" xr:uid="{00000000-0005-0000-0000-00003A020000}"/>
    <cellStyle name="_India Price List" xfId="572" xr:uid="{00000000-0005-0000-0000-00003B020000}"/>
    <cellStyle name="_India Price List 10" xfId="573" xr:uid="{00000000-0005-0000-0000-00003C020000}"/>
    <cellStyle name="_India Price List 11" xfId="574" xr:uid="{00000000-0005-0000-0000-00003D020000}"/>
    <cellStyle name="_India Price List 12" xfId="575" xr:uid="{00000000-0005-0000-0000-00003E020000}"/>
    <cellStyle name="_India Price List 13" xfId="576" xr:uid="{00000000-0005-0000-0000-00003F020000}"/>
    <cellStyle name="_India Price List 14" xfId="577" xr:uid="{00000000-0005-0000-0000-000040020000}"/>
    <cellStyle name="_India Price List 2" xfId="578" xr:uid="{00000000-0005-0000-0000-000041020000}"/>
    <cellStyle name="_India Price List 3" xfId="579" xr:uid="{00000000-0005-0000-0000-000042020000}"/>
    <cellStyle name="_India Price List 4" xfId="580" xr:uid="{00000000-0005-0000-0000-000043020000}"/>
    <cellStyle name="_India Price List 5" xfId="581" xr:uid="{00000000-0005-0000-0000-000044020000}"/>
    <cellStyle name="_India Price List 6" xfId="582" xr:uid="{00000000-0005-0000-0000-000045020000}"/>
    <cellStyle name="_India Price List 7" xfId="583" xr:uid="{00000000-0005-0000-0000-000046020000}"/>
    <cellStyle name="_India Price List 8" xfId="584" xr:uid="{00000000-0005-0000-0000-000047020000}"/>
    <cellStyle name="_India Price List 9" xfId="585" xr:uid="{00000000-0005-0000-0000-000048020000}"/>
    <cellStyle name="_India_Express_Academic_Government" xfId="586" xr:uid="{00000000-0005-0000-0000-000049020000}"/>
    <cellStyle name="_India_Nov_06" xfId="587" xr:uid="{00000000-0005-0000-0000-00004A020000}"/>
    <cellStyle name="_India_Sygate_Aug_06" xfId="588" xr:uid="{00000000-0005-0000-0000-00004B020000}"/>
    <cellStyle name="_Korea" xfId="589" xr:uid="{00000000-0005-0000-0000-00004C020000}"/>
    <cellStyle name="_Korea KRW_Express_Academic_Government" xfId="590" xr:uid="{00000000-0005-0000-0000-00004D020000}"/>
    <cellStyle name="_Korea Price List" xfId="591" xr:uid="{00000000-0005-0000-0000-00004E020000}"/>
    <cellStyle name="_Korea Price List 10" xfId="592" xr:uid="{00000000-0005-0000-0000-00004F020000}"/>
    <cellStyle name="_Korea Price List 11" xfId="593" xr:uid="{00000000-0005-0000-0000-000050020000}"/>
    <cellStyle name="_Korea Price List 12" xfId="594" xr:uid="{00000000-0005-0000-0000-000051020000}"/>
    <cellStyle name="_Korea Price List 13" xfId="595" xr:uid="{00000000-0005-0000-0000-000052020000}"/>
    <cellStyle name="_Korea Price List 14" xfId="596" xr:uid="{00000000-0005-0000-0000-000053020000}"/>
    <cellStyle name="_Korea Price List 2" xfId="597" xr:uid="{00000000-0005-0000-0000-000054020000}"/>
    <cellStyle name="_Korea Price List 3" xfId="598" xr:uid="{00000000-0005-0000-0000-000055020000}"/>
    <cellStyle name="_Korea Price List 4" xfId="599" xr:uid="{00000000-0005-0000-0000-000056020000}"/>
    <cellStyle name="_Korea Price List 5" xfId="600" xr:uid="{00000000-0005-0000-0000-000057020000}"/>
    <cellStyle name="_Korea Price List 6" xfId="601" xr:uid="{00000000-0005-0000-0000-000058020000}"/>
    <cellStyle name="_Korea Price List 7" xfId="602" xr:uid="{00000000-0005-0000-0000-000059020000}"/>
    <cellStyle name="_Korea Price List 8" xfId="603" xr:uid="{00000000-0005-0000-0000-00005A020000}"/>
    <cellStyle name="_Korea Price List 9" xfId="604" xr:uid="{00000000-0005-0000-0000-00005B020000}"/>
    <cellStyle name="_Korea USD_Express_Academic_Government" xfId="605" xr:uid="{00000000-0005-0000-0000-00005C020000}"/>
    <cellStyle name="_Korea_Sygate_Aug_06" xfId="606" xr:uid="{00000000-0005-0000-0000-00005D020000}"/>
    <cellStyle name="_Korea_USD_Nov_06" xfId="607" xr:uid="{00000000-0005-0000-0000-00005E020000}"/>
    <cellStyle name="_Managers &amp; Collectors" xfId="608" xr:uid="{00000000-0005-0000-0000-00005F020000}"/>
    <cellStyle name="_MBO for June 05 - Upgrade Matrix" xfId="609" xr:uid="{00000000-0005-0000-0000-000060020000}"/>
    <cellStyle name="_New Zealand_Express_Academic_Government" xfId="610" xr:uid="{00000000-0005-0000-0000-000061020000}"/>
    <cellStyle name="_New Zealand_Sygate_Aug_06" xfId="611" xr:uid="{00000000-0005-0000-0000-000062020000}"/>
    <cellStyle name="_New_Zealand_Dec_03" xfId="612" xr:uid="{00000000-0005-0000-0000-000063020000}"/>
    <cellStyle name="_New_Zealand_Nov_06" xfId="613" xr:uid="{00000000-0005-0000-0000-000064020000}"/>
    <cellStyle name="_ng_9.0_notif_sales" xfId="614" xr:uid="{00000000-0005-0000-0000-000065020000}"/>
    <cellStyle name="_Notification_Availability Releases_ASEAN (507-514)" xfId="615" xr:uid="{00000000-0005-0000-0000-000066020000}"/>
    <cellStyle name="_Notification_Availability Releases_Australia (507-514)" xfId="616" xr:uid="{00000000-0005-0000-0000-000067020000}"/>
    <cellStyle name="_Notification_Availability Releases_China CNY (507-514)" xfId="617" xr:uid="{00000000-0005-0000-0000-000068020000}"/>
    <cellStyle name="_Notification_Availability Releases_China USD (507-514)" xfId="618" xr:uid="{00000000-0005-0000-0000-000069020000}"/>
    <cellStyle name="_Notification_Availability Releases_Hong Kong (507-514)" xfId="619" xr:uid="{00000000-0005-0000-0000-00006A020000}"/>
    <cellStyle name="_Notification_Availability Releases_India (507-514)" xfId="620" xr:uid="{00000000-0005-0000-0000-00006B020000}"/>
    <cellStyle name="_Notification_Availability Releases_Korea USD (507-514)" xfId="621" xr:uid="{00000000-0005-0000-0000-00006C020000}"/>
    <cellStyle name="_Notification_Availability Releases_New Zealand (507-514)" xfId="622" xr:uid="{00000000-0005-0000-0000-00006D020000}"/>
    <cellStyle name="_Notification_Availability Releases_Singapore (507-514)" xfId="623" xr:uid="{00000000-0005-0000-0000-00006E020000}"/>
    <cellStyle name="_Notification_Availability Releases_Taiwan (507-514)" xfId="624" xr:uid="{00000000-0005-0000-0000-00006F020000}"/>
    <cellStyle name="_Notification_Business Critical Services_ASEAN (458)" xfId="625" xr:uid="{00000000-0005-0000-0000-000070020000}"/>
    <cellStyle name="_Notification_China RMB_NAV 2006 (draft)" xfId="626" xr:uid="{00000000-0005-0000-0000-000071020000}"/>
    <cellStyle name="_Notification_CommandCentral_SVC_4x_Discontinuation (530)" xfId="627" xr:uid="{00000000-0005-0000-0000-000072020000}"/>
    <cellStyle name="_Notification_Ghost Solution Suite_ASEAN (draft)" xfId="628" xr:uid="{00000000-0005-0000-0000-000073020000}"/>
    <cellStyle name="_Notification_Ghost Solution Suite_ASEAN (draft)_1" xfId="629" xr:uid="{00000000-0005-0000-0000-000074020000}"/>
    <cellStyle name="_Notification_Ghost Solution Suite_Australia (draft)" xfId="630" xr:uid="{00000000-0005-0000-0000-000075020000}"/>
    <cellStyle name="_Notification_Ghost Solution Suite_China (draft)" xfId="631" xr:uid="{00000000-0005-0000-0000-000076020000}"/>
    <cellStyle name="_Notification_Ghost Solution Suite_Hong Kong (draft)" xfId="632" xr:uid="{00000000-0005-0000-0000-000077020000}"/>
    <cellStyle name="_Notification_Ghost Solution Suite_India (draft)" xfId="633" xr:uid="{00000000-0005-0000-0000-000078020000}"/>
    <cellStyle name="_Notification_Ghost Solution Suite_Korea (draft)" xfId="634" xr:uid="{00000000-0005-0000-0000-000079020000}"/>
    <cellStyle name="_Notification_Ghost Solution Suite_New Zealand (draft)" xfId="635" xr:uid="{00000000-0005-0000-0000-00007A020000}"/>
    <cellStyle name="_Notification_Ghost Solution Suite_Singapore (draft)" xfId="636" xr:uid="{00000000-0005-0000-0000-00007B020000}"/>
    <cellStyle name="_Notification_Ghost Solution Suite_Taiwan (draft)" xfId="637" xr:uid="{00000000-0005-0000-0000-00007C020000}"/>
    <cellStyle name="_Notification_Ghost Solution Suite_Thailand (draft)" xfId="638" xr:uid="{00000000-0005-0000-0000-00007D020000}"/>
    <cellStyle name="_Notification_HESS Govt_ASEAN (#266)" xfId="639" xr:uid="{00000000-0005-0000-0000-00007E020000}"/>
    <cellStyle name="_Notification_HESS Govt_ASEAN (#266)_Academic EV" xfId="640" xr:uid="{00000000-0005-0000-0000-00007F020000}"/>
    <cellStyle name="_Notification_HESS Govt_ASEAN (#266)_Appliances" xfId="641" xr:uid="{00000000-0005-0000-0000-000080020000}"/>
    <cellStyle name="_Notification_HESS Govt_ASEAN (#266)_ASEAN_Apr_07" xfId="642" xr:uid="{00000000-0005-0000-0000-000081020000}"/>
    <cellStyle name="_Notification_HESS Govt_ASEAN (#266)_ASEAN_Aug_07" xfId="643" xr:uid="{00000000-0005-0000-0000-000082020000}"/>
    <cellStyle name="_Notification_HESS Govt_ASEAN (#266)_ASEAN_Jan_07" xfId="644" xr:uid="{00000000-0005-0000-0000-000083020000}"/>
    <cellStyle name="_Notification_HESS Govt_ASEAN (#266)_ASEAN_Jul_05" xfId="645" xr:uid="{00000000-0005-0000-0000-000084020000}"/>
    <cellStyle name="_Notification_HESS Govt_ASEAN (#266)_ASEAN_Jul_07" xfId="646" xr:uid="{00000000-0005-0000-0000-000085020000}"/>
    <cellStyle name="_Notification_HESS Govt_ASEAN (#266)_ASEAN_May_07" xfId="647" xr:uid="{00000000-0005-0000-0000-000086020000}"/>
    <cellStyle name="_Notification_HESS Govt_ASEAN (#266)_ASEAN_Rewards_Apr_07" xfId="648" xr:uid="{00000000-0005-0000-0000-000087020000}"/>
    <cellStyle name="_Notification_HESS Govt_ASEAN (#266)_ASEAN_Rewards_Apr_07 -ATTRI" xfId="649" xr:uid="{00000000-0005-0000-0000-000088020000}"/>
    <cellStyle name="_Notification_HESS Govt_ASEAN (#266)_ASEAN_Rewards_Aug_07" xfId="650" xr:uid="{00000000-0005-0000-0000-000089020000}"/>
    <cellStyle name="_Notification_HESS Govt_ASEAN (#266)_ASEAN_Rewards_Feb_07" xfId="651" xr:uid="{00000000-0005-0000-0000-00008A020000}"/>
    <cellStyle name="_Notification_HESS Govt_ASEAN (#266)_ASEAN_Rewards_Jan_07" xfId="652" xr:uid="{00000000-0005-0000-0000-00008B020000}"/>
    <cellStyle name="_Notification_HESS Govt_ASEAN (#266)_ASEAN_Security Margin Alignment" xfId="653" xr:uid="{00000000-0005-0000-0000-00008C020000}"/>
    <cellStyle name="_Notification_HESS Govt_ASEAN (#266)_ASEAN_Sep_05" xfId="654" xr:uid="{00000000-0005-0000-0000-00008D020000}"/>
    <cellStyle name="_Notification_HESS Govt_ASEAN (#266)_Australia_Sep_05" xfId="655" xr:uid="{00000000-0005-0000-0000-00008E020000}"/>
    <cellStyle name="_Notification_HESS Govt_ASEAN (#266)_Australia_Sep_08" xfId="656" xr:uid="{00000000-0005-0000-0000-00008F020000}"/>
    <cellStyle name="_Notification_HESS Govt_ASEAN (#266)_Availability SMB &amp; Media Packs" xfId="657" xr:uid="{00000000-0005-0000-0000-000090020000}"/>
    <cellStyle name="_Notification_HESS Govt_ASEAN (#266)_Availability SMB &amp; Media Packs_1" xfId="658" xr:uid="{00000000-0005-0000-0000-000091020000}"/>
    <cellStyle name="_Notification_HESS Govt_ASEAN (#266)_Changes" xfId="659" xr:uid="{00000000-0005-0000-0000-000092020000}"/>
    <cellStyle name="_Notification_HESS Govt_ASEAN (#266)_Changes_1" xfId="660" xr:uid="{00000000-0005-0000-0000-000093020000}"/>
    <cellStyle name="_Notification_HESS Govt_ASEAN (#266)_China USD_Rewards_Aug_07" xfId="661" xr:uid="{00000000-0005-0000-0000-000094020000}"/>
    <cellStyle name="_Notification_HESS Govt_ASEAN (#266)_China_USD_Sep_08" xfId="662" xr:uid="{00000000-0005-0000-0000-000095020000}"/>
    <cellStyle name="_Notification_HESS Govt_ASEAN (#266)_Express EV" xfId="663" xr:uid="{00000000-0005-0000-0000-000096020000}"/>
    <cellStyle name="_Notification_HESS Govt_ASEAN (#266)_Govt EV" xfId="664" xr:uid="{00000000-0005-0000-0000-000097020000}"/>
    <cellStyle name="_Notification_HESS Govt_ASEAN (#266)_Hong Kong_Aug_07" xfId="665" xr:uid="{00000000-0005-0000-0000-000098020000}"/>
    <cellStyle name="_Notification_HESS Govt_ASEAN (#266)_Hong Kong_Rewards_Aug_07" xfId="666" xr:uid="{00000000-0005-0000-0000-000099020000}"/>
    <cellStyle name="_Notification_HESS Govt_ASEAN (#266)_Hong Kong_Sep_08" xfId="667" xr:uid="{00000000-0005-0000-0000-00009A020000}"/>
    <cellStyle name="_Notification_HESS Govt_ASEAN (#266)_India_Rewards_Aug_07" xfId="668" xr:uid="{00000000-0005-0000-0000-00009B020000}"/>
    <cellStyle name="_Notification_HESS Govt_ASEAN (#266)_India_Rewards_Feb_07" xfId="669" xr:uid="{00000000-0005-0000-0000-00009C020000}"/>
    <cellStyle name="_Notification_HESS Govt_ASEAN (#266)_India_Sep_08" xfId="670" xr:uid="{00000000-0005-0000-0000-00009D020000}"/>
    <cellStyle name="_Notification_HESS Govt_ASEAN (#266)_Korea_KRW_Rewards_Aug_08" xfId="671" xr:uid="{00000000-0005-0000-0000-00009E020000}"/>
    <cellStyle name="_Notification_HESS Govt_ASEAN (#266)_Korea_KRW_Rewards_Feb_07" xfId="672" xr:uid="{00000000-0005-0000-0000-00009F020000}"/>
    <cellStyle name="_Notification_HESS Govt_ASEAN (#266)_Korea_KRW_Rewards_Jul_07" xfId="673" xr:uid="{00000000-0005-0000-0000-0000A0020000}"/>
    <cellStyle name="_Notification_HESS Govt_ASEAN (#266)_Korea_Sep_08" xfId="674" xr:uid="{00000000-0005-0000-0000-0000A1020000}"/>
    <cellStyle name="_Notification_HESS Govt_ASEAN (#266)_Korea_USD_Rewards_Apr_07 (Availability)" xfId="675" xr:uid="{00000000-0005-0000-0000-0000A2020000}"/>
    <cellStyle name="_Notification_HESS Govt_ASEAN (#266)_MAIN MENU" xfId="676" xr:uid="{00000000-0005-0000-0000-0000A3020000}"/>
    <cellStyle name="_Notification_HESS Govt_ASEAN (#266)_New Zealand_Sep_08" xfId="677" xr:uid="{00000000-0005-0000-0000-0000A4020000}"/>
    <cellStyle name="_Notification_HESS Govt_ASEAN (#266)_Notification_Additional Skus (5)_ASEAN" xfId="678" xr:uid="{00000000-0005-0000-0000-0000A5020000}"/>
    <cellStyle name="_Notification_HESS Govt_ASEAN (#266)_Notification_SEF 8.0 Maint &amp; Platinum Rnw_ASEAN (#398)" xfId="679" xr:uid="{00000000-0005-0000-0000-0000A6020000}"/>
    <cellStyle name="_Notification_HESS Govt_ASEAN (#266)_Notification_Support_AddlCont_Korea (548)" xfId="680" xr:uid="{00000000-0005-0000-0000-0000A7020000}"/>
    <cellStyle name="_Notification_HESS Govt_ASEAN (#266)_Notifications &amp; Information" xfId="681" xr:uid="{00000000-0005-0000-0000-0000A8020000}"/>
    <cellStyle name="_Notification_HESS Govt_ASEAN (#266)_Retail" xfId="682" xr:uid="{00000000-0005-0000-0000-0000A9020000}"/>
    <cellStyle name="_Notification_HESS Govt_ASEAN (#266)_Rewards Security" xfId="683" xr:uid="{00000000-0005-0000-0000-0000AA020000}"/>
    <cellStyle name="_Notification_HESS Govt_ASEAN (#266)_Rewards Security_1" xfId="684" xr:uid="{00000000-0005-0000-0000-0000AB020000}"/>
    <cellStyle name="_Notification_HESS Govt_ASEAN (#266)_Security Media Packs" xfId="685" xr:uid="{00000000-0005-0000-0000-0000AC020000}"/>
    <cellStyle name="_Notification_HESS Govt_ASEAN (#266)_Security Media Packs_Availability SMB &amp; Media Packs" xfId="686" xr:uid="{00000000-0005-0000-0000-0000AD020000}"/>
    <cellStyle name="_Notification_HESS Govt_ASEAN (#266)_Security Media Packs_Changes" xfId="687" xr:uid="{00000000-0005-0000-0000-0000AE020000}"/>
    <cellStyle name="_Notification_HESS Govt_ASEAN (#266)_Security Media Packs_Korea_KRW_Rewards_Aug_08" xfId="688" xr:uid="{00000000-0005-0000-0000-0000AF020000}"/>
    <cellStyle name="_Notification_HESS Govt_ASEAN (#266)_Security Media Packs_Rewards Security" xfId="689" xr:uid="{00000000-0005-0000-0000-0000B0020000}"/>
    <cellStyle name="_Notification_HESS Govt_ASEAN (#266)_SF Description" xfId="690" xr:uid="{00000000-0005-0000-0000-0000B1020000}"/>
    <cellStyle name="_Notification_HESS Govt_ASEAN (#266)_Singapore_Sep_08" xfId="691" xr:uid="{00000000-0005-0000-0000-0000B2020000}"/>
    <cellStyle name="_Notification_HESS Govt_ASEAN (#266)_Taiwan_Rewards_Apr_07" xfId="692" xr:uid="{00000000-0005-0000-0000-0000B3020000}"/>
    <cellStyle name="_Notification_HESS Govt_ASEAN (#266)_Taiwan_Rewards_Feb_07" xfId="693" xr:uid="{00000000-0005-0000-0000-0000B4020000}"/>
    <cellStyle name="_Notification_HESS Govt_ASEAN (#266)_Taiwan_Sep_08" xfId="694" xr:uid="{00000000-0005-0000-0000-0000B5020000}"/>
    <cellStyle name="_Notification_HESS Govt_ASEAN (#266)_Temp" xfId="695" xr:uid="{00000000-0005-0000-0000-0000B6020000}"/>
    <cellStyle name="_Notification_HESS Govt_ASEAN (#266)_Thailand_Rewards_Jul_07" xfId="696" xr:uid="{00000000-0005-0000-0000-0000B7020000}"/>
    <cellStyle name="_Notification_HESS Govt_ASEAN (#266)_Thailand_USD_Nov_06" xfId="697" xr:uid="{00000000-0005-0000-0000-0000B8020000}"/>
    <cellStyle name="_Notification_HESS Govt_Australia (#266)" xfId="698" xr:uid="{00000000-0005-0000-0000-0000B9020000}"/>
    <cellStyle name="_Notification_HESS Govt_Australia (#266)_Academic EV" xfId="699" xr:uid="{00000000-0005-0000-0000-0000BA020000}"/>
    <cellStyle name="_Notification_HESS Govt_Australia (#266)_Appliances" xfId="700" xr:uid="{00000000-0005-0000-0000-0000BB020000}"/>
    <cellStyle name="_Notification_HESS Govt_Australia (#266)_ASEAN_Aug_07" xfId="701" xr:uid="{00000000-0005-0000-0000-0000BC020000}"/>
    <cellStyle name="_Notification_HESS Govt_Australia (#266)_ASEAN_Jan_07" xfId="702" xr:uid="{00000000-0005-0000-0000-0000BD020000}"/>
    <cellStyle name="_Notification_HESS Govt_Australia (#266)_ASEAN_Jul_07" xfId="703" xr:uid="{00000000-0005-0000-0000-0000BE020000}"/>
    <cellStyle name="_Notification_HESS Govt_Australia (#266)_ASEAN_May_07" xfId="704" xr:uid="{00000000-0005-0000-0000-0000BF020000}"/>
    <cellStyle name="_Notification_HESS Govt_Australia (#266)_ASEAN_Rewards_Apr_07 -ATTRI" xfId="705" xr:uid="{00000000-0005-0000-0000-0000C0020000}"/>
    <cellStyle name="_Notification_HESS Govt_Australia (#266)_ASEAN_Rewards_Jan_07" xfId="706" xr:uid="{00000000-0005-0000-0000-0000C1020000}"/>
    <cellStyle name="_Notification_HESS Govt_Australia (#266)_ASEAN_Sep_05" xfId="707" xr:uid="{00000000-0005-0000-0000-0000C2020000}"/>
    <cellStyle name="_Notification_HESS Govt_Australia (#266)_Australia_Apr_07" xfId="708" xr:uid="{00000000-0005-0000-0000-0000C3020000}"/>
    <cellStyle name="_Notification_HESS Govt_Australia (#266)_Australia_Feb_07" xfId="709" xr:uid="{00000000-0005-0000-0000-0000C4020000}"/>
    <cellStyle name="_Notification_HESS Govt_Australia (#266)_Australia_Jul_05" xfId="710" xr:uid="{00000000-0005-0000-0000-0000C5020000}"/>
    <cellStyle name="_Notification_HESS Govt_Australia (#266)_Australia_Rewards_Apr_07" xfId="711" xr:uid="{00000000-0005-0000-0000-0000C6020000}"/>
    <cellStyle name="_Notification_HESS Govt_Australia (#266)_Australia_Rewards_Aug_07" xfId="712" xr:uid="{00000000-0005-0000-0000-0000C7020000}"/>
    <cellStyle name="_Notification_HESS Govt_Australia (#266)_Australia_Rewards_Feb_07" xfId="713" xr:uid="{00000000-0005-0000-0000-0000C8020000}"/>
    <cellStyle name="_Notification_HESS Govt_Australia (#266)_Australia_Rewards_Jan_07" xfId="714" xr:uid="{00000000-0005-0000-0000-0000C9020000}"/>
    <cellStyle name="_Notification_HESS Govt_Australia (#266)_Australia_Security Margin Alignment" xfId="715" xr:uid="{00000000-0005-0000-0000-0000CA020000}"/>
    <cellStyle name="_Notification_HESS Govt_Australia (#266)_Availability SMB &amp; Media Packs" xfId="716" xr:uid="{00000000-0005-0000-0000-0000CB020000}"/>
    <cellStyle name="_Notification_HESS Govt_Australia (#266)_Availability SMB &amp; Media Packs_1" xfId="717" xr:uid="{00000000-0005-0000-0000-0000CC020000}"/>
    <cellStyle name="_Notification_HESS Govt_Australia (#266)_Changes" xfId="718" xr:uid="{00000000-0005-0000-0000-0000CD020000}"/>
    <cellStyle name="_Notification_HESS Govt_Australia (#266)_Changes_1" xfId="719" xr:uid="{00000000-0005-0000-0000-0000CE020000}"/>
    <cellStyle name="_Notification_HESS Govt_Australia (#266)_China USD_Rewards_Aug_07" xfId="720" xr:uid="{00000000-0005-0000-0000-0000CF020000}"/>
    <cellStyle name="_Notification_HESS Govt_Australia (#266)_China_CNY_Jul_07" xfId="721" xr:uid="{00000000-0005-0000-0000-0000D0020000}"/>
    <cellStyle name="_Notification_HESS Govt_Australia (#266)_China_USD_Sep_08" xfId="722" xr:uid="{00000000-0005-0000-0000-0000D1020000}"/>
    <cellStyle name="_Notification_HESS Govt_Australia (#266)_Express EV" xfId="723" xr:uid="{00000000-0005-0000-0000-0000D2020000}"/>
    <cellStyle name="_Notification_HESS Govt_Australia (#266)_Govt EV" xfId="724" xr:uid="{00000000-0005-0000-0000-0000D3020000}"/>
    <cellStyle name="_Notification_HESS Govt_Australia (#266)_Hong Kong_Aug_07" xfId="725" xr:uid="{00000000-0005-0000-0000-0000D4020000}"/>
    <cellStyle name="_Notification_HESS Govt_Australia (#266)_Hong Kong_Rewards_Aug_07" xfId="726" xr:uid="{00000000-0005-0000-0000-0000D5020000}"/>
    <cellStyle name="_Notification_HESS Govt_Australia (#266)_Hong Kong_Sep_08" xfId="727" xr:uid="{00000000-0005-0000-0000-0000D6020000}"/>
    <cellStyle name="_Notification_HESS Govt_Australia (#266)_India_Rewards_Aug_07" xfId="728" xr:uid="{00000000-0005-0000-0000-0000D7020000}"/>
    <cellStyle name="_Notification_HESS Govt_Australia (#266)_India_Rewards_Feb_07" xfId="729" xr:uid="{00000000-0005-0000-0000-0000D8020000}"/>
    <cellStyle name="_Notification_HESS Govt_Australia (#266)_India_Sep_08" xfId="730" xr:uid="{00000000-0005-0000-0000-0000D9020000}"/>
    <cellStyle name="_Notification_HESS Govt_Australia (#266)_Korea_KRW_Rewards_Aug_08" xfId="731" xr:uid="{00000000-0005-0000-0000-0000DA020000}"/>
    <cellStyle name="_Notification_HESS Govt_Australia (#266)_Korea_KRW_Rewards_Feb_07" xfId="732" xr:uid="{00000000-0005-0000-0000-0000DB020000}"/>
    <cellStyle name="_Notification_HESS Govt_Australia (#266)_Korea_KRW_Rewards_Jul_07" xfId="733" xr:uid="{00000000-0005-0000-0000-0000DC020000}"/>
    <cellStyle name="_Notification_HESS Govt_Australia (#266)_Korea_Sep_08" xfId="734" xr:uid="{00000000-0005-0000-0000-0000DD020000}"/>
    <cellStyle name="_Notification_HESS Govt_Australia (#266)_Korea_USD_Rewards_Apr_07 (Availability)" xfId="735" xr:uid="{00000000-0005-0000-0000-0000DE020000}"/>
    <cellStyle name="_Notification_HESS Govt_Australia (#266)_MAIN MENU" xfId="736" xr:uid="{00000000-0005-0000-0000-0000DF020000}"/>
    <cellStyle name="_Notification_HESS Govt_Australia (#266)_New Zealand_Jul_08" xfId="737" xr:uid="{00000000-0005-0000-0000-0000E0020000}"/>
    <cellStyle name="_Notification_HESS Govt_Australia (#266)_New Zealand_Sep_08" xfId="738" xr:uid="{00000000-0005-0000-0000-0000E1020000}"/>
    <cellStyle name="_Notification_HESS Govt_Australia (#266)_Notification_SEF 8.0 Maint &amp; Platinum Rnw_Australia (#398)" xfId="739" xr:uid="{00000000-0005-0000-0000-0000E2020000}"/>
    <cellStyle name="_Notification_HESS Govt_Australia (#266)_Notification_SEF 8.0 Maint &amp; Platinum Rnw_China USD (#398)" xfId="740" xr:uid="{00000000-0005-0000-0000-0000E3020000}"/>
    <cellStyle name="_Notification_HESS Govt_Australia (#266)_Notification_Support_AddlCont_Korea (548)" xfId="741" xr:uid="{00000000-0005-0000-0000-0000E4020000}"/>
    <cellStyle name="_Notification_HESS Govt_Australia (#266)_Notifications &amp; Information" xfId="742" xr:uid="{00000000-0005-0000-0000-0000E5020000}"/>
    <cellStyle name="_Notification_HESS Govt_Australia (#266)_Retail" xfId="743" xr:uid="{00000000-0005-0000-0000-0000E6020000}"/>
    <cellStyle name="_Notification_HESS Govt_Australia (#266)_Rewards AIM" xfId="744" xr:uid="{00000000-0005-0000-0000-0000E7020000}"/>
    <cellStyle name="_Notification_HESS Govt_Australia (#266)_Rewards Security" xfId="745" xr:uid="{00000000-0005-0000-0000-0000E8020000}"/>
    <cellStyle name="_Notification_HESS Govt_Australia (#266)_Rewards Security_1" xfId="746" xr:uid="{00000000-0005-0000-0000-0000E9020000}"/>
    <cellStyle name="_Notification_HESS Govt_Australia (#266)_Security Media Packs" xfId="747" xr:uid="{00000000-0005-0000-0000-0000EA020000}"/>
    <cellStyle name="_Notification_HESS Govt_Australia (#266)_Security Media Packs_Availability SMB &amp; Media Packs" xfId="748" xr:uid="{00000000-0005-0000-0000-0000EB020000}"/>
    <cellStyle name="_Notification_HESS Govt_Australia (#266)_Security Media Packs_Changes" xfId="749" xr:uid="{00000000-0005-0000-0000-0000EC020000}"/>
    <cellStyle name="_Notification_HESS Govt_Australia (#266)_Security Media Packs_Korea_KRW_Rewards_Aug_08" xfId="750" xr:uid="{00000000-0005-0000-0000-0000ED020000}"/>
    <cellStyle name="_Notification_HESS Govt_Australia (#266)_Security Media Packs_Rewards Security" xfId="751" xr:uid="{00000000-0005-0000-0000-0000EE020000}"/>
    <cellStyle name="_Notification_HESS Govt_Australia (#266)_SF Description" xfId="752" xr:uid="{00000000-0005-0000-0000-0000EF020000}"/>
    <cellStyle name="_Notification_HESS Govt_Australia (#266)_Singapore_Sep_08" xfId="753" xr:uid="{00000000-0005-0000-0000-0000F0020000}"/>
    <cellStyle name="_Notification_HESS Govt_Australia (#266)_Taiwan_Rewards_Apr_07" xfId="754" xr:uid="{00000000-0005-0000-0000-0000F1020000}"/>
    <cellStyle name="_Notification_HESS Govt_Australia (#266)_Taiwan_Rewards_Feb_07" xfId="755" xr:uid="{00000000-0005-0000-0000-0000F2020000}"/>
    <cellStyle name="_Notification_HESS Govt_Australia (#266)_Taiwan_Sep_08" xfId="756" xr:uid="{00000000-0005-0000-0000-0000F3020000}"/>
    <cellStyle name="_Notification_HESS Govt_Australia (#266)_Thailand_Rewards_Jul_07" xfId="757" xr:uid="{00000000-0005-0000-0000-0000F4020000}"/>
    <cellStyle name="_Notification_HESS Govt_Australia (#266)_Thailand_USD_Nov_06" xfId="758" xr:uid="{00000000-0005-0000-0000-0000F5020000}"/>
    <cellStyle name="_Notification_HESS Govt_China RMB (#266)" xfId="759" xr:uid="{00000000-0005-0000-0000-0000F6020000}"/>
    <cellStyle name="_Notification_HESS Govt_China USD (#266)" xfId="760" xr:uid="{00000000-0005-0000-0000-0000F7020000}"/>
    <cellStyle name="_Notification_HESS Govt_China USD (#266)_Appliances" xfId="761" xr:uid="{00000000-0005-0000-0000-0000F8020000}"/>
    <cellStyle name="_Notification_HESS Govt_China USD (#266)_ASEAN_Aug_07" xfId="762" xr:uid="{00000000-0005-0000-0000-0000F9020000}"/>
    <cellStyle name="_Notification_HESS Govt_China USD (#266)_ASEAN_Jul_07" xfId="763" xr:uid="{00000000-0005-0000-0000-0000FA020000}"/>
    <cellStyle name="_Notification_HESS Govt_China USD (#266)_ASEAN_Rewards_Aug_07" xfId="764" xr:uid="{00000000-0005-0000-0000-0000FB020000}"/>
    <cellStyle name="_Notification_HESS Govt_China USD (#266)_ASEAN_Rewards_Aug_08" xfId="765" xr:uid="{00000000-0005-0000-0000-0000FC020000}"/>
    <cellStyle name="_Notification_HESS Govt_China USD (#266)_Australia_Apr_07" xfId="766" xr:uid="{00000000-0005-0000-0000-0000FD020000}"/>
    <cellStyle name="_Notification_HESS Govt_China USD (#266)_Australia_Feb_07" xfId="767" xr:uid="{00000000-0005-0000-0000-0000FE020000}"/>
    <cellStyle name="_Notification_HESS Govt_China USD (#266)_Australia_Rewards_Apr_07" xfId="768" xr:uid="{00000000-0005-0000-0000-0000FF020000}"/>
    <cellStyle name="_Notification_HESS Govt_China USD (#266)_Australia_Rewards_Aug_07" xfId="769" xr:uid="{00000000-0005-0000-0000-000000030000}"/>
    <cellStyle name="_Notification_HESS Govt_China USD (#266)_Australia_Rewards_Feb_07" xfId="770" xr:uid="{00000000-0005-0000-0000-000001030000}"/>
    <cellStyle name="_Notification_HESS Govt_China USD (#266)_Australia_Rewards_Jan_07" xfId="771" xr:uid="{00000000-0005-0000-0000-000002030000}"/>
    <cellStyle name="_Notification_HESS Govt_China USD (#266)_Australia_Security Margin Alignment" xfId="772" xr:uid="{00000000-0005-0000-0000-000003030000}"/>
    <cellStyle name="_Notification_HESS Govt_China USD (#266)_Changes" xfId="773" xr:uid="{00000000-0005-0000-0000-000004030000}"/>
    <cellStyle name="_Notification_HESS Govt_China USD (#266)_Changes_China CNY_Rewards_Aug_07" xfId="774" xr:uid="{00000000-0005-0000-0000-000005030000}"/>
    <cellStyle name="_Notification_HESS Govt_China USD (#266)_Changes_China CNY_Security Margin Alignment" xfId="775" xr:uid="{00000000-0005-0000-0000-000006030000}"/>
    <cellStyle name="_Notification_HESS Govt_China USD (#266)_Changes_China USD_Rewards_Aug_07" xfId="776" xr:uid="{00000000-0005-0000-0000-000007030000}"/>
    <cellStyle name="_Notification_HESS Govt_China USD (#266)_Changes_China USD_Security Margin Alignment" xfId="777" xr:uid="{00000000-0005-0000-0000-000008030000}"/>
    <cellStyle name="_Notification_HESS Govt_China USD (#266)_China CNY_Rewards_Apr_07" xfId="778" xr:uid="{00000000-0005-0000-0000-000009030000}"/>
    <cellStyle name="_Notification_HESS Govt_China USD (#266)_China CNY_Rewards_Aug_07" xfId="779" xr:uid="{00000000-0005-0000-0000-00000A030000}"/>
    <cellStyle name="_Notification_HESS Govt_China USD (#266)_China CNY_Rewards_Feb_07" xfId="780" xr:uid="{00000000-0005-0000-0000-00000B030000}"/>
    <cellStyle name="_Notification_HESS Govt_China USD (#266)_China CNY_Security Margin Alignment" xfId="781" xr:uid="{00000000-0005-0000-0000-00000C030000}"/>
    <cellStyle name="_Notification_HESS Govt_China USD (#266)_China USD_Rewards_Apr_07" xfId="782" xr:uid="{00000000-0005-0000-0000-00000D030000}"/>
    <cellStyle name="_Notification_HESS Govt_China USD (#266)_China USD_Rewards_Aug_07" xfId="783" xr:uid="{00000000-0005-0000-0000-00000E030000}"/>
    <cellStyle name="_Notification_HESS Govt_China USD (#266)_China USD_Rewards_Feb_07" xfId="784" xr:uid="{00000000-0005-0000-0000-00000F030000}"/>
    <cellStyle name="_Notification_HESS Govt_China USD (#266)_China USD_Security Margin Alignment" xfId="785" xr:uid="{00000000-0005-0000-0000-000010030000}"/>
    <cellStyle name="_Notification_HESS Govt_China USD (#266)_China_CNY_Feb_07" xfId="786" xr:uid="{00000000-0005-0000-0000-000011030000}"/>
    <cellStyle name="_Notification_HESS Govt_China USD (#266)_China_CNY_Jul_07" xfId="787" xr:uid="{00000000-0005-0000-0000-000012030000}"/>
    <cellStyle name="_Notification_HESS Govt_China USD (#266)_China_RMB_Jul_05" xfId="788" xr:uid="{00000000-0005-0000-0000-000013030000}"/>
    <cellStyle name="_Notification_HESS Govt_China USD (#266)_China_USD_Apr_07" xfId="789" xr:uid="{00000000-0005-0000-0000-000014030000}"/>
    <cellStyle name="_Notification_HESS Govt_China USD (#266)_China_USD_Feb_07" xfId="790" xr:uid="{00000000-0005-0000-0000-000015030000}"/>
    <cellStyle name="_Notification_HESS Govt_China USD (#266)_China_USD_Jul_05" xfId="791" xr:uid="{00000000-0005-0000-0000-000016030000}"/>
    <cellStyle name="_Notification_HESS Govt_China USD (#266)_China_USD_Sep_06" xfId="792" xr:uid="{00000000-0005-0000-0000-000017030000}"/>
    <cellStyle name="_Notification_HESS Govt_China USD (#266)_Hong Kong_Aug_07" xfId="793" xr:uid="{00000000-0005-0000-0000-000018030000}"/>
    <cellStyle name="_Notification_HESS Govt_China USD (#266)_Hong Kong_Sep_08" xfId="794" xr:uid="{00000000-0005-0000-0000-000019030000}"/>
    <cellStyle name="_Notification_HESS Govt_China USD (#266)_India_Sep_08" xfId="795" xr:uid="{00000000-0005-0000-0000-00001A030000}"/>
    <cellStyle name="_Notification_HESS Govt_China USD (#266)_Korea_Sep_08" xfId="796" xr:uid="{00000000-0005-0000-0000-00001B030000}"/>
    <cellStyle name="_Notification_HESS Govt_China USD (#266)_New Zealand_Jul_08" xfId="797" xr:uid="{00000000-0005-0000-0000-00001C030000}"/>
    <cellStyle name="_Notification_HESS Govt_China USD (#266)_New Zealand_Sep_08" xfId="798" xr:uid="{00000000-0005-0000-0000-00001D030000}"/>
    <cellStyle name="_Notification_HESS Govt_China USD (#266)_Notification_SEF 8.0 Maint &amp; Platinum Rnw_China USD (#398)" xfId="799" xr:uid="{00000000-0005-0000-0000-00001E030000}"/>
    <cellStyle name="_Notification_HESS Govt_China USD (#266)_Notification_Support_AddlCont_Korea (548)" xfId="800" xr:uid="{00000000-0005-0000-0000-00001F030000}"/>
    <cellStyle name="_Notification_HESS Govt_China USD (#266)_Notifications &amp; Information" xfId="801" xr:uid="{00000000-0005-0000-0000-000020030000}"/>
    <cellStyle name="_Notification_HESS Govt_China USD (#266)_Rewards AIM" xfId="802" xr:uid="{00000000-0005-0000-0000-000021030000}"/>
    <cellStyle name="_Notification_HESS Govt_China USD (#266)_Rewards Availability" xfId="803" xr:uid="{00000000-0005-0000-0000-000022030000}"/>
    <cellStyle name="_Notification_HESS Govt_China USD (#266)_Rewards Security" xfId="804" xr:uid="{00000000-0005-0000-0000-000023030000}"/>
    <cellStyle name="_Notification_HESS Govt_China USD (#266)_Rewards Security_Appliances" xfId="805" xr:uid="{00000000-0005-0000-0000-000024030000}"/>
    <cellStyle name="_Notification_HESS Govt_China USD (#266)_Rewards Security_Hong Kong_Security Margin Alignment" xfId="806" xr:uid="{00000000-0005-0000-0000-000025030000}"/>
    <cellStyle name="_Notification_HESS Govt_China USD (#266)_Singapore_Sep_08" xfId="807" xr:uid="{00000000-0005-0000-0000-000026030000}"/>
    <cellStyle name="_Notification_HESS Govt_China USD (#266)_Taiwan_Sep_08" xfId="808" xr:uid="{00000000-0005-0000-0000-000027030000}"/>
    <cellStyle name="_Notification_HESS Govt_Hong Kong (#266)" xfId="809" xr:uid="{00000000-0005-0000-0000-000028030000}"/>
    <cellStyle name="_Notification_HESS Govt_Hong Kong (#266)_Appliances" xfId="810" xr:uid="{00000000-0005-0000-0000-000029030000}"/>
    <cellStyle name="_Notification_HESS Govt_Hong Kong (#266)_ASEAN_Aug_07" xfId="811" xr:uid="{00000000-0005-0000-0000-00002A030000}"/>
    <cellStyle name="_Notification_HESS Govt_Hong Kong (#266)_China CNY_Rewards_Aug_07" xfId="812" xr:uid="{00000000-0005-0000-0000-00002B030000}"/>
    <cellStyle name="_Notification_HESS Govt_Hong Kong (#266)_China CNY_Security Margin Alignment" xfId="813" xr:uid="{00000000-0005-0000-0000-00002C030000}"/>
    <cellStyle name="_Notification_HESS Govt_Hong Kong (#266)_China USD_Rewards_Aug_07" xfId="814" xr:uid="{00000000-0005-0000-0000-00002D030000}"/>
    <cellStyle name="_Notification_HESS Govt_Hong Kong (#266)_China USD_Security Margin Alignment" xfId="815" xr:uid="{00000000-0005-0000-0000-00002E030000}"/>
    <cellStyle name="_Notification_HESS Govt_Hong Kong (#266)_Hong Kong_Apr_07" xfId="816" xr:uid="{00000000-0005-0000-0000-00002F030000}"/>
    <cellStyle name="_Notification_HESS Govt_Hong Kong (#266)_Hong Kong_Dec_06" xfId="817" xr:uid="{00000000-0005-0000-0000-000030030000}"/>
    <cellStyle name="_Notification_HESS Govt_Hong Kong (#266)_Hong Kong_Feb_07" xfId="818" xr:uid="{00000000-0005-0000-0000-000031030000}"/>
    <cellStyle name="_Notification_HESS Govt_Hong Kong (#266)_Hong Kong_Jul_05" xfId="819" xr:uid="{00000000-0005-0000-0000-000032030000}"/>
    <cellStyle name="_Notification_HESS Govt_Hong Kong (#266)_Hong Kong_Rewards_Apr_07" xfId="820" xr:uid="{00000000-0005-0000-0000-000033030000}"/>
    <cellStyle name="_Notification_HESS Govt_Hong Kong (#266)_Hong Kong_Rewards_Feb_07" xfId="821" xr:uid="{00000000-0005-0000-0000-000034030000}"/>
    <cellStyle name="_Notification_HESS Govt_Hong Kong (#266)_Hong Kong_Security Margin Alignment" xfId="822" xr:uid="{00000000-0005-0000-0000-000035030000}"/>
    <cellStyle name="_Notification_HESS Govt_Hong Kong (#266)_India_Sep_08" xfId="823" xr:uid="{00000000-0005-0000-0000-000036030000}"/>
    <cellStyle name="_Notification_HESS Govt_Hong Kong (#266)_Korea_Sep_08" xfId="824" xr:uid="{00000000-0005-0000-0000-000037030000}"/>
    <cellStyle name="_Notification_HESS Govt_Hong Kong (#266)_New Zealand_Jul_08" xfId="825" xr:uid="{00000000-0005-0000-0000-000038030000}"/>
    <cellStyle name="_Notification_HESS Govt_Hong Kong (#266)_New Zealand_Sep_08" xfId="826" xr:uid="{00000000-0005-0000-0000-000039030000}"/>
    <cellStyle name="_Notification_HESS Govt_Hong Kong (#266)_Notification_SEF 8.0 Maint &amp; Platinum Rnw_Hong Kong (#398)" xfId="827" xr:uid="{00000000-0005-0000-0000-00003A030000}"/>
    <cellStyle name="_Notification_HESS Govt_Hong Kong (#266)_Notifications &amp; Information" xfId="828" xr:uid="{00000000-0005-0000-0000-00003B030000}"/>
    <cellStyle name="_Notification_HESS Govt_Hong Kong (#266)_Singapore_Sep_08" xfId="829" xr:uid="{00000000-0005-0000-0000-00003C030000}"/>
    <cellStyle name="_Notification_HESS Govt_Hong Kong (#266)_Taiwan_Sep_08" xfId="830" xr:uid="{00000000-0005-0000-0000-00003D030000}"/>
    <cellStyle name="_Notification_HESS Govt_India (#266)" xfId="831" xr:uid="{00000000-0005-0000-0000-00003E030000}"/>
    <cellStyle name="_Notification_HESS Govt_India (#266)_1" xfId="832" xr:uid="{00000000-0005-0000-0000-00003F030000}"/>
    <cellStyle name="_Notification_HESS Govt_Korea (#266)" xfId="833" xr:uid="{00000000-0005-0000-0000-000040030000}"/>
    <cellStyle name="_Notification_HESS Govt_Korea (#266)_1" xfId="834" xr:uid="{00000000-0005-0000-0000-000041030000}"/>
    <cellStyle name="_Notification_HESS Govt_New Zealand (#266)" xfId="835" xr:uid="{00000000-0005-0000-0000-000042030000}"/>
    <cellStyle name="_Notification_HESS Govt_New Zealand (#266)_1" xfId="836" xr:uid="{00000000-0005-0000-0000-000043030000}"/>
    <cellStyle name="_Notification_HESS Govt_Singapore (#266)" xfId="837" xr:uid="{00000000-0005-0000-0000-000044030000}"/>
    <cellStyle name="_Notification_HESS Govt_Singapore (#266)_1" xfId="838" xr:uid="{00000000-0005-0000-0000-000045030000}"/>
    <cellStyle name="_Notification_HESS Govt_Taiwan (#266)" xfId="839" xr:uid="{00000000-0005-0000-0000-000046030000}"/>
    <cellStyle name="_Notification_HESS Govt_Taiwan (#266)_1" xfId="840" xr:uid="{00000000-0005-0000-0000-000047030000}"/>
    <cellStyle name="_Notification_HESS Govt_Thailand (#266)" xfId="841" xr:uid="{00000000-0005-0000-0000-000048030000}"/>
    <cellStyle name="_Notification_LiveState Recovery_ASEAN (#250)" xfId="842" xr:uid="{00000000-0005-0000-0000-000049030000}"/>
    <cellStyle name="_Notification_LiveState Recovery_Australia (#250)" xfId="843" xr:uid="{00000000-0005-0000-0000-00004A030000}"/>
    <cellStyle name="_Notification_LiveState Recovery_Hong Kong (#250)" xfId="844" xr:uid="{00000000-0005-0000-0000-00004B030000}"/>
    <cellStyle name="_Notification_LiveState Recovery_India (#250)" xfId="845" xr:uid="{00000000-0005-0000-0000-00004C030000}"/>
    <cellStyle name="_Notification_LiveState Recovery_New Zealand (#250)" xfId="846" xr:uid="{00000000-0005-0000-0000-00004D030000}"/>
    <cellStyle name="_Notification_LiveState Recovery_Singapore (#250)" xfId="847" xr:uid="{00000000-0005-0000-0000-00004E030000}"/>
    <cellStyle name="_Notification_LiveState Recovery_Thailand (#250)" xfId="848" xr:uid="{00000000-0005-0000-0000-00004F030000}"/>
    <cellStyle name="_Notification_Media Packs_ASEAN (495)" xfId="849" xr:uid="{00000000-0005-0000-0000-000050030000}"/>
    <cellStyle name="_Notification_Media Packs_Australia (495)" xfId="850" xr:uid="{00000000-0005-0000-0000-000051030000}"/>
    <cellStyle name="_Notification_Media Packs_China CNY (495)" xfId="851" xr:uid="{00000000-0005-0000-0000-000052030000}"/>
    <cellStyle name="_Notification_Media Packs_China USD (495)" xfId="852" xr:uid="{00000000-0005-0000-0000-000053030000}"/>
    <cellStyle name="_Notification_Media Packs_Hong Kong (495)" xfId="853" xr:uid="{00000000-0005-0000-0000-000054030000}"/>
    <cellStyle name="_Notification_Media Packs_India (495)" xfId="854" xr:uid="{00000000-0005-0000-0000-000055030000}"/>
    <cellStyle name="_Notification_Media Packs_Korea KRW (495)" xfId="855" xr:uid="{00000000-0005-0000-0000-000056030000}"/>
    <cellStyle name="_Notification_Media Packs_Korea USD (495)" xfId="856" xr:uid="{00000000-0005-0000-0000-000057030000}"/>
    <cellStyle name="_Notification_Media Packs_New Zealand (495)" xfId="857" xr:uid="{00000000-0005-0000-0000-000058030000}"/>
    <cellStyle name="_Notification_Media Packs_Singapore (495)" xfId="858" xr:uid="{00000000-0005-0000-0000-000059030000}"/>
    <cellStyle name="_Notification_Media Packs_Taiwan (495)" xfId="859" xr:uid="{00000000-0005-0000-0000-00005A030000}"/>
    <cellStyle name="_Notification_Media Packs_Thailand (495)" xfId="860" xr:uid="{00000000-0005-0000-0000-00005B030000}"/>
    <cellStyle name="_Notification_NAV 2007_Taiwan (draft)" xfId="861" xr:uid="{00000000-0005-0000-0000-00005C030000}"/>
    <cellStyle name="_Notification_NIS 2005 AntiSpyware" xfId="862" xr:uid="{00000000-0005-0000-0000-00005D030000}"/>
    <cellStyle name="_Notification_NIS 2005 AntiSpyware_Australia (#321)" xfId="863" xr:uid="{00000000-0005-0000-0000-00005E030000}"/>
    <cellStyle name="_Notification_SAV for Network Attached Storage &amp; Caching 4.3_ASEAN (#253)" xfId="864" xr:uid="{00000000-0005-0000-0000-00005F030000}"/>
    <cellStyle name="_Notification_SAV for Network Attached Storage &amp; Caching 4.3_ASEAN (#253) 10" xfId="865" xr:uid="{00000000-0005-0000-0000-000060030000}"/>
    <cellStyle name="_Notification_SAV for Network Attached Storage &amp; Caching 4.3_ASEAN (#253) 11" xfId="866" xr:uid="{00000000-0005-0000-0000-000061030000}"/>
    <cellStyle name="_Notification_SAV for Network Attached Storage &amp; Caching 4.3_ASEAN (#253) 12" xfId="867" xr:uid="{00000000-0005-0000-0000-000062030000}"/>
    <cellStyle name="_Notification_SAV for Network Attached Storage &amp; Caching 4.3_ASEAN (#253) 13" xfId="868" xr:uid="{00000000-0005-0000-0000-000063030000}"/>
    <cellStyle name="_Notification_SAV for Network Attached Storage &amp; Caching 4.3_ASEAN (#253) 14" xfId="869" xr:uid="{00000000-0005-0000-0000-000064030000}"/>
    <cellStyle name="_Notification_SAV for Network Attached Storage &amp; Caching 4.3_ASEAN (#253) 2" xfId="870" xr:uid="{00000000-0005-0000-0000-000065030000}"/>
    <cellStyle name="_Notification_SAV for Network Attached Storage &amp; Caching 4.3_ASEAN (#253) 3" xfId="871" xr:uid="{00000000-0005-0000-0000-000066030000}"/>
    <cellStyle name="_Notification_SAV for Network Attached Storage &amp; Caching 4.3_ASEAN (#253) 4" xfId="872" xr:uid="{00000000-0005-0000-0000-000067030000}"/>
    <cellStyle name="_Notification_SAV for Network Attached Storage &amp; Caching 4.3_ASEAN (#253) 5" xfId="873" xr:uid="{00000000-0005-0000-0000-000068030000}"/>
    <cellStyle name="_Notification_SAV for Network Attached Storage &amp; Caching 4.3_ASEAN (#253) 6" xfId="874" xr:uid="{00000000-0005-0000-0000-000069030000}"/>
    <cellStyle name="_Notification_SAV for Network Attached Storage &amp; Caching 4.3_ASEAN (#253) 7" xfId="875" xr:uid="{00000000-0005-0000-0000-00006A030000}"/>
    <cellStyle name="_Notification_SAV for Network Attached Storage &amp; Caching 4.3_ASEAN (#253) 8" xfId="876" xr:uid="{00000000-0005-0000-0000-00006B030000}"/>
    <cellStyle name="_Notification_SAV for Network Attached Storage &amp; Caching 4.3_ASEAN (#253) 9" xfId="877" xr:uid="{00000000-0005-0000-0000-00006C030000}"/>
    <cellStyle name="_Notification_SAV for Network Attached Storage &amp; Caching 4.3_India (#253)" xfId="878" xr:uid="{00000000-0005-0000-0000-00006D030000}"/>
    <cellStyle name="_Notification_SAV for Network Attached Storage &amp; Caching 4.3_India (#253) 10" xfId="879" xr:uid="{00000000-0005-0000-0000-00006E030000}"/>
    <cellStyle name="_Notification_SAV for Network Attached Storage &amp; Caching 4.3_India (#253) 11" xfId="880" xr:uid="{00000000-0005-0000-0000-00006F030000}"/>
    <cellStyle name="_Notification_SAV for Network Attached Storage &amp; Caching 4.3_India (#253) 12" xfId="881" xr:uid="{00000000-0005-0000-0000-000070030000}"/>
    <cellStyle name="_Notification_SAV for Network Attached Storage &amp; Caching 4.3_India (#253) 13" xfId="882" xr:uid="{00000000-0005-0000-0000-000071030000}"/>
    <cellStyle name="_Notification_SAV for Network Attached Storage &amp; Caching 4.3_India (#253) 14" xfId="883" xr:uid="{00000000-0005-0000-0000-000072030000}"/>
    <cellStyle name="_Notification_SAV for Network Attached Storage &amp; Caching 4.3_India (#253) 2" xfId="884" xr:uid="{00000000-0005-0000-0000-000073030000}"/>
    <cellStyle name="_Notification_SAV for Network Attached Storage &amp; Caching 4.3_India (#253) 3" xfId="885" xr:uid="{00000000-0005-0000-0000-000074030000}"/>
    <cellStyle name="_Notification_SAV for Network Attached Storage &amp; Caching 4.3_India (#253) 4" xfId="886" xr:uid="{00000000-0005-0000-0000-000075030000}"/>
    <cellStyle name="_Notification_SAV for Network Attached Storage &amp; Caching 4.3_India (#253) 5" xfId="887" xr:uid="{00000000-0005-0000-0000-000076030000}"/>
    <cellStyle name="_Notification_SAV for Network Attached Storage &amp; Caching 4.3_India (#253) 6" xfId="888" xr:uid="{00000000-0005-0000-0000-000077030000}"/>
    <cellStyle name="_Notification_SAV for Network Attached Storage &amp; Caching 4.3_India (#253) 7" xfId="889" xr:uid="{00000000-0005-0000-0000-000078030000}"/>
    <cellStyle name="_Notification_SAV for Network Attached Storage &amp; Caching 4.3_India (#253) 8" xfId="890" xr:uid="{00000000-0005-0000-0000-000079030000}"/>
    <cellStyle name="_Notification_SAV for Network Attached Storage &amp; Caching 4.3_India (#253) 9" xfId="891" xr:uid="{00000000-0005-0000-0000-00007A030000}"/>
    <cellStyle name="_Notification_SAV for Network Attached Storage &amp; Caching 4.3_Singapore (#253)" xfId="892" xr:uid="{00000000-0005-0000-0000-00007B030000}"/>
    <cellStyle name="_Notification_SAV for Network Attached Storage &amp; Caching 4.3_Singapore (#253) 10" xfId="893" xr:uid="{00000000-0005-0000-0000-00007C030000}"/>
    <cellStyle name="_Notification_SAV for Network Attached Storage &amp; Caching 4.3_Singapore (#253) 11" xfId="894" xr:uid="{00000000-0005-0000-0000-00007D030000}"/>
    <cellStyle name="_Notification_SAV for Network Attached Storage &amp; Caching 4.3_Singapore (#253) 12" xfId="895" xr:uid="{00000000-0005-0000-0000-00007E030000}"/>
    <cellStyle name="_Notification_SAV for Network Attached Storage &amp; Caching 4.3_Singapore (#253) 13" xfId="896" xr:uid="{00000000-0005-0000-0000-00007F030000}"/>
    <cellStyle name="_Notification_SAV for Network Attached Storage &amp; Caching 4.3_Singapore (#253) 14" xfId="897" xr:uid="{00000000-0005-0000-0000-000080030000}"/>
    <cellStyle name="_Notification_SAV for Network Attached Storage &amp; Caching 4.3_Singapore (#253) 2" xfId="898" xr:uid="{00000000-0005-0000-0000-000081030000}"/>
    <cellStyle name="_Notification_SAV for Network Attached Storage &amp; Caching 4.3_Singapore (#253) 3" xfId="899" xr:uid="{00000000-0005-0000-0000-000082030000}"/>
    <cellStyle name="_Notification_SAV for Network Attached Storage &amp; Caching 4.3_Singapore (#253) 4" xfId="900" xr:uid="{00000000-0005-0000-0000-000083030000}"/>
    <cellStyle name="_Notification_SAV for Network Attached Storage &amp; Caching 4.3_Singapore (#253) 5" xfId="901" xr:uid="{00000000-0005-0000-0000-000084030000}"/>
    <cellStyle name="_Notification_SAV for Network Attached Storage &amp; Caching 4.3_Singapore (#253) 6" xfId="902" xr:uid="{00000000-0005-0000-0000-000085030000}"/>
    <cellStyle name="_Notification_SAV for Network Attached Storage &amp; Caching 4.3_Singapore (#253) 7" xfId="903" xr:uid="{00000000-0005-0000-0000-000086030000}"/>
    <cellStyle name="_Notification_SAV for Network Attached Storage &amp; Caching 4.3_Singapore (#253) 8" xfId="904" xr:uid="{00000000-0005-0000-0000-000087030000}"/>
    <cellStyle name="_Notification_SAV for Network Attached Storage &amp; Caching 4.3_Singapore (#253) 9" xfId="905" xr:uid="{00000000-0005-0000-0000-000088030000}"/>
    <cellStyle name="_Notification_SAV for Network Attached Storage &amp; Caching 4.3_Thailand (#253)" xfId="906" xr:uid="{00000000-0005-0000-0000-000089030000}"/>
    <cellStyle name="_Notification_SAV for Network Attached Storage &amp; Caching 4.3_Thailand (#253) 10" xfId="907" xr:uid="{00000000-0005-0000-0000-00008A030000}"/>
    <cellStyle name="_Notification_SAV for Network Attached Storage &amp; Caching 4.3_Thailand (#253) 11" xfId="908" xr:uid="{00000000-0005-0000-0000-00008B030000}"/>
    <cellStyle name="_Notification_SAV for Network Attached Storage &amp; Caching 4.3_Thailand (#253) 12" xfId="909" xr:uid="{00000000-0005-0000-0000-00008C030000}"/>
    <cellStyle name="_Notification_SAV for Network Attached Storage &amp; Caching 4.3_Thailand (#253) 13" xfId="910" xr:uid="{00000000-0005-0000-0000-00008D030000}"/>
    <cellStyle name="_Notification_SAV for Network Attached Storage &amp; Caching 4.3_Thailand (#253) 14" xfId="911" xr:uid="{00000000-0005-0000-0000-00008E030000}"/>
    <cellStyle name="_Notification_SAV for Network Attached Storage &amp; Caching 4.3_Thailand (#253) 2" xfId="912" xr:uid="{00000000-0005-0000-0000-00008F030000}"/>
    <cellStyle name="_Notification_SAV for Network Attached Storage &amp; Caching 4.3_Thailand (#253) 3" xfId="913" xr:uid="{00000000-0005-0000-0000-000090030000}"/>
    <cellStyle name="_Notification_SAV for Network Attached Storage &amp; Caching 4.3_Thailand (#253) 4" xfId="914" xr:uid="{00000000-0005-0000-0000-000091030000}"/>
    <cellStyle name="_Notification_SAV for Network Attached Storage &amp; Caching 4.3_Thailand (#253) 5" xfId="915" xr:uid="{00000000-0005-0000-0000-000092030000}"/>
    <cellStyle name="_Notification_SAV for Network Attached Storage &amp; Caching 4.3_Thailand (#253) 6" xfId="916" xr:uid="{00000000-0005-0000-0000-000093030000}"/>
    <cellStyle name="_Notification_SAV for Network Attached Storage &amp; Caching 4.3_Thailand (#253) 7" xfId="917" xr:uid="{00000000-0005-0000-0000-000094030000}"/>
    <cellStyle name="_Notification_SAV for Network Attached Storage &amp; Caching 4.3_Thailand (#253) 8" xfId="918" xr:uid="{00000000-0005-0000-0000-000095030000}"/>
    <cellStyle name="_Notification_SAV for Network Attached Storage &amp; Caching 4.3_Thailand (#253) 9" xfId="919" xr:uid="{00000000-0005-0000-0000-000096030000}"/>
    <cellStyle name="_Notification_SAVCE 10.1, SCS 3.1, &amp; SAV MTP SMB_India ()" xfId="920" xr:uid="{00000000-0005-0000-0000-000097030000}"/>
    <cellStyle name="_Notification_SAVEE 9.0, SCS 2.0, SAV CE 9.0, NAV MAC 9.0_New Zealand (#196)" xfId="921" xr:uid="{00000000-0005-0000-0000-000098030000}"/>
    <cellStyle name="_Notification_SAVEE SS, SAVCE 10.1 &amp; SCS 3.1_India ()" xfId="922" xr:uid="{00000000-0005-0000-0000-000099030000}"/>
    <cellStyle name="_Notification_SESA 2.0_ASEAN" xfId="923" xr:uid="{00000000-0005-0000-0000-00009A030000}"/>
    <cellStyle name="_Notification_SESA 2.0_Korea" xfId="924" xr:uid="{00000000-0005-0000-0000-00009B030000}"/>
    <cellStyle name="_Notification_SESA 2.0_New Zealand" xfId="925" xr:uid="{00000000-0005-0000-0000-00009C030000}"/>
    <cellStyle name="_Notification_SESA 2.0_Singapore" xfId="926" xr:uid="{00000000-0005-0000-0000-00009D030000}"/>
    <cellStyle name="_Notification_SESA 2.0_Taiwan" xfId="927" xr:uid="{00000000-0005-0000-0000-00009E030000}"/>
    <cellStyle name="_Notification_SGS 300_Australia" xfId="928" xr:uid="{00000000-0005-0000-0000-00009F030000}"/>
    <cellStyle name="_Notification_SGS 5400 Series Appliance_Thailand (#350)" xfId="929" xr:uid="{00000000-0005-0000-0000-0000A0030000}"/>
    <cellStyle name="_Notification_SLSR Manager_ASEAN (#302)" xfId="930" xr:uid="{00000000-0005-0000-0000-0000A1030000}"/>
    <cellStyle name="_Notification_SLSR Manager_Australia (#302)" xfId="931" xr:uid="{00000000-0005-0000-0000-0000A2030000}"/>
    <cellStyle name="_Notification_SLSR Manager_China USD (#302)" xfId="932" xr:uid="{00000000-0005-0000-0000-0000A3030000}"/>
    <cellStyle name="_Notification_SLSR Manager_Hong Kong (#302)" xfId="933" xr:uid="{00000000-0005-0000-0000-0000A4030000}"/>
    <cellStyle name="_Notification_SLSR Manager_India (#302)" xfId="934" xr:uid="{00000000-0005-0000-0000-0000A5030000}"/>
    <cellStyle name="_Notification_SLSR Manager_Korea (#302)" xfId="935" xr:uid="{00000000-0005-0000-0000-0000A6030000}"/>
    <cellStyle name="_Notification_SLSR Manager_New Zealand (#302)" xfId="936" xr:uid="{00000000-0005-0000-0000-0000A7030000}"/>
    <cellStyle name="_Notification_SLSR Manager_Singapore (#302)" xfId="937" xr:uid="{00000000-0005-0000-0000-0000A8030000}"/>
    <cellStyle name="_Notification_SLSR Manager_Taiwan (#302)" xfId="938" xr:uid="{00000000-0005-0000-0000-0000A9030000}"/>
    <cellStyle name="_Notification_SLSR Manager_Thailand (#302)" xfId="939" xr:uid="{00000000-0005-0000-0000-0000AA030000}"/>
    <cellStyle name="_Notification_Small Business Packs_ASEAN (#198)" xfId="940" xr:uid="{00000000-0005-0000-0000-0000AB030000}"/>
    <cellStyle name="_Notification_Small Business Packs_Australia (#198)" xfId="941" xr:uid="{00000000-0005-0000-0000-0000AC030000}"/>
    <cellStyle name="_Notification_Small Business Packs_China RMB (#198)" xfId="942" xr:uid="{00000000-0005-0000-0000-0000AD030000}"/>
    <cellStyle name="_Notification_Small Business Packs_China USD (#198)" xfId="943" xr:uid="{00000000-0005-0000-0000-0000AE030000}"/>
    <cellStyle name="_Notification_Small Business Packs_Hong Kong (#198)" xfId="944" xr:uid="{00000000-0005-0000-0000-0000AF030000}"/>
    <cellStyle name="_Notification_Small Business Packs_India (#198)" xfId="945" xr:uid="{00000000-0005-0000-0000-0000B0030000}"/>
    <cellStyle name="_Notification_Small Business Packs_Korea (#198)" xfId="946" xr:uid="{00000000-0005-0000-0000-0000B1030000}"/>
    <cellStyle name="_Notification_Small Business Packs_New Zealand (#198)" xfId="947" xr:uid="{00000000-0005-0000-0000-0000B2030000}"/>
    <cellStyle name="_Notification_Small Business Packs_Singapore (draft)" xfId="948" xr:uid="{00000000-0005-0000-0000-0000B3030000}"/>
    <cellStyle name="_Notification_Small Business Packs_Taiwan (#198)" xfId="949" xr:uid="{00000000-0005-0000-0000-0000B4030000}"/>
    <cellStyle name="_Notification_Small Business Packs_Thailand (#198)" xfId="950" xr:uid="{00000000-0005-0000-0000-0000B5030000}"/>
    <cellStyle name="_Notification_SMS 8200 Series &amp; 8160 Appliances_ASEAN (#299) draft" xfId="951" xr:uid="{00000000-0005-0000-0000-0000B6030000}"/>
    <cellStyle name="_Notification_SMS Appliances_Thailand (#352)" xfId="952" xr:uid="{00000000-0005-0000-0000-0000B7030000}"/>
    <cellStyle name="_Notification_SMS CE 4.0 for Symbian_ASEAN (#306)" xfId="953" xr:uid="{00000000-0005-0000-0000-0000B8030000}"/>
    <cellStyle name="_Notification_SMS CE 4.0 for Symbian_ASEAN (#306) 10" xfId="954" xr:uid="{00000000-0005-0000-0000-0000B9030000}"/>
    <cellStyle name="_Notification_SMS CE 4.0 for Symbian_ASEAN (#306) 11" xfId="955" xr:uid="{00000000-0005-0000-0000-0000BA030000}"/>
    <cellStyle name="_Notification_SMS CE 4.0 for Symbian_ASEAN (#306) 12" xfId="956" xr:uid="{00000000-0005-0000-0000-0000BB030000}"/>
    <cellStyle name="_Notification_SMS CE 4.0 for Symbian_ASEAN (#306) 13" xfId="957" xr:uid="{00000000-0005-0000-0000-0000BC030000}"/>
    <cellStyle name="_Notification_SMS CE 4.0 for Symbian_ASEAN (#306) 14" xfId="958" xr:uid="{00000000-0005-0000-0000-0000BD030000}"/>
    <cellStyle name="_Notification_SMS CE 4.0 for Symbian_ASEAN (#306) 2" xfId="959" xr:uid="{00000000-0005-0000-0000-0000BE030000}"/>
    <cellStyle name="_Notification_SMS CE 4.0 for Symbian_ASEAN (#306) 3" xfId="960" xr:uid="{00000000-0005-0000-0000-0000BF030000}"/>
    <cellStyle name="_Notification_SMS CE 4.0 for Symbian_ASEAN (#306) 4" xfId="961" xr:uid="{00000000-0005-0000-0000-0000C0030000}"/>
    <cellStyle name="_Notification_SMS CE 4.0 for Symbian_ASEAN (#306) 5" xfId="962" xr:uid="{00000000-0005-0000-0000-0000C1030000}"/>
    <cellStyle name="_Notification_SMS CE 4.0 for Symbian_ASEAN (#306) 6" xfId="963" xr:uid="{00000000-0005-0000-0000-0000C2030000}"/>
    <cellStyle name="_Notification_SMS CE 4.0 for Symbian_ASEAN (#306) 7" xfId="964" xr:uid="{00000000-0005-0000-0000-0000C3030000}"/>
    <cellStyle name="_Notification_SMS CE 4.0 for Symbian_ASEAN (#306) 8" xfId="965" xr:uid="{00000000-0005-0000-0000-0000C4030000}"/>
    <cellStyle name="_Notification_SMS CE 4.0 for Symbian_ASEAN (#306) 9" xfId="966" xr:uid="{00000000-0005-0000-0000-0000C5030000}"/>
    <cellStyle name="_Notification_SMS CE 4.0 for Symbian_China (#306)" xfId="967" xr:uid="{00000000-0005-0000-0000-0000C6030000}"/>
    <cellStyle name="_Notification_SMS CE 4.0 for Symbian_China (#306) 10" xfId="968" xr:uid="{00000000-0005-0000-0000-0000C7030000}"/>
    <cellStyle name="_Notification_SMS CE 4.0 for Symbian_China (#306) 11" xfId="969" xr:uid="{00000000-0005-0000-0000-0000C8030000}"/>
    <cellStyle name="_Notification_SMS CE 4.0 for Symbian_China (#306) 12" xfId="970" xr:uid="{00000000-0005-0000-0000-0000C9030000}"/>
    <cellStyle name="_Notification_SMS CE 4.0 for Symbian_China (#306) 13" xfId="971" xr:uid="{00000000-0005-0000-0000-0000CA030000}"/>
    <cellStyle name="_Notification_SMS CE 4.0 for Symbian_China (#306) 14" xfId="972" xr:uid="{00000000-0005-0000-0000-0000CB030000}"/>
    <cellStyle name="_Notification_SMS CE 4.0 for Symbian_China (#306) 2" xfId="973" xr:uid="{00000000-0005-0000-0000-0000CC030000}"/>
    <cellStyle name="_Notification_SMS CE 4.0 for Symbian_China (#306) 3" xfId="974" xr:uid="{00000000-0005-0000-0000-0000CD030000}"/>
    <cellStyle name="_Notification_SMS CE 4.0 for Symbian_China (#306) 4" xfId="975" xr:uid="{00000000-0005-0000-0000-0000CE030000}"/>
    <cellStyle name="_Notification_SMS CE 4.0 for Symbian_China (#306) 5" xfId="976" xr:uid="{00000000-0005-0000-0000-0000CF030000}"/>
    <cellStyle name="_Notification_SMS CE 4.0 for Symbian_China (#306) 6" xfId="977" xr:uid="{00000000-0005-0000-0000-0000D0030000}"/>
    <cellStyle name="_Notification_SMS CE 4.0 for Symbian_China (#306) 7" xfId="978" xr:uid="{00000000-0005-0000-0000-0000D1030000}"/>
    <cellStyle name="_Notification_SMS CE 4.0 for Symbian_China (#306) 8" xfId="979" xr:uid="{00000000-0005-0000-0000-0000D2030000}"/>
    <cellStyle name="_Notification_SMS CE 4.0 for Symbian_China (#306) 9" xfId="980" xr:uid="{00000000-0005-0000-0000-0000D3030000}"/>
    <cellStyle name="_Notification_SMS CE 4.0 for Symbian_Hong Kong (#306)" xfId="981" xr:uid="{00000000-0005-0000-0000-0000D4030000}"/>
    <cellStyle name="_Notification_SMS CE 4.0 for Symbian_Hong Kong (#306) 10" xfId="982" xr:uid="{00000000-0005-0000-0000-0000D5030000}"/>
    <cellStyle name="_Notification_SMS CE 4.0 for Symbian_Hong Kong (#306) 11" xfId="983" xr:uid="{00000000-0005-0000-0000-0000D6030000}"/>
    <cellStyle name="_Notification_SMS CE 4.0 for Symbian_Hong Kong (#306) 12" xfId="984" xr:uid="{00000000-0005-0000-0000-0000D7030000}"/>
    <cellStyle name="_Notification_SMS CE 4.0 for Symbian_Hong Kong (#306) 13" xfId="985" xr:uid="{00000000-0005-0000-0000-0000D8030000}"/>
    <cellStyle name="_Notification_SMS CE 4.0 for Symbian_Hong Kong (#306) 14" xfId="986" xr:uid="{00000000-0005-0000-0000-0000D9030000}"/>
    <cellStyle name="_Notification_SMS CE 4.0 for Symbian_Hong Kong (#306) 2" xfId="987" xr:uid="{00000000-0005-0000-0000-0000DA030000}"/>
    <cellStyle name="_Notification_SMS CE 4.0 for Symbian_Hong Kong (#306) 3" xfId="988" xr:uid="{00000000-0005-0000-0000-0000DB030000}"/>
    <cellStyle name="_Notification_SMS CE 4.0 for Symbian_Hong Kong (#306) 4" xfId="989" xr:uid="{00000000-0005-0000-0000-0000DC030000}"/>
    <cellStyle name="_Notification_SMS CE 4.0 for Symbian_Hong Kong (#306) 5" xfId="990" xr:uid="{00000000-0005-0000-0000-0000DD030000}"/>
    <cellStyle name="_Notification_SMS CE 4.0 for Symbian_Hong Kong (#306) 6" xfId="991" xr:uid="{00000000-0005-0000-0000-0000DE030000}"/>
    <cellStyle name="_Notification_SMS CE 4.0 for Symbian_Hong Kong (#306) 7" xfId="992" xr:uid="{00000000-0005-0000-0000-0000DF030000}"/>
    <cellStyle name="_Notification_SMS CE 4.0 for Symbian_Hong Kong (#306) 8" xfId="993" xr:uid="{00000000-0005-0000-0000-0000E0030000}"/>
    <cellStyle name="_Notification_SMS CE 4.0 for Symbian_Hong Kong (#306) 9" xfId="994" xr:uid="{00000000-0005-0000-0000-0000E1030000}"/>
    <cellStyle name="_Notification_SMS CE 4.0 for Symbian_India (#306)" xfId="995" xr:uid="{00000000-0005-0000-0000-0000E2030000}"/>
    <cellStyle name="_Notification_SMS CE 4.0 for Symbian_India (#306) 10" xfId="996" xr:uid="{00000000-0005-0000-0000-0000E3030000}"/>
    <cellStyle name="_Notification_SMS CE 4.0 for Symbian_India (#306) 11" xfId="997" xr:uid="{00000000-0005-0000-0000-0000E4030000}"/>
    <cellStyle name="_Notification_SMS CE 4.0 for Symbian_India (#306) 12" xfId="998" xr:uid="{00000000-0005-0000-0000-0000E5030000}"/>
    <cellStyle name="_Notification_SMS CE 4.0 for Symbian_India (#306) 13" xfId="999" xr:uid="{00000000-0005-0000-0000-0000E6030000}"/>
    <cellStyle name="_Notification_SMS CE 4.0 for Symbian_India (#306) 14" xfId="1000" xr:uid="{00000000-0005-0000-0000-0000E7030000}"/>
    <cellStyle name="_Notification_SMS CE 4.0 for Symbian_India (#306) 2" xfId="1001" xr:uid="{00000000-0005-0000-0000-0000E8030000}"/>
    <cellStyle name="_Notification_SMS CE 4.0 for Symbian_India (#306) 3" xfId="1002" xr:uid="{00000000-0005-0000-0000-0000E9030000}"/>
    <cellStyle name="_Notification_SMS CE 4.0 for Symbian_India (#306) 4" xfId="1003" xr:uid="{00000000-0005-0000-0000-0000EA030000}"/>
    <cellStyle name="_Notification_SMS CE 4.0 for Symbian_India (#306) 5" xfId="1004" xr:uid="{00000000-0005-0000-0000-0000EB030000}"/>
    <cellStyle name="_Notification_SMS CE 4.0 for Symbian_India (#306) 6" xfId="1005" xr:uid="{00000000-0005-0000-0000-0000EC030000}"/>
    <cellStyle name="_Notification_SMS CE 4.0 for Symbian_India (#306) 7" xfId="1006" xr:uid="{00000000-0005-0000-0000-0000ED030000}"/>
    <cellStyle name="_Notification_SMS CE 4.0 for Symbian_India (#306) 8" xfId="1007" xr:uid="{00000000-0005-0000-0000-0000EE030000}"/>
    <cellStyle name="_Notification_SMS CE 4.0 for Symbian_India (#306) 9" xfId="1008" xr:uid="{00000000-0005-0000-0000-0000EF030000}"/>
    <cellStyle name="_Notification_SMS CE 4.0 for Symbian_New Zealand (#306)" xfId="1009" xr:uid="{00000000-0005-0000-0000-0000F0030000}"/>
    <cellStyle name="_Notification_SMS CE 4.0 for Symbian_New Zealand (#306) 10" xfId="1010" xr:uid="{00000000-0005-0000-0000-0000F1030000}"/>
    <cellStyle name="_Notification_SMS CE 4.0 for Symbian_New Zealand (#306) 11" xfId="1011" xr:uid="{00000000-0005-0000-0000-0000F2030000}"/>
    <cellStyle name="_Notification_SMS CE 4.0 for Symbian_New Zealand (#306) 12" xfId="1012" xr:uid="{00000000-0005-0000-0000-0000F3030000}"/>
    <cellStyle name="_Notification_SMS CE 4.0 for Symbian_New Zealand (#306) 13" xfId="1013" xr:uid="{00000000-0005-0000-0000-0000F4030000}"/>
    <cellStyle name="_Notification_SMS CE 4.0 for Symbian_New Zealand (#306) 14" xfId="1014" xr:uid="{00000000-0005-0000-0000-0000F5030000}"/>
    <cellStyle name="_Notification_SMS CE 4.0 for Symbian_New Zealand (#306) 2" xfId="1015" xr:uid="{00000000-0005-0000-0000-0000F6030000}"/>
    <cellStyle name="_Notification_SMS CE 4.0 for Symbian_New Zealand (#306) 3" xfId="1016" xr:uid="{00000000-0005-0000-0000-0000F7030000}"/>
    <cellStyle name="_Notification_SMS CE 4.0 for Symbian_New Zealand (#306) 4" xfId="1017" xr:uid="{00000000-0005-0000-0000-0000F8030000}"/>
    <cellStyle name="_Notification_SMS CE 4.0 for Symbian_New Zealand (#306) 5" xfId="1018" xr:uid="{00000000-0005-0000-0000-0000F9030000}"/>
    <cellStyle name="_Notification_SMS CE 4.0 for Symbian_New Zealand (#306) 6" xfId="1019" xr:uid="{00000000-0005-0000-0000-0000FA030000}"/>
    <cellStyle name="_Notification_SMS CE 4.0 for Symbian_New Zealand (#306) 7" xfId="1020" xr:uid="{00000000-0005-0000-0000-0000FB030000}"/>
    <cellStyle name="_Notification_SMS CE 4.0 for Symbian_New Zealand (#306) 8" xfId="1021" xr:uid="{00000000-0005-0000-0000-0000FC030000}"/>
    <cellStyle name="_Notification_SMS CE 4.0 for Symbian_New Zealand (#306) 9" xfId="1022" xr:uid="{00000000-0005-0000-0000-0000FD030000}"/>
    <cellStyle name="_Notification_SMS CE 4.0 for Symbian_Singapore (#306)" xfId="1023" xr:uid="{00000000-0005-0000-0000-0000FE030000}"/>
    <cellStyle name="_Notification_SMS CE 4.0 for Symbian_Singapore (#306) 10" xfId="1024" xr:uid="{00000000-0005-0000-0000-0000FF030000}"/>
    <cellStyle name="_Notification_SMS CE 4.0 for Symbian_Singapore (#306) 11" xfId="1025" xr:uid="{00000000-0005-0000-0000-000000040000}"/>
    <cellStyle name="_Notification_SMS CE 4.0 for Symbian_Singapore (#306) 12" xfId="1026" xr:uid="{00000000-0005-0000-0000-000001040000}"/>
    <cellStyle name="_Notification_SMS CE 4.0 for Symbian_Singapore (#306) 13" xfId="1027" xr:uid="{00000000-0005-0000-0000-000002040000}"/>
    <cellStyle name="_Notification_SMS CE 4.0 for Symbian_Singapore (#306) 14" xfId="1028" xr:uid="{00000000-0005-0000-0000-000003040000}"/>
    <cellStyle name="_Notification_SMS CE 4.0 for Symbian_Singapore (#306) 2" xfId="1029" xr:uid="{00000000-0005-0000-0000-000004040000}"/>
    <cellStyle name="_Notification_SMS CE 4.0 for Symbian_Singapore (#306) 3" xfId="1030" xr:uid="{00000000-0005-0000-0000-000005040000}"/>
    <cellStyle name="_Notification_SMS CE 4.0 for Symbian_Singapore (#306) 4" xfId="1031" xr:uid="{00000000-0005-0000-0000-000006040000}"/>
    <cellStyle name="_Notification_SMS CE 4.0 for Symbian_Singapore (#306) 5" xfId="1032" xr:uid="{00000000-0005-0000-0000-000007040000}"/>
    <cellStyle name="_Notification_SMS CE 4.0 for Symbian_Singapore (#306) 6" xfId="1033" xr:uid="{00000000-0005-0000-0000-000008040000}"/>
    <cellStyle name="_Notification_SMS CE 4.0 for Symbian_Singapore (#306) 7" xfId="1034" xr:uid="{00000000-0005-0000-0000-000009040000}"/>
    <cellStyle name="_Notification_SMS CE 4.0 for Symbian_Singapore (#306) 8" xfId="1035" xr:uid="{00000000-0005-0000-0000-00000A040000}"/>
    <cellStyle name="_Notification_SMS CE 4.0 for Symbian_Singapore (#306) 9" xfId="1036" xr:uid="{00000000-0005-0000-0000-00000B040000}"/>
    <cellStyle name="_Notification_SMS CE 4.0 for Symbian_Taiwan (#306)" xfId="1037" xr:uid="{00000000-0005-0000-0000-00000C040000}"/>
    <cellStyle name="_Notification_SMS CE 4.0 for Symbian_Taiwan (#306) 10" xfId="1038" xr:uid="{00000000-0005-0000-0000-00000D040000}"/>
    <cellStyle name="_Notification_SMS CE 4.0 for Symbian_Taiwan (#306) 11" xfId="1039" xr:uid="{00000000-0005-0000-0000-00000E040000}"/>
    <cellStyle name="_Notification_SMS CE 4.0 for Symbian_Taiwan (#306) 12" xfId="1040" xr:uid="{00000000-0005-0000-0000-00000F040000}"/>
    <cellStyle name="_Notification_SMS CE 4.0 for Symbian_Taiwan (#306) 13" xfId="1041" xr:uid="{00000000-0005-0000-0000-000010040000}"/>
    <cellStyle name="_Notification_SMS CE 4.0 for Symbian_Taiwan (#306) 14" xfId="1042" xr:uid="{00000000-0005-0000-0000-000011040000}"/>
    <cellStyle name="_Notification_SMS CE 4.0 for Symbian_Taiwan (#306) 2" xfId="1043" xr:uid="{00000000-0005-0000-0000-000012040000}"/>
    <cellStyle name="_Notification_SMS CE 4.0 for Symbian_Taiwan (#306) 3" xfId="1044" xr:uid="{00000000-0005-0000-0000-000013040000}"/>
    <cellStyle name="_Notification_SMS CE 4.0 for Symbian_Taiwan (#306) 4" xfId="1045" xr:uid="{00000000-0005-0000-0000-000014040000}"/>
    <cellStyle name="_Notification_SMS CE 4.0 for Symbian_Taiwan (#306) 5" xfId="1046" xr:uid="{00000000-0005-0000-0000-000015040000}"/>
    <cellStyle name="_Notification_SMS CE 4.0 for Symbian_Taiwan (#306) 6" xfId="1047" xr:uid="{00000000-0005-0000-0000-000016040000}"/>
    <cellStyle name="_Notification_SMS CE 4.0 for Symbian_Taiwan (#306) 7" xfId="1048" xr:uid="{00000000-0005-0000-0000-000017040000}"/>
    <cellStyle name="_Notification_SMS CE 4.0 for Symbian_Taiwan (#306) 8" xfId="1049" xr:uid="{00000000-0005-0000-0000-000018040000}"/>
    <cellStyle name="_Notification_SMS CE 4.0 for Symbian_Taiwan (#306) 9" xfId="1050" xr:uid="{00000000-0005-0000-0000-000019040000}"/>
    <cellStyle name="_Notification_SMS CE 4.0 for Symbian_Thailand (#306)" xfId="1051" xr:uid="{00000000-0005-0000-0000-00001A040000}"/>
    <cellStyle name="_Notification_SMS CE 4.0 for Symbian_Thailand (#306) 10" xfId="1052" xr:uid="{00000000-0005-0000-0000-00001B040000}"/>
    <cellStyle name="_Notification_SMS CE 4.0 for Symbian_Thailand (#306) 11" xfId="1053" xr:uid="{00000000-0005-0000-0000-00001C040000}"/>
    <cellStyle name="_Notification_SMS CE 4.0 for Symbian_Thailand (#306) 12" xfId="1054" xr:uid="{00000000-0005-0000-0000-00001D040000}"/>
    <cellStyle name="_Notification_SMS CE 4.0 for Symbian_Thailand (#306) 13" xfId="1055" xr:uid="{00000000-0005-0000-0000-00001E040000}"/>
    <cellStyle name="_Notification_SMS CE 4.0 for Symbian_Thailand (#306) 14" xfId="1056" xr:uid="{00000000-0005-0000-0000-00001F040000}"/>
    <cellStyle name="_Notification_SMS CE 4.0 for Symbian_Thailand (#306) 2" xfId="1057" xr:uid="{00000000-0005-0000-0000-000020040000}"/>
    <cellStyle name="_Notification_SMS CE 4.0 for Symbian_Thailand (#306) 3" xfId="1058" xr:uid="{00000000-0005-0000-0000-000021040000}"/>
    <cellStyle name="_Notification_SMS CE 4.0 for Symbian_Thailand (#306) 4" xfId="1059" xr:uid="{00000000-0005-0000-0000-000022040000}"/>
    <cellStyle name="_Notification_SMS CE 4.0 for Symbian_Thailand (#306) 5" xfId="1060" xr:uid="{00000000-0005-0000-0000-000023040000}"/>
    <cellStyle name="_Notification_SMS CE 4.0 for Symbian_Thailand (#306) 6" xfId="1061" xr:uid="{00000000-0005-0000-0000-000024040000}"/>
    <cellStyle name="_Notification_SMS CE 4.0 for Symbian_Thailand (#306) 7" xfId="1062" xr:uid="{00000000-0005-0000-0000-000025040000}"/>
    <cellStyle name="_Notification_SMS CE 4.0 for Symbian_Thailand (#306) 8" xfId="1063" xr:uid="{00000000-0005-0000-0000-000026040000}"/>
    <cellStyle name="_Notification_SMS CE 4.0 for Symbian_Thailand (#306) 9" xfId="1064" xr:uid="{00000000-0005-0000-0000-000027040000}"/>
    <cellStyle name="_Notification_Support_AddlCont_Korea (548)" xfId="1065" xr:uid="{00000000-0005-0000-0000-000028040000}"/>
    <cellStyle name="_Notification_Sym Antivirus Gateway Solution 4.0_New Zealand (#194)" xfId="1066" xr:uid="{00000000-0005-0000-0000-000029040000}"/>
    <cellStyle name="_Notification_Sym Client Migration_HK" xfId="1067" xr:uid="{00000000-0005-0000-0000-00002A040000}"/>
    <cellStyle name="_Notification_Sym Mail Security 4.5 for MSE_ASEAN (#192)" xfId="1068" xr:uid="{00000000-0005-0000-0000-00002B040000}"/>
    <cellStyle name="_Notification_Sym Mail Security 4.5 for MSE_Australia (#192)" xfId="1069" xr:uid="{00000000-0005-0000-0000-00002C040000}"/>
    <cellStyle name="_Notification_Sym Mail Security 4.5 for MSE_China USD (#192)" xfId="1070" xr:uid="{00000000-0005-0000-0000-00002D040000}"/>
    <cellStyle name="_Notification_Sym Mail Security 4.5 for MSE_Korea (#192)" xfId="1071" xr:uid="{00000000-0005-0000-0000-00002E040000}"/>
    <cellStyle name="_Notification_Sym Mail Security 4.5 for MSE_New Zealand (#192)" xfId="1072" xr:uid="{00000000-0005-0000-0000-00002F040000}"/>
    <cellStyle name="_Notification_Sym Mail Security 4.5 for MSE_Singapore (#192)" xfId="1073" xr:uid="{00000000-0005-0000-0000-000030040000}"/>
    <cellStyle name="_Notification_Sym Mail Security 4.5 for MSE_Thailand (#192)" xfId="1074" xr:uid="{00000000-0005-0000-0000-000031040000}"/>
    <cellStyle name="_Notification_Sym Mail Security Domino_ASEAN (#191)" xfId="1075" xr:uid="{00000000-0005-0000-0000-000032040000}"/>
    <cellStyle name="_Notification_Sym Mail Security Domino_Australia (#191)" xfId="1076" xr:uid="{00000000-0005-0000-0000-000033040000}"/>
    <cellStyle name="_Notification_Sym Mail Security Domino_China USD (#191)" xfId="1077" xr:uid="{00000000-0005-0000-0000-000034040000}"/>
    <cellStyle name="_Notification_Sym Mail Security Domino_Hong Kong (#191)" xfId="1078" xr:uid="{00000000-0005-0000-0000-000035040000}"/>
    <cellStyle name="_Notification_Sym Mail Security Domino_India (#191)" xfId="1079" xr:uid="{00000000-0005-0000-0000-000036040000}"/>
    <cellStyle name="_Notification_Sym Mail Security Domino_Korea (#191)" xfId="1080" xr:uid="{00000000-0005-0000-0000-000037040000}"/>
    <cellStyle name="_Notification_Sym Mail Security Domino_New Zealand (#191)" xfId="1081" xr:uid="{00000000-0005-0000-0000-000038040000}"/>
    <cellStyle name="_Notification_Sym Mail Security Domino_Singapore (#191)" xfId="1082" xr:uid="{00000000-0005-0000-0000-000039040000}"/>
    <cellStyle name="_Notification_Sym Mail Security Domino_Taiwan (#191)" xfId="1083" xr:uid="{00000000-0005-0000-0000-00003A040000}"/>
    <cellStyle name="_Notification_Sym Mail Security Domino_Thailand (#191)" xfId="1084" xr:uid="{00000000-0005-0000-0000-00003B040000}"/>
    <cellStyle name="_Notification_Sym Mail Security for MSE_Hong Kong (#192)" xfId="1085" xr:uid="{00000000-0005-0000-0000-00003C040000}"/>
    <cellStyle name="_Notification_Sym Mail Security for MSE_Taiwan (#192)" xfId="1086" xr:uid="{00000000-0005-0000-0000-00003D040000}"/>
    <cellStyle name="_Notification_Symantec Backup Exec 10d_China CNY (#355)" xfId="1087" xr:uid="{00000000-0005-0000-0000-00003E040000}"/>
    <cellStyle name="_Notification_Symantec Mail Security 5.1 for Domino_ASEAN" xfId="1088" xr:uid="{00000000-0005-0000-0000-00003F040000}"/>
    <cellStyle name="_Notification_Symantec Mail Security 5.1 for Domino_ASEAN 10" xfId="1089" xr:uid="{00000000-0005-0000-0000-000040040000}"/>
    <cellStyle name="_Notification_Symantec Mail Security 5.1 for Domino_ASEAN 11" xfId="1090" xr:uid="{00000000-0005-0000-0000-000041040000}"/>
    <cellStyle name="_Notification_Symantec Mail Security 5.1 for Domino_ASEAN 12" xfId="1091" xr:uid="{00000000-0005-0000-0000-000042040000}"/>
    <cellStyle name="_Notification_Symantec Mail Security 5.1 for Domino_ASEAN 13" xfId="1092" xr:uid="{00000000-0005-0000-0000-000043040000}"/>
    <cellStyle name="_Notification_Symantec Mail Security 5.1 for Domino_ASEAN 14" xfId="1093" xr:uid="{00000000-0005-0000-0000-000044040000}"/>
    <cellStyle name="_Notification_Symantec Mail Security 5.1 for Domino_ASEAN 2" xfId="1094" xr:uid="{00000000-0005-0000-0000-000045040000}"/>
    <cellStyle name="_Notification_Symantec Mail Security 5.1 for Domino_ASEAN 3" xfId="1095" xr:uid="{00000000-0005-0000-0000-000046040000}"/>
    <cellStyle name="_Notification_Symantec Mail Security 5.1 for Domino_ASEAN 4" xfId="1096" xr:uid="{00000000-0005-0000-0000-000047040000}"/>
    <cellStyle name="_Notification_Symantec Mail Security 5.1 for Domino_ASEAN 5" xfId="1097" xr:uid="{00000000-0005-0000-0000-000048040000}"/>
    <cellStyle name="_Notification_Symantec Mail Security 5.1 for Domino_ASEAN 6" xfId="1098" xr:uid="{00000000-0005-0000-0000-000049040000}"/>
    <cellStyle name="_Notification_Symantec Mail Security 5.1 for Domino_ASEAN 7" xfId="1099" xr:uid="{00000000-0005-0000-0000-00004A040000}"/>
    <cellStyle name="_Notification_Symantec Mail Security 5.1 for Domino_ASEAN 8" xfId="1100" xr:uid="{00000000-0005-0000-0000-00004B040000}"/>
    <cellStyle name="_Notification_Symantec Mail Security 5.1 for Domino_ASEAN 9" xfId="1101" xr:uid="{00000000-0005-0000-0000-00004C040000}"/>
    <cellStyle name="_Notification_Symantec Mail Security for Domino Multi Platform_ASEAN (#247)" xfId="1102" xr:uid="{00000000-0005-0000-0000-00004D040000}"/>
    <cellStyle name="_Notification_Symantec Mail Security for Domino Multi Platform_ASEAN (#247) 10" xfId="1103" xr:uid="{00000000-0005-0000-0000-00004E040000}"/>
    <cellStyle name="_Notification_Symantec Mail Security for Domino Multi Platform_ASEAN (#247) 11" xfId="1104" xr:uid="{00000000-0005-0000-0000-00004F040000}"/>
    <cellStyle name="_Notification_Symantec Mail Security for Domino Multi Platform_ASEAN (#247) 12" xfId="1105" xr:uid="{00000000-0005-0000-0000-000050040000}"/>
    <cellStyle name="_Notification_Symantec Mail Security for Domino Multi Platform_ASEAN (#247) 13" xfId="1106" xr:uid="{00000000-0005-0000-0000-000051040000}"/>
    <cellStyle name="_Notification_Symantec Mail Security for Domino Multi Platform_ASEAN (#247) 14" xfId="1107" xr:uid="{00000000-0005-0000-0000-000052040000}"/>
    <cellStyle name="_Notification_Symantec Mail Security for Domino Multi Platform_ASEAN (#247) 2" xfId="1108" xr:uid="{00000000-0005-0000-0000-000053040000}"/>
    <cellStyle name="_Notification_Symantec Mail Security for Domino Multi Platform_ASEAN (#247) 3" xfId="1109" xr:uid="{00000000-0005-0000-0000-000054040000}"/>
    <cellStyle name="_Notification_Symantec Mail Security for Domino Multi Platform_ASEAN (#247) 4" xfId="1110" xr:uid="{00000000-0005-0000-0000-000055040000}"/>
    <cellStyle name="_Notification_Symantec Mail Security for Domino Multi Platform_ASEAN (#247) 5" xfId="1111" xr:uid="{00000000-0005-0000-0000-000056040000}"/>
    <cellStyle name="_Notification_Symantec Mail Security for Domino Multi Platform_ASEAN (#247) 6" xfId="1112" xr:uid="{00000000-0005-0000-0000-000057040000}"/>
    <cellStyle name="_Notification_Symantec Mail Security for Domino Multi Platform_ASEAN (#247) 7" xfId="1113" xr:uid="{00000000-0005-0000-0000-000058040000}"/>
    <cellStyle name="_Notification_Symantec Mail Security for Domino Multi Platform_ASEAN (#247) 8" xfId="1114" xr:uid="{00000000-0005-0000-0000-000059040000}"/>
    <cellStyle name="_Notification_Symantec Mail Security for Domino Multi Platform_ASEAN (#247) 9" xfId="1115" xr:uid="{00000000-0005-0000-0000-00005A040000}"/>
    <cellStyle name="_Notification_Symantec Mail Security for Domino Multi Platform_Australia (#247)" xfId="1116" xr:uid="{00000000-0005-0000-0000-00005B040000}"/>
    <cellStyle name="_Notification_Symantec Mail Security for Domino Multi Platform_Australia (#247) 10" xfId="1117" xr:uid="{00000000-0005-0000-0000-00005C040000}"/>
    <cellStyle name="_Notification_Symantec Mail Security for Domino Multi Platform_Australia (#247) 11" xfId="1118" xr:uid="{00000000-0005-0000-0000-00005D040000}"/>
    <cellStyle name="_Notification_Symantec Mail Security for Domino Multi Platform_Australia (#247) 12" xfId="1119" xr:uid="{00000000-0005-0000-0000-00005E040000}"/>
    <cellStyle name="_Notification_Symantec Mail Security for Domino Multi Platform_Australia (#247) 13" xfId="1120" xr:uid="{00000000-0005-0000-0000-00005F040000}"/>
    <cellStyle name="_Notification_Symantec Mail Security for Domino Multi Platform_Australia (#247) 14" xfId="1121" xr:uid="{00000000-0005-0000-0000-000060040000}"/>
    <cellStyle name="_Notification_Symantec Mail Security for Domino Multi Platform_Australia (#247) 2" xfId="1122" xr:uid="{00000000-0005-0000-0000-000061040000}"/>
    <cellStyle name="_Notification_Symantec Mail Security for Domino Multi Platform_Australia (#247) 3" xfId="1123" xr:uid="{00000000-0005-0000-0000-000062040000}"/>
    <cellStyle name="_Notification_Symantec Mail Security for Domino Multi Platform_Australia (#247) 4" xfId="1124" xr:uid="{00000000-0005-0000-0000-000063040000}"/>
    <cellStyle name="_Notification_Symantec Mail Security for Domino Multi Platform_Australia (#247) 5" xfId="1125" xr:uid="{00000000-0005-0000-0000-000064040000}"/>
    <cellStyle name="_Notification_Symantec Mail Security for Domino Multi Platform_Australia (#247) 6" xfId="1126" xr:uid="{00000000-0005-0000-0000-000065040000}"/>
    <cellStyle name="_Notification_Symantec Mail Security for Domino Multi Platform_Australia (#247) 7" xfId="1127" xr:uid="{00000000-0005-0000-0000-000066040000}"/>
    <cellStyle name="_Notification_Symantec Mail Security for Domino Multi Platform_Australia (#247) 8" xfId="1128" xr:uid="{00000000-0005-0000-0000-000067040000}"/>
    <cellStyle name="_Notification_Symantec Mail Security for Domino Multi Platform_Australia (#247) 9" xfId="1129" xr:uid="{00000000-0005-0000-0000-000068040000}"/>
    <cellStyle name="_Notification_Symantec Mail Security for Domino Multi Platform_China RMB (#247)" xfId="1130" xr:uid="{00000000-0005-0000-0000-000069040000}"/>
    <cellStyle name="_Notification_Symantec Mail Security for Domino Multi Platform_China RMB (#247) 10" xfId="1131" xr:uid="{00000000-0005-0000-0000-00006A040000}"/>
    <cellStyle name="_Notification_Symantec Mail Security for Domino Multi Platform_China RMB (#247) 11" xfId="1132" xr:uid="{00000000-0005-0000-0000-00006B040000}"/>
    <cellStyle name="_Notification_Symantec Mail Security for Domino Multi Platform_China RMB (#247) 12" xfId="1133" xr:uid="{00000000-0005-0000-0000-00006C040000}"/>
    <cellStyle name="_Notification_Symantec Mail Security for Domino Multi Platform_China RMB (#247) 13" xfId="1134" xr:uid="{00000000-0005-0000-0000-00006D040000}"/>
    <cellStyle name="_Notification_Symantec Mail Security for Domino Multi Platform_China RMB (#247) 14" xfId="1135" xr:uid="{00000000-0005-0000-0000-00006E040000}"/>
    <cellStyle name="_Notification_Symantec Mail Security for Domino Multi Platform_China RMB (#247) 2" xfId="1136" xr:uid="{00000000-0005-0000-0000-00006F040000}"/>
    <cellStyle name="_Notification_Symantec Mail Security for Domino Multi Platform_China RMB (#247) 3" xfId="1137" xr:uid="{00000000-0005-0000-0000-000070040000}"/>
    <cellStyle name="_Notification_Symantec Mail Security for Domino Multi Platform_China RMB (#247) 4" xfId="1138" xr:uid="{00000000-0005-0000-0000-000071040000}"/>
    <cellStyle name="_Notification_Symantec Mail Security for Domino Multi Platform_China RMB (#247) 5" xfId="1139" xr:uid="{00000000-0005-0000-0000-000072040000}"/>
    <cellStyle name="_Notification_Symantec Mail Security for Domino Multi Platform_China RMB (#247) 6" xfId="1140" xr:uid="{00000000-0005-0000-0000-000073040000}"/>
    <cellStyle name="_Notification_Symantec Mail Security for Domino Multi Platform_China RMB (#247) 7" xfId="1141" xr:uid="{00000000-0005-0000-0000-000074040000}"/>
    <cellStyle name="_Notification_Symantec Mail Security for Domino Multi Platform_China RMB (#247) 8" xfId="1142" xr:uid="{00000000-0005-0000-0000-000075040000}"/>
    <cellStyle name="_Notification_Symantec Mail Security for Domino Multi Platform_China RMB (#247) 9" xfId="1143" xr:uid="{00000000-0005-0000-0000-000076040000}"/>
    <cellStyle name="_Notification_Symantec Mail Security for Domino Multi Platform_China USD (#247)" xfId="1144" xr:uid="{00000000-0005-0000-0000-000077040000}"/>
    <cellStyle name="_Notification_Symantec Mail Security for Domino Multi Platform_China USD (#247) 10" xfId="1145" xr:uid="{00000000-0005-0000-0000-000078040000}"/>
    <cellStyle name="_Notification_Symantec Mail Security for Domino Multi Platform_China USD (#247) 11" xfId="1146" xr:uid="{00000000-0005-0000-0000-000079040000}"/>
    <cellStyle name="_Notification_Symantec Mail Security for Domino Multi Platform_China USD (#247) 12" xfId="1147" xr:uid="{00000000-0005-0000-0000-00007A040000}"/>
    <cellStyle name="_Notification_Symantec Mail Security for Domino Multi Platform_China USD (#247) 13" xfId="1148" xr:uid="{00000000-0005-0000-0000-00007B040000}"/>
    <cellStyle name="_Notification_Symantec Mail Security for Domino Multi Platform_China USD (#247) 14" xfId="1149" xr:uid="{00000000-0005-0000-0000-00007C040000}"/>
    <cellStyle name="_Notification_Symantec Mail Security for Domino Multi Platform_China USD (#247) 2" xfId="1150" xr:uid="{00000000-0005-0000-0000-00007D040000}"/>
    <cellStyle name="_Notification_Symantec Mail Security for Domino Multi Platform_China USD (#247) 3" xfId="1151" xr:uid="{00000000-0005-0000-0000-00007E040000}"/>
    <cellStyle name="_Notification_Symantec Mail Security for Domino Multi Platform_China USD (#247) 4" xfId="1152" xr:uid="{00000000-0005-0000-0000-00007F040000}"/>
    <cellStyle name="_Notification_Symantec Mail Security for Domino Multi Platform_China USD (#247) 5" xfId="1153" xr:uid="{00000000-0005-0000-0000-000080040000}"/>
    <cellStyle name="_Notification_Symantec Mail Security for Domino Multi Platform_China USD (#247) 6" xfId="1154" xr:uid="{00000000-0005-0000-0000-000081040000}"/>
    <cellStyle name="_Notification_Symantec Mail Security for Domino Multi Platform_China USD (#247) 7" xfId="1155" xr:uid="{00000000-0005-0000-0000-000082040000}"/>
    <cellStyle name="_Notification_Symantec Mail Security for Domino Multi Platform_China USD (#247) 8" xfId="1156" xr:uid="{00000000-0005-0000-0000-000083040000}"/>
    <cellStyle name="_Notification_Symantec Mail Security for Domino Multi Platform_China USD (#247) 9" xfId="1157" xr:uid="{00000000-0005-0000-0000-000084040000}"/>
    <cellStyle name="_Notification_Symantec Mail Security for Domino Multi Platform_Hong Kong (#247)" xfId="1158" xr:uid="{00000000-0005-0000-0000-000085040000}"/>
    <cellStyle name="_Notification_Symantec Mail Security for Domino Multi Platform_Hong Kong (#247) 10" xfId="1159" xr:uid="{00000000-0005-0000-0000-000086040000}"/>
    <cellStyle name="_Notification_Symantec Mail Security for Domino Multi Platform_Hong Kong (#247) 11" xfId="1160" xr:uid="{00000000-0005-0000-0000-000087040000}"/>
    <cellStyle name="_Notification_Symantec Mail Security for Domino Multi Platform_Hong Kong (#247) 12" xfId="1161" xr:uid="{00000000-0005-0000-0000-000088040000}"/>
    <cellStyle name="_Notification_Symantec Mail Security for Domino Multi Platform_Hong Kong (#247) 13" xfId="1162" xr:uid="{00000000-0005-0000-0000-000089040000}"/>
    <cellStyle name="_Notification_Symantec Mail Security for Domino Multi Platform_Hong Kong (#247) 14" xfId="1163" xr:uid="{00000000-0005-0000-0000-00008A040000}"/>
    <cellStyle name="_Notification_Symantec Mail Security for Domino Multi Platform_Hong Kong (#247) 2" xfId="1164" xr:uid="{00000000-0005-0000-0000-00008B040000}"/>
    <cellStyle name="_Notification_Symantec Mail Security for Domino Multi Platform_Hong Kong (#247) 3" xfId="1165" xr:uid="{00000000-0005-0000-0000-00008C040000}"/>
    <cellStyle name="_Notification_Symantec Mail Security for Domino Multi Platform_Hong Kong (#247) 4" xfId="1166" xr:uid="{00000000-0005-0000-0000-00008D040000}"/>
    <cellStyle name="_Notification_Symantec Mail Security for Domino Multi Platform_Hong Kong (#247) 5" xfId="1167" xr:uid="{00000000-0005-0000-0000-00008E040000}"/>
    <cellStyle name="_Notification_Symantec Mail Security for Domino Multi Platform_Hong Kong (#247) 6" xfId="1168" xr:uid="{00000000-0005-0000-0000-00008F040000}"/>
    <cellStyle name="_Notification_Symantec Mail Security for Domino Multi Platform_Hong Kong (#247) 7" xfId="1169" xr:uid="{00000000-0005-0000-0000-000090040000}"/>
    <cellStyle name="_Notification_Symantec Mail Security for Domino Multi Platform_Hong Kong (#247) 8" xfId="1170" xr:uid="{00000000-0005-0000-0000-000091040000}"/>
    <cellStyle name="_Notification_Symantec Mail Security for Domino Multi Platform_Hong Kong (#247) 9" xfId="1171" xr:uid="{00000000-0005-0000-0000-000092040000}"/>
    <cellStyle name="_Notification_Symantec Mail Security for Domino Multi Platform_India (#247)" xfId="1172" xr:uid="{00000000-0005-0000-0000-000093040000}"/>
    <cellStyle name="_Notification_Symantec Mail Security for Domino Multi Platform_India (#247) 10" xfId="1173" xr:uid="{00000000-0005-0000-0000-000094040000}"/>
    <cellStyle name="_Notification_Symantec Mail Security for Domino Multi Platform_India (#247) 11" xfId="1174" xr:uid="{00000000-0005-0000-0000-000095040000}"/>
    <cellStyle name="_Notification_Symantec Mail Security for Domino Multi Platform_India (#247) 12" xfId="1175" xr:uid="{00000000-0005-0000-0000-000096040000}"/>
    <cellStyle name="_Notification_Symantec Mail Security for Domino Multi Platform_India (#247) 13" xfId="1176" xr:uid="{00000000-0005-0000-0000-000097040000}"/>
    <cellStyle name="_Notification_Symantec Mail Security for Domino Multi Platform_India (#247) 14" xfId="1177" xr:uid="{00000000-0005-0000-0000-000098040000}"/>
    <cellStyle name="_Notification_Symantec Mail Security for Domino Multi Platform_India (#247) 2" xfId="1178" xr:uid="{00000000-0005-0000-0000-000099040000}"/>
    <cellStyle name="_Notification_Symantec Mail Security for Domino Multi Platform_India (#247) 3" xfId="1179" xr:uid="{00000000-0005-0000-0000-00009A040000}"/>
    <cellStyle name="_Notification_Symantec Mail Security for Domino Multi Platform_India (#247) 4" xfId="1180" xr:uid="{00000000-0005-0000-0000-00009B040000}"/>
    <cellStyle name="_Notification_Symantec Mail Security for Domino Multi Platform_India (#247) 5" xfId="1181" xr:uid="{00000000-0005-0000-0000-00009C040000}"/>
    <cellStyle name="_Notification_Symantec Mail Security for Domino Multi Platform_India (#247) 6" xfId="1182" xr:uid="{00000000-0005-0000-0000-00009D040000}"/>
    <cellStyle name="_Notification_Symantec Mail Security for Domino Multi Platform_India (#247) 7" xfId="1183" xr:uid="{00000000-0005-0000-0000-00009E040000}"/>
    <cellStyle name="_Notification_Symantec Mail Security for Domino Multi Platform_India (#247) 8" xfId="1184" xr:uid="{00000000-0005-0000-0000-00009F040000}"/>
    <cellStyle name="_Notification_Symantec Mail Security for Domino Multi Platform_India (#247) 9" xfId="1185" xr:uid="{00000000-0005-0000-0000-0000A0040000}"/>
    <cellStyle name="_Notification_Symantec Mail Security for Domino Multi Platform_Korea (#247)" xfId="1186" xr:uid="{00000000-0005-0000-0000-0000A1040000}"/>
    <cellStyle name="_Notification_Symantec Mail Security for Domino Multi Platform_Korea (#247) 10" xfId="1187" xr:uid="{00000000-0005-0000-0000-0000A2040000}"/>
    <cellStyle name="_Notification_Symantec Mail Security for Domino Multi Platform_Korea (#247) 11" xfId="1188" xr:uid="{00000000-0005-0000-0000-0000A3040000}"/>
    <cellStyle name="_Notification_Symantec Mail Security for Domino Multi Platform_Korea (#247) 12" xfId="1189" xr:uid="{00000000-0005-0000-0000-0000A4040000}"/>
    <cellStyle name="_Notification_Symantec Mail Security for Domino Multi Platform_Korea (#247) 13" xfId="1190" xr:uid="{00000000-0005-0000-0000-0000A5040000}"/>
    <cellStyle name="_Notification_Symantec Mail Security for Domino Multi Platform_Korea (#247) 14" xfId="1191" xr:uid="{00000000-0005-0000-0000-0000A6040000}"/>
    <cellStyle name="_Notification_Symantec Mail Security for Domino Multi Platform_Korea (#247) 2" xfId="1192" xr:uid="{00000000-0005-0000-0000-0000A7040000}"/>
    <cellStyle name="_Notification_Symantec Mail Security for Domino Multi Platform_Korea (#247) 3" xfId="1193" xr:uid="{00000000-0005-0000-0000-0000A8040000}"/>
    <cellStyle name="_Notification_Symantec Mail Security for Domino Multi Platform_Korea (#247) 4" xfId="1194" xr:uid="{00000000-0005-0000-0000-0000A9040000}"/>
    <cellStyle name="_Notification_Symantec Mail Security for Domino Multi Platform_Korea (#247) 5" xfId="1195" xr:uid="{00000000-0005-0000-0000-0000AA040000}"/>
    <cellStyle name="_Notification_Symantec Mail Security for Domino Multi Platform_Korea (#247) 6" xfId="1196" xr:uid="{00000000-0005-0000-0000-0000AB040000}"/>
    <cellStyle name="_Notification_Symantec Mail Security for Domino Multi Platform_Korea (#247) 7" xfId="1197" xr:uid="{00000000-0005-0000-0000-0000AC040000}"/>
    <cellStyle name="_Notification_Symantec Mail Security for Domino Multi Platform_Korea (#247) 8" xfId="1198" xr:uid="{00000000-0005-0000-0000-0000AD040000}"/>
    <cellStyle name="_Notification_Symantec Mail Security for Domino Multi Platform_Korea (#247) 9" xfId="1199" xr:uid="{00000000-0005-0000-0000-0000AE040000}"/>
    <cellStyle name="_Notification_Symantec Mail Security for Domino Multi Platform_New Zealand (#247)" xfId="1200" xr:uid="{00000000-0005-0000-0000-0000AF040000}"/>
    <cellStyle name="_Notification_Symantec Mail Security for Domino Multi Platform_New Zealand (#247) 10" xfId="1201" xr:uid="{00000000-0005-0000-0000-0000B0040000}"/>
    <cellStyle name="_Notification_Symantec Mail Security for Domino Multi Platform_New Zealand (#247) 11" xfId="1202" xr:uid="{00000000-0005-0000-0000-0000B1040000}"/>
    <cellStyle name="_Notification_Symantec Mail Security for Domino Multi Platform_New Zealand (#247) 12" xfId="1203" xr:uid="{00000000-0005-0000-0000-0000B2040000}"/>
    <cellStyle name="_Notification_Symantec Mail Security for Domino Multi Platform_New Zealand (#247) 13" xfId="1204" xr:uid="{00000000-0005-0000-0000-0000B3040000}"/>
    <cellStyle name="_Notification_Symantec Mail Security for Domino Multi Platform_New Zealand (#247) 14" xfId="1205" xr:uid="{00000000-0005-0000-0000-0000B4040000}"/>
    <cellStyle name="_Notification_Symantec Mail Security for Domino Multi Platform_New Zealand (#247) 2" xfId="1206" xr:uid="{00000000-0005-0000-0000-0000B5040000}"/>
    <cellStyle name="_Notification_Symantec Mail Security for Domino Multi Platform_New Zealand (#247) 3" xfId="1207" xr:uid="{00000000-0005-0000-0000-0000B6040000}"/>
    <cellStyle name="_Notification_Symantec Mail Security for Domino Multi Platform_New Zealand (#247) 4" xfId="1208" xr:uid="{00000000-0005-0000-0000-0000B7040000}"/>
    <cellStyle name="_Notification_Symantec Mail Security for Domino Multi Platform_New Zealand (#247) 5" xfId="1209" xr:uid="{00000000-0005-0000-0000-0000B8040000}"/>
    <cellStyle name="_Notification_Symantec Mail Security for Domino Multi Platform_New Zealand (#247) 6" xfId="1210" xr:uid="{00000000-0005-0000-0000-0000B9040000}"/>
    <cellStyle name="_Notification_Symantec Mail Security for Domino Multi Platform_New Zealand (#247) 7" xfId="1211" xr:uid="{00000000-0005-0000-0000-0000BA040000}"/>
    <cellStyle name="_Notification_Symantec Mail Security for Domino Multi Platform_New Zealand (#247) 8" xfId="1212" xr:uid="{00000000-0005-0000-0000-0000BB040000}"/>
    <cellStyle name="_Notification_Symantec Mail Security for Domino Multi Platform_New Zealand (#247) 9" xfId="1213" xr:uid="{00000000-0005-0000-0000-0000BC040000}"/>
    <cellStyle name="_Notification_Symantec Mail Security for Domino Multi Platform_Singapore (#247)" xfId="1214" xr:uid="{00000000-0005-0000-0000-0000BD040000}"/>
    <cellStyle name="_Notification_Symantec Mail Security for Domino Multi Platform_Singapore (#247) 10" xfId="1215" xr:uid="{00000000-0005-0000-0000-0000BE040000}"/>
    <cellStyle name="_Notification_Symantec Mail Security for Domino Multi Platform_Singapore (#247) 11" xfId="1216" xr:uid="{00000000-0005-0000-0000-0000BF040000}"/>
    <cellStyle name="_Notification_Symantec Mail Security for Domino Multi Platform_Singapore (#247) 12" xfId="1217" xr:uid="{00000000-0005-0000-0000-0000C0040000}"/>
    <cellStyle name="_Notification_Symantec Mail Security for Domino Multi Platform_Singapore (#247) 13" xfId="1218" xr:uid="{00000000-0005-0000-0000-0000C1040000}"/>
    <cellStyle name="_Notification_Symantec Mail Security for Domino Multi Platform_Singapore (#247) 14" xfId="1219" xr:uid="{00000000-0005-0000-0000-0000C2040000}"/>
    <cellStyle name="_Notification_Symantec Mail Security for Domino Multi Platform_Singapore (#247) 2" xfId="1220" xr:uid="{00000000-0005-0000-0000-0000C3040000}"/>
    <cellStyle name="_Notification_Symantec Mail Security for Domino Multi Platform_Singapore (#247) 3" xfId="1221" xr:uid="{00000000-0005-0000-0000-0000C4040000}"/>
    <cellStyle name="_Notification_Symantec Mail Security for Domino Multi Platform_Singapore (#247) 4" xfId="1222" xr:uid="{00000000-0005-0000-0000-0000C5040000}"/>
    <cellStyle name="_Notification_Symantec Mail Security for Domino Multi Platform_Singapore (#247) 5" xfId="1223" xr:uid="{00000000-0005-0000-0000-0000C6040000}"/>
    <cellStyle name="_Notification_Symantec Mail Security for Domino Multi Platform_Singapore (#247) 6" xfId="1224" xr:uid="{00000000-0005-0000-0000-0000C7040000}"/>
    <cellStyle name="_Notification_Symantec Mail Security for Domino Multi Platform_Singapore (#247) 7" xfId="1225" xr:uid="{00000000-0005-0000-0000-0000C8040000}"/>
    <cellStyle name="_Notification_Symantec Mail Security for Domino Multi Platform_Singapore (#247) 8" xfId="1226" xr:uid="{00000000-0005-0000-0000-0000C9040000}"/>
    <cellStyle name="_Notification_Symantec Mail Security for Domino Multi Platform_Singapore (#247) 9" xfId="1227" xr:uid="{00000000-0005-0000-0000-0000CA040000}"/>
    <cellStyle name="_Notification_Symantec Mail Security for Domino Multi Platform_Taiwan (#247)" xfId="1228" xr:uid="{00000000-0005-0000-0000-0000CB040000}"/>
    <cellStyle name="_Notification_Symantec Mail Security for Domino Multi Platform_Taiwan (#247) 10" xfId="1229" xr:uid="{00000000-0005-0000-0000-0000CC040000}"/>
    <cellStyle name="_Notification_Symantec Mail Security for Domino Multi Platform_Taiwan (#247) 11" xfId="1230" xr:uid="{00000000-0005-0000-0000-0000CD040000}"/>
    <cellStyle name="_Notification_Symantec Mail Security for Domino Multi Platform_Taiwan (#247) 12" xfId="1231" xr:uid="{00000000-0005-0000-0000-0000CE040000}"/>
    <cellStyle name="_Notification_Symantec Mail Security for Domino Multi Platform_Taiwan (#247) 13" xfId="1232" xr:uid="{00000000-0005-0000-0000-0000CF040000}"/>
    <cellStyle name="_Notification_Symantec Mail Security for Domino Multi Platform_Taiwan (#247) 14" xfId="1233" xr:uid="{00000000-0005-0000-0000-0000D0040000}"/>
    <cellStyle name="_Notification_Symantec Mail Security for Domino Multi Platform_Taiwan (#247) 2" xfId="1234" xr:uid="{00000000-0005-0000-0000-0000D1040000}"/>
    <cellStyle name="_Notification_Symantec Mail Security for Domino Multi Platform_Taiwan (#247) 3" xfId="1235" xr:uid="{00000000-0005-0000-0000-0000D2040000}"/>
    <cellStyle name="_Notification_Symantec Mail Security for Domino Multi Platform_Taiwan (#247) 4" xfId="1236" xr:uid="{00000000-0005-0000-0000-0000D3040000}"/>
    <cellStyle name="_Notification_Symantec Mail Security for Domino Multi Platform_Taiwan (#247) 5" xfId="1237" xr:uid="{00000000-0005-0000-0000-0000D4040000}"/>
    <cellStyle name="_Notification_Symantec Mail Security for Domino Multi Platform_Taiwan (#247) 6" xfId="1238" xr:uid="{00000000-0005-0000-0000-0000D5040000}"/>
    <cellStyle name="_Notification_Symantec Mail Security for Domino Multi Platform_Taiwan (#247) 7" xfId="1239" xr:uid="{00000000-0005-0000-0000-0000D6040000}"/>
    <cellStyle name="_Notification_Symantec Mail Security for Domino Multi Platform_Taiwan (#247) 8" xfId="1240" xr:uid="{00000000-0005-0000-0000-0000D7040000}"/>
    <cellStyle name="_Notification_Symantec Mail Security for Domino Multi Platform_Taiwan (#247) 9" xfId="1241" xr:uid="{00000000-0005-0000-0000-0000D8040000}"/>
    <cellStyle name="_Notification_Symantec Mail Security for Domino Multi Platform_Thailand (#247)" xfId="1242" xr:uid="{00000000-0005-0000-0000-0000D9040000}"/>
    <cellStyle name="_Notification_Symantec Mail Security for Domino Multi Platform_Thailand (#247) 10" xfId="1243" xr:uid="{00000000-0005-0000-0000-0000DA040000}"/>
    <cellStyle name="_Notification_Symantec Mail Security for Domino Multi Platform_Thailand (#247) 11" xfId="1244" xr:uid="{00000000-0005-0000-0000-0000DB040000}"/>
    <cellStyle name="_Notification_Symantec Mail Security for Domino Multi Platform_Thailand (#247) 12" xfId="1245" xr:uid="{00000000-0005-0000-0000-0000DC040000}"/>
    <cellStyle name="_Notification_Symantec Mail Security for Domino Multi Platform_Thailand (#247) 13" xfId="1246" xr:uid="{00000000-0005-0000-0000-0000DD040000}"/>
    <cellStyle name="_Notification_Symantec Mail Security for Domino Multi Platform_Thailand (#247) 14" xfId="1247" xr:uid="{00000000-0005-0000-0000-0000DE040000}"/>
    <cellStyle name="_Notification_Symantec Mail Security for Domino Multi Platform_Thailand (#247) 2" xfId="1248" xr:uid="{00000000-0005-0000-0000-0000DF040000}"/>
    <cellStyle name="_Notification_Symantec Mail Security for Domino Multi Platform_Thailand (#247) 3" xfId="1249" xr:uid="{00000000-0005-0000-0000-0000E0040000}"/>
    <cellStyle name="_Notification_Symantec Mail Security for Domino Multi Platform_Thailand (#247) 4" xfId="1250" xr:uid="{00000000-0005-0000-0000-0000E1040000}"/>
    <cellStyle name="_Notification_Symantec Mail Security for Domino Multi Platform_Thailand (#247) 5" xfId="1251" xr:uid="{00000000-0005-0000-0000-0000E2040000}"/>
    <cellStyle name="_Notification_Symantec Mail Security for Domino Multi Platform_Thailand (#247) 6" xfId="1252" xr:uid="{00000000-0005-0000-0000-0000E3040000}"/>
    <cellStyle name="_Notification_Symantec Mail Security for Domino Multi Platform_Thailand (#247) 7" xfId="1253" xr:uid="{00000000-0005-0000-0000-0000E4040000}"/>
    <cellStyle name="_Notification_Symantec Mail Security for Domino Multi Platform_Thailand (#247) 8" xfId="1254" xr:uid="{00000000-0005-0000-0000-0000E5040000}"/>
    <cellStyle name="_Notification_Symantec Mail Security for Domino Multi Platform_Thailand (#247) 9" xfId="1255" xr:uid="{00000000-0005-0000-0000-0000E6040000}"/>
    <cellStyle name="_Notification_Symantec On iPatch 1.1_ASEAN (#)" xfId="1256" xr:uid="{00000000-0005-0000-0000-0000E7040000}"/>
    <cellStyle name="_Notification_Symantec On iPatch 1.1_Australia (#)" xfId="1257" xr:uid="{00000000-0005-0000-0000-0000E8040000}"/>
    <cellStyle name="_Notification_Symantec On iPatch 1.1_China USD (#)" xfId="1258" xr:uid="{00000000-0005-0000-0000-0000E9040000}"/>
    <cellStyle name="_Notification_Symantec On iPatch 1.1_Hong Kong (#)" xfId="1259" xr:uid="{00000000-0005-0000-0000-0000EA040000}"/>
    <cellStyle name="_Notification_Symantec On iPatch 1.1_India (#)" xfId="1260" xr:uid="{00000000-0005-0000-0000-0000EB040000}"/>
    <cellStyle name="_Notification_Symantec On iPatch 1.1_Korea (#)" xfId="1261" xr:uid="{00000000-0005-0000-0000-0000EC040000}"/>
    <cellStyle name="_Notification_Symantec On iPatch 1.1_New Zealand (#)" xfId="1262" xr:uid="{00000000-0005-0000-0000-0000ED040000}"/>
    <cellStyle name="_Notification_Symantec On iPatch 1.1_Singapore (#)" xfId="1263" xr:uid="{00000000-0005-0000-0000-0000EE040000}"/>
    <cellStyle name="_Notification_Symantec On iPatch 1.1_Taiwan (#)" xfId="1264" xr:uid="{00000000-0005-0000-0000-0000EF040000}"/>
    <cellStyle name="_Notification_Symantec On iPatch 1.1_Thailand (#)" xfId="1265" xr:uid="{00000000-0005-0000-0000-0000F0040000}"/>
    <cellStyle name="_Notification_Symantec PCA 11.5 Host Only_ASEAN (Draft)" xfId="1266" xr:uid="{00000000-0005-0000-0000-0000F1040000}"/>
    <cellStyle name="_Notification_Symantec PCA 11.5 Host Only_Australia (Draft)" xfId="1267" xr:uid="{00000000-0005-0000-0000-0000F2040000}"/>
    <cellStyle name="_Notification_Symantec PCA 11.5 Host Only_China USD (Draft)" xfId="1268" xr:uid="{00000000-0005-0000-0000-0000F3040000}"/>
    <cellStyle name="_Notification_Symantec PCA 11.5 Host Only_Hong Kong (Draft)" xfId="1269" xr:uid="{00000000-0005-0000-0000-0000F4040000}"/>
    <cellStyle name="_Notification_Symantec PCA 11.5 Host Only_India (Draft)" xfId="1270" xr:uid="{00000000-0005-0000-0000-0000F5040000}"/>
    <cellStyle name="_Notification_Symantec PCA 11.5 Host Only_Korea (Draft)" xfId="1271" xr:uid="{00000000-0005-0000-0000-0000F6040000}"/>
    <cellStyle name="_Notification_Symantec PCA 11.5 Host Only_New Zealand (Draft)" xfId="1272" xr:uid="{00000000-0005-0000-0000-0000F7040000}"/>
    <cellStyle name="_Notification_Symantec PCA 11.5 Host Only_Thailand (Draft)" xfId="1273" xr:uid="{00000000-0005-0000-0000-0000F8040000}"/>
    <cellStyle name="_Notification_Symantec PCA 11.5_Singapore (Draft)" xfId="1274" xr:uid="{00000000-0005-0000-0000-0000F9040000}"/>
    <cellStyle name="_Notification_V2I Builder_Discontinuation (#262)" xfId="1275" xr:uid="{00000000-0005-0000-0000-0000FA040000}"/>
    <cellStyle name="_NZ" xfId="1276" xr:uid="{00000000-0005-0000-0000-0000FB040000}"/>
    <cellStyle name="_PartitionMagic PRO 7.0 - SA" xfId="1277" xr:uid="{00000000-0005-0000-0000-0000FC040000}"/>
    <cellStyle name="_PartitionMagic Pro 7.0_Australia" xfId="1278" xr:uid="{00000000-0005-0000-0000-0000FD040000}"/>
    <cellStyle name="_PartitionMagic Pro 7.0_China" xfId="1279" xr:uid="{00000000-0005-0000-0000-0000FE040000}"/>
    <cellStyle name="_PartitionMagic Pro 7.0_Hong Kong" xfId="1280" xr:uid="{00000000-0005-0000-0000-0000FF040000}"/>
    <cellStyle name="_PartitionMagic Pro 7.0_India" xfId="1281" xr:uid="{00000000-0005-0000-0000-000000050000}"/>
    <cellStyle name="_PartitionMagic Pro 7.0_Korea" xfId="1282" xr:uid="{00000000-0005-0000-0000-000001050000}"/>
    <cellStyle name="_PartitionMagic Pro 7.0_NZ" xfId="1283" xr:uid="{00000000-0005-0000-0000-000002050000}"/>
    <cellStyle name="_PartitionMagic Pro 7.0_Singapore" xfId="1284" xr:uid="{00000000-0005-0000-0000-000003050000}"/>
    <cellStyle name="_PartitionMagic Pro 7.0_Taiwan" xfId="1285" xr:uid="{00000000-0005-0000-0000-000004050000}"/>
    <cellStyle name="_PartitionMagic Pro 7.0_Thailand" xfId="1286" xr:uid="{00000000-0005-0000-0000-000005050000}"/>
    <cellStyle name="_Partner_demo 11-8-04" xfId="1287" xr:uid="{00000000-0005-0000-0000-000006050000}"/>
    <cellStyle name="_Price List Cheat Sheet" xfId="1288" xr:uid="{00000000-0005-0000-0000-000007050000}"/>
    <cellStyle name="_Protector Management Console Server 2.0 - PA" xfId="1289" xr:uid="{00000000-0005-0000-0000-000008050000}"/>
    <cellStyle name="_Protector Mgemt Console DKTP 2.0_ASEAN" xfId="1290" xr:uid="{00000000-0005-0000-0000-000009050000}"/>
    <cellStyle name="_Protector Mgemt Console DKTP 2.0_Australia" xfId="1291" xr:uid="{00000000-0005-0000-0000-00000A050000}"/>
    <cellStyle name="_Protector Mgemt Console DKTP 2.0_China" xfId="1292" xr:uid="{00000000-0005-0000-0000-00000B050000}"/>
    <cellStyle name="_Protector Mgemt Console DKTP 2.0_HK" xfId="1293" xr:uid="{00000000-0005-0000-0000-00000C050000}"/>
    <cellStyle name="_Protector Mgemt Console DKTP 2.0_India" xfId="1294" xr:uid="{00000000-0005-0000-0000-00000D050000}"/>
    <cellStyle name="_Protector Mgemt Console DKTP 2.0_Korea" xfId="1295" xr:uid="{00000000-0005-0000-0000-00000E050000}"/>
    <cellStyle name="_Protector Mgemt Console DKTP 2.0_NZ" xfId="1296" xr:uid="{00000000-0005-0000-0000-00000F050000}"/>
    <cellStyle name="_Protector Mgemt Console DKTP 2.0_Singapore" xfId="1297" xr:uid="{00000000-0005-0000-0000-000010050000}"/>
    <cellStyle name="_Protector Mgemt Console DKTP 2.0_Taiwan" xfId="1298" xr:uid="{00000000-0005-0000-0000-000011050000}"/>
    <cellStyle name="_Protector Mgemt Console DKTP 2.0_Thailand" xfId="1299" xr:uid="{00000000-0005-0000-0000-000012050000}"/>
    <cellStyle name="_Protector Mgemt Console SRVR 2.0_ASEAN" xfId="1300" xr:uid="{00000000-0005-0000-0000-000013050000}"/>
    <cellStyle name="_Protector Mgemt Console SRVR 2.0_China" xfId="1301" xr:uid="{00000000-0005-0000-0000-000014050000}"/>
    <cellStyle name="_Protector Mgemt Console SRVR 2.0_HK" xfId="1302" xr:uid="{00000000-0005-0000-0000-000015050000}"/>
    <cellStyle name="_Protector Mgemt Console SRVR 2.0_India" xfId="1303" xr:uid="{00000000-0005-0000-0000-000016050000}"/>
    <cellStyle name="_Protector Mgemt Console SRVR 2.0_Korea" xfId="1304" xr:uid="{00000000-0005-0000-0000-000017050000}"/>
    <cellStyle name="_Protector Mgemt Console SRVR 2.0_Singapore" xfId="1305" xr:uid="{00000000-0005-0000-0000-000018050000}"/>
    <cellStyle name="_Protector Mgemt Console SRVR 2.0_Taiwan" xfId="1306" xr:uid="{00000000-0005-0000-0000-000019050000}"/>
    <cellStyle name="_Protector Mgemt Console SRVR 2.0_Thailand" xfId="1307" xr:uid="{00000000-0005-0000-0000-00001A050000}"/>
    <cellStyle name="_PT_SYM Client Migration_NA" xfId="1308" xr:uid="{00000000-0005-0000-0000-00001B050000}"/>
    <cellStyle name="_PT_SYM Client Migration_PA" xfId="1309" xr:uid="{00000000-0005-0000-0000-00001C050000}"/>
    <cellStyle name="_PT_SYM Client Migration_SA" xfId="1310" xr:uid="{00000000-0005-0000-0000-00001D050000}"/>
    <cellStyle name="_Retail" xfId="1311" xr:uid="{00000000-0005-0000-0000-00001E050000}"/>
    <cellStyle name="_Rewards AIM" xfId="1312" xr:uid="{00000000-0005-0000-0000-00001F050000}"/>
    <cellStyle name="_Rewards Security" xfId="1313" xr:uid="{00000000-0005-0000-0000-000020050000}"/>
    <cellStyle name="_sec_Neta_APAC" xfId="1314" xr:uid="{00000000-0005-0000-0000-000021050000}"/>
    <cellStyle name="_Security Media Packs" xfId="1315" xr:uid="{00000000-0005-0000-0000-000022050000}"/>
    <cellStyle name="_sef_80_disc_notif_sales" xfId="1316" xr:uid="{00000000-0005-0000-0000-000023050000}"/>
    <cellStyle name="_sem_ip_sales" xfId="1317" xr:uid="{00000000-0005-0000-0000-000024050000}"/>
    <cellStyle name="_ServerMagic 6.5 for NetWare_ASEAN" xfId="1318" xr:uid="{00000000-0005-0000-0000-000025050000}"/>
    <cellStyle name="_ServerMagic 6.5 for NetWare_Australia" xfId="1319" xr:uid="{00000000-0005-0000-0000-000026050000}"/>
    <cellStyle name="_ServerMagic 6.5 for NetWare_China" xfId="1320" xr:uid="{00000000-0005-0000-0000-000027050000}"/>
    <cellStyle name="_ServerMagic 6.5 for NetWare_HK" xfId="1321" xr:uid="{00000000-0005-0000-0000-000028050000}"/>
    <cellStyle name="_ServerMagic 6.5 for NetWare_India" xfId="1322" xr:uid="{00000000-0005-0000-0000-000029050000}"/>
    <cellStyle name="_ServerMagic 6.5 for NetWare_Korea" xfId="1323" xr:uid="{00000000-0005-0000-0000-00002A050000}"/>
    <cellStyle name="_ServerMagic 6.5 for NetWare_New Zealand" xfId="1324" xr:uid="{00000000-0005-0000-0000-00002B050000}"/>
    <cellStyle name="_ServerMagic 6.5 for NetWare_Singapore" xfId="1325" xr:uid="{00000000-0005-0000-0000-00002C050000}"/>
    <cellStyle name="_ServerMagic 6.5 for NetWare_Taiwan" xfId="1326" xr:uid="{00000000-0005-0000-0000-00002D050000}"/>
    <cellStyle name="_ServerMagic 6.5 for NetWare_Thailand" xfId="1327" xr:uid="{00000000-0005-0000-0000-00002E050000}"/>
    <cellStyle name="_SF Description" xfId="1328" xr:uid="{00000000-0005-0000-0000-00002F050000}"/>
    <cellStyle name="_sgss_notif_prelim" xfId="1329" xr:uid="{00000000-0005-0000-0000-000030050000}"/>
    <cellStyle name="_Sheet1" xfId="1330" xr:uid="{00000000-0005-0000-0000-000031050000}"/>
    <cellStyle name="_Singapore" xfId="1331" xr:uid="{00000000-0005-0000-0000-000032050000}"/>
    <cellStyle name="_Singapore Price List" xfId="1332" xr:uid="{00000000-0005-0000-0000-000033050000}"/>
    <cellStyle name="_Singapore Price List 10" xfId="1333" xr:uid="{00000000-0005-0000-0000-000034050000}"/>
    <cellStyle name="_Singapore Price List 11" xfId="1334" xr:uid="{00000000-0005-0000-0000-000035050000}"/>
    <cellStyle name="_Singapore Price List 12" xfId="1335" xr:uid="{00000000-0005-0000-0000-000036050000}"/>
    <cellStyle name="_Singapore Price List 13" xfId="1336" xr:uid="{00000000-0005-0000-0000-000037050000}"/>
    <cellStyle name="_Singapore Price List 14" xfId="1337" xr:uid="{00000000-0005-0000-0000-000038050000}"/>
    <cellStyle name="_Singapore Price List 2" xfId="1338" xr:uid="{00000000-0005-0000-0000-000039050000}"/>
    <cellStyle name="_Singapore Price List 3" xfId="1339" xr:uid="{00000000-0005-0000-0000-00003A050000}"/>
    <cellStyle name="_Singapore Price List 4" xfId="1340" xr:uid="{00000000-0005-0000-0000-00003B050000}"/>
    <cellStyle name="_Singapore Price List 5" xfId="1341" xr:uid="{00000000-0005-0000-0000-00003C050000}"/>
    <cellStyle name="_Singapore Price List 6" xfId="1342" xr:uid="{00000000-0005-0000-0000-00003D050000}"/>
    <cellStyle name="_Singapore Price List 7" xfId="1343" xr:uid="{00000000-0005-0000-0000-00003E050000}"/>
    <cellStyle name="_Singapore Price List 8" xfId="1344" xr:uid="{00000000-0005-0000-0000-00003F050000}"/>
    <cellStyle name="_Singapore Price List 9" xfId="1345" xr:uid="{00000000-0005-0000-0000-000040050000}"/>
    <cellStyle name="_Singapore_Express_Academic_Government" xfId="1346" xr:uid="{00000000-0005-0000-0000-000041050000}"/>
    <cellStyle name="_Singapore_Nov_06" xfId="1347" xr:uid="{00000000-0005-0000-0000-000042050000}"/>
    <cellStyle name="_Singapore_Sygate_Aug_06" xfId="1348" xr:uid="{00000000-0005-0000-0000-000043050000}"/>
    <cellStyle name="_Skus to be Discontinued" xfId="1349" xr:uid="{00000000-0005-0000-0000-000044050000}"/>
    <cellStyle name="_Skus to Withdraw" xfId="1350" xr:uid="{00000000-0005-0000-0000-000045050000}"/>
    <cellStyle name="_sms_notif_prelim" xfId="1351" xr:uid="{00000000-0005-0000-0000-000046050000}"/>
    <cellStyle name="_SYMANTEC Event Collector 2.5 for Checkpoint - NA" xfId="1352" xr:uid="{00000000-0005-0000-0000-000047050000}"/>
    <cellStyle name="_SYMANTEC Event Collector 2.5 for Checkpoint - NA 10" xfId="1353" xr:uid="{00000000-0005-0000-0000-000048050000}"/>
    <cellStyle name="_SYMANTEC Event Collector 2.5 for Checkpoint - NA 11" xfId="1354" xr:uid="{00000000-0005-0000-0000-000049050000}"/>
    <cellStyle name="_SYMANTEC Event Collector 2.5 for Checkpoint - NA 12" xfId="1355" xr:uid="{00000000-0005-0000-0000-00004A050000}"/>
    <cellStyle name="_SYMANTEC Event Collector 2.5 for Checkpoint - NA 13" xfId="1356" xr:uid="{00000000-0005-0000-0000-00004B050000}"/>
    <cellStyle name="_SYMANTEC Event Collector 2.5 for Checkpoint - NA 14" xfId="1357" xr:uid="{00000000-0005-0000-0000-00004C050000}"/>
    <cellStyle name="_SYMANTEC Event Collector 2.5 for Checkpoint - NA 2" xfId="1358" xr:uid="{00000000-0005-0000-0000-00004D050000}"/>
    <cellStyle name="_SYMANTEC Event Collector 2.5 for Checkpoint - NA 3" xfId="1359" xr:uid="{00000000-0005-0000-0000-00004E050000}"/>
    <cellStyle name="_SYMANTEC Event Collector 2.5 for Checkpoint - NA 4" xfId="1360" xr:uid="{00000000-0005-0000-0000-00004F050000}"/>
    <cellStyle name="_SYMANTEC Event Collector 2.5 for Checkpoint - NA 5" xfId="1361" xr:uid="{00000000-0005-0000-0000-000050050000}"/>
    <cellStyle name="_SYMANTEC Event Collector 2.5 for Checkpoint - NA 6" xfId="1362" xr:uid="{00000000-0005-0000-0000-000051050000}"/>
    <cellStyle name="_SYMANTEC Event Collector 2.5 for Checkpoint - NA 7" xfId="1363" xr:uid="{00000000-0005-0000-0000-000052050000}"/>
    <cellStyle name="_SYMANTEC Event Collector 2.5 for Checkpoint - NA 8" xfId="1364" xr:uid="{00000000-0005-0000-0000-000053050000}"/>
    <cellStyle name="_SYMANTEC Event Collector 2.5 for Checkpoint - NA 9" xfId="1365" xr:uid="{00000000-0005-0000-0000-000054050000}"/>
    <cellStyle name="_SYMANTEC Event Collector 2.5 for Checkpoint - SA" xfId="1366" xr:uid="{00000000-0005-0000-0000-000055050000}"/>
    <cellStyle name="_SYMANTEC Event Collector 2.5 for Checkpoint - SA 10" xfId="1367" xr:uid="{00000000-0005-0000-0000-000056050000}"/>
    <cellStyle name="_SYMANTEC Event Collector 2.5 for Checkpoint - SA 11" xfId="1368" xr:uid="{00000000-0005-0000-0000-000057050000}"/>
    <cellStyle name="_SYMANTEC Event Collector 2.5 for Checkpoint - SA 12" xfId="1369" xr:uid="{00000000-0005-0000-0000-000058050000}"/>
    <cellStyle name="_SYMANTEC Event Collector 2.5 for Checkpoint - SA 13" xfId="1370" xr:uid="{00000000-0005-0000-0000-000059050000}"/>
    <cellStyle name="_SYMANTEC Event Collector 2.5 for Checkpoint - SA 14" xfId="1371" xr:uid="{00000000-0005-0000-0000-00005A050000}"/>
    <cellStyle name="_SYMANTEC Event Collector 2.5 for Checkpoint - SA 2" xfId="1372" xr:uid="{00000000-0005-0000-0000-00005B050000}"/>
    <cellStyle name="_SYMANTEC Event Collector 2.5 for Checkpoint - SA 3" xfId="1373" xr:uid="{00000000-0005-0000-0000-00005C050000}"/>
    <cellStyle name="_SYMANTEC Event Collector 2.5 for Checkpoint - SA 4" xfId="1374" xr:uid="{00000000-0005-0000-0000-00005D050000}"/>
    <cellStyle name="_SYMANTEC Event Collector 2.5 for Checkpoint - SA 5" xfId="1375" xr:uid="{00000000-0005-0000-0000-00005E050000}"/>
    <cellStyle name="_SYMANTEC Event Collector 2.5 for Checkpoint - SA 6" xfId="1376" xr:uid="{00000000-0005-0000-0000-00005F050000}"/>
    <cellStyle name="_SYMANTEC Event Collector 2.5 for Checkpoint - SA 7" xfId="1377" xr:uid="{00000000-0005-0000-0000-000060050000}"/>
    <cellStyle name="_SYMANTEC Event Collector 2.5 for Checkpoint - SA 8" xfId="1378" xr:uid="{00000000-0005-0000-0000-000061050000}"/>
    <cellStyle name="_SYMANTEC Event Collector 2.5 for Checkpoint - SA 9" xfId="1379" xr:uid="{00000000-0005-0000-0000-000062050000}"/>
    <cellStyle name="_SYMANTEC EVENT COLLECTOR FOR NETA 2.0 - NA" xfId="1380" xr:uid="{00000000-0005-0000-0000-000063050000}"/>
    <cellStyle name="_SYMANTEC EVENT COLLECTOR FOR NETA 2.0 - NA 10" xfId="1381" xr:uid="{00000000-0005-0000-0000-000064050000}"/>
    <cellStyle name="_SYMANTEC EVENT COLLECTOR FOR NETA 2.0 - NA 11" xfId="1382" xr:uid="{00000000-0005-0000-0000-000065050000}"/>
    <cellStyle name="_SYMANTEC EVENT COLLECTOR FOR NETA 2.0 - NA 12" xfId="1383" xr:uid="{00000000-0005-0000-0000-000066050000}"/>
    <cellStyle name="_SYMANTEC EVENT COLLECTOR FOR NETA 2.0 - NA 13" xfId="1384" xr:uid="{00000000-0005-0000-0000-000067050000}"/>
    <cellStyle name="_SYMANTEC EVENT COLLECTOR FOR NETA 2.0 - NA 14" xfId="1385" xr:uid="{00000000-0005-0000-0000-000068050000}"/>
    <cellStyle name="_SYMANTEC EVENT COLLECTOR FOR NETA 2.0 - NA 2" xfId="1386" xr:uid="{00000000-0005-0000-0000-000069050000}"/>
    <cellStyle name="_SYMANTEC EVENT COLLECTOR FOR NETA 2.0 - NA 3" xfId="1387" xr:uid="{00000000-0005-0000-0000-00006A050000}"/>
    <cellStyle name="_SYMANTEC EVENT COLLECTOR FOR NETA 2.0 - NA 4" xfId="1388" xr:uid="{00000000-0005-0000-0000-00006B050000}"/>
    <cellStyle name="_SYMANTEC EVENT COLLECTOR FOR NETA 2.0 - NA 5" xfId="1389" xr:uid="{00000000-0005-0000-0000-00006C050000}"/>
    <cellStyle name="_SYMANTEC EVENT COLLECTOR FOR NETA 2.0 - NA 6" xfId="1390" xr:uid="{00000000-0005-0000-0000-00006D050000}"/>
    <cellStyle name="_SYMANTEC EVENT COLLECTOR FOR NETA 2.0 - NA 7" xfId="1391" xr:uid="{00000000-0005-0000-0000-00006E050000}"/>
    <cellStyle name="_SYMANTEC EVENT COLLECTOR FOR NETA 2.0 - NA 8" xfId="1392" xr:uid="{00000000-0005-0000-0000-00006F050000}"/>
    <cellStyle name="_SYMANTEC EVENT COLLECTOR FOR NETA 2.0 - NA 9" xfId="1393" xr:uid="{00000000-0005-0000-0000-000070050000}"/>
    <cellStyle name="_SYMANTEC EVENT COLLECTOR FOR NETA 2.0 - PA" xfId="1394" xr:uid="{00000000-0005-0000-0000-000071050000}"/>
    <cellStyle name="_SYMANTEC EVENT COLLECTOR FOR NETA 2.0 - SA" xfId="1395" xr:uid="{00000000-0005-0000-0000-000072050000}"/>
    <cellStyle name="_SYMANTEC EVENT COLLECTOR FOR NETA 2.0 - SA 10" xfId="1396" xr:uid="{00000000-0005-0000-0000-000073050000}"/>
    <cellStyle name="_SYMANTEC EVENT COLLECTOR FOR NETA 2.0 - SA 11" xfId="1397" xr:uid="{00000000-0005-0000-0000-000074050000}"/>
    <cellStyle name="_SYMANTEC EVENT COLLECTOR FOR NETA 2.0 - SA 12" xfId="1398" xr:uid="{00000000-0005-0000-0000-000075050000}"/>
    <cellStyle name="_SYMANTEC EVENT COLLECTOR FOR NETA 2.0 - SA 13" xfId="1399" xr:uid="{00000000-0005-0000-0000-000076050000}"/>
    <cellStyle name="_SYMANTEC EVENT COLLECTOR FOR NETA 2.0 - SA 14" xfId="1400" xr:uid="{00000000-0005-0000-0000-000077050000}"/>
    <cellStyle name="_SYMANTEC EVENT COLLECTOR FOR NETA 2.0 - SA 2" xfId="1401" xr:uid="{00000000-0005-0000-0000-000078050000}"/>
    <cellStyle name="_SYMANTEC EVENT COLLECTOR FOR NETA 2.0 - SA 3" xfId="1402" xr:uid="{00000000-0005-0000-0000-000079050000}"/>
    <cellStyle name="_SYMANTEC EVENT COLLECTOR FOR NETA 2.0 - SA 4" xfId="1403" xr:uid="{00000000-0005-0000-0000-00007A050000}"/>
    <cellStyle name="_SYMANTEC EVENT COLLECTOR FOR NETA 2.0 - SA 5" xfId="1404" xr:uid="{00000000-0005-0000-0000-00007B050000}"/>
    <cellStyle name="_SYMANTEC EVENT COLLECTOR FOR NETA 2.0 - SA 6" xfId="1405" xr:uid="{00000000-0005-0000-0000-00007C050000}"/>
    <cellStyle name="_SYMANTEC EVENT COLLECTOR FOR NETA 2.0 - SA 7" xfId="1406" xr:uid="{00000000-0005-0000-0000-00007D050000}"/>
    <cellStyle name="_SYMANTEC EVENT COLLECTOR FOR NETA 2.0 - SA 8" xfId="1407" xr:uid="{00000000-0005-0000-0000-00007E050000}"/>
    <cellStyle name="_SYMANTEC EVENT COLLECTOR FOR NETA 2.0 - SA 9" xfId="1408" xr:uid="{00000000-0005-0000-0000-00007F050000}"/>
    <cellStyle name="_Taiwan" xfId="1409" xr:uid="{00000000-0005-0000-0000-000080050000}"/>
    <cellStyle name="_Taiwan Price List" xfId="1410" xr:uid="{00000000-0005-0000-0000-000081050000}"/>
    <cellStyle name="_Taiwan Price List 10" xfId="1411" xr:uid="{00000000-0005-0000-0000-000082050000}"/>
    <cellStyle name="_Taiwan Price List 11" xfId="1412" xr:uid="{00000000-0005-0000-0000-000083050000}"/>
    <cellStyle name="_Taiwan Price List 12" xfId="1413" xr:uid="{00000000-0005-0000-0000-000084050000}"/>
    <cellStyle name="_Taiwan Price List 13" xfId="1414" xr:uid="{00000000-0005-0000-0000-000085050000}"/>
    <cellStyle name="_Taiwan Price List 14" xfId="1415" xr:uid="{00000000-0005-0000-0000-000086050000}"/>
    <cellStyle name="_Taiwan Price List 2" xfId="1416" xr:uid="{00000000-0005-0000-0000-000087050000}"/>
    <cellStyle name="_Taiwan Price List 3" xfId="1417" xr:uid="{00000000-0005-0000-0000-000088050000}"/>
    <cellStyle name="_Taiwan Price List 4" xfId="1418" xr:uid="{00000000-0005-0000-0000-000089050000}"/>
    <cellStyle name="_Taiwan Price List 5" xfId="1419" xr:uid="{00000000-0005-0000-0000-00008A050000}"/>
    <cellStyle name="_Taiwan Price List 6" xfId="1420" xr:uid="{00000000-0005-0000-0000-00008B050000}"/>
    <cellStyle name="_Taiwan Price List 7" xfId="1421" xr:uid="{00000000-0005-0000-0000-00008C050000}"/>
    <cellStyle name="_Taiwan Price List 8" xfId="1422" xr:uid="{00000000-0005-0000-0000-00008D050000}"/>
    <cellStyle name="_Taiwan Price List 9" xfId="1423" xr:uid="{00000000-0005-0000-0000-00008E050000}"/>
    <cellStyle name="_Taiwan_Express_Academic_Government" xfId="1424" xr:uid="{00000000-0005-0000-0000-00008F050000}"/>
    <cellStyle name="_Taiwan_Nov_06" xfId="1425" xr:uid="{00000000-0005-0000-0000-000090050000}"/>
    <cellStyle name="_Taiwan_Rewards_Feb_08" xfId="1426" xr:uid="{00000000-0005-0000-0000-000091050000}"/>
    <cellStyle name="_Taiwan_Sygate_Aug_06" xfId="1427" xr:uid="{00000000-0005-0000-0000-000092050000}"/>
    <cellStyle name="_Technical Support Appliances" xfId="1428" xr:uid="{00000000-0005-0000-0000-000093050000}"/>
    <cellStyle name="_Technical Support_Notification_Australia (#170)" xfId="1429" xr:uid="{00000000-0005-0000-0000-000094050000}"/>
    <cellStyle name="_Technical Support_Notification_New Zealand (#170)" xfId="1430" xr:uid="{00000000-0005-0000-0000-000095050000}"/>
    <cellStyle name="_Thailand" xfId="1431" xr:uid="{00000000-0005-0000-0000-000096050000}"/>
    <cellStyle name="_Thailand Price List" xfId="1432" xr:uid="{00000000-0005-0000-0000-000097050000}"/>
    <cellStyle name="_Thailand Price List 10" xfId="1433" xr:uid="{00000000-0005-0000-0000-000098050000}"/>
    <cellStyle name="_Thailand Price List 11" xfId="1434" xr:uid="{00000000-0005-0000-0000-000099050000}"/>
    <cellStyle name="_Thailand Price List 12" xfId="1435" xr:uid="{00000000-0005-0000-0000-00009A050000}"/>
    <cellStyle name="_Thailand Price List 13" xfId="1436" xr:uid="{00000000-0005-0000-0000-00009B050000}"/>
    <cellStyle name="_Thailand Price List 14" xfId="1437" xr:uid="{00000000-0005-0000-0000-00009C050000}"/>
    <cellStyle name="_Thailand Price List 2" xfId="1438" xr:uid="{00000000-0005-0000-0000-00009D050000}"/>
    <cellStyle name="_Thailand Price List 3" xfId="1439" xr:uid="{00000000-0005-0000-0000-00009E050000}"/>
    <cellStyle name="_Thailand Price List 4" xfId="1440" xr:uid="{00000000-0005-0000-0000-00009F050000}"/>
    <cellStyle name="_Thailand Price List 5" xfId="1441" xr:uid="{00000000-0005-0000-0000-0000A0050000}"/>
    <cellStyle name="_Thailand Price List 6" xfId="1442" xr:uid="{00000000-0005-0000-0000-0000A1050000}"/>
    <cellStyle name="_Thailand Price List 7" xfId="1443" xr:uid="{00000000-0005-0000-0000-0000A2050000}"/>
    <cellStyle name="_Thailand Price List 8" xfId="1444" xr:uid="{00000000-0005-0000-0000-0000A3050000}"/>
    <cellStyle name="_Thailand Price List 9" xfId="1445" xr:uid="{00000000-0005-0000-0000-0000A4050000}"/>
    <cellStyle name="_Thailand_Express_Academic_Government" xfId="1446" xr:uid="{00000000-0005-0000-0000-0000A5050000}"/>
    <cellStyle name="_Thailand_Sygate_Aug_06" xfId="1447" xr:uid="{00000000-0005-0000-0000-0000A6050000}"/>
    <cellStyle name="_Thailand_USD_Nov_06" xfId="1448" xr:uid="{00000000-0005-0000-0000-0000A7050000}"/>
    <cellStyle name="_V2i Builder 2.0 Desktop_ASEAN" xfId="1449" xr:uid="{00000000-0005-0000-0000-0000A8050000}"/>
    <cellStyle name="_V2i Builder 2.0 Desktop_Australia" xfId="1450" xr:uid="{00000000-0005-0000-0000-0000A9050000}"/>
    <cellStyle name="_V2i Builder 2.0 Desktop_China" xfId="1451" xr:uid="{00000000-0005-0000-0000-0000AA050000}"/>
    <cellStyle name="_V2i Builder 2.0 Desktop_HK" xfId="1452" xr:uid="{00000000-0005-0000-0000-0000AB050000}"/>
    <cellStyle name="_V2i Builder 2.0 Desktop_India" xfId="1453" xr:uid="{00000000-0005-0000-0000-0000AC050000}"/>
    <cellStyle name="_V2i Builder 2.0 Desktop_Korea" xfId="1454" xr:uid="{00000000-0005-0000-0000-0000AD050000}"/>
    <cellStyle name="_V2i Builder 2.0 Desktop_NZ" xfId="1455" xr:uid="{00000000-0005-0000-0000-0000AE050000}"/>
    <cellStyle name="_V2i Builder 2.0 Desktop_Singapore" xfId="1456" xr:uid="{00000000-0005-0000-0000-0000AF050000}"/>
    <cellStyle name="_V2i Builder 2.0 Desktop_Taiwan" xfId="1457" xr:uid="{00000000-0005-0000-0000-0000B0050000}"/>
    <cellStyle name="_V2i Builder 2.0 Desktop_Thailand" xfId="1458" xr:uid="{00000000-0005-0000-0000-0000B1050000}"/>
    <cellStyle name="_V2i Protector Enterprise DKTP 2.0_ASEAN" xfId="1459" xr:uid="{00000000-0005-0000-0000-0000B2050000}"/>
    <cellStyle name="_V2i Protector Enterprise DKTP 2.0_Australia" xfId="1460" xr:uid="{00000000-0005-0000-0000-0000B3050000}"/>
    <cellStyle name="_V2i Protector Enterprise DKTP 2.0_China" xfId="1461" xr:uid="{00000000-0005-0000-0000-0000B4050000}"/>
    <cellStyle name="_V2i Protector Enterprise DKTP 2.0_HK" xfId="1462" xr:uid="{00000000-0005-0000-0000-0000B5050000}"/>
    <cellStyle name="_V2i Protector Enterprise DKTP 2.0_India" xfId="1463" xr:uid="{00000000-0005-0000-0000-0000B6050000}"/>
    <cellStyle name="_V2i Protector Enterprise DKTP 2.0_Korea" xfId="1464" xr:uid="{00000000-0005-0000-0000-0000B7050000}"/>
    <cellStyle name="_V2i Protector Enterprise DKTP 2.0_NZ" xfId="1465" xr:uid="{00000000-0005-0000-0000-0000B8050000}"/>
    <cellStyle name="_V2i Protector Enterprise DKTP 2.0_Singapore" xfId="1466" xr:uid="{00000000-0005-0000-0000-0000B9050000}"/>
    <cellStyle name="_V2i Protector Enterprise DKTP 2.0_Taiwan" xfId="1467" xr:uid="{00000000-0005-0000-0000-0000BA050000}"/>
    <cellStyle name="_V2i Protector Enterprise DKTP 2.0_Thailand" xfId="1468" xr:uid="{00000000-0005-0000-0000-0000BB050000}"/>
    <cellStyle name="_V2i Protector Enterprise SRVR 2.0_ASEAN" xfId="1469" xr:uid="{00000000-0005-0000-0000-0000BC050000}"/>
    <cellStyle name="_V2i Protector Enterprise SRVR 2.0_Australia" xfId="1470" xr:uid="{00000000-0005-0000-0000-0000BD050000}"/>
    <cellStyle name="_V2i Protector Enterprise SRVR 2.0_China" xfId="1471" xr:uid="{00000000-0005-0000-0000-0000BE050000}"/>
    <cellStyle name="_V2i Protector Enterprise SRVR 2.0_HK" xfId="1472" xr:uid="{00000000-0005-0000-0000-0000BF050000}"/>
    <cellStyle name="_V2i Protector Enterprise SRVR 2.0_India" xfId="1473" xr:uid="{00000000-0005-0000-0000-0000C0050000}"/>
    <cellStyle name="_V2i Protector Enterprise SRVR 2.0_Korea" xfId="1474" xr:uid="{00000000-0005-0000-0000-0000C1050000}"/>
    <cellStyle name="_V2i Protector Enterprise SRVR 2.0_NZ" xfId="1475" xr:uid="{00000000-0005-0000-0000-0000C2050000}"/>
    <cellStyle name="_V2i Protector Enterprise SRVR 2.0_Singapore" xfId="1476" xr:uid="{00000000-0005-0000-0000-0000C3050000}"/>
    <cellStyle name="_V2i Protector Enterprise SRVR 2.0_Taiwan" xfId="1477" xr:uid="{00000000-0005-0000-0000-0000C4050000}"/>
    <cellStyle name="_V2i Protector Enterprise SRVR 2.0_Thailand" xfId="1478" xr:uid="{00000000-0005-0000-0000-0000C5050000}"/>
    <cellStyle name="_Value AV &amp; Filtering" xfId="1479" xr:uid="{00000000-0005-0000-0000-0000C6050000}"/>
    <cellStyle name="_Value Enterprise Administration" xfId="1480" xr:uid="{00000000-0005-0000-0000-0000C7050000}"/>
    <cellStyle name="_Volume Manager 2.0_ASEAN" xfId="1481" xr:uid="{00000000-0005-0000-0000-0000C8050000}"/>
    <cellStyle name="_Volume Manager 2.0_Australia" xfId="1482" xr:uid="{00000000-0005-0000-0000-0000C9050000}"/>
    <cellStyle name="_Volume Manager 2.0_China" xfId="1483" xr:uid="{00000000-0005-0000-0000-0000CA050000}"/>
    <cellStyle name="_Volume Manager 2.0_HK" xfId="1484" xr:uid="{00000000-0005-0000-0000-0000CB050000}"/>
    <cellStyle name="_Volume Manager 2.0_India" xfId="1485" xr:uid="{00000000-0005-0000-0000-0000CC050000}"/>
    <cellStyle name="_Volume Manager 2.0_Korea" xfId="1486" xr:uid="{00000000-0005-0000-0000-0000CD050000}"/>
    <cellStyle name="_Volume Manager 2.0_NZ" xfId="1487" xr:uid="{00000000-0005-0000-0000-0000CE050000}"/>
    <cellStyle name="_Volume Manager 2.0_Singapore" xfId="1488" xr:uid="{00000000-0005-0000-0000-0000CF050000}"/>
    <cellStyle name="_Volume Manager 2.0_Taiwan" xfId="1489" xr:uid="{00000000-0005-0000-0000-0000D0050000}"/>
    <cellStyle name="_Volume Manager 2.0_Thailand" xfId="1490" xr:uid="{00000000-0005-0000-0000-0000D1050000}"/>
    <cellStyle name="Calc Currency (0)" xfId="1491" xr:uid="{00000000-0005-0000-0000-0000D2050000}"/>
    <cellStyle name="Comma [0] 6" xfId="1492" xr:uid="{00000000-0005-0000-0000-0000D3050000}"/>
    <cellStyle name="Comma [0]_500700서버 2003년 4월 가격표1" xfId="1493" xr:uid="{00000000-0005-0000-0000-0000D4050000}"/>
    <cellStyle name="Comma 3" xfId="1494" xr:uid="{00000000-0005-0000-0000-0000D5050000}"/>
    <cellStyle name="Currency 2" xfId="1495" xr:uid="{00000000-0005-0000-0000-0000D6050000}"/>
    <cellStyle name="EDS" xfId="1496" xr:uid="{00000000-0005-0000-0000-0000D7050000}"/>
    <cellStyle name="Header1" xfId="1497" xr:uid="{00000000-0005-0000-0000-0000D8050000}"/>
    <cellStyle name="Header2" xfId="1498" xr:uid="{00000000-0005-0000-0000-0000D9050000}"/>
    <cellStyle name="Hyperlink 2" xfId="1499" xr:uid="{00000000-0005-0000-0000-0000DA050000}"/>
    <cellStyle name="Hyperlink 3" xfId="1500" xr:uid="{00000000-0005-0000-0000-0000DB050000}"/>
    <cellStyle name="Normal 100" xfId="1501" xr:uid="{00000000-0005-0000-0000-0000DC050000}"/>
    <cellStyle name="Normal 15" xfId="1502" xr:uid="{00000000-0005-0000-0000-0000DD050000}"/>
    <cellStyle name="Normal 17 3" xfId="1503" xr:uid="{00000000-0005-0000-0000-0000DE050000}"/>
    <cellStyle name="Normal 17 4" xfId="1504" xr:uid="{00000000-0005-0000-0000-0000DF050000}"/>
    <cellStyle name="Normal 17 5" xfId="1505" xr:uid="{00000000-0005-0000-0000-0000E0050000}"/>
    <cellStyle name="Normal 17 6" xfId="1506" xr:uid="{00000000-0005-0000-0000-0000E1050000}"/>
    <cellStyle name="Normal 18 3" xfId="1507" xr:uid="{00000000-0005-0000-0000-0000E2050000}"/>
    <cellStyle name="Normal 18 4" xfId="1508" xr:uid="{00000000-0005-0000-0000-0000E3050000}"/>
    <cellStyle name="Normal 18 5" xfId="1509" xr:uid="{00000000-0005-0000-0000-0000E4050000}"/>
    <cellStyle name="Normal 18 6" xfId="1510" xr:uid="{00000000-0005-0000-0000-0000E5050000}"/>
    <cellStyle name="Normal 2" xfId="1511" xr:uid="{00000000-0005-0000-0000-0000E6050000}"/>
    <cellStyle name="Normal 2 2" xfId="1512" xr:uid="{00000000-0005-0000-0000-0000E7050000}"/>
    <cellStyle name="Normal 2_India_Dec_08" xfId="1513" xr:uid="{00000000-0005-0000-0000-0000E8050000}"/>
    <cellStyle name="Normal 27" xfId="1514" xr:uid="{00000000-0005-0000-0000-0000E9050000}"/>
    <cellStyle name="Normal 29" xfId="1515" xr:uid="{00000000-0005-0000-0000-0000EA050000}"/>
    <cellStyle name="Normal 3" xfId="1516" xr:uid="{00000000-0005-0000-0000-0000EB050000}"/>
    <cellStyle name="Normal 3 2" xfId="1517" xr:uid="{00000000-0005-0000-0000-0000EC050000}"/>
    <cellStyle name="Normal 3_Notification_Academic Subscription Program_Korea (879)" xfId="1518" xr:uid="{00000000-0005-0000-0000-0000ED050000}"/>
    <cellStyle name="Normal 31" xfId="1519" xr:uid="{00000000-0005-0000-0000-0000EE050000}"/>
    <cellStyle name="Normal 33" xfId="1520" xr:uid="{00000000-0005-0000-0000-0000EF050000}"/>
    <cellStyle name="Normal 4" xfId="1521" xr:uid="{00000000-0005-0000-0000-0000F0050000}"/>
    <cellStyle name="Normal 42" xfId="1522" xr:uid="{00000000-0005-0000-0000-0000F1050000}"/>
    <cellStyle name="Normal 5" xfId="1523" xr:uid="{00000000-0005-0000-0000-0000F2050000}"/>
    <cellStyle name="Normal 6" xfId="1524" xr:uid="{00000000-0005-0000-0000-0000F3050000}"/>
    <cellStyle name="Normal 7" xfId="1525" xr:uid="{00000000-0005-0000-0000-0000F4050000}"/>
    <cellStyle name="Normal 8" xfId="1526" xr:uid="{00000000-0005-0000-0000-0000F5050000}"/>
    <cellStyle name="Normal 8 2" xfId="1527" xr:uid="{00000000-0005-0000-0000-0000F6050000}"/>
    <cellStyle name="Normal_ASEAN_Jul_05" xfId="1528" xr:uid="{00000000-0005-0000-0000-0000F7050000}"/>
    <cellStyle name="Normal_Notification template" xfId="1529" xr:uid="{00000000-0005-0000-0000-0000F8050000}"/>
    <cellStyle name="Style 1" xfId="1530" xr:uid="{00000000-0005-0000-0000-0000F9050000}"/>
    <cellStyle name="Style 1 10" xfId="1531" xr:uid="{00000000-0005-0000-0000-0000FA050000}"/>
    <cellStyle name="Style 1 11" xfId="1532" xr:uid="{00000000-0005-0000-0000-0000FB050000}"/>
    <cellStyle name="Style 1 12" xfId="1533" xr:uid="{00000000-0005-0000-0000-0000FC050000}"/>
    <cellStyle name="Style 1 13" xfId="1534" xr:uid="{00000000-0005-0000-0000-0000FD050000}"/>
    <cellStyle name="Style 1 14" xfId="1535" xr:uid="{00000000-0005-0000-0000-0000FE050000}"/>
    <cellStyle name="Style 1 15" xfId="1536" xr:uid="{00000000-0005-0000-0000-0000FF050000}"/>
    <cellStyle name="Style 1 2" xfId="1537" xr:uid="{00000000-0005-0000-0000-000000060000}"/>
    <cellStyle name="Style 1 3" xfId="1538" xr:uid="{00000000-0005-0000-0000-000001060000}"/>
    <cellStyle name="Style 1 4" xfId="1539" xr:uid="{00000000-0005-0000-0000-000002060000}"/>
    <cellStyle name="Style 1 5" xfId="1540" xr:uid="{00000000-0005-0000-0000-000003060000}"/>
    <cellStyle name="Style 1 6" xfId="1541" xr:uid="{00000000-0005-0000-0000-000004060000}"/>
    <cellStyle name="Style 1 7" xfId="1542" xr:uid="{00000000-0005-0000-0000-000005060000}"/>
    <cellStyle name="Style 1 8" xfId="1543" xr:uid="{00000000-0005-0000-0000-000006060000}"/>
    <cellStyle name="Style 1 9" xfId="1544" xr:uid="{00000000-0005-0000-0000-000007060000}"/>
    <cellStyle name="Style 1_Notification_Academic Subscription Program_Korea (879)" xfId="1545" xr:uid="{00000000-0005-0000-0000-000008060000}"/>
    <cellStyle name="遽_PERSONAL" xfId="1546" xr:uid="{00000000-0005-0000-0000-000009060000}"/>
    <cellStyle name="백분율 2" xfId="1547" xr:uid="{00000000-0005-0000-0000-00000A060000}"/>
    <cellStyle name="常规_Apr02_VelociRaptor" xfId="1548" xr:uid="{00000000-0005-0000-0000-00000B060000}"/>
    <cellStyle name="鱔 [0]_PERSONAL" xfId="1549" xr:uid="{00000000-0005-0000-0000-00000C060000}"/>
    <cellStyle name="鱔_PERSONAL" xfId="1550" xr:uid="{00000000-0005-0000-0000-00000D060000}"/>
    <cellStyle name="쉼표 [0]" xfId="1551" builtinId="6"/>
    <cellStyle name="쉼표 [0] 2" xfId="1552" xr:uid="{00000000-0005-0000-0000-00000F060000}"/>
    <cellStyle name="쉼표 [0] 2 2" xfId="1553" xr:uid="{00000000-0005-0000-0000-000010060000}"/>
    <cellStyle name="쉼표 [0] 3" xfId="1554" xr:uid="{00000000-0005-0000-0000-000011060000}"/>
    <cellStyle name="쉼표 [0] 4" xfId="1555" xr:uid="{00000000-0005-0000-0000-000012060000}"/>
    <cellStyle name="스타일 1" xfId="1556" xr:uid="{00000000-0005-0000-0000-000013060000}"/>
    <cellStyle name="스타일 1 2" xfId="1557" xr:uid="{00000000-0005-0000-0000-000014060000}"/>
    <cellStyle name="열어 본 하이퍼링크" xfId="1573" builtinId="9" hidden="1"/>
    <cellStyle name="巍葆 [0]_PERSONAL" xfId="1558" xr:uid="{00000000-0005-0000-0000-000016060000}"/>
    <cellStyle name="巍葆_PERSONAL" xfId="1559" xr:uid="{00000000-0005-0000-0000-000017060000}"/>
    <cellStyle name="一般_July_Retail_TWD" xfId="1560" xr:uid="{00000000-0005-0000-0000-000018060000}"/>
    <cellStyle name="콤마 [0]_Edu VLP - NAV Sol Offerings" xfId="1561" xr:uid="{00000000-0005-0000-0000-000019060000}"/>
    <cellStyle name="콤마_Edu VLP - NAV Sol Offerings" xfId="1562" xr:uid="{00000000-0005-0000-0000-00001A060000}"/>
    <cellStyle name="통화" xfId="1563" builtinId="4"/>
    <cellStyle name="통화 [0]" xfId="1564" builtinId="7"/>
    <cellStyle name="통화 [0] 2" xfId="1565" xr:uid="{00000000-0005-0000-0000-00001D060000}"/>
    <cellStyle name="표준" xfId="0" builtinId="0"/>
    <cellStyle name="표준 14" xfId="1566" xr:uid="{00000000-0005-0000-0000-00001F060000}"/>
    <cellStyle name="표준 2 2" xfId="1567" xr:uid="{00000000-0005-0000-0000-000020060000}"/>
    <cellStyle name="표준 2 2 2" xfId="1568" xr:uid="{00000000-0005-0000-0000-000021060000}"/>
    <cellStyle name="표준 3" xfId="1569" xr:uid="{00000000-0005-0000-0000-000022060000}"/>
    <cellStyle name="표준 3 2" xfId="1570" xr:uid="{00000000-0005-0000-0000-000023060000}"/>
    <cellStyle name="하이퍼링크" xfId="1571" builtinId="8"/>
    <cellStyle name="货币_ESM&amp;ITA NetProwler_APAC" xfId="1572" xr:uid="{00000000-0005-0000-0000-000025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</xdr:colOff>
      <xdr:row>9</xdr:row>
      <xdr:rowOff>157480</xdr:rowOff>
    </xdr:from>
    <xdr:to>
      <xdr:col>5</xdr:col>
      <xdr:colOff>743131</xdr:colOff>
      <xdr:row>12</xdr:row>
      <xdr:rowOff>16964</xdr:rowOff>
    </xdr:to>
    <xdr:pic>
      <xdr:nvPicPr>
        <xdr:cNvPr id="18669" name="그림 82" descr="logo_e_tech_system">
          <a:extLst>
            <a:ext uri="{FF2B5EF4-FFF2-40B4-BE49-F238E27FC236}">
              <a16:creationId xmlns:a16="http://schemas.microsoft.com/office/drawing/2014/main" id="{00000000-0008-0000-0000-0000ED4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4309" y="2393950"/>
          <a:ext cx="1595756" cy="420370"/>
        </a:xfrm>
        <a:prstGeom prst="rect">
          <a:avLst/>
        </a:prstGeom>
        <a:noFill/>
        <a:ln w="0" cap="flat" cmpd="sng">
          <a:noFill/>
          <a:prstDash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jkang/Desktop/&#47609;%20&#51088;&#47308;/&#50629;&#47924;/&#48156;&#51452;&#49436;/TrendMicro/20100712_&#54620;&#44397;&#50556;&#44396;&#50948;&#50896;&#54924;-&#54532;&#47196;&#48708;&#53944;&#49556;&#47336;&#494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발주서"/>
      <sheetName val="data"/>
    </sheetNames>
    <sheetDataSet>
      <sheetData sheetId="0"/>
      <sheetData sheetId="1">
        <row r="2">
          <cell r="A2" t="str">
            <v>C/S Suite for SMB</v>
          </cell>
        </row>
        <row r="3">
          <cell r="A3" t="str">
            <v>C/S/M Suite for SMB</v>
          </cell>
        </row>
        <row r="4">
          <cell r="A4" t="str">
            <v>IMSS</v>
          </cell>
        </row>
        <row r="5">
          <cell r="A5" t="str">
            <v>ISVW for SMB</v>
          </cell>
        </row>
        <row r="6">
          <cell r="A6" t="str">
            <v>IWSS</v>
          </cell>
        </row>
        <row r="7">
          <cell r="A7" t="str">
            <v>NeatSuite</v>
          </cell>
        </row>
        <row r="8">
          <cell r="A8" t="str">
            <v>NVW</v>
          </cell>
        </row>
        <row r="9">
          <cell r="A9" t="str">
            <v>OSCE</v>
          </cell>
        </row>
        <row r="10">
          <cell r="A10" t="str">
            <v>PSP</v>
          </cell>
        </row>
        <row r="11">
          <cell r="A11" t="str">
            <v>ScanMail</v>
          </cell>
        </row>
        <row r="12">
          <cell r="A12" t="str">
            <v>ServerProtect</v>
          </cell>
        </row>
        <row r="13">
          <cell r="A13" t="str">
            <v>TMCM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ym96@etechsystem.c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G27"/>
  <sheetViews>
    <sheetView tabSelected="1" view="pageBreakPreview" zoomScale="110" zoomScaleNormal="100" zoomScaleSheetLayoutView="110" zoomScalePageLayoutView="85" workbookViewId="0">
      <selection activeCell="E20" sqref="E20:F20"/>
    </sheetView>
  </sheetViews>
  <sheetFormatPr defaultColWidth="8.83203125" defaultRowHeight="15" customHeight="1"/>
  <cols>
    <col min="1" max="1" width="13.33203125" style="1" customWidth="1"/>
    <col min="2" max="2" width="36.6640625" style="18" customWidth="1"/>
    <col min="3" max="3" width="57.1640625" style="1" customWidth="1"/>
    <col min="4" max="4" width="8.1640625" style="18" customWidth="1"/>
    <col min="5" max="5" width="10.6640625" style="1" customWidth="1"/>
    <col min="6" max="6" width="11.6640625" style="1" customWidth="1"/>
    <col min="7" max="7" width="13.1640625" style="1" customWidth="1"/>
    <col min="8" max="9" width="8.83203125" style="1" customWidth="1"/>
    <col min="10" max="10" width="9.83203125" style="1" customWidth="1"/>
    <col min="11" max="11" width="8.83203125" style="1" customWidth="1"/>
    <col min="12" max="16384" width="8.83203125" style="1"/>
  </cols>
  <sheetData>
    <row r="1" spans="1:7" ht="43.5" customHeight="1" thickBot="1">
      <c r="A1" s="66" t="s">
        <v>14</v>
      </c>
      <c r="B1" s="67"/>
      <c r="C1" s="67"/>
      <c r="D1" s="67"/>
      <c r="E1" s="67"/>
      <c r="F1" s="67"/>
      <c r="G1" s="68"/>
    </row>
    <row r="2" spans="1:7" ht="32.25" customHeight="1" thickTop="1">
      <c r="A2" s="22"/>
      <c r="B2" s="2"/>
      <c r="C2" s="2"/>
      <c r="D2" s="2"/>
      <c r="E2" s="2"/>
      <c r="F2" s="2"/>
      <c r="G2" s="23"/>
    </row>
    <row r="3" spans="1:7" ht="15" customHeight="1">
      <c r="A3" s="22"/>
      <c r="B3" s="2"/>
      <c r="C3" s="2"/>
      <c r="D3" s="2"/>
      <c r="E3" s="2"/>
      <c r="F3" s="2"/>
      <c r="G3" s="23"/>
    </row>
    <row r="4" spans="1:7" s="6" customFormat="1" ht="15" customHeight="1">
      <c r="A4" s="24" t="s">
        <v>38</v>
      </c>
      <c r="B4" s="19"/>
      <c r="C4" s="3"/>
      <c r="D4" s="15"/>
      <c r="E4" s="5" t="s">
        <v>0</v>
      </c>
      <c r="F4" s="69">
        <v>45580</v>
      </c>
      <c r="G4" s="70"/>
    </row>
    <row r="5" spans="1:7" s="6" customFormat="1" ht="15" customHeight="1">
      <c r="A5" s="24"/>
      <c r="B5" s="19"/>
      <c r="C5" s="3"/>
      <c r="D5" s="15"/>
      <c r="E5" s="5" t="s">
        <v>1</v>
      </c>
      <c r="F5" s="69" t="s">
        <v>27</v>
      </c>
      <c r="G5" s="70"/>
    </row>
    <row r="6" spans="1:7" s="6" customFormat="1" ht="15" customHeight="1">
      <c r="A6" s="24" t="s">
        <v>29</v>
      </c>
      <c r="B6" s="19"/>
      <c r="C6" s="3"/>
      <c r="D6" s="15"/>
      <c r="E6" s="5" t="s">
        <v>2</v>
      </c>
      <c r="F6" s="69" t="s">
        <v>42</v>
      </c>
      <c r="G6" s="70"/>
    </row>
    <row r="7" spans="1:7" s="6" customFormat="1" ht="15" customHeight="1">
      <c r="A7" s="24" t="s">
        <v>30</v>
      </c>
      <c r="B7" s="15"/>
      <c r="C7" s="3"/>
      <c r="D7" s="15"/>
      <c r="E7" s="5" t="s">
        <v>16</v>
      </c>
      <c r="F7" s="69" t="s">
        <v>39</v>
      </c>
      <c r="G7" s="70"/>
    </row>
    <row r="8" spans="1:7" s="6" customFormat="1" ht="15" customHeight="1">
      <c r="A8" s="24"/>
      <c r="B8" s="15"/>
      <c r="C8" s="4"/>
      <c r="D8" s="15"/>
      <c r="E8" s="5" t="s">
        <v>15</v>
      </c>
      <c r="F8" s="77" t="s">
        <v>40</v>
      </c>
      <c r="G8" s="78"/>
    </row>
    <row r="9" spans="1:7" s="6" customFormat="1" ht="15" customHeight="1">
      <c r="A9" s="24"/>
      <c r="B9" s="15"/>
      <c r="C9" s="7"/>
      <c r="D9" s="15"/>
      <c r="E9" s="5" t="s">
        <v>8</v>
      </c>
      <c r="F9" s="69" t="s">
        <v>39</v>
      </c>
      <c r="G9" s="70"/>
    </row>
    <row r="10" spans="1:7" s="6" customFormat="1" ht="15" customHeight="1">
      <c r="A10" s="25"/>
      <c r="B10" s="15"/>
      <c r="C10" s="8"/>
      <c r="D10" s="16"/>
      <c r="E10" s="4"/>
      <c r="F10" s="4"/>
      <c r="G10" s="26"/>
    </row>
    <row r="11" spans="1:7" s="6" customFormat="1" ht="15" customHeight="1">
      <c r="A11" s="25"/>
      <c r="B11" s="15"/>
      <c r="C11" s="4"/>
      <c r="D11" s="15"/>
      <c r="E11" s="4"/>
      <c r="F11" s="4"/>
      <c r="G11" s="27"/>
    </row>
    <row r="12" spans="1:7" s="6" customFormat="1" ht="15" customHeight="1">
      <c r="A12" s="28" t="s">
        <v>9</v>
      </c>
      <c r="B12" s="51">
        <f>G23</f>
        <v>2508000</v>
      </c>
      <c r="C12" s="4" t="s">
        <v>22</v>
      </c>
      <c r="D12" s="15"/>
      <c r="E12" s="9"/>
      <c r="F12" s="4"/>
      <c r="G12" s="29"/>
    </row>
    <row r="13" spans="1:7" s="6" customFormat="1" ht="15" customHeight="1">
      <c r="A13" s="28" t="s">
        <v>10</v>
      </c>
      <c r="B13" s="20" t="s">
        <v>25</v>
      </c>
      <c r="C13" s="10"/>
      <c r="D13" s="15"/>
      <c r="E13" s="3" t="s">
        <v>24</v>
      </c>
      <c r="F13" s="4"/>
      <c r="G13" s="29"/>
    </row>
    <row r="14" spans="1:7" s="6" customFormat="1" ht="15" customHeight="1">
      <c r="A14" s="28" t="s">
        <v>21</v>
      </c>
      <c r="B14" s="21" t="s">
        <v>28</v>
      </c>
      <c r="C14" s="4"/>
      <c r="D14" s="15"/>
      <c r="E14" s="3" t="s">
        <v>23</v>
      </c>
      <c r="F14" s="4"/>
      <c r="G14" s="29"/>
    </row>
    <row r="15" spans="1:7" s="6" customFormat="1" ht="15" customHeight="1">
      <c r="A15" s="25" t="s">
        <v>11</v>
      </c>
      <c r="B15" s="21" t="s">
        <v>3</v>
      </c>
      <c r="C15" s="10"/>
      <c r="D15" s="15"/>
      <c r="E15" s="4"/>
      <c r="F15" s="4"/>
      <c r="G15" s="29"/>
    </row>
    <row r="16" spans="1:7" s="6" customFormat="1" ht="15" customHeight="1">
      <c r="A16" s="25" t="s">
        <v>20</v>
      </c>
      <c r="B16" s="9"/>
      <c r="C16" s="10"/>
      <c r="D16" s="15"/>
      <c r="E16" s="11"/>
      <c r="F16" s="4"/>
      <c r="G16" s="29"/>
    </row>
    <row r="17" spans="1:7" ht="15" customHeight="1">
      <c r="A17" s="30"/>
      <c r="B17" s="17"/>
      <c r="C17" s="12"/>
      <c r="D17" s="17"/>
      <c r="E17" s="13"/>
      <c r="F17" s="12"/>
      <c r="G17" s="31"/>
    </row>
    <row r="18" spans="1:7" ht="15" customHeight="1" thickBot="1">
      <c r="A18" s="41"/>
      <c r="B18" s="42"/>
      <c r="C18" s="43"/>
      <c r="D18" s="42"/>
      <c r="E18" s="43"/>
      <c r="F18" s="43"/>
      <c r="G18" s="44" t="s">
        <v>12</v>
      </c>
    </row>
    <row r="19" spans="1:7" s="14" customFormat="1" ht="27.75" customHeight="1" thickTop="1" thickBot="1">
      <c r="A19" s="40" t="s">
        <v>19</v>
      </c>
      <c r="B19" s="45" t="s">
        <v>4</v>
      </c>
      <c r="C19" s="45" t="s">
        <v>18</v>
      </c>
      <c r="D19" s="45" t="s">
        <v>5</v>
      </c>
      <c r="E19" s="79" t="s">
        <v>17</v>
      </c>
      <c r="F19" s="80"/>
      <c r="G19" s="46" t="s">
        <v>13</v>
      </c>
    </row>
    <row r="20" spans="1:7" ht="16.5" customHeight="1">
      <c r="A20" s="71" t="s">
        <v>35</v>
      </c>
      <c r="B20" s="47" t="s">
        <v>31</v>
      </c>
      <c r="C20" s="49" t="s">
        <v>32</v>
      </c>
      <c r="D20" s="63">
        <v>1</v>
      </c>
      <c r="E20" s="73">
        <v>1800000</v>
      </c>
      <c r="F20" s="74"/>
      <c r="G20" s="32">
        <f t="shared" ref="G20:G22" si="0">E20*D20</f>
        <v>1800000</v>
      </c>
    </row>
    <row r="21" spans="1:7" ht="15.5" customHeight="1">
      <c r="A21" s="83"/>
      <c r="B21" s="48" t="s">
        <v>37</v>
      </c>
      <c r="C21" s="50" t="s">
        <v>33</v>
      </c>
      <c r="D21" s="64">
        <v>1</v>
      </c>
      <c r="E21" s="81">
        <v>688000</v>
      </c>
      <c r="F21" s="82"/>
      <c r="G21" s="39">
        <f t="shared" si="0"/>
        <v>688000</v>
      </c>
    </row>
    <row r="22" spans="1:7" ht="16.5" customHeight="1" thickBot="1">
      <c r="A22" s="72"/>
      <c r="B22" s="61" t="s">
        <v>36</v>
      </c>
      <c r="C22" s="62" t="s">
        <v>34</v>
      </c>
      <c r="D22" s="65">
        <v>1</v>
      </c>
      <c r="E22" s="75">
        <v>20000</v>
      </c>
      <c r="F22" s="76"/>
      <c r="G22" s="33">
        <f t="shared" si="0"/>
        <v>20000</v>
      </c>
    </row>
    <row r="23" spans="1:7" ht="15" customHeight="1" thickBot="1">
      <c r="A23" s="54"/>
      <c r="B23" s="55"/>
      <c r="C23" s="56" t="s">
        <v>6</v>
      </c>
      <c r="D23" s="57"/>
      <c r="E23" s="58"/>
      <c r="F23" s="59"/>
      <c r="G23" s="60">
        <f>SUM(G20:G22)</f>
        <v>2508000</v>
      </c>
    </row>
    <row r="24" spans="1:7" ht="15" customHeight="1" thickBot="1">
      <c r="A24" s="35"/>
      <c r="B24" s="36"/>
      <c r="C24" s="36" t="s">
        <v>7</v>
      </c>
      <c r="D24" s="36"/>
      <c r="E24" s="37"/>
      <c r="F24" s="38"/>
      <c r="G24" s="34">
        <f>G23*1.1</f>
        <v>2758800</v>
      </c>
    </row>
    <row r="25" spans="1:7" ht="15" customHeight="1">
      <c r="A25" s="30"/>
      <c r="B25" s="17"/>
      <c r="C25" s="12"/>
      <c r="D25" s="17"/>
      <c r="E25" s="12"/>
      <c r="F25" s="12"/>
      <c r="G25" s="31"/>
    </row>
    <row r="26" spans="1:7" ht="15" customHeight="1">
      <c r="A26" s="52" t="s">
        <v>26</v>
      </c>
      <c r="B26" s="17"/>
      <c r="C26" s="12"/>
      <c r="D26" s="17"/>
      <c r="E26" s="12"/>
      <c r="F26" s="12"/>
      <c r="G26" s="31"/>
    </row>
    <row r="27" spans="1:7" ht="15" customHeight="1">
      <c r="A27" s="53" t="s">
        <v>41</v>
      </c>
      <c r="B27" s="17"/>
      <c r="C27" s="12"/>
      <c r="D27" s="17"/>
      <c r="E27" s="12"/>
      <c r="F27" s="12"/>
      <c r="G27" s="31"/>
    </row>
  </sheetData>
  <protectedRanges>
    <protectedRange sqref="H18 I18:S19" name="범위1"/>
    <protectedRange sqref="I12:N12 I10:P10" name="범위1_1_1_1"/>
  </protectedRanges>
  <mergeCells count="12">
    <mergeCell ref="F8:G8"/>
    <mergeCell ref="F9:G9"/>
    <mergeCell ref="E19:F19"/>
    <mergeCell ref="E20:F20"/>
    <mergeCell ref="E21:F21"/>
    <mergeCell ref="E22:F22"/>
    <mergeCell ref="A20:A22"/>
    <mergeCell ref="A1:G1"/>
    <mergeCell ref="F4:G4"/>
    <mergeCell ref="F5:G5"/>
    <mergeCell ref="F6:G6"/>
    <mergeCell ref="F7:G7"/>
  </mergeCells>
  <phoneticPr fontId="1" type="noConversion"/>
  <hyperlinks>
    <hyperlink ref="F8" r:id="rId1" xr:uid="{00000000-0004-0000-0000-000000000000}"/>
  </hyperlinks>
  <pageMargins left="0.7" right="0.7" top="0.75" bottom="0.75" header="0.3" footer="0.3"/>
  <pageSetup paperSize="9" scale="50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1</Pages>
  <Words>0</Words>
  <Characters>0</Characters>
  <Application>Microsoft Excel</Application>
  <DocSecurity>0</DocSecurity>
  <Lines>0</Lines>
  <Paragraphs>0</Paragraphs>
  <MMClips>0</MMClips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골드파트너 견적</vt:lpstr>
      <vt:lpstr>'골드파트너 견적'!Print_Area</vt:lpstr>
    </vt:vector>
  </TitlesOfParts>
  <Company>DDS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박주현</dc:creator>
  <cp:lastModifiedBy>Juyeob Maeng</cp:lastModifiedBy>
  <cp:revision>3</cp:revision>
  <cp:lastPrinted>2021-08-11T09:24:11Z</cp:lastPrinted>
  <dcterms:created xsi:type="dcterms:W3CDTF">2020-01-10T09:57:44Z</dcterms:created>
  <dcterms:modified xsi:type="dcterms:W3CDTF">2024-10-14T23:54:10Z</dcterms:modified>
</cp:coreProperties>
</file>