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08"/>
  <workbookPr saveExternalLinkValues="0" codeName="ThisWorkbook"/>
  <mc:AlternateContent xmlns:mc="http://schemas.openxmlformats.org/markup-compatibility/2006">
    <mc:Choice Requires="x15">
      <x15ac:absPath xmlns:x15ac="http://schemas.microsoft.com/office/spreadsheetml/2010/11/ac" url="C:\Users\aodwn\OneDrive\Desktop\견적서\젝사젠\"/>
    </mc:Choice>
  </mc:AlternateContent>
  <xr:revisionPtr revIDLastSave="0" documentId="8_{56E4C87B-F851-41B5-BEED-95E1978BB125}" xr6:coauthVersionLast="47" xr6:coauthVersionMax="47" xr10:uidLastSave="{00000000-0000-0000-0000-000000000000}"/>
  <bookViews>
    <workbookView xWindow="0" yWindow="0" windowWidth="19200" windowHeight="6730" xr2:uid="{00000000-000D-0000-FFFF-FFFF00000000}"/>
  </bookViews>
  <sheets>
    <sheet name="견적서" sheetId="56" r:id="rId1"/>
  </sheets>
  <definedNames>
    <definedName name="_xlnm._FilterDatabase" localSheetId="0" hidden="1">견적서!#REF!</definedName>
    <definedName name="_xlnm.Print_Area" localSheetId="0">견적서!$A$1:$H$26</definedName>
  </definedNames>
  <calcPr calcId="191028"/>
  <customWorkbookViews>
    <customWorkbookView name="mksung - 기본 보기" guid="{EBA405AB-8338-11D5-930F-00010296CC45}" mergeInterval="0" personalView="1" maximized="1" windowWidth="1020" windowHeight="634" activeSheetId="1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6" l="1"/>
  <c r="F19" i="56"/>
  <c r="G20" i="56"/>
  <c r="G19" i="56"/>
  <c r="G23" i="56" l="1"/>
  <c r="G24" i="56" s="1"/>
  <c r="G25" i="56" l="1"/>
  <c r="C10" i="56" s="1"/>
</calcChain>
</file>

<file path=xl/sharedStrings.xml><?xml version="1.0" encoding="utf-8"?>
<sst xmlns="http://schemas.openxmlformats.org/spreadsheetml/2006/main" count="41" uniqueCount="41">
  <si>
    <t>견      적      서</t>
    <phoneticPr fontId="2" type="noConversion"/>
  </si>
  <si>
    <t>이테크시스템</t>
    <phoneticPr fontId="2" type="noConversion"/>
  </si>
  <si>
    <t xml:space="preserve">참    조 :         </t>
    <phoneticPr fontId="2" type="noConversion"/>
  </si>
  <si>
    <t>아래와 같이 견적 합니다.</t>
    <phoneticPr fontId="2" type="noConversion"/>
  </si>
  <si>
    <t>In compliance with your inquiry, we hear by</t>
    <phoneticPr fontId="2" type="noConversion"/>
  </si>
  <si>
    <t>submit our quotation as mentioned here under.</t>
  </si>
  <si>
    <t>견적 금액 합계 :</t>
    <phoneticPr fontId="2" type="noConversion"/>
  </si>
  <si>
    <t>(부가가치세 포함)</t>
    <phoneticPr fontId="2" type="noConversion"/>
  </si>
  <si>
    <t>등록번호</t>
    <phoneticPr fontId="2" type="noConversion"/>
  </si>
  <si>
    <t>106-81-43363</t>
    <phoneticPr fontId="2" type="noConversion"/>
  </si>
  <si>
    <t>납품 예정 일자 : 협의</t>
    <phoneticPr fontId="2" type="noConversion"/>
  </si>
  <si>
    <t>상      호</t>
    <phoneticPr fontId="2" type="noConversion"/>
  </si>
  <si>
    <t>㈜에티버스</t>
    <phoneticPr fontId="2" type="noConversion"/>
  </si>
  <si>
    <t>견적 유효 기간 : 견적일로부터 7일</t>
    <phoneticPr fontId="2" type="noConversion"/>
  </si>
  <si>
    <t>대표이사</t>
    <phoneticPr fontId="2" type="noConversion"/>
  </si>
  <si>
    <t>김범수</t>
    <phoneticPr fontId="2" type="noConversion"/>
  </si>
  <si>
    <t>사 업 장</t>
    <phoneticPr fontId="2" type="noConversion"/>
  </si>
  <si>
    <t>서울특별시 중구 소월로 3</t>
    <phoneticPr fontId="2" type="noConversion"/>
  </si>
  <si>
    <t>견  적   담  당 : NPS사업부 김석환 대리(010-4335-0124)</t>
    <phoneticPr fontId="2" type="noConversion"/>
  </si>
  <si>
    <t>업     태</t>
    <phoneticPr fontId="2" type="noConversion"/>
  </si>
  <si>
    <t>도매, 제조, 서비스</t>
    <phoneticPr fontId="2" type="noConversion"/>
  </si>
  <si>
    <t xml:space="preserve">견  적   일  자 :  </t>
    <phoneticPr fontId="2" type="noConversion"/>
  </si>
  <si>
    <t>종     목</t>
    <phoneticPr fontId="2" type="noConversion"/>
  </si>
  <si>
    <t>수출입업, 컴퓨터주변기기</t>
    <phoneticPr fontId="2" type="noConversion"/>
  </si>
  <si>
    <t>P/N</t>
  </si>
  <si>
    <t>Description</t>
  </si>
  <si>
    <r>
      <rPr>
        <b/>
        <sz val="10"/>
        <rFont val="굴림체"/>
        <family val="3"/>
        <charset val="129"/>
      </rPr>
      <t>수량</t>
    </r>
    <phoneticPr fontId="2" type="noConversion"/>
  </si>
  <si>
    <r>
      <rPr>
        <b/>
        <sz val="10"/>
        <rFont val="굴림체"/>
        <family val="3"/>
        <charset val="129"/>
      </rPr>
      <t>소비자단가</t>
    </r>
    <phoneticPr fontId="2" type="noConversion"/>
  </si>
  <si>
    <r>
      <rPr>
        <b/>
        <sz val="10"/>
        <rFont val="굴림체"/>
        <family val="3"/>
        <charset val="129"/>
      </rPr>
      <t>공급단가</t>
    </r>
    <phoneticPr fontId="2" type="noConversion"/>
  </si>
  <si>
    <r>
      <rPr>
        <b/>
        <sz val="10"/>
        <rFont val="굴림체"/>
        <family val="3"/>
        <charset val="129"/>
      </rPr>
      <t>공급합계</t>
    </r>
    <phoneticPr fontId="2" type="noConversion"/>
  </si>
  <si>
    <t>비고</t>
    <phoneticPr fontId="2" type="noConversion"/>
  </si>
  <si>
    <t>MA-INJ-4</t>
  </si>
  <si>
    <t>Meraki MR 802.3at PoE Injector (Power Cord Not Included)</t>
  </si>
  <si>
    <t>MA-PWR-CORD-EU</t>
  </si>
  <si>
    <t>Meraki AC Power Cord for MX and MS (EU Plug)</t>
  </si>
  <si>
    <t xml:space="preserve">*Remark </t>
    <phoneticPr fontId="2" type="noConversion"/>
  </si>
  <si>
    <t>제   안   가 :</t>
    <phoneticPr fontId="2" type="noConversion"/>
  </si>
  <si>
    <t>1. 설치비 별도 금액 입니다.</t>
    <phoneticPr fontId="2" type="noConversion"/>
  </si>
  <si>
    <t>부   가   세 :</t>
    <phoneticPr fontId="2" type="noConversion"/>
  </si>
  <si>
    <t>2. 소비자 가격은 Distributor 기준 가격으로 견적금액과는 무관합니다.</t>
    <phoneticPr fontId="2" type="noConversion"/>
  </si>
  <si>
    <t>총        계 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</si>
</sst>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&quot;Won&quot;#,##0"/>
    <numFmt numFmtId="177" formatCode="yyyy&quot;년&quot;\ m&quot;월&quot;\ d&quot;일&quot;"/>
    <numFmt numFmtId="178" formatCode="&quot;Won&quot;#,##0_);[Red]\(&quot;Won&quot;#,##0\)"/>
    <numFmt numFmtId="179" formatCode="yyyy&quot;/&quot;m&quot;/&quot;d"/>
    <numFmt numFmtId="180" formatCode="\(\V\A\T\ &quot;포&quot;&quot;함&quot;\)"/>
    <numFmt numFmtId="181" formatCode="#,##0;\-&quot;Won&quot;#,##0"/>
  </numFmts>
  <fonts count="4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9"/>
      <name val="돋움"/>
      <family val="3"/>
      <charset val="129"/>
    </font>
    <font>
      <b/>
      <sz val="18"/>
      <name val="엽서체"/>
      <family val="1"/>
      <charset val="129"/>
    </font>
    <font>
      <sz val="18"/>
      <name val="엽서체"/>
      <family val="1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b/>
      <sz val="10"/>
      <name val="굴림체"/>
      <family val="3"/>
      <charset val="129"/>
    </font>
    <font>
      <u/>
      <sz val="10"/>
      <color indexed="12"/>
      <name val="Arial"/>
      <family val="2"/>
    </font>
    <font>
      <sz val="22"/>
      <name val="휴먼옛체"/>
      <family val="1"/>
      <charset val="129"/>
    </font>
    <font>
      <sz val="10"/>
      <name val="Helv"/>
      <family val="2"/>
    </font>
    <font>
      <b/>
      <sz val="10"/>
      <name val="굴림"/>
      <family val="3"/>
      <charset val="129"/>
    </font>
    <font>
      <b/>
      <sz val="9"/>
      <name val="Verdana"/>
      <family val="2"/>
    </font>
    <font>
      <sz val="11"/>
      <name val="Verdana"/>
      <family val="2"/>
    </font>
    <font>
      <b/>
      <sz val="10"/>
      <name val="Verdana"/>
      <family val="2"/>
    </font>
    <font>
      <sz val="9"/>
      <name val="Verdana"/>
      <family val="2"/>
    </font>
    <font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b/>
      <sz val="10"/>
      <name val="돋음"/>
      <family val="3"/>
      <charset val="129"/>
    </font>
    <font>
      <u/>
      <sz val="10"/>
      <color indexed="12"/>
      <name val="돋음"/>
      <family val="3"/>
      <charset val="129"/>
    </font>
    <font>
      <sz val="11"/>
      <name val="돋음"/>
      <family val="3"/>
      <charset val="129"/>
    </font>
    <font>
      <b/>
      <sz val="13"/>
      <name val="돋음"/>
      <family val="3"/>
      <charset val="129"/>
    </font>
    <font>
      <b/>
      <sz val="9"/>
      <name val="돋음"/>
      <family val="3"/>
      <charset val="129"/>
    </font>
    <font>
      <b/>
      <sz val="14"/>
      <name val="돋음"/>
      <family val="3"/>
      <charset val="129"/>
    </font>
    <font>
      <sz val="9"/>
      <name val="돋음"/>
      <family val="3"/>
      <charset val="129"/>
    </font>
    <font>
      <b/>
      <sz val="8"/>
      <name val="돋음"/>
      <family val="3"/>
      <charset val="129"/>
    </font>
    <font>
      <sz val="8"/>
      <name val="돋음"/>
      <family val="3"/>
      <charset val="129"/>
    </font>
    <font>
      <sz val="10"/>
      <color rgb="FF1F497D"/>
      <name val="돋음"/>
      <family val="3"/>
      <charset val="129"/>
    </font>
    <font>
      <b/>
      <sz val="11"/>
      <color rgb="FF244061"/>
      <name val="돋음"/>
      <family val="3"/>
      <charset val="129"/>
    </font>
    <font>
      <b/>
      <sz val="11"/>
      <name val="돋음"/>
      <family val="3"/>
      <charset val="129"/>
    </font>
    <font>
      <b/>
      <sz val="12"/>
      <name val="돋음"/>
      <family val="3"/>
      <charset val="129"/>
    </font>
    <font>
      <sz val="10"/>
      <name val="돋음"/>
      <family val="3"/>
      <charset val="129"/>
    </font>
    <font>
      <b/>
      <sz val="22"/>
      <name val="HY견고딕"/>
      <family val="1"/>
      <charset val="129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0" fontId="12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" fillId="0" borderId="0"/>
    <xf numFmtId="0" fontId="39" fillId="0" borderId="0">
      <alignment vertical="center"/>
    </xf>
  </cellStyleXfs>
  <cellXfs count="9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1" applyNumberFormat="1" applyFont="1" applyFill="1" applyBorder="1" applyAlignment="1">
      <alignment vertical="center" shrinkToFit="1"/>
    </xf>
    <xf numFmtId="178" fontId="4" fillId="0" borderId="0" xfId="1" applyNumberFormat="1" applyFont="1" applyFill="1" applyBorder="1" applyAlignment="1">
      <alignment vertical="center" shrinkToFit="1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1" fontId="17" fillId="0" borderId="0" xfId="1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5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8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7" fontId="16" fillId="0" borderId="0" xfId="0" applyNumberFormat="1" applyFont="1" applyAlignment="1">
      <alignment horizontal="left" vertical="center"/>
    </xf>
    <xf numFmtId="0" fontId="20" fillId="0" borderId="5" xfId="0" applyFont="1" applyBorder="1" applyAlignment="1">
      <alignment horizontal="center" vertical="center" wrapText="1" shrinkToFit="1"/>
    </xf>
    <xf numFmtId="3" fontId="19" fillId="0" borderId="6" xfId="0" applyNumberFormat="1" applyFont="1" applyBorder="1" applyAlignment="1">
      <alignment horizontal="right" vertical="center" shrinkToFit="1"/>
    </xf>
    <xf numFmtId="0" fontId="19" fillId="0" borderId="5" xfId="0" applyFont="1" applyBorder="1" applyAlignment="1">
      <alignment vertical="center" wrapText="1"/>
    </xf>
    <xf numFmtId="0" fontId="20" fillId="3" borderId="7" xfId="0" applyFont="1" applyFill="1" applyBorder="1" applyAlignment="1">
      <alignment horizontal="center" vertical="center" shrinkToFit="1"/>
    </xf>
    <xf numFmtId="3" fontId="19" fillId="3" borderId="8" xfId="0" applyNumberFormat="1" applyFont="1" applyFill="1" applyBorder="1" applyAlignment="1">
      <alignment horizontal="right" vertical="center" shrinkToFit="1"/>
    </xf>
    <xf numFmtId="41" fontId="19" fillId="3" borderId="9" xfId="0" applyNumberFormat="1" applyFont="1" applyFill="1" applyBorder="1" applyAlignment="1">
      <alignment horizontal="right" vertical="center" shrinkToFit="1"/>
    </xf>
    <xf numFmtId="41" fontId="20" fillId="3" borderId="10" xfId="1" applyFont="1" applyFill="1" applyBorder="1" applyAlignment="1">
      <alignment horizontal="right" vertical="center" shrinkToFit="1"/>
    </xf>
    <xf numFmtId="41" fontId="20" fillId="3" borderId="11" xfId="1" applyFont="1" applyFill="1" applyBorder="1" applyAlignment="1">
      <alignment horizontal="center" vertical="center" shrinkToFit="1"/>
    </xf>
    <xf numFmtId="0" fontId="19" fillId="3" borderId="9" xfId="0" applyFont="1" applyFill="1" applyBorder="1" applyAlignment="1">
      <alignment vertical="center" wrapText="1"/>
    </xf>
    <xf numFmtId="0" fontId="20" fillId="3" borderId="9" xfId="0" applyFont="1" applyFill="1" applyBorder="1" applyAlignment="1">
      <alignment horizontal="center" vertical="center" wrapText="1" shrinkToFit="1"/>
    </xf>
    <xf numFmtId="0" fontId="20" fillId="0" borderId="12" xfId="0" applyFont="1" applyBorder="1" applyAlignment="1">
      <alignment horizontal="center" vertical="center" shrinkToFit="1"/>
    </xf>
    <xf numFmtId="0" fontId="19" fillId="0" borderId="13" xfId="0" applyFont="1" applyBorder="1" applyAlignment="1">
      <alignment vertical="center" shrinkToFit="1"/>
    </xf>
    <xf numFmtId="0" fontId="19" fillId="0" borderId="13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 shrinkToFit="1"/>
    </xf>
    <xf numFmtId="3" fontId="19" fillId="0" borderId="14" xfId="0" applyNumberFormat="1" applyFont="1" applyBorder="1" applyAlignment="1">
      <alignment horizontal="right" vertical="center" shrinkToFit="1"/>
    </xf>
    <xf numFmtId="41" fontId="19" fillId="0" borderId="13" xfId="0" applyNumberFormat="1" applyFont="1" applyBorder="1" applyAlignment="1">
      <alignment horizontal="right" vertical="center" shrinkToFit="1"/>
    </xf>
    <xf numFmtId="41" fontId="20" fillId="0" borderId="15" xfId="1" applyFont="1" applyFill="1" applyBorder="1" applyAlignment="1">
      <alignment horizontal="right" vertical="center" shrinkToFit="1"/>
    </xf>
    <xf numFmtId="41" fontId="20" fillId="0" borderId="16" xfId="1" applyFont="1" applyFill="1" applyBorder="1" applyAlignment="1">
      <alignment horizontal="right" vertical="center" shrinkToFit="1"/>
    </xf>
    <xf numFmtId="0" fontId="20" fillId="0" borderId="17" xfId="0" applyFont="1" applyBorder="1" applyAlignment="1">
      <alignment horizontal="center" vertical="center" shrinkToFit="1"/>
    </xf>
    <xf numFmtId="0" fontId="20" fillId="2" borderId="18" xfId="0" applyFont="1" applyFill="1" applyBorder="1" applyAlignment="1">
      <alignment horizontal="center" vertical="center" shrinkToFit="1"/>
    </xf>
    <xf numFmtId="0" fontId="20" fillId="2" borderId="19" xfId="0" applyFont="1" applyFill="1" applyBorder="1" applyAlignment="1">
      <alignment horizontal="center" vertical="center" shrinkToFit="1"/>
    </xf>
    <xf numFmtId="0" fontId="20" fillId="2" borderId="19" xfId="0" applyFont="1" applyFill="1" applyBorder="1" applyAlignment="1">
      <alignment horizontal="center" vertical="center" wrapText="1" shrinkToFit="1"/>
    </xf>
    <xf numFmtId="3" fontId="20" fillId="2" borderId="19" xfId="0" applyNumberFormat="1" applyFont="1" applyFill="1" applyBorder="1" applyAlignment="1">
      <alignment horizontal="center" vertical="center" shrinkToFit="1"/>
    </xf>
    <xf numFmtId="0" fontId="20" fillId="2" borderId="20" xfId="0" applyFont="1" applyFill="1" applyBorder="1" applyAlignment="1">
      <alignment horizontal="center" vertical="center" shrinkToFit="1"/>
    </xf>
    <xf numFmtId="0" fontId="21" fillId="2" borderId="21" xfId="0" applyFont="1" applyFill="1" applyBorder="1" applyAlignment="1">
      <alignment horizontal="center" vertical="center" shrinkToFit="1"/>
    </xf>
    <xf numFmtId="0" fontId="21" fillId="3" borderId="9" xfId="0" applyFont="1" applyFill="1" applyBorder="1" applyAlignment="1">
      <alignment vertical="center"/>
    </xf>
    <xf numFmtId="0" fontId="0" fillId="0" borderId="0" xfId="0" applyAlignment="1">
      <alignment vertical="center" shrinkToFit="1"/>
    </xf>
    <xf numFmtId="0" fontId="21" fillId="0" borderId="0" xfId="0" applyFont="1" applyAlignment="1">
      <alignment horizontal="center" vertical="center" shrinkToFi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shrinkToFi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179" fontId="25" fillId="0" borderId="0" xfId="6" applyNumberFormat="1" applyFont="1" applyFill="1" applyBorder="1" applyAlignment="1" applyProtection="1">
      <alignment horizontal="left" vertical="center"/>
    </xf>
    <xf numFmtId="0" fontId="26" fillId="0" borderId="0" xfId="0" applyFont="1" applyAlignment="1">
      <alignment vertical="center"/>
    </xf>
    <xf numFmtId="3" fontId="26" fillId="0" borderId="0" xfId="0" applyNumberFormat="1" applyFont="1" applyAlignment="1">
      <alignment vertical="center"/>
    </xf>
    <xf numFmtId="0" fontId="27" fillId="0" borderId="3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41" fontId="30" fillId="0" borderId="0" xfId="1" applyFont="1" applyBorder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horizontal="justify" vertical="center"/>
    </xf>
    <xf numFmtId="177" fontId="31" fillId="0" borderId="0" xfId="0" applyNumberFormat="1" applyFont="1" applyAlignment="1">
      <alignment vertical="center"/>
    </xf>
    <xf numFmtId="0" fontId="34" fillId="0" borderId="0" xfId="0" applyFont="1" applyAlignment="1">
      <alignment horizontal="justify" vertical="center"/>
    </xf>
    <xf numFmtId="177" fontId="35" fillId="0" borderId="0" xfId="0" applyNumberFormat="1" applyFont="1" applyAlignment="1">
      <alignment vertical="center"/>
    </xf>
    <xf numFmtId="0" fontId="36" fillId="2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180" fontId="35" fillId="0" borderId="0" xfId="0" applyNumberFormat="1" applyFont="1" applyAlignment="1">
      <alignment vertical="center"/>
    </xf>
    <xf numFmtId="3" fontId="29" fillId="2" borderId="1" xfId="0" applyNumberFormat="1" applyFont="1" applyFill="1" applyBorder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0" fontId="37" fillId="0" borderId="3" xfId="0" applyFont="1" applyBorder="1" applyAlignment="1">
      <alignment vertical="center"/>
    </xf>
    <xf numFmtId="177" fontId="24" fillId="0" borderId="3" xfId="0" applyNumberFormat="1" applyFont="1" applyBorder="1" applyAlignment="1">
      <alignment horizontal="left" vertical="center"/>
    </xf>
    <xf numFmtId="41" fontId="21" fillId="0" borderId="4" xfId="1" applyFont="1" applyFill="1" applyBorder="1" applyAlignment="1">
      <alignment horizontal="center" vertical="center" shrinkToFit="1"/>
    </xf>
    <xf numFmtId="0" fontId="20" fillId="0" borderId="5" xfId="0" applyFont="1" applyBorder="1" applyAlignment="1">
      <alignment vertical="center" shrinkToFit="1"/>
    </xf>
    <xf numFmtId="0" fontId="4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181" fontId="22" fillId="0" borderId="22" xfId="0" applyNumberFormat="1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38" fillId="0" borderId="0" xfId="0" applyFont="1" applyAlignment="1">
      <alignment horizontal="center" vertical="center"/>
    </xf>
    <xf numFmtId="181" fontId="0" fillId="0" borderId="22" xfId="0" applyNumberForma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176" fontId="35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</cellXfs>
  <cellStyles count="10">
    <cellStyle name="Jun" xfId="7" xr:uid="{00000000-0005-0000-0000-000000000000}"/>
    <cellStyle name="Normal_선발주물량내역_nego1" xfId="8" xr:uid="{00000000-0005-0000-0000-000001000000}"/>
    <cellStyle name="쉼표 [0]" xfId="1" builtinId="6"/>
    <cellStyle name="스타일 1" xfId="2" xr:uid="{00000000-0005-0000-0000-000003000000}"/>
    <cellStyle name="콤마 [0]_#18_upgr" xfId="3" xr:uid="{00000000-0005-0000-0000-000004000000}"/>
    <cellStyle name="콤마_#18_upgr" xfId="4" xr:uid="{00000000-0005-0000-0000-000005000000}"/>
    <cellStyle name="표준" xfId="0" builtinId="0"/>
    <cellStyle name="표준 2" xfId="9" xr:uid="{00000000-0005-0000-0000-000007000000}"/>
    <cellStyle name="표준 2 2" xfId="5" xr:uid="{00000000-0005-0000-0000-000008000000}"/>
    <cellStyle name="하이퍼링크" xfId="6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276477" name="Line 3">
          <a:extLst>
            <a:ext uri="{FF2B5EF4-FFF2-40B4-BE49-F238E27FC236}">
              <a16:creationId xmlns:a16="http://schemas.microsoft.com/office/drawing/2014/main" id="{00000000-0008-0000-0000-0000FD370400}"/>
            </a:ext>
          </a:extLst>
        </xdr:cNvPr>
        <xdr:cNvSpPr>
          <a:spLocks noChangeShapeType="1"/>
        </xdr:cNvSpPr>
      </xdr:nvSpPr>
      <xdr:spPr bwMode="auto">
        <a:xfrm>
          <a:off x="1466850" y="15592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276478" name="Line 4">
          <a:extLst>
            <a:ext uri="{FF2B5EF4-FFF2-40B4-BE49-F238E27FC236}">
              <a16:creationId xmlns:a16="http://schemas.microsoft.com/office/drawing/2014/main" id="{00000000-0008-0000-0000-0000FE370400}"/>
            </a:ext>
          </a:extLst>
        </xdr:cNvPr>
        <xdr:cNvSpPr>
          <a:spLocks noChangeShapeType="1"/>
        </xdr:cNvSpPr>
      </xdr:nvSpPr>
      <xdr:spPr bwMode="auto">
        <a:xfrm>
          <a:off x="1466850" y="155924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27</xdr:row>
      <xdr:rowOff>0</xdr:rowOff>
    </xdr:from>
    <xdr:to>
      <xdr:col>2</xdr:col>
      <xdr:colOff>0</xdr:colOff>
      <xdr:row>27</xdr:row>
      <xdr:rowOff>0</xdr:rowOff>
    </xdr:to>
    <xdr:sp macro="" textlink="">
      <xdr:nvSpPr>
        <xdr:cNvPr id="276479" name="Line 15">
          <a:extLst>
            <a:ext uri="{FF2B5EF4-FFF2-40B4-BE49-F238E27FC236}">
              <a16:creationId xmlns:a16="http://schemas.microsoft.com/office/drawing/2014/main" id="{00000000-0008-0000-0000-0000FF370400}"/>
            </a:ext>
          </a:extLst>
        </xdr:cNvPr>
        <xdr:cNvSpPr>
          <a:spLocks noChangeShapeType="1"/>
        </xdr:cNvSpPr>
      </xdr:nvSpPr>
      <xdr:spPr bwMode="auto">
        <a:xfrm>
          <a:off x="1466850" y="15763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27</xdr:row>
      <xdr:rowOff>0</xdr:rowOff>
    </xdr:from>
    <xdr:to>
      <xdr:col>2</xdr:col>
      <xdr:colOff>0</xdr:colOff>
      <xdr:row>27</xdr:row>
      <xdr:rowOff>0</xdr:rowOff>
    </xdr:to>
    <xdr:sp macro="" textlink="">
      <xdr:nvSpPr>
        <xdr:cNvPr id="276480" name="Line 16">
          <a:extLst>
            <a:ext uri="{FF2B5EF4-FFF2-40B4-BE49-F238E27FC236}">
              <a16:creationId xmlns:a16="http://schemas.microsoft.com/office/drawing/2014/main" id="{00000000-0008-0000-0000-000000380400}"/>
            </a:ext>
          </a:extLst>
        </xdr:cNvPr>
        <xdr:cNvSpPr>
          <a:spLocks noChangeShapeType="1"/>
        </xdr:cNvSpPr>
      </xdr:nvSpPr>
      <xdr:spPr bwMode="auto">
        <a:xfrm>
          <a:off x="1466850" y="157638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211197</xdr:colOff>
      <xdr:row>5</xdr:row>
      <xdr:rowOff>67306</xdr:rowOff>
    </xdr:from>
    <xdr:to>
      <xdr:col>7</xdr:col>
      <xdr:colOff>779743</xdr:colOff>
      <xdr:row>8</xdr:row>
      <xdr:rowOff>19300</xdr:rowOff>
    </xdr:to>
    <xdr:grpSp>
      <xdr:nvGrpSpPr>
        <xdr:cNvPr id="276481" name="그룹 33">
          <a:extLst>
            <a:ext uri="{FF2B5EF4-FFF2-40B4-BE49-F238E27FC236}">
              <a16:creationId xmlns:a16="http://schemas.microsoft.com/office/drawing/2014/main" id="{00000000-0008-0000-0000-000001380400}"/>
            </a:ext>
          </a:extLst>
        </xdr:cNvPr>
        <xdr:cNvGrpSpPr>
          <a:grpSpLocks/>
        </xdr:cNvGrpSpPr>
      </xdr:nvGrpSpPr>
      <xdr:grpSpPr bwMode="auto">
        <a:xfrm>
          <a:off x="6021447" y="1324606"/>
          <a:ext cx="2530696" cy="466344"/>
          <a:chOff x="6485341" y="1399794"/>
          <a:chExt cx="2552880" cy="462267"/>
        </a:xfrm>
      </xdr:grpSpPr>
      <xdr:sp macro="" textlink="">
        <xdr:nvSpPr>
          <xdr:cNvPr id="20" name="Rectangle 23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>
            <a:spLocks noChangeArrowheads="1"/>
          </xdr:cNvSpPr>
        </xdr:nvSpPr>
        <xdr:spPr bwMode="auto">
          <a:xfrm>
            <a:off x="6808294" y="1399794"/>
            <a:ext cx="1728949" cy="24068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ko-KR" altLang="en-US" sz="1100" b="0" i="0">
                <a:effectLst/>
                <a:latin typeface="+mn-lt"/>
                <a:ea typeface="+mn-ea"/>
                <a:cs typeface="+mn-cs"/>
              </a:rPr>
              <a:t>서울특별시 중구 소월로 </a:t>
            </a:r>
            <a:r>
              <a:rPr lang="en-US" altLang="ko-KR" sz="1100" b="0" i="0">
                <a:effectLst/>
                <a:latin typeface="+mn-lt"/>
                <a:ea typeface="+mn-ea"/>
                <a:cs typeface="+mn-cs"/>
              </a:rPr>
              <a:t>3</a:t>
            </a:r>
            <a:endParaRPr lang="ko-KR" altLang="en-US" sz="1400" b="0" i="0" strike="noStrike">
              <a:solidFill>
                <a:srgbClr val="000000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1" name="Rectangle 24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6485341" y="1698881"/>
            <a:ext cx="2552880" cy="16318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altLang="ko-KR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Cambria"/>
                <a:ea typeface="+mn-ea"/>
                <a:cs typeface="Tahoma"/>
              </a:rPr>
              <a:t>TEL: 02-6004-7000 / FAX : 6455-0022</a:t>
            </a:r>
          </a:p>
        </xdr:txBody>
      </xdr:sp>
    </xdr:grpSp>
    <xdr:clientData/>
  </xdr:twoCellAnchor>
  <xdr:twoCellAnchor editAs="oneCell">
    <xdr:from>
      <xdr:col>5</xdr:col>
      <xdr:colOff>14</xdr:colOff>
      <xdr:row>2</xdr:row>
      <xdr:rowOff>220135</xdr:rowOff>
    </xdr:from>
    <xdr:to>
      <xdr:col>7</xdr:col>
      <xdr:colOff>889014</xdr:colOff>
      <xdr:row>4</xdr:row>
      <xdr:rowOff>98522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0081" y="762002"/>
          <a:ext cx="2650066" cy="4202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topLeftCell="A16" zoomScale="90" workbookViewId="0">
      <selection activeCell="C20" sqref="C20"/>
    </sheetView>
  </sheetViews>
  <sheetFormatPr defaultColWidth="8.88671875" defaultRowHeight="14.1"/>
  <cols>
    <col min="1" max="1" width="4.44140625" style="1" customWidth="1"/>
    <col min="2" max="2" width="12.44140625" style="1" customWidth="1"/>
    <col min="3" max="3" width="34.77734375" style="1" customWidth="1"/>
    <col min="4" max="4" width="4.6640625" style="1" customWidth="1"/>
    <col min="5" max="5" width="11.44140625" style="19" customWidth="1"/>
    <col min="6" max="7" width="11.44140625" style="1" customWidth="1"/>
    <col min="8" max="8" width="14.88671875" style="1" bestFit="1" customWidth="1"/>
    <col min="9" max="16384" width="8.88671875" style="1"/>
  </cols>
  <sheetData>
    <row r="1" spans="1:8" s="10" customFormat="1" ht="27.2" customHeight="1">
      <c r="A1" s="88" t="s">
        <v>0</v>
      </c>
      <c r="B1" s="88"/>
      <c r="C1" s="88"/>
      <c r="D1" s="88"/>
      <c r="E1" s="88"/>
      <c r="F1" s="88"/>
      <c r="G1" s="88"/>
      <c r="H1" s="88"/>
    </row>
    <row r="2" spans="1:8" ht="15.75" customHeight="1">
      <c r="A2" s="54"/>
      <c r="B2" s="55"/>
      <c r="C2" s="56"/>
      <c r="D2" s="56"/>
      <c r="E2" s="57"/>
      <c r="F2" s="56"/>
      <c r="G2" s="56"/>
      <c r="H2" s="56"/>
    </row>
    <row r="3" spans="1:8" ht="21" customHeight="1">
      <c r="A3" s="90" t="s">
        <v>1</v>
      </c>
      <c r="B3" s="90"/>
      <c r="C3" s="90"/>
      <c r="D3" s="56"/>
      <c r="E3" s="57"/>
      <c r="F3" s="56"/>
      <c r="G3" s="56"/>
      <c r="H3" s="56"/>
    </row>
    <row r="4" spans="1:8" ht="21.95" customHeight="1">
      <c r="A4" s="58" t="s">
        <v>2</v>
      </c>
      <c r="B4" s="58"/>
      <c r="C4" s="58"/>
      <c r="D4" s="59"/>
      <c r="E4" s="91"/>
      <c r="F4" s="91"/>
      <c r="G4" s="91"/>
      <c r="H4" s="60"/>
    </row>
    <row r="5" spans="1:8" ht="13.5" customHeight="1">
      <c r="A5" s="54" t="s">
        <v>3</v>
      </c>
      <c r="B5" s="54"/>
      <c r="C5" s="56"/>
      <c r="D5" s="59"/>
      <c r="E5" s="57"/>
      <c r="F5" s="56"/>
      <c r="G5" s="61"/>
      <c r="H5" s="61"/>
    </row>
    <row r="6" spans="1:8" ht="16.5" customHeight="1">
      <c r="A6" s="54" t="s">
        <v>4</v>
      </c>
      <c r="B6" s="62"/>
      <c r="C6" s="63"/>
      <c r="D6" s="59"/>
      <c r="E6" s="64"/>
      <c r="F6" s="95"/>
      <c r="G6" s="95"/>
      <c r="H6" s="95"/>
    </row>
    <row r="7" spans="1:8" ht="15.2" customHeight="1">
      <c r="A7" s="54" t="s">
        <v>5</v>
      </c>
      <c r="B7" s="65"/>
      <c r="C7" s="63"/>
      <c r="D7" s="59"/>
      <c r="E7" s="66"/>
      <c r="F7" s="95"/>
      <c r="G7" s="95"/>
      <c r="H7" s="95"/>
    </row>
    <row r="8" spans="1:8" ht="9.1999999999999993" customHeight="1">
      <c r="A8" s="59"/>
      <c r="B8" s="67"/>
      <c r="C8" s="56"/>
      <c r="D8" s="59"/>
      <c r="E8" s="57"/>
      <c r="F8" s="96"/>
      <c r="G8" s="96"/>
      <c r="H8" s="96"/>
    </row>
    <row r="9" spans="1:8" ht="18" customHeight="1">
      <c r="A9" s="68" t="s">
        <v>6</v>
      </c>
      <c r="B9" s="69"/>
      <c r="C9" s="70"/>
      <c r="D9" s="59"/>
      <c r="E9" s="57"/>
      <c r="F9" s="56"/>
      <c r="G9" s="61"/>
      <c r="H9" s="61"/>
    </row>
    <row r="10" spans="1:8" ht="21.95" customHeight="1">
      <c r="A10" s="92" t="s">
        <v>7</v>
      </c>
      <c r="B10" s="92"/>
      <c r="C10" s="71">
        <f>G25</f>
        <v>125125</v>
      </c>
      <c r="D10" s="59"/>
      <c r="E10" s="72"/>
      <c r="F10" s="73" t="s">
        <v>8</v>
      </c>
      <c r="G10" s="82" t="s">
        <v>9</v>
      </c>
      <c r="H10" s="82"/>
    </row>
    <row r="11" spans="1:8" ht="16.5" customHeight="1">
      <c r="A11" s="74" t="s">
        <v>10</v>
      </c>
      <c r="B11" s="74"/>
      <c r="C11" s="74"/>
      <c r="D11" s="59"/>
      <c r="E11" s="72"/>
      <c r="F11" s="73" t="s">
        <v>11</v>
      </c>
      <c r="G11" s="82" t="s">
        <v>12</v>
      </c>
      <c r="H11" s="82"/>
    </row>
    <row r="12" spans="1:8" ht="16.5" customHeight="1">
      <c r="A12" s="74" t="s">
        <v>13</v>
      </c>
      <c r="B12" s="74"/>
      <c r="C12" s="74"/>
      <c r="D12" s="59"/>
      <c r="E12" s="72"/>
      <c r="F12" s="73" t="s">
        <v>14</v>
      </c>
      <c r="G12" s="82" t="s">
        <v>15</v>
      </c>
      <c r="H12" s="82"/>
    </row>
    <row r="13" spans="1:8" ht="16.5" customHeight="1">
      <c r="A13" s="74"/>
      <c r="B13" s="74"/>
      <c r="C13" s="74"/>
      <c r="D13" s="59"/>
      <c r="E13" s="72"/>
      <c r="F13" s="73" t="s">
        <v>16</v>
      </c>
      <c r="G13" s="94" t="s">
        <v>17</v>
      </c>
      <c r="H13" s="94"/>
    </row>
    <row r="14" spans="1:8" ht="16.5" customHeight="1">
      <c r="A14" s="75" t="s">
        <v>18</v>
      </c>
      <c r="B14" s="76"/>
      <c r="C14" s="76"/>
      <c r="D14" s="59"/>
      <c r="E14" s="72"/>
      <c r="F14" s="73" t="s">
        <v>19</v>
      </c>
      <c r="G14" s="82" t="s">
        <v>20</v>
      </c>
      <c r="H14" s="82"/>
    </row>
    <row r="15" spans="1:8" ht="16.5" customHeight="1">
      <c r="A15" s="75" t="s">
        <v>21</v>
      </c>
      <c r="B15" s="77"/>
      <c r="C15" s="78">
        <v>45530.737743055557</v>
      </c>
      <c r="D15" s="59"/>
      <c r="E15" s="72"/>
      <c r="F15" s="73" t="s">
        <v>22</v>
      </c>
      <c r="G15" s="83" t="s">
        <v>23</v>
      </c>
      <c r="H15" s="83"/>
    </row>
    <row r="16" spans="1:8" ht="13.5" customHeight="1" thickBot="1">
      <c r="A16" s="20"/>
      <c r="B16" s="21"/>
      <c r="C16" s="22"/>
      <c r="D16" s="11"/>
      <c r="E16" s="14"/>
      <c r="F16" s="12"/>
      <c r="G16" s="13"/>
      <c r="H16" s="13"/>
    </row>
    <row r="17" spans="1:8" ht="27.95" customHeight="1">
      <c r="A17" s="42"/>
      <c r="B17" s="43" t="s">
        <v>24</v>
      </c>
      <c r="C17" s="43" t="s">
        <v>25</v>
      </c>
      <c r="D17" s="44" t="s">
        <v>26</v>
      </c>
      <c r="E17" s="45" t="s">
        <v>27</v>
      </c>
      <c r="F17" s="43" t="s">
        <v>28</v>
      </c>
      <c r="G17" s="46" t="s">
        <v>29</v>
      </c>
      <c r="H17" s="47" t="s">
        <v>30</v>
      </c>
    </row>
    <row r="18" spans="1:8" ht="30" customHeight="1">
      <c r="A18" s="26"/>
      <c r="B18" s="48"/>
      <c r="C18" s="31"/>
      <c r="D18" s="32"/>
      <c r="E18" s="27"/>
      <c r="F18" s="28"/>
      <c r="G18" s="29"/>
      <c r="H18" s="30"/>
    </row>
    <row r="19" spans="1:8" ht="30" customHeight="1">
      <c r="A19" s="33">
        <v>1</v>
      </c>
      <c r="B19" s="80" t="s">
        <v>31</v>
      </c>
      <c r="C19" s="25" t="s">
        <v>32</v>
      </c>
      <c r="D19" s="23">
        <v>1</v>
      </c>
      <c r="E19" s="24">
        <v>227504</v>
      </c>
      <c r="F19" s="79">
        <f>79000/(1-20%)</f>
        <v>98750</v>
      </c>
      <c r="G19" s="79">
        <f>79000/(1-20%)</f>
        <v>98750</v>
      </c>
      <c r="H19" s="79"/>
    </row>
    <row r="20" spans="1:8" ht="30" customHeight="1">
      <c r="A20" s="33">
        <v>2</v>
      </c>
      <c r="B20" s="80" t="s">
        <v>33</v>
      </c>
      <c r="C20" s="25" t="s">
        <v>34</v>
      </c>
      <c r="D20" s="23">
        <v>1</v>
      </c>
      <c r="E20" s="24">
        <v>33505</v>
      </c>
      <c r="F20" s="79">
        <f>12000/(1-20%)</f>
        <v>15000</v>
      </c>
      <c r="G20" s="79">
        <f>12000/(1-20%)</f>
        <v>15000</v>
      </c>
      <c r="H20" s="79"/>
    </row>
    <row r="21" spans="1:8" ht="30" customHeight="1" thickBot="1">
      <c r="A21" s="41"/>
      <c r="B21" s="34"/>
      <c r="C21" s="35"/>
      <c r="D21" s="36"/>
      <c r="E21" s="37"/>
      <c r="F21" s="38"/>
      <c r="G21" s="39"/>
      <c r="H21" s="40"/>
    </row>
    <row r="22" spans="1:8" ht="17.100000000000001" customHeight="1">
      <c r="A22" s="93"/>
      <c r="B22" s="93"/>
      <c r="C22" s="93"/>
      <c r="D22" s="93"/>
      <c r="E22" s="93"/>
      <c r="F22" s="93"/>
      <c r="G22" s="93"/>
      <c r="H22" s="50"/>
    </row>
    <row r="23" spans="1:8" ht="17.100000000000001" customHeight="1">
      <c r="A23" s="51" t="s">
        <v>35</v>
      </c>
      <c r="B23" s="52"/>
      <c r="C23" s="52"/>
      <c r="D23" s="52"/>
      <c r="E23" s="86" t="s">
        <v>36</v>
      </c>
      <c r="F23" s="86"/>
      <c r="G23" s="85">
        <f>SUM(G18:G21)</f>
        <v>113750</v>
      </c>
      <c r="H23" s="85"/>
    </row>
    <row r="24" spans="1:8" ht="17.100000000000001" customHeight="1">
      <c r="A24" s="2" t="s">
        <v>37</v>
      </c>
      <c r="B24" s="49"/>
      <c r="C24" s="49"/>
      <c r="D24" s="52"/>
      <c r="E24" s="86" t="s">
        <v>38</v>
      </c>
      <c r="F24" s="86"/>
      <c r="G24" s="89">
        <f>G23*10%</f>
        <v>11375</v>
      </c>
      <c r="H24" s="89"/>
    </row>
    <row r="25" spans="1:8" ht="17.100000000000001" customHeight="1">
      <c r="A25" s="87" t="s">
        <v>39</v>
      </c>
      <c r="B25" s="87"/>
      <c r="C25" s="87"/>
      <c r="D25" s="87"/>
      <c r="E25" s="86" t="s">
        <v>40</v>
      </c>
      <c r="F25" s="86"/>
      <c r="G25" s="85">
        <f>SUM(G23:H24)</f>
        <v>125125</v>
      </c>
      <c r="H25" s="85"/>
    </row>
    <row r="26" spans="1:8" ht="17.45">
      <c r="A26" s="2"/>
      <c r="B26" s="2"/>
      <c r="C26" s="2"/>
      <c r="D26" s="2"/>
      <c r="E26" s="15"/>
      <c r="F26" s="84"/>
      <c r="G26" s="84"/>
      <c r="H26" s="53"/>
    </row>
    <row r="27" spans="1:8" s="2" customFormat="1">
      <c r="B27" s="81"/>
      <c r="C27" s="81"/>
      <c r="E27" s="15"/>
    </row>
    <row r="28" spans="1:8" s="2" customFormat="1">
      <c r="B28" s="81"/>
      <c r="C28" s="81"/>
      <c r="E28" s="15"/>
    </row>
    <row r="29" spans="1:8" s="2" customFormat="1">
      <c r="B29" s="81"/>
      <c r="C29" s="81"/>
      <c r="E29" s="15"/>
      <c r="F29" s="7"/>
      <c r="G29" s="7"/>
      <c r="H29" s="7"/>
    </row>
    <row r="30" spans="1:8" s="2" customFormat="1" ht="23.1">
      <c r="B30" s="81"/>
      <c r="C30" s="81"/>
      <c r="E30" s="16"/>
      <c r="F30" s="8"/>
      <c r="G30" s="9"/>
      <c r="H30" s="9"/>
    </row>
    <row r="31" spans="1:8" s="2" customFormat="1" ht="23.1">
      <c r="C31" s="3"/>
      <c r="D31" s="4"/>
      <c r="E31" s="17"/>
      <c r="F31" s="4"/>
    </row>
    <row r="32" spans="1:8" s="6" customFormat="1" ht="15">
      <c r="B32" s="5"/>
      <c r="E32" s="18"/>
    </row>
    <row r="33" spans="2:5" s="6" customFormat="1" ht="15">
      <c r="B33" s="5"/>
      <c r="C33" s="5"/>
      <c r="E33" s="18"/>
    </row>
  </sheetData>
  <mergeCells count="25">
    <mergeCell ref="A1:H1"/>
    <mergeCell ref="G23:H23"/>
    <mergeCell ref="G24:H24"/>
    <mergeCell ref="E23:F23"/>
    <mergeCell ref="E24:F24"/>
    <mergeCell ref="A3:C3"/>
    <mergeCell ref="E4:G4"/>
    <mergeCell ref="A10:B10"/>
    <mergeCell ref="A22:G22"/>
    <mergeCell ref="G10:H10"/>
    <mergeCell ref="G11:H11"/>
    <mergeCell ref="G12:H12"/>
    <mergeCell ref="G13:H13"/>
    <mergeCell ref="F6:H7"/>
    <mergeCell ref="F8:H8"/>
    <mergeCell ref="B29:C29"/>
    <mergeCell ref="G14:H14"/>
    <mergeCell ref="G15:H15"/>
    <mergeCell ref="B30:C30"/>
    <mergeCell ref="F26:G26"/>
    <mergeCell ref="B27:C27"/>
    <mergeCell ref="G25:H25"/>
    <mergeCell ref="E25:F25"/>
    <mergeCell ref="B28:C28"/>
    <mergeCell ref="A25:D25"/>
  </mergeCells>
  <phoneticPr fontId="2" type="noConversion"/>
  <printOptions horizontalCentered="1"/>
  <pageMargins left="0.55118110236220474" right="0.51181102362204722" top="0.98425196850393704" bottom="0.98425196850393704" header="0.51181102362204722" footer="0.51181102362204722"/>
  <pageSetup paperSize="9" scale="74" orientation="portrait" r:id="rId1"/>
  <headerFooter alignWithMargins="0"/>
  <ignoredErrors>
    <ignoredError sqref="G25:H25 H2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compaq</dc:creator>
  <cp:keywords/>
  <dc:description>버젼 1.01</dc:description>
  <cp:lastModifiedBy>박 문식</cp:lastModifiedBy>
  <cp:revision/>
  <dcterms:created xsi:type="dcterms:W3CDTF">1996-12-01T12:05:25Z</dcterms:created>
  <dcterms:modified xsi:type="dcterms:W3CDTF">2024-11-18T01:15:45Z</dcterms:modified>
  <cp:category/>
  <cp:contentStatus/>
</cp:coreProperties>
</file>