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hk/Desktop/"/>
    </mc:Choice>
  </mc:AlternateContent>
  <xr:revisionPtr revIDLastSave="0" documentId="13_ncr:1_{717C5156-63AB-5F47-8C5F-C682B966E14F}" xr6:coauthVersionLast="47" xr6:coauthVersionMax="47" xr10:uidLastSave="{00000000-0000-0000-0000-000000000000}"/>
  <bookViews>
    <workbookView xWindow="1280" yWindow="500" windowWidth="35840" windowHeight="21100" tabRatio="687" activeTab="2" xr2:uid="{00000000-000D-0000-FFFF-FFFF00000000}"/>
  </bookViews>
  <sheets>
    <sheet name="연차일수" sheetId="6" r:id="rId1"/>
    <sheet name="퇴직정산" sheetId="7" r:id="rId2"/>
    <sheet name="휴가대장" sheetId="9" r:id="rId3"/>
    <sheet name="연차수당" sheetId="10" r:id="rId4"/>
    <sheet name="개정이력" sheetId="11" r:id="rId5"/>
  </sheets>
  <externalReferences>
    <externalReference r:id="rId6"/>
  </externalReferences>
  <definedNames>
    <definedName name="산재보상기준">'[1]계산기(입력)'!#REF!</definedName>
    <definedName name="실업급여">'[1]계산기(입력)'!#REF!</definedName>
    <definedName name="_xlnm.Print_Area" localSheetId="3">연차수당!$A$1:$K$33</definedName>
    <definedName name="_xlnm.Print_Area" localSheetId="0">연차일수!$D$1:$N$39</definedName>
    <definedName name="_xlnm.Print_Area" localSheetId="1">퇴직정산!$G$1:$Q$38</definedName>
    <definedName name="_xlnm.Print_Area" localSheetId="2">휴가대장!$Q$1:$BB$30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7" l="1"/>
  <c r="P7" i="7"/>
  <c r="L7" i="7" l="1"/>
  <c r="N7" i="7"/>
  <c r="O7" i="7"/>
  <c r="K7" i="7" l="1"/>
  <c r="C3" i="6" l="1"/>
  <c r="AV2" i="9" l="1"/>
  <c r="AV1" i="9" l="1"/>
  <c r="G22" i="10" l="1"/>
  <c r="G23" i="10"/>
  <c r="G24" i="10"/>
  <c r="G25" i="10"/>
  <c r="E10" i="10"/>
  <c r="E11" i="10"/>
  <c r="G11" i="10" s="1"/>
  <c r="E12" i="10"/>
  <c r="G12" i="10" s="1"/>
  <c r="E13" i="10"/>
  <c r="E14" i="10"/>
  <c r="G14" i="10" s="1"/>
  <c r="E15" i="10"/>
  <c r="G15" i="10" s="1"/>
  <c r="E16" i="10"/>
  <c r="E17" i="10"/>
  <c r="G17" i="10" s="1"/>
  <c r="E18" i="10"/>
  <c r="E19" i="10"/>
  <c r="E20" i="10"/>
  <c r="G20" i="10" s="1"/>
  <c r="E21" i="10"/>
  <c r="E22" i="10"/>
  <c r="E23" i="10"/>
  <c r="E24" i="10"/>
  <c r="E25" i="10"/>
  <c r="E26" i="10"/>
  <c r="E27" i="10"/>
  <c r="E8" i="10"/>
  <c r="E9" i="10"/>
  <c r="G16" i="10" l="1"/>
  <c r="J16" i="10" s="1"/>
  <c r="G13" i="10"/>
  <c r="J13" i="10" s="1"/>
  <c r="J20" i="10"/>
  <c r="J18" i="10"/>
  <c r="J17" i="10"/>
  <c r="G21" i="10"/>
  <c r="J21" i="10" s="1"/>
  <c r="J15" i="10"/>
  <c r="G19" i="10"/>
  <c r="J19" i="10" s="1"/>
  <c r="J14" i="10"/>
  <c r="G18" i="10"/>
  <c r="J12" i="10"/>
  <c r="J11" i="10"/>
  <c r="J25" i="10"/>
  <c r="G9" i="10"/>
  <c r="J9" i="10" s="1"/>
  <c r="J24" i="10"/>
  <c r="G8" i="10"/>
  <c r="J8" i="10" s="1"/>
  <c r="J23" i="10"/>
  <c r="G27" i="10"/>
  <c r="J27" i="10" s="1"/>
  <c r="J22" i="10"/>
  <c r="G26" i="10"/>
  <c r="J26" i="10" s="1"/>
  <c r="G10" i="10"/>
  <c r="J10" i="10" s="1"/>
  <c r="I7" i="7"/>
  <c r="J7" i="7"/>
  <c r="H7" i="7" l="1"/>
  <c r="G7" i="7"/>
  <c r="C3" i="7" l="1"/>
  <c r="J6" i="10"/>
  <c r="H6" i="10"/>
  <c r="A5" i="6" l="1"/>
  <c r="B14" i="6" s="1"/>
  <c r="E11" i="6" l="1"/>
  <c r="D11" i="6"/>
  <c r="B6" i="10" l="1"/>
  <c r="A9" i="9" l="1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4" i="9"/>
  <c r="F22" i="9" l="1"/>
  <c r="V22" i="9"/>
  <c r="F24" i="9"/>
  <c r="V24" i="9"/>
  <c r="F23" i="9"/>
  <c r="V23" i="9"/>
  <c r="F21" i="9"/>
  <c r="V21" i="9"/>
  <c r="F20" i="9"/>
  <c r="V20" i="9"/>
  <c r="F19" i="9"/>
  <c r="V19" i="9"/>
  <c r="F18" i="9"/>
  <c r="V18" i="9"/>
  <c r="V17" i="9"/>
  <c r="F17" i="9"/>
  <c r="V16" i="9"/>
  <c r="F16" i="9"/>
  <c r="V15" i="9"/>
  <c r="F15" i="9"/>
  <c r="V14" i="9"/>
  <c r="F14" i="9"/>
  <c r="V13" i="9"/>
  <c r="F13" i="9"/>
  <c r="V12" i="9"/>
  <c r="F12" i="9"/>
  <c r="F27" i="9"/>
  <c r="V27" i="9"/>
  <c r="F26" i="9"/>
  <c r="V26" i="9"/>
  <c r="F25" i="9"/>
  <c r="V25" i="9"/>
  <c r="I24" i="9"/>
  <c r="K24" i="9"/>
  <c r="I20" i="9"/>
  <c r="K20" i="9"/>
  <c r="I27" i="9"/>
  <c r="K27" i="9"/>
  <c r="I23" i="9"/>
  <c r="K23" i="9"/>
  <c r="I19" i="9"/>
  <c r="K19" i="9"/>
  <c r="I26" i="9"/>
  <c r="K26" i="9"/>
  <c r="I22" i="9"/>
  <c r="K22" i="9"/>
  <c r="I18" i="9"/>
  <c r="K18" i="9"/>
  <c r="K25" i="9"/>
  <c r="I25" i="9"/>
  <c r="K21" i="9"/>
  <c r="I21" i="9"/>
  <c r="AT27" i="9"/>
  <c r="AR27" i="9"/>
  <c r="H27" i="9"/>
  <c r="AT23" i="9"/>
  <c r="H23" i="9"/>
  <c r="AR23" i="9"/>
  <c r="AT19" i="9"/>
  <c r="AR19" i="9"/>
  <c r="H19" i="9"/>
  <c r="AT26" i="9"/>
  <c r="H26" i="9"/>
  <c r="AR26" i="9"/>
  <c r="AR22" i="9"/>
  <c r="H22" i="9"/>
  <c r="AT22" i="9"/>
  <c r="AT18" i="9"/>
  <c r="H18" i="9"/>
  <c r="AR18" i="9"/>
  <c r="H25" i="9"/>
  <c r="AR25" i="9"/>
  <c r="AT25" i="9"/>
  <c r="H21" i="9"/>
  <c r="AT21" i="9"/>
  <c r="AR21" i="9"/>
  <c r="AR24" i="9"/>
  <c r="AT24" i="9"/>
  <c r="H24" i="9"/>
  <c r="AR20" i="9"/>
  <c r="H20" i="9"/>
  <c r="AT20" i="9"/>
  <c r="Z27" i="9"/>
  <c r="AC27" i="9"/>
  <c r="Z24" i="9"/>
  <c r="AC24" i="9"/>
  <c r="Z19" i="9"/>
  <c r="AC19" i="9"/>
  <c r="Z20" i="9"/>
  <c r="AC20" i="9"/>
  <c r="Z23" i="9"/>
  <c r="AC23" i="9"/>
  <c r="Z26" i="9"/>
  <c r="AC26" i="9"/>
  <c r="Z22" i="9"/>
  <c r="AC22" i="9"/>
  <c r="Z18" i="9"/>
  <c r="AC18" i="9"/>
  <c r="Z25" i="9"/>
  <c r="AC25" i="9"/>
  <c r="Z21" i="9"/>
  <c r="AC21" i="9"/>
  <c r="AP24" i="9"/>
  <c r="AZ24" i="9"/>
  <c r="C24" i="9"/>
  <c r="E24" i="9"/>
  <c r="G24" i="9"/>
  <c r="BA24" i="9"/>
  <c r="AY24" i="9"/>
  <c r="AX24" i="9"/>
  <c r="D24" i="9"/>
  <c r="AP20" i="9"/>
  <c r="AZ20" i="9"/>
  <c r="C20" i="9"/>
  <c r="E20" i="9"/>
  <c r="G20" i="9"/>
  <c r="BA20" i="9"/>
  <c r="AY20" i="9"/>
  <c r="AX20" i="9"/>
  <c r="D20" i="9"/>
  <c r="AP27" i="9"/>
  <c r="AZ27" i="9"/>
  <c r="C27" i="9"/>
  <c r="E27" i="9"/>
  <c r="G27" i="9"/>
  <c r="BA27" i="9"/>
  <c r="AY27" i="9"/>
  <c r="AX27" i="9"/>
  <c r="D27" i="9"/>
  <c r="AP23" i="9"/>
  <c r="AZ23" i="9"/>
  <c r="C23" i="9"/>
  <c r="E23" i="9"/>
  <c r="BA23" i="9"/>
  <c r="G23" i="9"/>
  <c r="AY23" i="9"/>
  <c r="AX23" i="9"/>
  <c r="D23" i="9"/>
  <c r="AP26" i="9"/>
  <c r="AZ26" i="9"/>
  <c r="C26" i="9"/>
  <c r="E26" i="9"/>
  <c r="BA26" i="9"/>
  <c r="G26" i="9"/>
  <c r="AY26" i="9"/>
  <c r="AX26" i="9"/>
  <c r="D26" i="9"/>
  <c r="AP22" i="9"/>
  <c r="AZ22" i="9"/>
  <c r="C22" i="9"/>
  <c r="E22" i="9"/>
  <c r="BA22" i="9"/>
  <c r="G22" i="9"/>
  <c r="AY22" i="9"/>
  <c r="AX22" i="9"/>
  <c r="D22" i="9"/>
  <c r="AP25" i="9"/>
  <c r="AZ25" i="9"/>
  <c r="C25" i="9"/>
  <c r="E25" i="9"/>
  <c r="BA25" i="9"/>
  <c r="G25" i="9"/>
  <c r="AY25" i="9"/>
  <c r="AX25" i="9"/>
  <c r="D25" i="9"/>
  <c r="AP21" i="9"/>
  <c r="AZ21" i="9"/>
  <c r="C21" i="9"/>
  <c r="E21" i="9"/>
  <c r="BA21" i="9"/>
  <c r="G21" i="9"/>
  <c r="AY21" i="9"/>
  <c r="AX21" i="9"/>
  <c r="D21" i="9"/>
  <c r="P20" i="9"/>
  <c r="P23" i="9"/>
  <c r="P24" i="9"/>
  <c r="P27" i="9"/>
  <c r="P26" i="9"/>
  <c r="P22" i="9"/>
  <c r="P25" i="9"/>
  <c r="P21" i="9"/>
  <c r="AW26" i="9"/>
  <c r="BB26" i="9"/>
  <c r="AV26" i="9"/>
  <c r="O26" i="9"/>
  <c r="AW22" i="9"/>
  <c r="AV22" i="9"/>
  <c r="BB22" i="9"/>
  <c r="O22" i="9"/>
  <c r="BB25" i="9"/>
  <c r="AV25" i="9"/>
  <c r="AW25" i="9"/>
  <c r="O25" i="9"/>
  <c r="BB21" i="9"/>
  <c r="AV21" i="9"/>
  <c r="AW21" i="9"/>
  <c r="O21" i="9"/>
  <c r="BB24" i="9"/>
  <c r="AV24" i="9"/>
  <c r="AW24" i="9"/>
  <c r="O24" i="9"/>
  <c r="BB20" i="9"/>
  <c r="AV20" i="9"/>
  <c r="AW20" i="9"/>
  <c r="O20" i="9"/>
  <c r="AV27" i="9"/>
  <c r="AW27" i="9"/>
  <c r="BB27" i="9"/>
  <c r="O27" i="9"/>
  <c r="AV23" i="9"/>
  <c r="AW23" i="9"/>
  <c r="BB23" i="9"/>
  <c r="O23" i="9"/>
  <c r="N25" i="9"/>
  <c r="L25" i="9"/>
  <c r="M25" i="9"/>
  <c r="J25" i="9"/>
  <c r="L17" i="9"/>
  <c r="L24" i="9"/>
  <c r="M24" i="9"/>
  <c r="N24" i="9"/>
  <c r="J24" i="9"/>
  <c r="L20" i="9"/>
  <c r="M20" i="9"/>
  <c r="N20" i="9"/>
  <c r="J20" i="9"/>
  <c r="L16" i="9"/>
  <c r="N27" i="9"/>
  <c r="L27" i="9"/>
  <c r="M27" i="9"/>
  <c r="J27" i="9"/>
  <c r="N23" i="9"/>
  <c r="L23" i="9"/>
  <c r="M23" i="9"/>
  <c r="J23" i="9"/>
  <c r="L19" i="9"/>
  <c r="L15" i="9"/>
  <c r="L26" i="9"/>
  <c r="N26" i="9"/>
  <c r="M26" i="9"/>
  <c r="J26" i="9"/>
  <c r="L22" i="9"/>
  <c r="N22" i="9"/>
  <c r="M22" i="9"/>
  <c r="J22" i="9"/>
  <c r="L18" i="9"/>
  <c r="L14" i="9"/>
  <c r="L10" i="9"/>
  <c r="N21" i="9"/>
  <c r="L21" i="9"/>
  <c r="M21" i="9"/>
  <c r="J21" i="9"/>
  <c r="L13" i="9"/>
  <c r="L9" i="9"/>
  <c r="L12" i="9"/>
  <c r="L11" i="9"/>
  <c r="X27" i="9"/>
  <c r="X23" i="9"/>
  <c r="X26" i="9"/>
  <c r="X25" i="9"/>
  <c r="X22" i="9"/>
  <c r="X21" i="9"/>
  <c r="X24" i="9"/>
  <c r="X20" i="9"/>
  <c r="B26" i="9"/>
  <c r="B18" i="9"/>
  <c r="B14" i="9"/>
  <c r="C14" i="9" s="1"/>
  <c r="B22" i="9"/>
  <c r="B21" i="9"/>
  <c r="B17" i="9"/>
  <c r="B13" i="9"/>
  <c r="B11" i="9"/>
  <c r="C11" i="9" s="1"/>
  <c r="V11" i="9" s="1"/>
  <c r="B9" i="9"/>
  <c r="B10" i="9"/>
  <c r="C10" i="9" s="1"/>
  <c r="B23" i="9"/>
  <c r="B16" i="9"/>
  <c r="C16" i="9" s="1"/>
  <c r="B15" i="9"/>
  <c r="B25" i="9"/>
  <c r="B27" i="9"/>
  <c r="B20" i="9"/>
  <c r="B19" i="9"/>
  <c r="C19" i="9" s="1"/>
  <c r="B24" i="9"/>
  <c r="B12" i="9"/>
  <c r="C12" i="9" s="1"/>
  <c r="AO7" i="9"/>
  <c r="AN7" i="9"/>
  <c r="AM7" i="9"/>
  <c r="AL7" i="9"/>
  <c r="AK7" i="9"/>
  <c r="AJ7" i="9"/>
  <c r="AI7" i="9"/>
  <c r="AH7" i="9"/>
  <c r="AG7" i="9"/>
  <c r="AF7" i="9"/>
  <c r="AE7" i="9"/>
  <c r="AD7" i="9"/>
  <c r="V10" i="9" l="1"/>
  <c r="E10" i="9"/>
  <c r="E11" i="9"/>
  <c r="E14" i="9"/>
  <c r="E19" i="9"/>
  <c r="D19" i="9"/>
  <c r="C18" i="9"/>
  <c r="D18" i="9" s="1"/>
  <c r="C17" i="9"/>
  <c r="E16" i="9"/>
  <c r="D16" i="9"/>
  <c r="Z16" i="9" s="1"/>
  <c r="C15" i="9"/>
  <c r="D14" i="9"/>
  <c r="X14" i="9" s="1"/>
  <c r="C13" i="9"/>
  <c r="C9" i="9"/>
  <c r="E12" i="9"/>
  <c r="E9" i="9" l="1"/>
  <c r="V9" i="9"/>
  <c r="D17" i="9"/>
  <c r="Z17" i="9"/>
  <c r="G14" i="9"/>
  <c r="Z14" i="9"/>
  <c r="E13" i="9"/>
  <c r="X19" i="9"/>
  <c r="M19" i="9"/>
  <c r="J19" i="9"/>
  <c r="E18" i="9"/>
  <c r="E17" i="9"/>
  <c r="J16" i="9"/>
  <c r="E15" i="9"/>
  <c r="D15" i="9"/>
  <c r="J14" i="9"/>
  <c r="J13" i="9"/>
  <c r="D13" i="9"/>
  <c r="X13" i="9" s="1"/>
  <c r="D10" i="9"/>
  <c r="D11" i="9"/>
  <c r="Z11" i="9" s="1"/>
  <c r="F11" i="9" s="1"/>
  <c r="D9" i="9"/>
  <c r="X9" i="9" s="1"/>
  <c r="D12" i="9"/>
  <c r="Z12" i="9" s="1"/>
  <c r="X16" i="9"/>
  <c r="AC16" i="9" s="1"/>
  <c r="X18" i="9"/>
  <c r="A8" i="9"/>
  <c r="AZ14" i="9" l="1"/>
  <c r="K14" i="9"/>
  <c r="I14" i="9"/>
  <c r="AC14" i="9"/>
  <c r="Z10" i="9"/>
  <c r="F10" i="9" s="1"/>
  <c r="J10" i="9"/>
  <c r="G9" i="9"/>
  <c r="Z9" i="9"/>
  <c r="F9" i="9" s="1"/>
  <c r="Z15" i="9"/>
  <c r="Z13" i="9"/>
  <c r="G19" i="9"/>
  <c r="AZ19" i="9" s="1"/>
  <c r="P19" i="9"/>
  <c r="BB19" i="9" s="1"/>
  <c r="N19" i="9"/>
  <c r="AP19" i="9" s="1"/>
  <c r="G18" i="9"/>
  <c r="AZ18" i="9" s="1"/>
  <c r="J18" i="9"/>
  <c r="M18" i="9"/>
  <c r="J17" i="9"/>
  <c r="G16" i="9"/>
  <c r="J15" i="9"/>
  <c r="G13" i="9"/>
  <c r="X10" i="9"/>
  <c r="G10" i="9" s="1"/>
  <c r="J11" i="9"/>
  <c r="J9" i="9"/>
  <c r="J12" i="9"/>
  <c r="L8" i="9"/>
  <c r="X12" i="9"/>
  <c r="AC12" i="9" s="1"/>
  <c r="X11" i="9"/>
  <c r="G11" i="9" s="1"/>
  <c r="X15" i="9"/>
  <c r="X17" i="9"/>
  <c r="AC17" i="9" s="1"/>
  <c r="B8" i="9"/>
  <c r="AC11" i="9" l="1"/>
  <c r="AC15" i="9"/>
  <c r="AC13" i="9"/>
  <c r="K10" i="9"/>
  <c r="I10" i="9"/>
  <c r="M10" i="9" s="1"/>
  <c r="AC10" i="9"/>
  <c r="AC9" i="9"/>
  <c r="AZ9" i="9"/>
  <c r="K9" i="9"/>
  <c r="AZ16" i="9"/>
  <c r="K16" i="9"/>
  <c r="AZ13" i="9"/>
  <c r="K13" i="9"/>
  <c r="AV19" i="9"/>
  <c r="AX19" i="9" s="1"/>
  <c r="O19" i="9"/>
  <c r="AY19" i="9" s="1"/>
  <c r="N18" i="9"/>
  <c r="AP18" i="9" s="1"/>
  <c r="P18" i="9"/>
  <c r="BB18" i="9" s="1"/>
  <c r="G17" i="9"/>
  <c r="G15" i="9"/>
  <c r="C8" i="9"/>
  <c r="AZ10" i="9"/>
  <c r="G12" i="9"/>
  <c r="C7" i="7"/>
  <c r="B7" i="7"/>
  <c r="E8" i="9" l="1"/>
  <c r="V8" i="9"/>
  <c r="I16" i="9"/>
  <c r="AZ17" i="9"/>
  <c r="K17" i="9"/>
  <c r="I17" i="9"/>
  <c r="P17" i="9" s="1"/>
  <c r="BB17" i="9" s="1"/>
  <c r="I13" i="9"/>
  <c r="I9" i="9"/>
  <c r="M9" i="9" s="1"/>
  <c r="AZ12" i="9"/>
  <c r="I11" i="9"/>
  <c r="P10" i="9"/>
  <c r="BB10" i="9" s="1"/>
  <c r="P14" i="9"/>
  <c r="BB14" i="9" s="1"/>
  <c r="M14" i="9"/>
  <c r="M13" i="9"/>
  <c r="AZ15" i="9"/>
  <c r="K15" i="9"/>
  <c r="O18" i="9"/>
  <c r="AV18" i="9"/>
  <c r="AX18" i="9" s="1"/>
  <c r="AW19" i="9"/>
  <c r="BA19" i="9"/>
  <c r="AY18" i="9"/>
  <c r="BA18" i="9"/>
  <c r="AW18" i="9"/>
  <c r="AZ11" i="9"/>
  <c r="K12" i="9"/>
  <c r="D8" i="9"/>
  <c r="Z8" i="9" s="1"/>
  <c r="F8" i="9" s="1"/>
  <c r="I15" i="9" l="1"/>
  <c r="M15" i="9" s="1"/>
  <c r="M17" i="9"/>
  <c r="N17" i="9"/>
  <c r="M16" i="9"/>
  <c r="N16" i="9"/>
  <c r="P16" i="9"/>
  <c r="BB16" i="9" s="1"/>
  <c r="N13" i="9"/>
  <c r="AP13" i="9" s="1"/>
  <c r="P9" i="9"/>
  <c r="BB9" i="9" s="1"/>
  <c r="N9" i="9"/>
  <c r="AP9" i="9" s="1"/>
  <c r="I12" i="9"/>
  <c r="M12" i="9" s="1"/>
  <c r="K11" i="9"/>
  <c r="X8" i="9"/>
  <c r="N14" i="9"/>
  <c r="O14" i="9" s="1"/>
  <c r="H14" i="9" s="1"/>
  <c r="P13" i="9"/>
  <c r="BB13" i="9" s="1"/>
  <c r="N10" i="9"/>
  <c r="J8" i="9"/>
  <c r="E33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11" i="7"/>
  <c r="E12" i="7"/>
  <c r="AV13" i="9" l="1"/>
  <c r="AX13" i="9" s="1"/>
  <c r="O16" i="9"/>
  <c r="BA16" i="9" s="1"/>
  <c r="AR14" i="9"/>
  <c r="AT14" i="9"/>
  <c r="AP17" i="9"/>
  <c r="AV17" i="9"/>
  <c r="AX17" i="9" s="1"/>
  <c r="N15" i="9"/>
  <c r="AP15" i="9" s="1"/>
  <c r="AP16" i="9"/>
  <c r="AV16" i="9"/>
  <c r="AX16" i="9" s="1"/>
  <c r="O17" i="9"/>
  <c r="AY17" i="9" s="1"/>
  <c r="O9" i="9"/>
  <c r="AV9" i="9"/>
  <c r="AX9" i="9" s="1"/>
  <c r="AC8" i="9"/>
  <c r="AP10" i="9"/>
  <c r="O10" i="9"/>
  <c r="H10" i="9" s="1"/>
  <c r="G8" i="9"/>
  <c r="AY14" i="9"/>
  <c r="AW14" i="9"/>
  <c r="BA14" i="9"/>
  <c r="AP14" i="9"/>
  <c r="AV14" i="9"/>
  <c r="AX14" i="9" s="1"/>
  <c r="O13" i="9"/>
  <c r="H13" i="9" s="1"/>
  <c r="AV10" i="9"/>
  <c r="AX10" i="9" s="1"/>
  <c r="P12" i="9"/>
  <c r="BB12" i="9" s="1"/>
  <c r="N12" i="9"/>
  <c r="AP12" i="9" s="1"/>
  <c r="B3" i="6"/>
  <c r="A5" i="10" s="1"/>
  <c r="B15" i="6"/>
  <c r="B19" i="6"/>
  <c r="B23" i="6"/>
  <c r="B27" i="6"/>
  <c r="B31" i="6"/>
  <c r="B12" i="6"/>
  <c r="B16" i="6"/>
  <c r="B20" i="6"/>
  <c r="B24" i="6"/>
  <c r="B28" i="6"/>
  <c r="B32" i="6"/>
  <c r="B13" i="6"/>
  <c r="B17" i="6"/>
  <c r="B21" i="6"/>
  <c r="B25" i="6"/>
  <c r="B29" i="6"/>
  <c r="B33" i="6"/>
  <c r="B11" i="6"/>
  <c r="B18" i="6"/>
  <c r="B22" i="6"/>
  <c r="B26" i="6"/>
  <c r="B30" i="6"/>
  <c r="B34" i="6"/>
  <c r="B8" i="10"/>
  <c r="A3" i="7"/>
  <c r="H9" i="9" l="1"/>
  <c r="AR9" i="9" s="1"/>
  <c r="AY9" i="9"/>
  <c r="BA9" i="9"/>
  <c r="O15" i="9"/>
  <c r="H15" i="9" s="1"/>
  <c r="AW16" i="9"/>
  <c r="H16" i="9"/>
  <c r="AT16" i="9" s="1"/>
  <c r="AV15" i="9"/>
  <c r="AX15" i="9" s="1"/>
  <c r="AY16" i="9"/>
  <c r="AT15" i="9"/>
  <c r="AR15" i="9"/>
  <c r="BA17" i="9"/>
  <c r="AW17" i="9"/>
  <c r="H17" i="9"/>
  <c r="AT13" i="9"/>
  <c r="AR13" i="9"/>
  <c r="AW9" i="9"/>
  <c r="I8" i="9"/>
  <c r="K8" i="9"/>
  <c r="AZ8" i="9"/>
  <c r="AR10" i="9"/>
  <c r="AT10" i="9"/>
  <c r="BA10" i="9"/>
  <c r="AY10" i="9"/>
  <c r="P15" i="9"/>
  <c r="BB15" i="9" s="1"/>
  <c r="AY15" i="9"/>
  <c r="BA15" i="9"/>
  <c r="AW15" i="9"/>
  <c r="AY13" i="9"/>
  <c r="BA13" i="9"/>
  <c r="AW13" i="9"/>
  <c r="AW10" i="9"/>
  <c r="AV12" i="9"/>
  <c r="AX12" i="9" s="1"/>
  <c r="O12" i="9"/>
  <c r="H12" i="9" s="1"/>
  <c r="A3" i="6"/>
  <c r="A35" i="6"/>
  <c r="AT9" i="9" l="1"/>
  <c r="C13" i="6"/>
  <c r="C11" i="6"/>
  <c r="C14" i="6"/>
  <c r="K14" i="6" s="1"/>
  <c r="C18" i="6"/>
  <c r="C22" i="6"/>
  <c r="C26" i="6"/>
  <c r="C30" i="6"/>
  <c r="C34" i="6"/>
  <c r="C15" i="6"/>
  <c r="C19" i="6"/>
  <c r="C23" i="6"/>
  <c r="C27" i="6"/>
  <c r="C31" i="6"/>
  <c r="C16" i="6"/>
  <c r="F16" i="6" s="1"/>
  <c r="C20" i="6"/>
  <c r="C24" i="6"/>
  <c r="C28" i="6"/>
  <c r="C32" i="6"/>
  <c r="C17" i="6"/>
  <c r="F17" i="6" s="1"/>
  <c r="C21" i="6"/>
  <c r="C25" i="6"/>
  <c r="C29" i="6"/>
  <c r="C33" i="6"/>
  <c r="C5" i="6"/>
  <c r="K11" i="6" s="1"/>
  <c r="C12" i="6"/>
  <c r="K12" i="6" s="1"/>
  <c r="AR16" i="9"/>
  <c r="AR17" i="9"/>
  <c r="AT17" i="9"/>
  <c r="M8" i="9"/>
  <c r="N8" i="9" s="1"/>
  <c r="P8" i="9"/>
  <c r="BB8" i="9" s="1"/>
  <c r="AT12" i="9"/>
  <c r="AR12" i="9"/>
  <c r="AW12" i="9"/>
  <c r="AY12" i="9"/>
  <c r="BA12" i="9"/>
  <c r="B5" i="6"/>
  <c r="B35" i="6"/>
  <c r="C35" i="6" s="1"/>
  <c r="K27" i="6" l="1"/>
  <c r="F27" i="6"/>
  <c r="K33" i="6"/>
  <c r="F33" i="6"/>
  <c r="M33" i="6" s="1"/>
  <c r="K20" i="6"/>
  <c r="F20" i="6"/>
  <c r="M20" i="6" s="1"/>
  <c r="K23" i="6"/>
  <c r="F23" i="6"/>
  <c r="M23" i="6" s="1"/>
  <c r="K30" i="6"/>
  <c r="F30" i="6"/>
  <c r="M30" i="6" s="1"/>
  <c r="K24" i="6"/>
  <c r="F24" i="6"/>
  <c r="M24" i="6" s="1"/>
  <c r="K18" i="6"/>
  <c r="F18" i="6"/>
  <c r="M18" i="6" s="1"/>
  <c r="K29" i="6"/>
  <c r="F29" i="6"/>
  <c r="M29" i="6" s="1"/>
  <c r="K19" i="6"/>
  <c r="F19" i="6"/>
  <c r="M19" i="6" s="1"/>
  <c r="K26" i="6"/>
  <c r="F26" i="6"/>
  <c r="M26" i="6" s="1"/>
  <c r="K21" i="6"/>
  <c r="F21" i="6"/>
  <c r="M21" i="6" s="1"/>
  <c r="K32" i="6"/>
  <c r="F32" i="6"/>
  <c r="M32" i="6" s="1"/>
  <c r="K25" i="6"/>
  <c r="F25" i="6"/>
  <c r="M25" i="6" s="1"/>
  <c r="K28" i="6"/>
  <c r="F28" i="6"/>
  <c r="M28" i="6" s="1"/>
  <c r="K31" i="6"/>
  <c r="F31" i="6"/>
  <c r="M31" i="6" s="1"/>
  <c r="K22" i="6"/>
  <c r="F22" i="6"/>
  <c r="M22" i="6" s="1"/>
  <c r="K17" i="6"/>
  <c r="K15" i="6"/>
  <c r="F15" i="6"/>
  <c r="M15" i="6" s="1"/>
  <c r="K16" i="6"/>
  <c r="M16" i="6"/>
  <c r="K13" i="6"/>
  <c r="D34" i="6"/>
  <c r="F34" i="6"/>
  <c r="M34" i="6" s="1"/>
  <c r="E34" i="6"/>
  <c r="E24" i="6"/>
  <c r="D24" i="6"/>
  <c r="E27" i="6"/>
  <c r="D27" i="6"/>
  <c r="M27" i="6"/>
  <c r="E18" i="6"/>
  <c r="D18" i="6"/>
  <c r="E33" i="6"/>
  <c r="D33" i="6"/>
  <c r="E20" i="6"/>
  <c r="D20" i="6"/>
  <c r="E23" i="6"/>
  <c r="D23" i="6"/>
  <c r="E30" i="6"/>
  <c r="D30" i="6"/>
  <c r="F14" i="6"/>
  <c r="M14" i="6" s="1"/>
  <c r="E14" i="6"/>
  <c r="D14" i="6"/>
  <c r="E29" i="6"/>
  <c r="D29" i="6"/>
  <c r="E32" i="6"/>
  <c r="D32" i="6"/>
  <c r="E16" i="6"/>
  <c r="D16" i="6"/>
  <c r="E19" i="6"/>
  <c r="D19" i="6"/>
  <c r="E26" i="6"/>
  <c r="D26" i="6"/>
  <c r="E21" i="6"/>
  <c r="D21" i="6"/>
  <c r="M17" i="6"/>
  <c r="E17" i="6"/>
  <c r="D17" i="6"/>
  <c r="E25" i="6"/>
  <c r="D25" i="6"/>
  <c r="D28" i="6"/>
  <c r="E28" i="6"/>
  <c r="E31" i="6"/>
  <c r="D31" i="6"/>
  <c r="E15" i="6"/>
  <c r="D15" i="6"/>
  <c r="D22" i="6"/>
  <c r="E22" i="6"/>
  <c r="E12" i="6"/>
  <c r="D12" i="6"/>
  <c r="F12" i="6"/>
  <c r="M12" i="6" s="1"/>
  <c r="F11" i="6"/>
  <c r="M11" i="6" s="1"/>
  <c r="H8" i="10" s="1"/>
  <c r="D13" i="6"/>
  <c r="E13" i="6"/>
  <c r="AP8" i="9"/>
  <c r="AV8" i="9"/>
  <c r="AX8" i="9" s="1"/>
  <c r="O8" i="9"/>
  <c r="BA8" i="9" s="1"/>
  <c r="A5" i="7"/>
  <c r="AY8" i="9" l="1"/>
  <c r="F13" i="6"/>
  <c r="M13" i="6" s="1"/>
  <c r="H8" i="9"/>
  <c r="AW8" i="9"/>
  <c r="B14" i="7"/>
  <c r="B18" i="7"/>
  <c r="B22" i="7"/>
  <c r="B26" i="7"/>
  <c r="B30" i="7"/>
  <c r="B13" i="7"/>
  <c r="B15" i="7"/>
  <c r="B19" i="7"/>
  <c r="B23" i="7"/>
  <c r="B27" i="7"/>
  <c r="B31" i="7"/>
  <c r="B20" i="7"/>
  <c r="B24" i="7"/>
  <c r="B28" i="7"/>
  <c r="B11" i="7"/>
  <c r="B25" i="7"/>
  <c r="B12" i="7"/>
  <c r="B16" i="7"/>
  <c r="B32" i="7"/>
  <c r="B17" i="7"/>
  <c r="B21" i="7"/>
  <c r="B29" i="7"/>
  <c r="B33" i="7"/>
  <c r="B3" i="7"/>
  <c r="B5" i="7" l="1"/>
  <c r="AT8" i="9"/>
  <c r="AR8" i="9"/>
  <c r="A34" i="7" l="1"/>
  <c r="A35" i="7" s="1"/>
  <c r="B35" i="7" s="1"/>
  <c r="D34" i="7"/>
  <c r="H11" i="7"/>
  <c r="F13" i="7"/>
  <c r="N13" i="7" s="1"/>
  <c r="F17" i="7"/>
  <c r="N17" i="7" s="1"/>
  <c r="F21" i="7"/>
  <c r="N21" i="7" s="1"/>
  <c r="F25" i="7"/>
  <c r="N25" i="7" s="1"/>
  <c r="F29" i="7"/>
  <c r="N29" i="7" s="1"/>
  <c r="F33" i="7"/>
  <c r="F14" i="7"/>
  <c r="N14" i="7" s="1"/>
  <c r="F18" i="7"/>
  <c r="N18" i="7" s="1"/>
  <c r="F22" i="7"/>
  <c r="N22" i="7" s="1"/>
  <c r="F26" i="7"/>
  <c r="N26" i="7" s="1"/>
  <c r="F30" i="7"/>
  <c r="N30" i="7" s="1"/>
  <c r="F15" i="7"/>
  <c r="N15" i="7" s="1"/>
  <c r="F19" i="7"/>
  <c r="N19" i="7" s="1"/>
  <c r="F23" i="7"/>
  <c r="N23" i="7" s="1"/>
  <c r="F27" i="7"/>
  <c r="N27" i="7" s="1"/>
  <c r="F31" i="7"/>
  <c r="N31" i="7" s="1"/>
  <c r="F16" i="7"/>
  <c r="N16" i="7" s="1"/>
  <c r="F20" i="7"/>
  <c r="N20" i="7" s="1"/>
  <c r="F24" i="7"/>
  <c r="N24" i="7" s="1"/>
  <c r="F28" i="7"/>
  <c r="N28" i="7" s="1"/>
  <c r="F32" i="7"/>
  <c r="N32" i="7" s="1"/>
  <c r="F12" i="7"/>
  <c r="F11" i="7"/>
  <c r="C11" i="7"/>
  <c r="C13" i="7"/>
  <c r="C17" i="7"/>
  <c r="C21" i="7"/>
  <c r="C25" i="7"/>
  <c r="C29" i="7"/>
  <c r="C33" i="7"/>
  <c r="C19" i="7"/>
  <c r="C27" i="7"/>
  <c r="C16" i="7"/>
  <c r="C24" i="7"/>
  <c r="I24" i="7" s="1"/>
  <c r="C32" i="7"/>
  <c r="C14" i="7"/>
  <c r="C18" i="7"/>
  <c r="C22" i="7"/>
  <c r="C26" i="7"/>
  <c r="C30" i="7"/>
  <c r="C15" i="7"/>
  <c r="I15" i="7" s="1"/>
  <c r="C23" i="7"/>
  <c r="C31" i="7"/>
  <c r="C20" i="7"/>
  <c r="C28" i="7"/>
  <c r="C12" i="7"/>
  <c r="C5" i="7"/>
  <c r="H28" i="7" l="1"/>
  <c r="I28" i="7"/>
  <c r="H18" i="7"/>
  <c r="I18" i="7"/>
  <c r="H29" i="7"/>
  <c r="I29" i="7"/>
  <c r="H30" i="7"/>
  <c r="I30" i="7"/>
  <c r="H27" i="7"/>
  <c r="I27" i="7"/>
  <c r="H31" i="7"/>
  <c r="I31" i="7"/>
  <c r="H26" i="7"/>
  <c r="I26" i="7"/>
  <c r="H32" i="7"/>
  <c r="I32" i="7"/>
  <c r="H19" i="7"/>
  <c r="I19" i="7"/>
  <c r="H21" i="7"/>
  <c r="I21" i="7"/>
  <c r="H16" i="7"/>
  <c r="I16" i="7"/>
  <c r="H20" i="7"/>
  <c r="I20" i="7"/>
  <c r="H25" i="7"/>
  <c r="I25" i="7"/>
  <c r="H23" i="7"/>
  <c r="I23" i="7"/>
  <c r="H22" i="7"/>
  <c r="I22" i="7"/>
  <c r="H17" i="7"/>
  <c r="I17" i="7"/>
  <c r="H14" i="7"/>
  <c r="I14" i="7"/>
  <c r="N11" i="7"/>
  <c r="I11" i="7"/>
  <c r="L12" i="7"/>
  <c r="N12" i="7"/>
  <c r="J20" i="7"/>
  <c r="L20" i="7"/>
  <c r="J23" i="7"/>
  <c r="L23" i="7"/>
  <c r="J26" i="7"/>
  <c r="L26" i="7"/>
  <c r="J17" i="7"/>
  <c r="L17" i="7"/>
  <c r="J32" i="7"/>
  <c r="L32" i="7"/>
  <c r="J19" i="7"/>
  <c r="L19" i="7"/>
  <c r="J22" i="7"/>
  <c r="L22" i="7"/>
  <c r="J29" i="7"/>
  <c r="L29" i="7"/>
  <c r="J13" i="7"/>
  <c r="L13" i="7"/>
  <c r="J28" i="7"/>
  <c r="L28" i="7"/>
  <c r="J31" i="7"/>
  <c r="L31" i="7"/>
  <c r="J15" i="7"/>
  <c r="L15" i="7"/>
  <c r="J18" i="7"/>
  <c r="L18" i="7"/>
  <c r="J25" i="7"/>
  <c r="L25" i="7"/>
  <c r="J16" i="7"/>
  <c r="L16" i="7"/>
  <c r="J24" i="7"/>
  <c r="L24" i="7"/>
  <c r="J27" i="7"/>
  <c r="L27" i="7"/>
  <c r="J30" i="7"/>
  <c r="L30" i="7"/>
  <c r="J14" i="7"/>
  <c r="L14" i="7"/>
  <c r="J21" i="7"/>
  <c r="L21" i="7"/>
  <c r="H24" i="7"/>
  <c r="H15" i="7"/>
  <c r="I13" i="7"/>
  <c r="H13" i="7"/>
  <c r="I12" i="7"/>
  <c r="H12" i="7"/>
  <c r="J12" i="7"/>
  <c r="G24" i="7"/>
  <c r="G15" i="7"/>
  <c r="G13" i="7"/>
  <c r="G12" i="7"/>
  <c r="G23" i="7"/>
  <c r="G22" i="7"/>
  <c r="G17" i="7"/>
  <c r="G18" i="7"/>
  <c r="G16" i="7"/>
  <c r="G29" i="7"/>
  <c r="G20" i="7"/>
  <c r="G14" i="7"/>
  <c r="G27" i="7"/>
  <c r="G25" i="7"/>
  <c r="G28" i="7"/>
  <c r="G30" i="7"/>
  <c r="G31" i="7"/>
  <c r="G26" i="7"/>
  <c r="G32" i="7"/>
  <c r="G19" i="7"/>
  <c r="G21" i="7"/>
  <c r="B34" i="7"/>
  <c r="C34" i="7" s="1"/>
  <c r="H33" i="7" s="1"/>
  <c r="L11" i="7"/>
  <c r="E34" i="7"/>
  <c r="F34" i="7" s="1"/>
  <c r="D35" i="7"/>
  <c r="E35" i="7" s="1"/>
  <c r="I33" i="7" l="1"/>
  <c r="I34" i="7" s="1"/>
  <c r="G33" i="7"/>
  <c r="J33" i="7"/>
  <c r="L33" i="7"/>
  <c r="N33" i="7"/>
  <c r="N34" i="7" s="1"/>
  <c r="A36" i="6"/>
  <c r="B36" i="6" s="1"/>
  <c r="K34" i="6" s="1"/>
  <c r="P34" i="7" l="1"/>
  <c r="B16" i="10"/>
  <c r="B18" i="10"/>
  <c r="B15" i="10"/>
  <c r="B20" i="10"/>
  <c r="B21" i="10"/>
  <c r="B22" i="10"/>
  <c r="B19" i="10"/>
  <c r="B24" i="10"/>
  <c r="B25" i="10"/>
  <c r="B26" i="10"/>
  <c r="B23" i="10"/>
  <c r="B17" i="10"/>
  <c r="B12" i="10"/>
  <c r="B13" i="10"/>
  <c r="B14" i="10"/>
  <c r="B27" i="10"/>
  <c r="B11" i="10"/>
  <c r="B10" i="10"/>
  <c r="H17" i="10" l="1"/>
  <c r="H23" i="10"/>
  <c r="H25" i="10"/>
  <c r="H19" i="10"/>
  <c r="H21" i="10"/>
  <c r="H16" i="10"/>
  <c r="H14" i="10"/>
  <c r="H12" i="10"/>
  <c r="H15" i="10"/>
  <c r="H11" i="10"/>
  <c r="H22" i="10"/>
  <c r="H10" i="10"/>
  <c r="H27" i="10"/>
  <c r="H13" i="10"/>
  <c r="H26" i="10"/>
  <c r="H18" i="10"/>
  <c r="H24" i="10"/>
  <c r="H20" i="10"/>
  <c r="B9" i="10"/>
  <c r="H9" i="10" l="1"/>
  <c r="M35" i="6"/>
  <c r="D35" i="6" s="1"/>
  <c r="J28" i="10"/>
  <c r="P11" i="9" l="1"/>
  <c r="BB11" i="9" s="1"/>
  <c r="M11" i="9"/>
  <c r="N11" i="9" l="1"/>
  <c r="O11" i="9" s="1"/>
  <c r="BA11" i="9" s="1"/>
  <c r="H11" i="9" l="1"/>
  <c r="AV11" i="9"/>
  <c r="AX11" i="9" s="1"/>
  <c r="AP11" i="9"/>
  <c r="AW11" i="9"/>
  <c r="AY11" i="9"/>
  <c r="AT11" i="9" l="1"/>
  <c r="AR1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Park</author>
    <author>Windows XP</author>
    <author>사용자</author>
  </authors>
  <commentList>
    <comment ref="I2" authorId="0" shapeId="0" xr:uid="{00000000-0006-0000-0000-000001000000}">
      <text>
        <r>
          <rPr>
            <sz val="9"/>
            <color rgb="FF000000"/>
            <rFont val="돋움"/>
            <family val="2"/>
            <charset val="129"/>
          </rPr>
          <t xml:space="preserve">- </t>
        </r>
        <r>
          <rPr>
            <sz val="9"/>
            <color rgb="FF000000"/>
            <rFont val="돋움"/>
            <family val="2"/>
            <charset val="129"/>
          </rPr>
          <t>소속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회사에서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적용하는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기준대로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선택합니다</t>
        </r>
        <r>
          <rPr>
            <sz val="9"/>
            <color rgb="FF000000"/>
            <rFont val="돋움"/>
            <family val="2"/>
            <charset val="129"/>
          </rPr>
          <t xml:space="preserve">.
</t>
        </r>
        <r>
          <rPr>
            <sz val="9"/>
            <color rgb="FF000000"/>
            <rFont val="돋움"/>
            <family val="2"/>
            <charset val="129"/>
          </rPr>
          <t xml:space="preserve">- </t>
        </r>
        <r>
          <rPr>
            <sz val="9"/>
            <color rgb="FF000000"/>
            <rFont val="돋움"/>
            <family val="2"/>
            <charset val="129"/>
          </rPr>
          <t>잘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모를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경우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초기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설정</t>
        </r>
        <r>
          <rPr>
            <sz val="9"/>
            <color rgb="FF000000"/>
            <rFont val="돋움"/>
            <family val="2"/>
            <charset val="129"/>
          </rPr>
          <t>(</t>
        </r>
        <r>
          <rPr>
            <sz val="9"/>
            <color rgb="FF000000"/>
            <rFont val="돋움"/>
            <family val="2"/>
            <charset val="129"/>
          </rPr>
          <t>맨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위의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선택지</t>
        </r>
        <r>
          <rPr>
            <sz val="9"/>
            <color rgb="FF000000"/>
            <rFont val="돋움"/>
            <family val="2"/>
            <charset val="129"/>
          </rPr>
          <t>)</t>
        </r>
        <r>
          <rPr>
            <sz val="9"/>
            <color rgb="FF000000"/>
            <rFont val="돋움"/>
            <family val="2"/>
            <charset val="129"/>
          </rPr>
          <t>대로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놔두세요</t>
        </r>
        <r>
          <rPr>
            <sz val="9"/>
            <color rgb="FF000000"/>
            <rFont val="돋움"/>
            <family val="2"/>
            <charset val="129"/>
          </rPr>
          <t xml:space="preserve">.
</t>
        </r>
        <r>
          <rPr>
            <sz val="9"/>
            <color rgb="FF000000"/>
            <rFont val="돋움"/>
            <family val="2"/>
            <charset val="129"/>
          </rPr>
          <t xml:space="preserve">- </t>
        </r>
        <r>
          <rPr>
            <sz val="9"/>
            <color rgb="FF000000"/>
            <rFont val="돋움"/>
            <family val="2"/>
            <charset val="129"/>
          </rPr>
          <t>자세한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설명은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각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콤보박스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우측의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메모를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참고</t>
        </r>
      </text>
    </comment>
    <comment ref="N2" authorId="0" shapeId="0" xr:uid="{00000000-0006-0000-0000-000002000000}">
      <text>
        <r>
          <rPr>
            <sz val="9"/>
            <color rgb="FF000000"/>
            <rFont val="돋움"/>
            <family val="2"/>
            <charset val="129"/>
          </rPr>
          <t xml:space="preserve">- </t>
        </r>
        <r>
          <rPr>
            <sz val="9"/>
            <color rgb="FF000000"/>
            <rFont val="돋움"/>
            <family val="2"/>
            <charset val="129"/>
          </rPr>
          <t>연차발생일수에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소수점이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생길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때의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처리방법</t>
        </r>
        <r>
          <rPr>
            <sz val="9"/>
            <color rgb="FF000000"/>
            <rFont val="돋움"/>
            <family val="2"/>
            <charset val="129"/>
          </rPr>
          <t xml:space="preserve"> (2</t>
        </r>
        <r>
          <rPr>
            <sz val="9"/>
            <color rgb="FF000000"/>
            <rFont val="돋움"/>
            <family val="2"/>
            <charset val="129"/>
          </rPr>
          <t>년차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비례연차에만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발생</t>
        </r>
        <r>
          <rPr>
            <sz val="9"/>
            <color rgb="FF000000"/>
            <rFont val="돋움"/>
            <family val="2"/>
            <charset val="129"/>
          </rPr>
          <t xml:space="preserve">)
</t>
        </r>
        <r>
          <rPr>
            <sz val="9"/>
            <color rgb="FF000000"/>
            <rFont val="돋움"/>
            <family val="2"/>
            <charset val="129"/>
          </rPr>
          <t xml:space="preserve">1) </t>
        </r>
        <r>
          <rPr>
            <sz val="9"/>
            <color rgb="FF000000"/>
            <rFont val="돋움"/>
            <family val="2"/>
            <charset val="129"/>
          </rPr>
          <t>소수점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그대로</t>
        </r>
        <r>
          <rPr>
            <sz val="9"/>
            <color rgb="FF000000"/>
            <rFont val="돋움"/>
            <family val="2"/>
            <charset val="129"/>
          </rPr>
          <t xml:space="preserve"> : </t>
        </r>
        <r>
          <rPr>
            <sz val="9"/>
            <color rgb="FF000000"/>
            <rFont val="돋움"/>
            <family val="2"/>
            <charset val="129"/>
          </rPr>
          <t>법상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최소기준</t>
        </r>
        <r>
          <rPr>
            <sz val="9"/>
            <color rgb="FF000000"/>
            <rFont val="돋움"/>
            <family val="2"/>
            <charset val="129"/>
          </rPr>
          <t xml:space="preserve"> (</t>
        </r>
        <r>
          <rPr>
            <sz val="9"/>
            <color rgb="FF000000"/>
            <rFont val="돋움"/>
            <family val="2"/>
            <charset val="129"/>
          </rPr>
          <t>초기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설정</t>
        </r>
        <r>
          <rPr>
            <sz val="9"/>
            <color rgb="FF000000"/>
            <rFont val="돋움"/>
            <family val="2"/>
            <charset val="129"/>
          </rPr>
          <t xml:space="preserve">)
</t>
        </r>
        <r>
          <rPr>
            <sz val="9"/>
            <color rgb="FF000000"/>
            <rFont val="돋움"/>
            <family val="2"/>
            <charset val="129"/>
          </rPr>
          <t>2) 1</t>
        </r>
        <r>
          <rPr>
            <sz val="9"/>
            <color rgb="FF000000"/>
            <rFont val="돋움"/>
            <family val="2"/>
            <charset val="129"/>
          </rPr>
          <t>일단위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올림</t>
        </r>
        <r>
          <rPr>
            <sz val="9"/>
            <color rgb="FF000000"/>
            <rFont val="돋움"/>
            <family val="2"/>
            <charset val="129"/>
          </rPr>
          <t>(</t>
        </r>
        <r>
          <rPr>
            <sz val="9"/>
            <color rgb="FF000000"/>
            <rFont val="돋움"/>
            <family val="2"/>
            <charset val="129"/>
          </rPr>
          <t>수당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대신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휴가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부여시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원칙</t>
        </r>
        <r>
          <rPr>
            <sz val="9"/>
            <color rgb="FF000000"/>
            <rFont val="돋움"/>
            <family val="2"/>
            <charset val="129"/>
          </rPr>
          <t xml:space="preserve">) : </t>
        </r>
        <r>
          <rPr>
            <sz val="9"/>
            <color rgb="FF000000"/>
            <rFont val="돋움"/>
            <family val="2"/>
            <charset val="129"/>
          </rPr>
          <t>예</t>
        </r>
        <r>
          <rPr>
            <sz val="9"/>
            <color rgb="FF000000"/>
            <rFont val="돋움"/>
            <family val="2"/>
            <charset val="129"/>
          </rPr>
          <t>) 0.3</t>
        </r>
        <r>
          <rPr>
            <sz val="9"/>
            <color rgb="FF000000"/>
            <rFont val="돋움"/>
            <family val="2"/>
            <charset val="129"/>
          </rPr>
          <t>일</t>
        </r>
        <r>
          <rPr>
            <sz val="9"/>
            <color rgb="FF000000"/>
            <rFont val="돋움"/>
            <family val="2"/>
            <charset val="129"/>
          </rPr>
          <t xml:space="preserve"> → 1</t>
        </r>
        <r>
          <rPr>
            <sz val="9"/>
            <color rgb="FF000000"/>
            <rFont val="돋움"/>
            <family val="2"/>
            <charset val="129"/>
          </rPr>
          <t>일</t>
        </r>
        <r>
          <rPr>
            <sz val="9"/>
            <color rgb="FF000000"/>
            <rFont val="돋움"/>
            <family val="2"/>
            <charset val="129"/>
          </rPr>
          <t>, 0.7</t>
        </r>
        <r>
          <rPr>
            <sz val="9"/>
            <color rgb="FF000000"/>
            <rFont val="돋움"/>
            <family val="2"/>
            <charset val="129"/>
          </rPr>
          <t>일</t>
        </r>
        <r>
          <rPr>
            <sz val="9"/>
            <color rgb="FF000000"/>
            <rFont val="돋움"/>
            <family val="2"/>
            <charset val="129"/>
          </rPr>
          <t xml:space="preserve"> → 1</t>
        </r>
        <r>
          <rPr>
            <sz val="9"/>
            <color rgb="FF000000"/>
            <rFont val="돋움"/>
            <family val="2"/>
            <charset val="129"/>
          </rPr>
          <t>일</t>
        </r>
        <r>
          <rPr>
            <sz val="9"/>
            <color rgb="FF000000"/>
            <rFont val="돋움"/>
            <family val="2"/>
            <charset val="129"/>
          </rPr>
          <t xml:space="preserve">
</t>
        </r>
        <r>
          <rPr>
            <sz val="9"/>
            <color rgb="FF000000"/>
            <rFont val="돋움"/>
            <family val="2"/>
            <charset val="129"/>
          </rPr>
          <t xml:space="preserve">3) </t>
        </r>
        <r>
          <rPr>
            <sz val="9"/>
            <color rgb="FF000000"/>
            <rFont val="돋움"/>
            <family val="2"/>
            <charset val="129"/>
          </rPr>
          <t>반일단위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올림</t>
        </r>
        <r>
          <rPr>
            <sz val="9"/>
            <color rgb="FF000000"/>
            <rFont val="돋움"/>
            <family val="2"/>
            <charset val="129"/>
          </rPr>
          <t>(</t>
        </r>
        <r>
          <rPr>
            <sz val="9"/>
            <color rgb="FF000000"/>
            <rFont val="돋움"/>
            <family val="2"/>
            <charset val="129"/>
          </rPr>
          <t>반차제도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운영시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적합</t>
        </r>
        <r>
          <rPr>
            <sz val="9"/>
            <color rgb="FF000000"/>
            <rFont val="돋움"/>
            <family val="2"/>
            <charset val="129"/>
          </rPr>
          <t xml:space="preserve">) : </t>
        </r>
        <r>
          <rPr>
            <sz val="9"/>
            <color rgb="FF000000"/>
            <rFont val="돋움"/>
            <family val="2"/>
            <charset val="129"/>
          </rPr>
          <t>예</t>
        </r>
        <r>
          <rPr>
            <sz val="9"/>
            <color rgb="FF000000"/>
            <rFont val="돋움"/>
            <family val="2"/>
            <charset val="129"/>
          </rPr>
          <t>) 0.3</t>
        </r>
        <r>
          <rPr>
            <sz val="9"/>
            <color rgb="FF000000"/>
            <rFont val="돋움"/>
            <family val="2"/>
            <charset val="129"/>
          </rPr>
          <t>일</t>
        </r>
        <r>
          <rPr>
            <sz val="9"/>
            <color rgb="FF000000"/>
            <rFont val="돋움"/>
            <family val="2"/>
            <charset val="129"/>
          </rPr>
          <t xml:space="preserve"> → 0.5</t>
        </r>
        <r>
          <rPr>
            <sz val="9"/>
            <color rgb="FF000000"/>
            <rFont val="돋움"/>
            <family val="2"/>
            <charset val="129"/>
          </rPr>
          <t>일</t>
        </r>
        <r>
          <rPr>
            <sz val="9"/>
            <color rgb="FF000000"/>
            <rFont val="돋움"/>
            <family val="2"/>
            <charset val="129"/>
          </rPr>
          <t>, 0.7</t>
        </r>
        <r>
          <rPr>
            <sz val="9"/>
            <color rgb="FF000000"/>
            <rFont val="돋움"/>
            <family val="2"/>
            <charset val="129"/>
          </rPr>
          <t>일</t>
        </r>
        <r>
          <rPr>
            <sz val="9"/>
            <color rgb="FF000000"/>
            <rFont val="돋움"/>
            <family val="2"/>
            <charset val="129"/>
          </rPr>
          <t xml:space="preserve"> → 1</t>
        </r>
        <r>
          <rPr>
            <sz val="9"/>
            <color rgb="FF000000"/>
            <rFont val="돋움"/>
            <family val="2"/>
            <charset val="129"/>
          </rPr>
          <t>일</t>
        </r>
      </text>
    </comment>
    <comment ref="N3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연차일수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근속년수를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가산하는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 (2</t>
        </r>
        <r>
          <rPr>
            <sz val="9"/>
            <color indexed="81"/>
            <rFont val="돋움"/>
            <family val="3"/>
            <charset val="129"/>
          </rPr>
          <t>년차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1) </t>
        </r>
        <r>
          <rPr>
            <sz val="9"/>
            <color indexed="81"/>
            <rFont val="돋움"/>
            <family val="3"/>
            <charset val="129"/>
          </rPr>
          <t>비례</t>
        </r>
        <r>
          <rPr>
            <sz val="9"/>
            <color indexed="81"/>
            <rFont val="Tahoma"/>
            <family val="2"/>
          </rPr>
          <t>-15-15-16… (</t>
        </r>
        <r>
          <rPr>
            <sz val="9"/>
            <color indexed="81"/>
            <rFont val="돋움"/>
            <family val="3"/>
            <charset val="129"/>
          </rPr>
          <t>법상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최소기준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초기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) : </t>
        </r>
        <r>
          <rPr>
            <sz val="9"/>
            <color indexed="81"/>
            <rFont val="돋움"/>
            <family val="3"/>
            <charset val="129"/>
          </rPr>
          <t>입사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첫해를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근속년수에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않음</t>
        </r>
        <r>
          <rPr>
            <sz val="9"/>
            <color indexed="81"/>
            <rFont val="Tahoma"/>
            <family val="2"/>
          </rPr>
          <t xml:space="preserve">
2) </t>
        </r>
        <r>
          <rPr>
            <sz val="9"/>
            <color indexed="81"/>
            <rFont val="돋움"/>
            <family val="3"/>
            <charset val="129"/>
          </rPr>
          <t>비례</t>
        </r>
        <r>
          <rPr>
            <sz val="9"/>
            <color indexed="81"/>
            <rFont val="Tahoma"/>
            <family val="2"/>
          </rPr>
          <t xml:space="preserve">-15-16-16… : </t>
        </r>
        <r>
          <rPr>
            <sz val="9"/>
            <color indexed="81"/>
            <rFont val="돋움"/>
            <family val="3"/>
            <charset val="129"/>
          </rPr>
          <t>입사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첫해를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근속년수에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포함하되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첫해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 xml:space="preserve"> 
3) 15-15-16-16… : </t>
        </r>
        <r>
          <rPr>
            <sz val="9"/>
            <color indexed="81"/>
            <rFont val="돋움"/>
            <family val="3"/>
            <charset val="129"/>
          </rPr>
          <t>입사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첫해를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근속년수에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포함하고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첫해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만근으로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</text>
    </comment>
    <comment ref="I5" authorId="0" shapeId="0" xr:uid="{00000000-0006-0000-0000-000004000000}">
      <text>
        <r>
          <rPr>
            <b/>
            <sz val="9"/>
            <color rgb="FF000000"/>
            <rFont val="Tahoma"/>
            <family val="2"/>
          </rPr>
          <t xml:space="preserve">&lt; </t>
        </r>
        <r>
          <rPr>
            <b/>
            <sz val="9"/>
            <color rgb="FF000000"/>
            <rFont val="돋움"/>
            <family val="2"/>
            <charset val="129"/>
          </rPr>
          <t>퇴사일자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입력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방법</t>
        </r>
        <r>
          <rPr>
            <b/>
            <sz val="9"/>
            <color rgb="FF000000"/>
            <rFont val="Tahoma"/>
            <family val="2"/>
          </rPr>
          <t xml:space="preserve"> &gt;
</t>
        </r>
        <r>
          <rPr>
            <b/>
            <sz val="9"/>
            <color rgb="FF000000"/>
            <rFont val="돋움"/>
            <family val="2"/>
            <charset val="129"/>
          </rPr>
          <t>①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실제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퇴사일자를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입력하려면</t>
        </r>
        <r>
          <rPr>
            <b/>
            <sz val="9"/>
            <color rgb="FF000000"/>
            <rFont val="돋움"/>
            <family val="2"/>
            <charset val="129"/>
          </rPr>
          <t xml:space="preserve">
</t>
        </r>
        <r>
          <rPr>
            <sz val="9"/>
            <color rgb="FF000000"/>
            <rFont val="Tahoma"/>
            <family val="2"/>
          </rPr>
          <t xml:space="preserve">    </t>
        </r>
        <r>
          <rPr>
            <sz val="9"/>
            <color rgb="FF000000"/>
            <rFont val="돋움"/>
            <family val="2"/>
            <charset val="129"/>
          </rPr>
          <t>노사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당사자가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정한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날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2"/>
            <charset val="129"/>
          </rPr>
          <t>합의퇴직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2"/>
            <charset val="129"/>
          </rPr>
          <t>해고</t>
        </r>
        <r>
          <rPr>
            <sz val="9"/>
            <color rgb="FF000000"/>
            <rFont val="Tahoma"/>
            <family val="2"/>
          </rPr>
          <t xml:space="preserve">) </t>
        </r>
        <r>
          <rPr>
            <sz val="9"/>
            <color rgb="FF000000"/>
            <rFont val="돋움"/>
            <family val="2"/>
            <charset val="129"/>
          </rPr>
          <t>또는</t>
        </r>
        <r>
          <rPr>
            <sz val="9"/>
            <color rgb="FF000000"/>
            <rFont val="돋움"/>
            <family val="2"/>
            <charset val="129"/>
          </rPr>
          <t xml:space="preserve">
</t>
        </r>
        <r>
          <rPr>
            <sz val="9"/>
            <color rgb="FF000000"/>
            <rFont val="Tahoma"/>
            <family val="2"/>
          </rPr>
          <t xml:space="preserve">    </t>
        </r>
        <r>
          <rPr>
            <sz val="9"/>
            <color rgb="FF000000"/>
            <rFont val="돋움"/>
            <family val="2"/>
            <charset val="129"/>
          </rPr>
          <t>퇴직의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효력이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자동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발생되는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날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2"/>
            <charset val="129"/>
          </rPr>
          <t>일방퇴직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2"/>
            <charset val="129"/>
          </rPr>
          <t>을</t>
        </r>
        <r>
          <rPr>
            <sz val="9"/>
            <color rgb="FF000000"/>
            <rFont val="돋움"/>
            <family val="2"/>
            <charset val="129"/>
          </rPr>
          <t xml:space="preserve">
</t>
        </r>
        <r>
          <rPr>
            <sz val="9"/>
            <color rgb="FF000000"/>
            <rFont val="Tahoma"/>
            <family val="2"/>
          </rPr>
          <t xml:space="preserve">    </t>
        </r>
        <r>
          <rPr>
            <sz val="9"/>
            <color rgb="FF000000"/>
            <rFont val="돋움"/>
            <family val="2"/>
            <charset val="129"/>
          </rPr>
          <t>입력하되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2"/>
            <charset val="129"/>
          </rPr>
          <t>당일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정상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근무한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경우는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그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다음날</t>
        </r>
        <r>
          <rPr>
            <sz val="9"/>
            <color rgb="FF000000"/>
            <rFont val="돋움"/>
            <family val="2"/>
            <charset val="129"/>
          </rPr>
          <t xml:space="preserve">
</t>
        </r>
        <r>
          <rPr>
            <sz val="9"/>
            <color rgb="FF000000"/>
            <rFont val="돋움"/>
            <family val="2"/>
            <charset val="129"/>
          </rPr>
          <t xml:space="preserve">    (</t>
        </r>
        <r>
          <rPr>
            <sz val="9"/>
            <color rgb="FF000000"/>
            <rFont val="돋움"/>
            <family val="2"/>
            <charset val="129"/>
          </rPr>
          <t>계약기간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만료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퇴사는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만료일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다음날</t>
        </r>
        <r>
          <rPr>
            <sz val="9"/>
            <color rgb="FF000000"/>
            <rFont val="돋움"/>
            <family val="2"/>
            <charset val="129"/>
          </rPr>
          <t>)</t>
        </r>
        <r>
          <rPr>
            <sz val="9"/>
            <color rgb="FF000000"/>
            <rFont val="돋움"/>
            <family val="2"/>
            <charset val="129"/>
          </rPr>
          <t>을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입력</t>
        </r>
        <r>
          <rPr>
            <sz val="9"/>
            <color rgb="FF000000"/>
            <rFont val="돋움"/>
            <family val="2"/>
            <charset val="129"/>
          </rPr>
          <t xml:space="preserve">
</t>
        </r>
        <r>
          <rPr>
            <b/>
            <sz val="9"/>
            <color rgb="FF000000"/>
            <rFont val="돋움"/>
            <family val="2"/>
            <charset val="129"/>
          </rPr>
          <t>②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오늘까지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발생한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일수를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확인하려면</t>
        </r>
        <r>
          <rPr>
            <b/>
            <sz val="9"/>
            <color rgb="FF000000"/>
            <rFont val="돋움"/>
            <family val="2"/>
            <charset val="129"/>
          </rPr>
          <t xml:space="preserve">
</t>
        </r>
        <r>
          <rPr>
            <sz val="9"/>
            <color rgb="FF000000"/>
            <rFont val="Tahoma"/>
            <family val="2"/>
          </rPr>
          <t xml:space="preserve">    </t>
        </r>
        <r>
          <rPr>
            <sz val="9"/>
            <color rgb="FF000000"/>
            <rFont val="돋움"/>
            <family val="2"/>
            <charset val="129"/>
          </rPr>
          <t>처음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다운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받은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상태로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두면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오늘까지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발생한</t>
        </r>
        <r>
          <rPr>
            <sz val="9"/>
            <color rgb="FF000000"/>
            <rFont val="돋움"/>
            <family val="2"/>
            <charset val="129"/>
          </rPr>
          <t xml:space="preserve">
</t>
        </r>
        <r>
          <rPr>
            <sz val="9"/>
            <color rgb="FF000000"/>
            <rFont val="Tahoma"/>
            <family val="2"/>
          </rPr>
          <t xml:space="preserve">    </t>
        </r>
        <r>
          <rPr>
            <sz val="9"/>
            <color rgb="FF000000"/>
            <rFont val="돋움"/>
            <family val="2"/>
            <charset val="129"/>
          </rPr>
          <t>일수를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확인할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있음</t>
        </r>
        <r>
          <rPr>
            <sz val="9"/>
            <color rgb="FF000000"/>
            <rFont val="Tahoma"/>
            <family val="2"/>
          </rPr>
          <t xml:space="preserve">. </t>
        </r>
        <r>
          <rPr>
            <sz val="9"/>
            <color rgb="FF000000"/>
            <rFont val="돋움"/>
            <family val="2"/>
            <charset val="129"/>
          </rPr>
          <t>이를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위하여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수식에는</t>
        </r>
        <r>
          <rPr>
            <sz val="9"/>
            <color rgb="FF000000"/>
            <rFont val="돋움"/>
            <family val="2"/>
            <charset val="129"/>
          </rPr>
          <t xml:space="preserve">
</t>
        </r>
        <r>
          <rPr>
            <sz val="9"/>
            <color rgb="FF000000"/>
            <rFont val="Tahoma"/>
            <family val="2"/>
          </rPr>
          <t xml:space="preserve">    </t>
        </r>
        <r>
          <rPr>
            <sz val="9"/>
            <color rgb="FF000000"/>
            <rFont val="돋움"/>
            <family val="2"/>
            <charset val="129"/>
          </rPr>
          <t>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①을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고려해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내일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날짜가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입력되어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있음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돋움"/>
            <family val="2"/>
            <charset val="129"/>
          </rPr>
          <t>③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입력되어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있는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날짜를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지우면</t>
        </r>
        <r>
          <rPr>
            <b/>
            <sz val="9"/>
            <color rgb="FF000000"/>
            <rFont val="돋움"/>
            <family val="2"/>
            <charset val="129"/>
          </rPr>
          <t xml:space="preserve">
</t>
        </r>
        <r>
          <rPr>
            <sz val="9"/>
            <color rgb="FF000000"/>
            <rFont val="Tahoma"/>
            <family val="2"/>
          </rPr>
          <t xml:space="preserve">    </t>
        </r>
        <r>
          <rPr>
            <sz val="9"/>
            <color rgb="FF000000"/>
            <rFont val="돋움"/>
            <family val="2"/>
            <charset val="129"/>
          </rPr>
          <t>입력되어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있는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날짜를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지우면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계속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재직하는</t>
        </r>
        <r>
          <rPr>
            <sz val="9"/>
            <color rgb="FF000000"/>
            <rFont val="돋움"/>
            <family val="2"/>
            <charset val="129"/>
          </rPr>
          <t xml:space="preserve">
</t>
        </r>
        <r>
          <rPr>
            <sz val="9"/>
            <color rgb="FF000000"/>
            <rFont val="Tahoma"/>
            <family val="2"/>
          </rPr>
          <t xml:space="preserve">    </t>
        </r>
        <r>
          <rPr>
            <sz val="9"/>
            <color rgb="FF000000"/>
            <rFont val="돋움"/>
            <family val="2"/>
            <charset val="129"/>
          </rPr>
          <t>것으로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가정하여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2"/>
            <charset val="129"/>
          </rPr>
          <t>연간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최대일수</t>
        </r>
        <r>
          <rPr>
            <sz val="9"/>
            <color rgb="FF000000"/>
            <rFont val="Tahoma"/>
            <family val="2"/>
          </rPr>
          <t xml:space="preserve"> 25</t>
        </r>
        <r>
          <rPr>
            <sz val="9"/>
            <color rgb="FF000000"/>
            <rFont val="돋움"/>
            <family val="2"/>
            <charset val="129"/>
          </rPr>
          <t>일이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처음</t>
        </r>
        <r>
          <rPr>
            <sz val="9"/>
            <color rgb="FF000000"/>
            <rFont val="돋움"/>
            <family val="2"/>
            <charset val="129"/>
          </rPr>
          <t xml:space="preserve">
</t>
        </r>
        <r>
          <rPr>
            <sz val="9"/>
            <color rgb="FF000000"/>
            <rFont val="Tahoma"/>
            <family val="2"/>
          </rPr>
          <t xml:space="preserve">    </t>
        </r>
        <r>
          <rPr>
            <sz val="9"/>
            <color rgb="FF000000"/>
            <rFont val="돋움"/>
            <family val="2"/>
            <charset val="129"/>
          </rPr>
          <t>발생하는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날짜까지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매년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표시됨</t>
        </r>
      </text>
    </comment>
    <comment ref="F11" authorId="1" shapeId="0" xr:uid="{00000000-0006-0000-0000-000005000000}">
      <text>
        <r>
          <rPr>
            <sz val="9"/>
            <color rgb="FF000000"/>
            <rFont val="돋움"/>
            <family val="2"/>
            <charset val="129"/>
          </rPr>
          <t>다음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회계년도가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시작될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때까지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Tahoma"/>
            <family val="2"/>
          </rPr>
          <t>1</t>
        </r>
        <r>
          <rPr>
            <sz val="9"/>
            <color rgb="FF000000"/>
            <rFont val="돋움"/>
            <family val="2"/>
            <charset val="129"/>
          </rPr>
          <t>개월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개근시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2"/>
            <charset val="129"/>
          </rPr>
          <t>일씩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발생</t>
        </r>
      </text>
    </comment>
    <comment ref="I1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 xml:space="preserve">※ 주의
</t>
        </r>
        <r>
          <rPr>
            <sz val="9"/>
            <color indexed="81"/>
            <rFont val="돋움"/>
            <family val="3"/>
            <charset val="129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~</t>
        </r>
        <r>
          <rPr>
            <sz val="9"/>
            <color indexed="81"/>
            <rFont val="돋움"/>
            <family val="3"/>
            <charset val="129"/>
          </rPr>
          <t>2년차 연차사용시 1년차(월차), 2년차, 2년차(월차)의 순으로 휴가를 사용한 것으로 입력하세요.</t>
        </r>
      </text>
    </comment>
    <comment ref="F12" authorId="1" shapeId="0" xr:uid="{00000000-0006-0000-0000-000007000000}">
      <text>
        <r>
          <rPr>
            <sz val="9"/>
            <color rgb="FF000000"/>
            <rFont val="돋움"/>
            <family val="2"/>
            <charset val="129"/>
          </rPr>
          <t>정상적으로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발생하는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연차</t>
        </r>
        <r>
          <rPr>
            <sz val="9"/>
            <color rgb="FF000000"/>
            <rFont val="Tahoma"/>
            <family val="2"/>
          </rPr>
          <t xml:space="preserve"> 15</t>
        </r>
        <r>
          <rPr>
            <sz val="9"/>
            <color rgb="FF000000"/>
            <rFont val="돋움"/>
            <family val="2"/>
            <charset val="129"/>
          </rPr>
          <t>일을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직전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회계년도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재직기간에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따라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일할계산</t>
        </r>
        <r>
          <rPr>
            <sz val="9"/>
            <color rgb="FF000000"/>
            <rFont val="돋움"/>
            <family val="2"/>
            <charset val="129"/>
          </rPr>
          <t>(</t>
        </r>
        <r>
          <rPr>
            <sz val="9"/>
            <color rgb="FF000000"/>
            <rFont val="돋움"/>
            <family val="2"/>
            <charset val="129"/>
          </rPr>
          <t>재직일수</t>
        </r>
        <r>
          <rPr>
            <sz val="9"/>
            <color rgb="FF000000"/>
            <rFont val="돋움"/>
            <family val="2"/>
            <charset val="129"/>
          </rPr>
          <t>/365</t>
        </r>
        <r>
          <rPr>
            <sz val="9"/>
            <color rgb="FF000000"/>
            <rFont val="돋움"/>
            <family val="2"/>
            <charset val="129"/>
          </rPr>
          <t>일</t>
        </r>
        <r>
          <rPr>
            <sz val="9"/>
            <color rgb="FF000000"/>
            <rFont val="돋움"/>
            <family val="2"/>
            <charset val="129"/>
          </rPr>
          <t>)</t>
        </r>
      </text>
    </comment>
    <comment ref="F13" authorId="1" shapeId="0" xr:uid="{00000000-0006-0000-0000-000008000000}">
      <text>
        <r>
          <rPr>
            <sz val="9"/>
            <color rgb="FF000000"/>
            <rFont val="Tahoma"/>
            <family val="2"/>
          </rPr>
          <t>1</t>
        </r>
        <r>
          <rPr>
            <sz val="9"/>
            <color rgb="FF000000"/>
            <rFont val="돋움"/>
            <family val="2"/>
            <charset val="129"/>
          </rPr>
          <t>년미만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근속기간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동안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2"/>
            <charset val="129"/>
          </rPr>
          <t>개월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개근시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2"/>
            <charset val="129"/>
          </rPr>
          <t>일씩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발생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2"/>
            <charset val="129"/>
          </rPr>
          <t>최대</t>
        </r>
        <r>
          <rPr>
            <sz val="9"/>
            <color rgb="FF000000"/>
            <rFont val="돋움"/>
            <family val="2"/>
            <charset val="129"/>
          </rPr>
          <t xml:space="preserve"> 11</t>
        </r>
        <r>
          <rPr>
            <sz val="9"/>
            <color rgb="FF000000"/>
            <rFont val="돋움"/>
            <family val="2"/>
            <charset val="129"/>
          </rPr>
          <t>일</t>
        </r>
        <r>
          <rPr>
            <sz val="9"/>
            <color rgb="FF000000"/>
            <rFont val="돋움"/>
            <family val="2"/>
            <charset val="129"/>
          </rPr>
          <t xml:space="preserve"> - 1</t>
        </r>
        <r>
          <rPr>
            <sz val="9"/>
            <color rgb="FF000000"/>
            <rFont val="돋움"/>
            <family val="2"/>
            <charset val="129"/>
          </rPr>
          <t>년차에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발생한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연차일수</t>
        </r>
        <r>
          <rPr>
            <sz val="9"/>
            <color rgb="FF000000"/>
            <rFont val="돋움"/>
            <family val="2"/>
            <charset val="129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Park</author>
  </authors>
  <commentList>
    <comment ref="L2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소속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회사에서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선택합니다</t>
        </r>
        <r>
          <rPr>
            <sz val="9"/>
            <color indexed="81"/>
            <rFont val="Tahoma"/>
            <family val="2"/>
          </rPr>
          <t xml:space="preserve">.
- </t>
        </r>
        <r>
          <rPr>
            <sz val="9"/>
            <color indexed="81"/>
            <rFont val="돋움"/>
            <family val="3"/>
            <charset val="129"/>
          </rPr>
          <t>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선택지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놔두세요</t>
        </r>
        <r>
          <rPr>
            <sz val="9"/>
            <color indexed="81"/>
            <rFont val="Tahoma"/>
            <family val="2"/>
          </rPr>
          <t xml:space="preserve">.
- </t>
        </r>
        <r>
          <rPr>
            <sz val="9"/>
            <color indexed="81"/>
            <rFont val="돋움"/>
            <family val="3"/>
            <charset val="129"/>
          </rPr>
          <t>자세한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설명은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콤보박스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우측의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메모를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Q2" authorId="0" shapeId="0" xr:uid="{00000000-0006-0000-0100-000002000000}">
      <text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연차발생일수에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소수점이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처리방법</t>
        </r>
        <r>
          <rPr>
            <sz val="9"/>
            <color indexed="81"/>
            <rFont val="Tahoma"/>
            <family val="2"/>
          </rPr>
          <t xml:space="preserve"> (2</t>
        </r>
        <r>
          <rPr>
            <sz val="9"/>
            <color indexed="81"/>
            <rFont val="돋움"/>
            <family val="3"/>
            <charset val="129"/>
          </rPr>
          <t>년차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비례연차에만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1) </t>
        </r>
        <r>
          <rPr>
            <sz val="9"/>
            <color indexed="81"/>
            <rFont val="돋움"/>
            <family val="3"/>
            <charset val="129"/>
          </rPr>
          <t>소수점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그대로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법상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최소기준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초기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>)
2) 1</t>
        </r>
        <r>
          <rPr>
            <sz val="9"/>
            <color indexed="81"/>
            <rFont val="돋움"/>
            <family val="3"/>
            <charset val="129"/>
          </rPr>
          <t>일단위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수당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부여시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원칙</t>
        </r>
        <r>
          <rPr>
            <sz val="9"/>
            <color indexed="81"/>
            <rFont val="Tahoma"/>
            <family val="2"/>
          </rPr>
          <t xml:space="preserve">) : 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>) 0.3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>, 0.7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 xml:space="preserve">일
</t>
        </r>
        <r>
          <rPr>
            <sz val="9"/>
            <color indexed="81"/>
            <rFont val="Tahoma"/>
            <family val="2"/>
          </rPr>
          <t xml:space="preserve">3) </t>
        </r>
        <r>
          <rPr>
            <sz val="9"/>
            <color indexed="81"/>
            <rFont val="돋움"/>
            <family val="3"/>
            <charset val="129"/>
          </rPr>
          <t>반일단위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반차제도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운영시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적합</t>
        </r>
        <r>
          <rPr>
            <sz val="9"/>
            <color indexed="81"/>
            <rFont val="Tahoma"/>
            <family val="2"/>
          </rPr>
          <t xml:space="preserve">) : 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>) 0.3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 0.5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>, 0.7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일</t>
        </r>
      </text>
    </comment>
    <comment ref="Q3" authorId="0" shapeId="0" xr:uid="{00000000-0006-0000-0100-000003000000}">
      <text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연차일수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근속년수를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가산하는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 (2</t>
        </r>
        <r>
          <rPr>
            <sz val="9"/>
            <color indexed="81"/>
            <rFont val="돋움"/>
            <family val="3"/>
            <charset val="129"/>
          </rPr>
          <t>년차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</t>
        </r>
        <r>
          <rPr>
            <sz val="9"/>
            <color indexed="81"/>
            <rFont val="Tahoma"/>
            <family val="2"/>
          </rPr>
          <t xml:space="preserve">)
1) </t>
        </r>
        <r>
          <rPr>
            <sz val="9"/>
            <color indexed="81"/>
            <rFont val="돋움"/>
            <family val="3"/>
            <charset val="129"/>
          </rPr>
          <t>비례</t>
        </r>
        <r>
          <rPr>
            <sz val="9"/>
            <color indexed="81"/>
            <rFont val="Tahoma"/>
            <family val="2"/>
          </rPr>
          <t>-15-15-16… (</t>
        </r>
        <r>
          <rPr>
            <sz val="9"/>
            <color indexed="81"/>
            <rFont val="돋움"/>
            <family val="3"/>
            <charset val="129"/>
          </rPr>
          <t>법상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최소기준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초기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) : </t>
        </r>
        <r>
          <rPr>
            <sz val="9"/>
            <color indexed="81"/>
            <rFont val="돋움"/>
            <family val="3"/>
            <charset val="129"/>
          </rPr>
          <t>입사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첫해를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근속년수에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않음
</t>
        </r>
        <r>
          <rPr>
            <sz val="9"/>
            <color indexed="81"/>
            <rFont val="Tahoma"/>
            <family val="2"/>
          </rPr>
          <t xml:space="preserve">2) </t>
        </r>
        <r>
          <rPr>
            <sz val="9"/>
            <color indexed="81"/>
            <rFont val="돋움"/>
            <family val="3"/>
            <charset val="129"/>
          </rPr>
          <t>비례</t>
        </r>
        <r>
          <rPr>
            <sz val="9"/>
            <color indexed="81"/>
            <rFont val="Tahoma"/>
            <family val="2"/>
          </rPr>
          <t xml:space="preserve">-15-16-16… : </t>
        </r>
        <r>
          <rPr>
            <sz val="9"/>
            <color indexed="81"/>
            <rFont val="돋움"/>
            <family val="3"/>
            <charset val="129"/>
          </rPr>
          <t>입사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첫해를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근속년수에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포함하되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첫해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 xml:space="preserve"> 
3) 15-15-16-16… : </t>
        </r>
        <r>
          <rPr>
            <sz val="9"/>
            <color indexed="81"/>
            <rFont val="돋움"/>
            <family val="3"/>
            <charset val="129"/>
          </rPr>
          <t>입사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첫해를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근속년수에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포함하고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첫해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만근으로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</text>
    </comment>
    <comment ref="L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&lt; </t>
        </r>
        <r>
          <rPr>
            <b/>
            <sz val="9"/>
            <color indexed="81"/>
            <rFont val="돋움"/>
            <family val="3"/>
            <charset val="129"/>
          </rPr>
          <t>퇴사일자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&gt;
</t>
        </r>
        <r>
          <rPr>
            <b/>
            <sz val="9"/>
            <color indexed="81"/>
            <rFont val="돋움"/>
            <family val="3"/>
            <charset val="129"/>
          </rPr>
          <t>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퇴사일자를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입력하려면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노사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당사자가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합의퇴직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해고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 xml:space="preserve">또는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퇴직의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효력이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일방퇴직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을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입력하되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당일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근무한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다음날
    (계약기간 만료 퇴사는 만료일 다음날)을 입력
</t>
        </r>
        <r>
          <rPr>
            <b/>
            <sz val="9"/>
            <color indexed="81"/>
            <rFont val="돋움"/>
            <family val="3"/>
            <charset val="129"/>
          </rPr>
          <t>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오늘까지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확인하려면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처음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두면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오늘까지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발생한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일수를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수식에는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①을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고려해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③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지우면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지우면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재직하는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가정하여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연간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최대일수</t>
        </r>
        <r>
          <rPr>
            <sz val="9"/>
            <color indexed="81"/>
            <rFont val="Tahoma"/>
            <family val="2"/>
          </rPr>
          <t xml:space="preserve"> 25</t>
        </r>
        <r>
          <rPr>
            <sz val="9"/>
            <color indexed="81"/>
            <rFont val="돋움"/>
            <family val="3"/>
            <charset val="129"/>
          </rPr>
          <t>일이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처음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발생하는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Park</author>
    <author>사용자</author>
  </authors>
  <commentList>
    <comment ref="AV3" authorId="0" shapeId="0" xr:uid="{00000000-0006-0000-0200-000001000000}">
      <text>
        <r>
          <rPr>
            <sz val="9"/>
            <color rgb="FF000000"/>
            <rFont val="Tahoma"/>
            <family val="2"/>
          </rPr>
          <t xml:space="preserve">- </t>
        </r>
        <r>
          <rPr>
            <sz val="9"/>
            <color rgb="FF000000"/>
            <rFont val="돋움"/>
            <family val="2"/>
            <charset val="129"/>
          </rPr>
          <t>소속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회사에서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적용하는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기준대로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선택합니다</t>
        </r>
        <r>
          <rPr>
            <sz val="9"/>
            <color rgb="FF000000"/>
            <rFont val="Tahoma"/>
            <family val="2"/>
          </rPr>
          <t xml:space="preserve">.
</t>
        </r>
        <r>
          <rPr>
            <sz val="9"/>
            <color rgb="FF000000"/>
            <rFont val="Tahoma"/>
            <family val="2"/>
          </rPr>
          <t xml:space="preserve">- </t>
        </r>
        <r>
          <rPr>
            <sz val="9"/>
            <color rgb="FF000000"/>
            <rFont val="돋움"/>
            <family val="2"/>
            <charset val="129"/>
          </rPr>
          <t>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모를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경우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초기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상태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2"/>
            <charset val="129"/>
          </rPr>
          <t>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위의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선택지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2"/>
            <charset val="129"/>
          </rPr>
          <t>대로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놔두세요</t>
        </r>
        <r>
          <rPr>
            <sz val="9"/>
            <color rgb="FF000000"/>
            <rFont val="Tahoma"/>
            <family val="2"/>
          </rPr>
          <t xml:space="preserve">.
</t>
        </r>
        <r>
          <rPr>
            <sz val="9"/>
            <color rgb="FF000000"/>
            <rFont val="Tahoma"/>
            <family val="2"/>
          </rPr>
          <t xml:space="preserve">- </t>
        </r>
        <r>
          <rPr>
            <sz val="9"/>
            <color rgb="FF000000"/>
            <rFont val="돋움"/>
            <family val="2"/>
            <charset val="129"/>
          </rPr>
          <t>자세한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설명은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콤보박스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우측의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메모를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참고</t>
        </r>
      </text>
    </comment>
    <comment ref="BB3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연차발생일수에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소수점이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처리방법</t>
        </r>
        <r>
          <rPr>
            <sz val="9"/>
            <color indexed="81"/>
            <rFont val="Tahoma"/>
            <family val="2"/>
          </rPr>
          <t xml:space="preserve"> (2</t>
        </r>
        <r>
          <rPr>
            <sz val="9"/>
            <color indexed="81"/>
            <rFont val="돋움"/>
            <family val="3"/>
            <charset val="129"/>
          </rPr>
          <t>년차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비례연차에만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1) </t>
        </r>
        <r>
          <rPr>
            <sz val="9"/>
            <color indexed="81"/>
            <rFont val="돋움"/>
            <family val="3"/>
            <charset val="129"/>
          </rPr>
          <t>소수점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그대로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법상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최소기준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초기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>)
2) 1</t>
        </r>
        <r>
          <rPr>
            <sz val="9"/>
            <color indexed="81"/>
            <rFont val="돋움"/>
            <family val="3"/>
            <charset val="129"/>
          </rPr>
          <t>일단위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수당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부여시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원칙</t>
        </r>
        <r>
          <rPr>
            <sz val="9"/>
            <color indexed="81"/>
            <rFont val="Tahoma"/>
            <family val="2"/>
          </rPr>
          <t xml:space="preserve">) : 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>) 0.3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>, 0.7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 xml:space="preserve">일
</t>
        </r>
        <r>
          <rPr>
            <sz val="9"/>
            <color indexed="81"/>
            <rFont val="Tahoma"/>
            <family val="2"/>
          </rPr>
          <t xml:space="preserve">3) </t>
        </r>
        <r>
          <rPr>
            <sz val="9"/>
            <color indexed="81"/>
            <rFont val="돋움"/>
            <family val="3"/>
            <charset val="129"/>
          </rPr>
          <t>반일단위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반차제도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운영시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적합</t>
        </r>
        <r>
          <rPr>
            <sz val="9"/>
            <color indexed="81"/>
            <rFont val="Tahoma"/>
            <family val="2"/>
          </rPr>
          <t xml:space="preserve">) : 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>) 0.3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 0.5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>, 0.7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일</t>
        </r>
      </text>
    </comment>
    <comment ref="BB4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연차일수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근속년수를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가산하는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 (2</t>
        </r>
        <r>
          <rPr>
            <sz val="9"/>
            <color indexed="81"/>
            <rFont val="돋움"/>
            <family val="3"/>
            <charset val="129"/>
          </rPr>
          <t>년차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</t>
        </r>
        <r>
          <rPr>
            <sz val="9"/>
            <color indexed="81"/>
            <rFont val="Tahoma"/>
            <family val="2"/>
          </rPr>
          <t xml:space="preserve">)
1) </t>
        </r>
        <r>
          <rPr>
            <sz val="9"/>
            <color indexed="81"/>
            <rFont val="돋움"/>
            <family val="3"/>
            <charset val="129"/>
          </rPr>
          <t>비례</t>
        </r>
        <r>
          <rPr>
            <sz val="9"/>
            <color indexed="81"/>
            <rFont val="Tahoma"/>
            <family val="2"/>
          </rPr>
          <t>-15-15-16… (</t>
        </r>
        <r>
          <rPr>
            <sz val="9"/>
            <color indexed="81"/>
            <rFont val="돋움"/>
            <family val="3"/>
            <charset val="129"/>
          </rPr>
          <t>법상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최소기준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초기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) : </t>
        </r>
        <r>
          <rPr>
            <sz val="9"/>
            <color indexed="81"/>
            <rFont val="돋움"/>
            <family val="3"/>
            <charset val="129"/>
          </rPr>
          <t>입사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첫해를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근속년수에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않음
</t>
        </r>
        <r>
          <rPr>
            <sz val="9"/>
            <color indexed="81"/>
            <rFont val="Tahoma"/>
            <family val="2"/>
          </rPr>
          <t xml:space="preserve">2) </t>
        </r>
        <r>
          <rPr>
            <sz val="9"/>
            <color indexed="81"/>
            <rFont val="돋움"/>
            <family val="3"/>
            <charset val="129"/>
          </rPr>
          <t>비례</t>
        </r>
        <r>
          <rPr>
            <sz val="9"/>
            <color indexed="81"/>
            <rFont val="Tahoma"/>
            <family val="2"/>
          </rPr>
          <t xml:space="preserve">-15-16-16… : </t>
        </r>
        <r>
          <rPr>
            <sz val="9"/>
            <color indexed="81"/>
            <rFont val="돋움"/>
            <family val="3"/>
            <charset val="129"/>
          </rPr>
          <t>입사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첫해를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근속년수에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포함하되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첫해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 xml:space="preserve"> 
3) 15-15-16-16… : </t>
        </r>
        <r>
          <rPr>
            <sz val="9"/>
            <color indexed="81"/>
            <rFont val="돋움"/>
            <family val="3"/>
            <charset val="129"/>
          </rPr>
          <t>입사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첫해를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근속년수에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포함하고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첫해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만근으로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</text>
    </comment>
    <comment ref="Z6" authorId="1" shapeId="0" xr:uid="{00000000-0006-0000-0200-000004000000}">
      <text>
        <r>
          <rPr>
            <sz val="9"/>
            <color rgb="FF000000"/>
            <rFont val="Tahoma"/>
            <family val="2"/>
          </rPr>
          <t xml:space="preserve">* </t>
        </r>
        <r>
          <rPr>
            <sz val="9"/>
            <color rgb="FF000000"/>
            <rFont val="돋움"/>
            <family val="2"/>
            <charset val="129"/>
          </rPr>
          <t>전년도에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대장을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사용한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경우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전년도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대장의</t>
        </r>
        <r>
          <rPr>
            <sz val="9"/>
            <color rgb="FF000000"/>
            <rFont val="Tahoma"/>
            <family val="2"/>
          </rPr>
          <t xml:space="preserve"> '</t>
        </r>
        <r>
          <rPr>
            <sz val="9"/>
            <color rgb="FF000000"/>
            <rFont val="돋움"/>
            <family val="2"/>
            <charset val="129"/>
          </rPr>
          <t>월차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이월</t>
        </r>
        <r>
          <rPr>
            <sz val="9"/>
            <color rgb="FF000000"/>
            <rFont val="Tahoma"/>
            <family val="2"/>
          </rPr>
          <t xml:space="preserve">' </t>
        </r>
        <r>
          <rPr>
            <sz val="9"/>
            <color rgb="FF000000"/>
            <rFont val="돋움"/>
            <family val="2"/>
            <charset val="129"/>
          </rPr>
          <t>란에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입력된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내용을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란에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옮겨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쓰면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됨</t>
        </r>
      </text>
    </comment>
    <comment ref="AD6" authorId="0" shapeId="0" xr:uid="{00000000-0006-0000-0200-000005000000}">
      <text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사용촉진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사용촉진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월별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사용일수에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6" authorId="0" shapeId="0" xr:uid="{00000000-0006-0000-0200-000006000000}">
      <text>
        <r>
          <rPr>
            <sz val="9"/>
            <color rgb="FF000000"/>
            <rFont val="Tahoma"/>
            <family val="2"/>
          </rPr>
          <t xml:space="preserve">- </t>
        </r>
        <r>
          <rPr>
            <sz val="9"/>
            <color rgb="FF000000"/>
            <rFont val="돋움"/>
            <family val="2"/>
            <charset val="129"/>
          </rPr>
          <t>법상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사용촉진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가능한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일수이므로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해당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일수의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범위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내에서만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사용촉진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실시할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있음</t>
        </r>
      </text>
    </comment>
    <comment ref="AR6" authorId="0" shapeId="0" xr:uid="{00000000-0006-0000-0200-000007000000}">
      <text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법상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사용촉진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일수이므로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사용촉진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여기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촉진가능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월차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선발생하는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월차로서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9</t>
        </r>
        <r>
          <rPr>
            <sz val="9"/>
            <color indexed="81"/>
            <rFont val="돋움"/>
            <family val="3"/>
            <charset val="129"/>
          </rPr>
          <t>개까지만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해당됨</t>
        </r>
      </text>
    </comment>
    <comment ref="AT6" authorId="0" shapeId="0" xr:uid="{00000000-0006-0000-0200-000008000000}">
      <text>
        <r>
          <rPr>
            <sz val="9"/>
            <color rgb="FF000000"/>
            <rFont val="Tahoma"/>
            <family val="2"/>
          </rPr>
          <t xml:space="preserve">- </t>
        </r>
        <r>
          <rPr>
            <sz val="9"/>
            <color rgb="FF000000"/>
            <rFont val="돋움"/>
            <family val="2"/>
            <charset val="129"/>
          </rPr>
          <t>법상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사용촉진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가능한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일수이므로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해당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일수의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범위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내에서만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사용촉진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실시할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있음</t>
        </r>
        <r>
          <rPr>
            <sz val="9"/>
            <color rgb="FF000000"/>
            <rFont val="돋움"/>
            <family val="2"/>
            <charset val="129"/>
          </rPr>
          <t xml:space="preserve">
</t>
        </r>
        <r>
          <rPr>
            <sz val="9"/>
            <color rgb="FF000000"/>
            <rFont val="Tahoma"/>
            <family val="2"/>
          </rPr>
          <t xml:space="preserve">- </t>
        </r>
        <r>
          <rPr>
            <sz val="9"/>
            <color rgb="FF000000"/>
            <rFont val="돋움"/>
            <family val="2"/>
            <charset val="129"/>
          </rPr>
          <t>여기에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표시되는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일수는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촉진가능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월차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중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후발생하는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월차로서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최대</t>
        </r>
        <r>
          <rPr>
            <sz val="9"/>
            <color rgb="FF000000"/>
            <rFont val="Tahoma"/>
            <family val="2"/>
          </rPr>
          <t xml:space="preserve"> 2</t>
        </r>
        <r>
          <rPr>
            <sz val="9"/>
            <color rgb="FF000000"/>
            <rFont val="돋움"/>
            <family val="2"/>
            <charset val="129"/>
          </rPr>
          <t>개까지만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해당됨</t>
        </r>
      </text>
    </comment>
    <comment ref="AZ6" authorId="1" shapeId="0" xr:uid="{00000000-0006-0000-0200-000009000000}">
      <text>
        <r>
          <rPr>
            <sz val="9"/>
            <color indexed="81"/>
            <rFont val="돋움"/>
            <family val="3"/>
            <charset val="129"/>
          </rPr>
          <t>* 내년도에 이 대장을 사용할 경우, 이 란에 입력된 내용을 내년도 대장의 '전년이월 월차' 란에 옮겨 쓰면 됨</t>
        </r>
      </text>
    </comment>
    <comment ref="BB6" authorId="1" shapeId="0" xr:uid="{00000000-0006-0000-0200-00000A000000}">
      <text>
        <r>
          <rPr>
            <sz val="9"/>
            <color indexed="81"/>
            <rFont val="돋움"/>
            <family val="3"/>
            <charset val="129"/>
          </rPr>
          <t>- 발생하지도 않은 연차를 사용하게 한 경우 임의의 휴가를 부여한 것으로 볼 여지 있음
- 초과사용한 일수를 다음해 연차 또는 급여에서 차감하려면 근로자의 사전 동의 필요
* 다양한 형태로 처리 가능하여 일률적 계산은 불합리하므로 자동계산에서 제외하였음
* 다음해 연차에서 차감하려는 경우에는 다음해 대장의 해당 '직접'란에서 직접 조정</t>
        </r>
      </text>
    </comment>
    <comment ref="W7" authorId="1" shapeId="0" xr:uid="{00000000-0006-0000-0200-00000B000000}">
      <text>
        <r>
          <rPr>
            <sz val="9"/>
            <color rgb="FF000000"/>
            <rFont val="돋움"/>
            <family val="2"/>
            <charset val="129"/>
          </rPr>
          <t xml:space="preserve">- </t>
        </r>
        <r>
          <rPr>
            <sz val="9"/>
            <color rgb="FF000000"/>
            <rFont val="돋움"/>
            <family val="2"/>
            <charset val="129"/>
          </rPr>
          <t>전년</t>
        </r>
        <r>
          <rPr>
            <sz val="9"/>
            <color rgb="FF000000"/>
            <rFont val="돋움"/>
            <family val="2"/>
            <charset val="129"/>
          </rPr>
          <t xml:space="preserve"> 8</t>
        </r>
        <r>
          <rPr>
            <sz val="9"/>
            <color rgb="FF000000"/>
            <rFont val="돋움"/>
            <family val="2"/>
            <charset val="129"/>
          </rPr>
          <t>할미만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출근자</t>
        </r>
        <r>
          <rPr>
            <sz val="9"/>
            <color rgb="FF000000"/>
            <rFont val="돋움"/>
            <family val="2"/>
            <charset val="129"/>
          </rPr>
          <t xml:space="preserve">, </t>
        </r>
        <r>
          <rPr>
            <sz val="9"/>
            <color rgb="FF000000"/>
            <rFont val="돋움"/>
            <family val="2"/>
            <charset val="129"/>
          </rPr>
          <t>연도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중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휴직자로서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금년도에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새로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발생하는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연차일수가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앞의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자동계산된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일수와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다른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경우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직접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입력</t>
        </r>
        <r>
          <rPr>
            <sz val="9"/>
            <color rgb="FF000000"/>
            <rFont val="돋움"/>
            <family val="2"/>
            <charset val="129"/>
          </rPr>
          <t xml:space="preserve">
</t>
        </r>
        <r>
          <rPr>
            <sz val="9"/>
            <color rgb="FF000000"/>
            <rFont val="돋움"/>
            <family val="2"/>
            <charset val="129"/>
          </rPr>
          <t xml:space="preserve">* 2017.5.29. </t>
        </r>
        <r>
          <rPr>
            <sz val="9"/>
            <color rgb="FF000000"/>
            <rFont val="돋움"/>
            <family val="2"/>
            <charset val="129"/>
          </rPr>
          <t>이전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입사자는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전년도에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사용한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월차를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공제한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일수를</t>
        </r>
        <r>
          <rPr>
            <sz val="9"/>
            <color rgb="FF000000"/>
            <rFont val="돋움"/>
            <family val="2"/>
            <charset val="129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입력</t>
        </r>
      </text>
    </comment>
    <comment ref="Y7" authorId="1" shapeId="0" xr:uid="{00000000-0006-0000-0200-00000C000000}">
      <text>
        <r>
          <rPr>
            <sz val="9"/>
            <color indexed="81"/>
            <rFont val="Tahoma"/>
            <family val="2"/>
          </rPr>
          <t>- 1~2</t>
        </r>
        <r>
          <rPr>
            <sz val="9"/>
            <color indexed="81"/>
            <rFont val="돋움"/>
            <family val="3"/>
            <charset val="129"/>
          </rPr>
          <t>년차인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자로서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금년도에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월차일수가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앞의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자동계산된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일수와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  <comment ref="AA7" authorId="1" shapeId="0" xr:uid="{00000000-0006-0000-0200-00000D000000}">
      <text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전년도에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월차일수가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앞의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자동계산된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일수와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전년도에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대장을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대장의</t>
        </r>
        <r>
          <rPr>
            <sz val="9"/>
            <color indexed="81"/>
            <rFont val="Tahoma"/>
            <family val="2"/>
          </rPr>
          <t xml:space="preserve"> '</t>
        </r>
        <r>
          <rPr>
            <sz val="9"/>
            <color indexed="81"/>
            <rFont val="돋움"/>
            <family val="3"/>
            <charset val="129"/>
          </rPr>
          <t>월차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이월</t>
        </r>
        <r>
          <rPr>
            <sz val="9"/>
            <color indexed="81"/>
            <rFont val="Tahoma"/>
            <family val="2"/>
          </rPr>
          <t>' - '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' </t>
        </r>
        <r>
          <rPr>
            <sz val="9"/>
            <color indexed="81"/>
            <rFont val="돋움"/>
            <family val="3"/>
            <charset val="129"/>
          </rPr>
          <t>란에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란에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옮겨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쓰면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</text>
    </comment>
    <comment ref="AB7" authorId="1" shapeId="0" xr:uid="{00000000-0006-0000-0200-00000E000000}">
      <text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전년도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월차사용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일수와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수당지급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전년도에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대장을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대장의</t>
        </r>
        <r>
          <rPr>
            <sz val="9"/>
            <color indexed="81"/>
            <rFont val="Tahoma"/>
            <family val="2"/>
          </rPr>
          <t xml:space="preserve"> '</t>
        </r>
        <r>
          <rPr>
            <sz val="9"/>
            <color indexed="81"/>
            <rFont val="돋움"/>
            <family val="3"/>
            <charset val="129"/>
          </rPr>
          <t>월차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이월</t>
        </r>
        <r>
          <rPr>
            <sz val="9"/>
            <color indexed="81"/>
            <rFont val="Tahoma"/>
            <family val="2"/>
          </rPr>
          <t>' - '</t>
        </r>
        <r>
          <rPr>
            <sz val="9"/>
            <color indexed="81"/>
            <rFont val="돋움"/>
            <family val="3"/>
            <charset val="129"/>
          </rPr>
          <t>소진</t>
        </r>
        <r>
          <rPr>
            <sz val="9"/>
            <color indexed="81"/>
            <rFont val="Tahoma"/>
            <family val="2"/>
          </rPr>
          <t xml:space="preserve">' </t>
        </r>
        <r>
          <rPr>
            <sz val="9"/>
            <color indexed="81"/>
            <rFont val="돋움"/>
            <family val="3"/>
            <charset val="129"/>
          </rPr>
          <t>란에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란에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옮겨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쓰면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</text>
    </comment>
    <comment ref="AQ7" authorId="0" shapeId="0" xr:uid="{00000000-0006-0000-0200-00000F000000}">
      <text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사용촉진을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연차일수를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사용촉진은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의무사항이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아니므로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앞의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자동계산된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전혀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</text>
    </comment>
    <comment ref="AS7" authorId="0" shapeId="0" xr:uid="{00000000-0006-0000-0200-000010000000}">
      <text>
        <r>
          <rPr>
            <sz val="9"/>
            <color rgb="FF000000"/>
            <rFont val="Tahoma"/>
            <family val="2"/>
          </rPr>
          <t xml:space="preserve">- </t>
        </r>
        <r>
          <rPr>
            <sz val="9"/>
            <color rgb="FF000000"/>
            <rFont val="돋움"/>
            <family val="2"/>
            <charset val="129"/>
          </rPr>
          <t>사용촉진을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실시한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월차일수를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직접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입력</t>
        </r>
        <r>
          <rPr>
            <sz val="9"/>
            <color rgb="FF000000"/>
            <rFont val="돋움"/>
            <family val="2"/>
            <charset val="129"/>
          </rPr>
          <t xml:space="preserve">
</t>
        </r>
        <r>
          <rPr>
            <sz val="9"/>
            <color rgb="FF000000"/>
            <rFont val="Tahoma"/>
            <family val="2"/>
          </rPr>
          <t xml:space="preserve">- </t>
        </r>
        <r>
          <rPr>
            <sz val="9"/>
            <color rgb="FF000000"/>
            <rFont val="돋움"/>
            <family val="2"/>
            <charset val="129"/>
          </rPr>
          <t>사용촉진은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의무사항이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아니므로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앞의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자동계산된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일수를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전부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또는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일부만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실시해도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되고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2"/>
            <charset val="129"/>
          </rPr>
          <t>전혀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실시하지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않아도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됨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AU7" authorId="0" shapeId="0" xr:uid="{00000000-0006-0000-0200-000011000000}">
      <text>
        <r>
          <rPr>
            <sz val="9"/>
            <color rgb="FF000000"/>
            <rFont val="Tahoma"/>
            <family val="2"/>
          </rPr>
          <t xml:space="preserve">- </t>
        </r>
        <r>
          <rPr>
            <sz val="9"/>
            <color rgb="FF000000"/>
            <rFont val="돋움"/>
            <family val="2"/>
            <charset val="129"/>
          </rPr>
          <t>사용촉진을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실시한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월차일수를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직접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입력</t>
        </r>
        <r>
          <rPr>
            <sz val="9"/>
            <color rgb="FF000000"/>
            <rFont val="돋움"/>
            <family val="2"/>
            <charset val="129"/>
          </rPr>
          <t xml:space="preserve">
</t>
        </r>
        <r>
          <rPr>
            <sz val="9"/>
            <color rgb="FF000000"/>
            <rFont val="Tahoma"/>
            <family val="2"/>
          </rPr>
          <t xml:space="preserve">- </t>
        </r>
        <r>
          <rPr>
            <sz val="9"/>
            <color rgb="FF000000"/>
            <rFont val="돋움"/>
            <family val="2"/>
            <charset val="129"/>
          </rPr>
          <t>사용촉진은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의무사항이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아니므로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앞의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자동계산된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일수를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전부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또는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일부만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실시해도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되고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2"/>
            <charset val="129"/>
          </rPr>
          <t>전혀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실시하지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않아도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됨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AY7" authorId="1" shapeId="0" xr:uid="{00000000-0006-0000-0200-000012000000}">
      <text>
        <r>
          <rPr>
            <sz val="9"/>
            <color indexed="81"/>
            <rFont val="Tahoma"/>
            <family val="2"/>
          </rPr>
          <t>- 1</t>
        </r>
        <r>
          <rPr>
            <sz val="9"/>
            <color indexed="81"/>
            <rFont val="돋움"/>
            <family val="3"/>
            <charset val="129"/>
          </rPr>
          <t>년미만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근속자의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월차는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입사일로부터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년간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미사용시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수당을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사용촉진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)
- </t>
        </r>
        <r>
          <rPr>
            <sz val="9"/>
            <color indexed="81"/>
            <rFont val="돋움"/>
            <family val="3"/>
            <charset val="129"/>
          </rPr>
          <t>단</t>
        </r>
        <r>
          <rPr>
            <sz val="9"/>
            <color indexed="81"/>
            <rFont val="Tahoma"/>
            <family val="2"/>
          </rPr>
          <t xml:space="preserve">, 2020.3.31. </t>
        </r>
        <r>
          <rPr>
            <sz val="9"/>
            <color indexed="81"/>
            <rFont val="돋움"/>
            <family val="3"/>
            <charset val="129"/>
          </rPr>
          <t>이전에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월차는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발생일로부터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년간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미사용시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수당을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하므로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입사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 xml:space="preserve"> ~ 2</t>
        </r>
        <r>
          <rPr>
            <sz val="9"/>
            <color indexed="81"/>
            <rFont val="돋움"/>
            <family val="3"/>
            <charset val="129"/>
          </rPr>
          <t>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사용촉진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불가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<sst xmlns="http://schemas.openxmlformats.org/spreadsheetml/2006/main" count="289" uniqueCount="223">
  <si>
    <t>인 적 사 항</t>
    <phoneticPr fontId="1" type="noConversion"/>
  </si>
  <si>
    <t>성  명</t>
    <phoneticPr fontId="1" type="noConversion"/>
  </si>
  <si>
    <t>월</t>
    <phoneticPr fontId="1" type="noConversion"/>
  </si>
  <si>
    <t>년</t>
    <phoneticPr fontId="1" type="noConversion"/>
  </si>
  <si>
    <t>일</t>
    <phoneticPr fontId="1" type="noConversion"/>
  </si>
  <si>
    <t>소속/직책</t>
    <phoneticPr fontId="1" type="noConversion"/>
  </si>
  <si>
    <t>근속년수</t>
    <phoneticPr fontId="1" type="noConversion"/>
  </si>
  <si>
    <t>근무년차</t>
    <phoneticPr fontId="1" type="noConversion"/>
  </si>
  <si>
    <t>입사일 기준</t>
    <phoneticPr fontId="1" type="noConversion"/>
  </si>
  <si>
    <t>발생일자</t>
    <phoneticPr fontId="1" type="noConversion"/>
  </si>
  <si>
    <t>발생일수</t>
    <phoneticPr fontId="1" type="noConversion"/>
  </si>
  <si>
    <t>인 적 사 항</t>
    <phoneticPr fontId="1" type="noConversion"/>
  </si>
  <si>
    <t>소속/직책</t>
    <phoneticPr fontId="1" type="noConversion"/>
  </si>
  <si>
    <t>성  명</t>
    <phoneticPr fontId="1" type="noConversion"/>
  </si>
  <si>
    <t>년</t>
    <phoneticPr fontId="1" type="noConversion"/>
  </si>
  <si>
    <t>월</t>
    <phoneticPr fontId="1" type="noConversion"/>
  </si>
  <si>
    <t>일</t>
    <phoneticPr fontId="1" type="noConversion"/>
  </si>
  <si>
    <t>근무년차</t>
    <phoneticPr fontId="1" type="noConversion"/>
  </si>
  <si>
    <t>휴가발생</t>
    <phoneticPr fontId="1" type="noConversion"/>
  </si>
  <si>
    <t>연     간</t>
    <phoneticPr fontId="1" type="noConversion"/>
  </si>
  <si>
    <t>수당발생</t>
    <phoneticPr fontId="1" type="noConversion"/>
  </si>
  <si>
    <t>일     자</t>
    <phoneticPr fontId="1" type="noConversion"/>
  </si>
  <si>
    <t>사용일수</t>
    <phoneticPr fontId="1" type="noConversion"/>
  </si>
  <si>
    <t>일     수</t>
    <phoneticPr fontId="1" type="noConversion"/>
  </si>
  <si>
    <t>발생일자</t>
    <phoneticPr fontId="1" type="noConversion"/>
  </si>
  <si>
    <t>입 사 일 자</t>
    <phoneticPr fontId="1" type="noConversion"/>
  </si>
  <si>
    <t>추가수당</t>
    <phoneticPr fontId="1" type="noConversion"/>
  </si>
  <si>
    <t>발생일수</t>
    <phoneticPr fontId="1" type="noConversion"/>
  </si>
  <si>
    <t>퇴직자 연차수당 정산</t>
    <phoneticPr fontId="1" type="noConversion"/>
  </si>
  <si>
    <t>직접입력*</t>
    <phoneticPr fontId="1" type="noConversion"/>
  </si>
  <si>
    <t>휴가발생일수</t>
    <phoneticPr fontId="1" type="noConversion"/>
  </si>
  <si>
    <t>재직여부</t>
    <phoneticPr fontId="1" type="noConversion"/>
  </si>
  <si>
    <t>합      계</t>
    <phoneticPr fontId="1" type="noConversion"/>
  </si>
  <si>
    <t>회계일:입사일</t>
    <phoneticPr fontId="1" type="noConversion"/>
  </si>
  <si>
    <t>1년미만(월차)</t>
  </si>
  <si>
    <t>1년미만(월차)</t>
    <phoneticPr fontId="1" type="noConversion"/>
  </si>
  <si>
    <t>재직월수</t>
    <phoneticPr fontId="1" type="noConversion"/>
  </si>
  <si>
    <t>초년월수</t>
    <phoneticPr fontId="1" type="noConversion"/>
  </si>
  <si>
    <t>재직여부</t>
    <phoneticPr fontId="1" type="noConversion"/>
  </si>
  <si>
    <t>입사일 기준</t>
    <phoneticPr fontId="1" type="noConversion"/>
  </si>
  <si>
    <t>근속년수</t>
    <phoneticPr fontId="1" type="noConversion"/>
  </si>
  <si>
    <t>계산 기초</t>
    <phoneticPr fontId="1" type="noConversion"/>
  </si>
  <si>
    <t>계산 기초</t>
    <phoneticPr fontId="1" type="noConversion"/>
  </si>
  <si>
    <t>번</t>
    <phoneticPr fontId="1" type="noConversion"/>
  </si>
  <si>
    <t>연차수당 계산기</t>
    <phoneticPr fontId="1" type="noConversion"/>
  </si>
  <si>
    <t>번</t>
    <phoneticPr fontId="1" type="noConversion"/>
  </si>
  <si>
    <t>입력 안해도 됨 *</t>
    <phoneticPr fontId="1" type="noConversion"/>
  </si>
  <si>
    <t>통상월급</t>
    <phoneticPr fontId="1" type="noConversion"/>
  </si>
  <si>
    <t>월소정시간</t>
    <phoneticPr fontId="1" type="noConversion"/>
  </si>
  <si>
    <t>통상시급</t>
    <phoneticPr fontId="1" type="noConversion"/>
  </si>
  <si>
    <t>1일소정시간</t>
    <phoneticPr fontId="1" type="noConversion"/>
  </si>
  <si>
    <t>직접입력***</t>
    <phoneticPr fontId="1" type="noConversion"/>
  </si>
  <si>
    <t>금      액</t>
    <phoneticPr fontId="1" type="noConversion"/>
  </si>
  <si>
    <t>합      계</t>
    <phoneticPr fontId="1" type="noConversion"/>
  </si>
  <si>
    <t>급여계산기</t>
    <phoneticPr fontId="1" type="noConversion"/>
  </si>
  <si>
    <t>년</t>
    <phoneticPr fontId="1" type="noConversion"/>
  </si>
  <si>
    <t>월</t>
    <phoneticPr fontId="1" type="noConversion"/>
  </si>
  <si>
    <t>일</t>
    <phoneticPr fontId="1" type="noConversion"/>
  </si>
  <si>
    <t>발생</t>
    <phoneticPr fontId="1" type="noConversion"/>
  </si>
  <si>
    <t xml:space="preserve"> 금년 월차</t>
    <phoneticPr fontId="1" type="noConversion"/>
  </si>
  <si>
    <t xml:space="preserve"> 금년 연차</t>
    <phoneticPr fontId="1" type="noConversion"/>
  </si>
  <si>
    <t>소진</t>
    <phoneticPr fontId="1" type="noConversion"/>
  </si>
  <si>
    <t>사용할</t>
    <phoneticPr fontId="1" type="noConversion"/>
  </si>
  <si>
    <t>총일수</t>
    <phoneticPr fontId="1" type="noConversion"/>
  </si>
  <si>
    <t>입사일자</t>
    <phoneticPr fontId="1" type="noConversion"/>
  </si>
  <si>
    <t>발생</t>
    <phoneticPr fontId="1" type="noConversion"/>
  </si>
  <si>
    <t>연차</t>
    <phoneticPr fontId="1" type="noConversion"/>
  </si>
  <si>
    <t>월차</t>
    <phoneticPr fontId="1" type="noConversion"/>
  </si>
  <si>
    <t>발생</t>
    <phoneticPr fontId="1" type="noConversion"/>
  </si>
  <si>
    <t>소진</t>
    <phoneticPr fontId="1" type="noConversion"/>
  </si>
  <si>
    <t>사용 일수</t>
    <phoneticPr fontId="1" type="noConversion"/>
  </si>
  <si>
    <t>수당 발생</t>
    <phoneticPr fontId="1" type="noConversion"/>
  </si>
  <si>
    <t>직접</t>
    <phoneticPr fontId="1" type="noConversion"/>
  </si>
  <si>
    <t>직접</t>
    <phoneticPr fontId="1" type="noConversion"/>
  </si>
  <si>
    <t>직접</t>
    <phoneticPr fontId="1" type="noConversion"/>
  </si>
  <si>
    <t xml:space="preserve"> 월차 이월</t>
    <phoneticPr fontId="1" type="noConversion"/>
  </si>
  <si>
    <t>첫회계일</t>
    <phoneticPr fontId="1" type="noConversion"/>
  </si>
  <si>
    <t>(회계연도 기준)</t>
    <phoneticPr fontId="1" type="noConversion"/>
  </si>
  <si>
    <t>회계연도첫날</t>
    <phoneticPr fontId="1" type="noConversion"/>
  </si>
  <si>
    <t>회계연도 기준</t>
    <phoneticPr fontId="1" type="noConversion"/>
  </si>
  <si>
    <t>회계연도첫날</t>
    <phoneticPr fontId="1" type="noConversion"/>
  </si>
  <si>
    <t>회계연도 기준</t>
    <phoneticPr fontId="1" type="noConversion"/>
  </si>
  <si>
    <t>회계연수</t>
    <phoneticPr fontId="1" type="noConversion"/>
  </si>
  <si>
    <t>금년연차</t>
    <phoneticPr fontId="1" type="noConversion"/>
  </si>
  <si>
    <t>금년월차</t>
    <phoneticPr fontId="1" type="noConversion"/>
  </si>
  <si>
    <t>(회계연도 기준)</t>
    <phoneticPr fontId="1" type="noConversion"/>
  </si>
  <si>
    <t>*. 전년 8할미만 출근자, 연도 중 휴직자, 1년미만 근속자로서 앞의 자동계산 일수와 다른 경우 직접 입력함</t>
    <phoneticPr fontId="1" type="noConversion"/>
  </si>
  <si>
    <t>***. 앞의 자동계산된 연차수당 발생일수와 달리 적용하고자 하는 경우 그 일수를 직접 입력함</t>
    <phoneticPr fontId="1" type="noConversion"/>
  </si>
  <si>
    <t>*. 월급제 등에서 통상월급과 월소정시간을 입력하면 통상시급을 산출할 수 있음(필수입력 아님)</t>
    <phoneticPr fontId="1" type="noConversion"/>
  </si>
  <si>
    <t>회계연수</t>
    <phoneticPr fontId="1" type="noConversion"/>
  </si>
  <si>
    <t>**. 23년차 이후의 자는 휴가발생 일수가 25일로 같으므로 23년차 행에 총 발생일수, 총 사용일수를 입력함</t>
    <phoneticPr fontId="1" type="noConversion"/>
  </si>
  <si>
    <t>※ 1) 회계연도 기준이 입사일 기준보다 불리하면 안되므로 퇴직시 입사일 기준에 미달할 경우 정산해야 함</t>
    <phoneticPr fontId="1" type="noConversion"/>
  </si>
  <si>
    <t>개 정 법</t>
    <phoneticPr fontId="1" type="noConversion"/>
  </si>
  <si>
    <t>적용기준</t>
    <phoneticPr fontId="1" type="noConversion"/>
  </si>
  <si>
    <t>입사일자</t>
    <phoneticPr fontId="1" type="noConversion"/>
  </si>
  <si>
    <t>시행일자</t>
    <phoneticPr fontId="1" type="noConversion"/>
  </si>
  <si>
    <t>대 상 자</t>
    <phoneticPr fontId="1" type="noConversion"/>
  </si>
  <si>
    <t>사용합계</t>
    <phoneticPr fontId="1" type="noConversion"/>
  </si>
  <si>
    <t>[수당계산 대상] ① 개인별 연·월차 정산 ② 직원들 연차 정산 ③ 직원들 월차 정산 ………</t>
    <phoneticPr fontId="1" type="noConversion"/>
  </si>
  <si>
    <t>초과</t>
    <phoneticPr fontId="1" type="noConversion"/>
  </si>
  <si>
    <t>사용</t>
    <phoneticPr fontId="1" type="noConversion"/>
  </si>
  <si>
    <t>월차개정</t>
    <phoneticPr fontId="1" type="noConversion"/>
  </si>
  <si>
    <t>기준일(1)</t>
    <phoneticPr fontId="1" type="noConversion"/>
  </si>
  <si>
    <t>기준일(2)</t>
    <phoneticPr fontId="1" type="noConversion"/>
  </si>
  <si>
    <t>차감여부</t>
    <phoneticPr fontId="1" type="noConversion"/>
  </si>
  <si>
    <t>소멸시기</t>
    <phoneticPr fontId="1" type="noConversion"/>
  </si>
  <si>
    <t>전년월차</t>
    <phoneticPr fontId="1" type="noConversion"/>
  </si>
  <si>
    <t xml:space="preserve"> 전년이월 월차</t>
    <phoneticPr fontId="1" type="noConversion"/>
  </si>
  <si>
    <t>입력 또는 자동계산**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</si>
  <si>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**</t>
    </r>
    <r>
      <rPr>
        <sz val="11"/>
        <color rgb="FFFF0000"/>
        <rFont val="맑은 고딕"/>
        <family val="3"/>
        <charset val="129"/>
        <scheme val="minor"/>
      </rPr>
      <t>. 필수 입력사항(새로 입력하거나 자동 계산된 대로). 모르는 경우 여기로 이동 ☞</t>
    </r>
    <phoneticPr fontId="1" type="noConversion"/>
  </si>
  <si>
    <r>
      <t xml:space="preserve">월별 사용일수 </t>
    </r>
    <r>
      <rPr>
        <b/>
        <sz val="10"/>
        <color rgb="FFFF0000"/>
        <rFont val="맑은 고딕"/>
        <family val="3"/>
        <charset val="129"/>
        <scheme val="minor"/>
      </rPr>
      <t>(사용촉진 실시한 일수 제외)</t>
    </r>
    <phoneticPr fontId="1" type="noConversion"/>
  </si>
  <si>
    <t>연차</t>
    <phoneticPr fontId="1" type="noConversion"/>
  </si>
  <si>
    <t>실시</t>
    <phoneticPr fontId="1" type="noConversion"/>
  </si>
  <si>
    <t>월차</t>
    <phoneticPr fontId="1" type="noConversion"/>
  </si>
  <si>
    <t>실시</t>
    <phoneticPr fontId="1" type="noConversion"/>
  </si>
  <si>
    <t>사용일수 배분</t>
    <phoneticPr fontId="1" type="noConversion"/>
  </si>
  <si>
    <t>촉진일수 배분</t>
    <phoneticPr fontId="1" type="noConversion"/>
  </si>
  <si>
    <t>최대일수</t>
    <phoneticPr fontId="1" type="noConversion"/>
  </si>
  <si>
    <t>전년월차</t>
    <phoneticPr fontId="1" type="noConversion"/>
  </si>
  <si>
    <t>금년월차</t>
    <phoneticPr fontId="1" type="noConversion"/>
  </si>
  <si>
    <t>적용년도</t>
    <phoneticPr fontId="1" type="noConversion"/>
  </si>
  <si>
    <t>개 시 일</t>
    <phoneticPr fontId="1" type="noConversion"/>
  </si>
  <si>
    <t>잔여일수</t>
    <phoneticPr fontId="1" type="noConversion"/>
  </si>
  <si>
    <t>검     증</t>
    <phoneticPr fontId="1" type="noConversion"/>
  </si>
  <si>
    <t>연차차감</t>
    <phoneticPr fontId="1" type="noConversion"/>
  </si>
  <si>
    <t>폐 지 일</t>
    <phoneticPr fontId="1" type="noConversion"/>
  </si>
  <si>
    <t>월차 소멸 및 촉진</t>
    <phoneticPr fontId="1" type="noConversion"/>
  </si>
  <si>
    <t>전부적용</t>
    <phoneticPr fontId="1" type="noConversion"/>
  </si>
  <si>
    <t>일부적용</t>
    <phoneticPr fontId="1" type="noConversion"/>
  </si>
  <si>
    <t>월</t>
    <phoneticPr fontId="1" type="noConversion"/>
  </si>
  <si>
    <t>일</t>
    <phoneticPr fontId="1" type="noConversion"/>
  </si>
  <si>
    <t xml:space="preserve">       2차 사용촉진(시기지정·통보 실시)</t>
    <phoneticPr fontId="1" type="noConversion"/>
  </si>
  <si>
    <t>년</t>
    <phoneticPr fontId="1" type="noConversion"/>
  </si>
  <si>
    <t>회계연도 첫날</t>
    <phoneticPr fontId="1" type="noConversion"/>
  </si>
  <si>
    <t xml:space="preserve">       1차 사용촉진(시기지정·통보 촉구)</t>
    <phoneticPr fontId="1" type="noConversion"/>
  </si>
  <si>
    <t>적 용 년 도</t>
    <phoneticPr fontId="1" type="noConversion"/>
  </si>
  <si>
    <t xml:space="preserve"> 촉진가능(선)</t>
    <phoneticPr fontId="1" type="noConversion"/>
  </si>
  <si>
    <t xml:space="preserve"> 촉진가능(후)</t>
    <phoneticPr fontId="1" type="noConversion"/>
  </si>
  <si>
    <t xml:space="preserve"> 촉진 가능</t>
    <phoneticPr fontId="1" type="noConversion"/>
  </si>
  <si>
    <t>촉진가능</t>
    <phoneticPr fontId="1" type="noConversion"/>
  </si>
  <si>
    <t>소수점처리</t>
    <phoneticPr fontId="1" type="noConversion"/>
  </si>
  <si>
    <t>소수점 그대로</t>
    <phoneticPr fontId="1" type="noConversion"/>
  </si>
  <si>
    <t>１일단위 올림</t>
    <phoneticPr fontId="1" type="noConversion"/>
  </si>
  <si>
    <t>반일단위 올림</t>
    <phoneticPr fontId="1" type="noConversion"/>
  </si>
  <si>
    <t>비례-15-15-16…</t>
    <phoneticPr fontId="1" type="noConversion"/>
  </si>
  <si>
    <t>비례-15-16-16…</t>
    <phoneticPr fontId="1" type="noConversion"/>
  </si>
  <si>
    <t>15-15-16-16…</t>
    <phoneticPr fontId="1" type="noConversion"/>
  </si>
  <si>
    <t>근속년수가산</t>
    <phoneticPr fontId="1" type="noConversion"/>
  </si>
  <si>
    <t>근속년수가산</t>
    <phoneticPr fontId="1" type="noConversion"/>
  </si>
  <si>
    <t>범례</t>
    <phoneticPr fontId="1" type="noConversion"/>
  </si>
  <si>
    <t>소수점 그대로</t>
    <phoneticPr fontId="1" type="noConversion"/>
  </si>
  <si>
    <t>１일단위 올림</t>
    <phoneticPr fontId="1" type="noConversion"/>
  </si>
  <si>
    <t>반일단위 올림</t>
    <phoneticPr fontId="1" type="noConversion"/>
  </si>
  <si>
    <t>비례-15-15-16…</t>
    <phoneticPr fontId="1" type="noConversion"/>
  </si>
  <si>
    <t>비례-15-16-16…</t>
    <phoneticPr fontId="1" type="noConversion"/>
  </si>
  <si>
    <t>15-15-16-16…</t>
    <phoneticPr fontId="1" type="noConversion"/>
  </si>
  <si>
    <t>소수점 처리</t>
    <phoneticPr fontId="1" type="noConversion"/>
  </si>
  <si>
    <t>구분</t>
    <phoneticPr fontId="1" type="noConversion"/>
  </si>
  <si>
    <t xml:space="preserve"> ■ 소수점 처리</t>
    <phoneticPr fontId="1" type="noConversion"/>
  </si>
  <si>
    <t xml:space="preserve"> ■ 근속년수 가산</t>
    <phoneticPr fontId="1" type="noConversion"/>
  </si>
  <si>
    <t>옵션</t>
    <phoneticPr fontId="1" type="noConversion"/>
  </si>
  <si>
    <t>설정</t>
    <phoneticPr fontId="1" type="noConversion"/>
  </si>
  <si>
    <t xml:space="preserve"> ■ 근속년수가산</t>
    <phoneticPr fontId="1" type="noConversion"/>
  </si>
  <si>
    <t xml:space="preserve"> ■ 소수점 처리</t>
    <phoneticPr fontId="1" type="noConversion"/>
  </si>
  <si>
    <t>옵션</t>
    <phoneticPr fontId="1" type="noConversion"/>
  </si>
  <si>
    <t>설정</t>
    <phoneticPr fontId="1" type="noConversion"/>
  </si>
  <si>
    <t>연차휴가 계산기</t>
    <phoneticPr fontId="1" type="noConversion"/>
  </si>
  <si>
    <t>(회계연도 기준)</t>
    <phoneticPr fontId="1" type="noConversion"/>
  </si>
  <si>
    <t>옵션 설정</t>
    <phoneticPr fontId="1" type="noConversion"/>
  </si>
  <si>
    <t>옵션 설정</t>
    <phoneticPr fontId="1" type="noConversion"/>
  </si>
  <si>
    <t>연차휴가 관리대장</t>
    <phoneticPr fontId="1" type="noConversion"/>
  </si>
  <si>
    <t>(회계연도 기준)</t>
    <phoneticPr fontId="1" type="noConversion"/>
  </si>
  <si>
    <t>결과</t>
    <phoneticPr fontId="1" type="noConversion"/>
  </si>
  <si>
    <t>옵션
선택</t>
    <phoneticPr fontId="1" type="noConversion"/>
  </si>
  <si>
    <t>월차 소멸일수</t>
    <phoneticPr fontId="1" type="noConversion"/>
  </si>
  <si>
    <t>연차휴가제도 개정 이력</t>
    <phoneticPr fontId="1" type="noConversion"/>
  </si>
  <si>
    <t xml:space="preserve">                     시행일
구  분</t>
    <phoneticPr fontId="1" type="noConversion"/>
  </si>
  <si>
    <r>
      <t xml:space="preserve">2004-07-01*
</t>
    </r>
    <r>
      <rPr>
        <sz val="11"/>
        <color theme="1"/>
        <rFont val="맑은 고딕"/>
        <family val="3"/>
        <charset val="129"/>
        <scheme val="minor"/>
      </rPr>
      <t>(단계적 시행)</t>
    </r>
    <phoneticPr fontId="1" type="noConversion"/>
  </si>
  <si>
    <r>
      <t xml:space="preserve">2018-05-29
</t>
    </r>
    <r>
      <rPr>
        <sz val="11"/>
        <color theme="1"/>
        <rFont val="맑은 고딕"/>
        <family val="3"/>
        <charset val="129"/>
        <scheme val="minor"/>
      </rPr>
      <t>(월차 별도 보장)</t>
    </r>
    <phoneticPr fontId="1" type="noConversion"/>
  </si>
  <si>
    <r>
      <t xml:space="preserve">2020-03-31
</t>
    </r>
    <r>
      <rPr>
        <sz val="11"/>
        <color theme="1"/>
        <rFont val="맑은 고딕"/>
        <family val="3"/>
        <charset val="129"/>
        <scheme val="minor"/>
      </rPr>
      <t>(월차 사용 조정)</t>
    </r>
    <phoneticPr fontId="1" type="noConversion"/>
  </si>
  <si>
    <t>휴가
발생</t>
    <phoneticPr fontId="1" type="noConversion"/>
  </si>
  <si>
    <t>월간 개근시 월 1일
(연차를 당겨 씀)</t>
    <phoneticPr fontId="1" type="noConversion"/>
  </si>
  <si>
    <t>월간 개근시 월 1일
(연차와 별도)</t>
    <phoneticPr fontId="1" type="noConversion"/>
  </si>
  <si>
    <t>→</t>
    <phoneticPr fontId="1" type="noConversion"/>
  </si>
  <si>
    <t>연간 80퍼센트 이상
출근시 연 15일</t>
    <phoneticPr fontId="1" type="noConversion"/>
  </si>
  <si>
    <t>2년당 1일</t>
    <phoneticPr fontId="1" type="noConversion"/>
  </si>
  <si>
    <t>총 25일 한도</t>
    <phoneticPr fontId="1" type="noConversion"/>
  </si>
  <si>
    <t>월차 사용기간</t>
    <phoneticPr fontId="1" type="noConversion"/>
  </si>
  <si>
    <t>발생일로부터 1년간</t>
    <phoneticPr fontId="1" type="noConversion"/>
  </si>
  <si>
    <t>입사일로부터 1년간</t>
    <phoneticPr fontId="1" type="noConversion"/>
  </si>
  <si>
    <t>월차 사용촉진</t>
    <phoneticPr fontId="1" type="noConversion"/>
  </si>
  <si>
    <t>사용촉진 불가</t>
    <phoneticPr fontId="1" type="noConversion"/>
  </si>
  <si>
    <t>사용촉진 가능</t>
    <phoneticPr fontId="1" type="noConversion"/>
  </si>
  <si>
    <t>연차 사용기간</t>
    <phoneticPr fontId="1" type="noConversion"/>
  </si>
  <si>
    <t>연차 사용촉진</t>
    <phoneticPr fontId="1" type="noConversion"/>
  </si>
  <si>
    <t>*.  주 40시간제 시행일. 주 40시간제 시행 전과 비교하는 것은 혼란을 초래할 수 있어 생략하였음.</t>
    <phoneticPr fontId="1" type="noConversion"/>
  </si>
  <si>
    <t>**. 다른 시트와 연동되는 내용이 전혀 없으므로, 충분히 숙지한 경우 이 시트는 삭제해도 무방함.</t>
    <phoneticPr fontId="1" type="noConversion"/>
  </si>
  <si>
    <t>휴가
사용</t>
    <phoneticPr fontId="1" type="noConversion"/>
  </si>
  <si>
    <t>사용촉진 실시</t>
    <phoneticPr fontId="1" type="noConversion"/>
  </si>
  <si>
    <t>보상의무 면제</t>
    <phoneticPr fontId="1" type="noConversion"/>
  </si>
  <si>
    <t>휴가소멸 &amp; 보상의무</t>
    <phoneticPr fontId="1" type="noConversion"/>
  </si>
  <si>
    <t>소멸
·보상</t>
    <phoneticPr fontId="1" type="noConversion"/>
  </si>
  <si>
    <t>휴가 미사용시</t>
    <phoneticPr fontId="1" type="noConversion"/>
  </si>
  <si>
    <t>1년 미만 근속
(월차)</t>
    <phoneticPr fontId="1" type="noConversion"/>
  </si>
  <si>
    <t>1년 이상 근속
(연차)</t>
    <phoneticPr fontId="1" type="noConversion"/>
  </si>
  <si>
    <t>가산일수</t>
    <phoneticPr fontId="1" type="noConversion"/>
  </si>
  <si>
    <t>최대한도</t>
    <phoneticPr fontId="1" type="noConversion"/>
  </si>
  <si>
    <t>월차 준용(가산 없음)</t>
    <phoneticPr fontId="1" type="noConversion"/>
  </si>
  <si>
    <t>요건미달</t>
    <phoneticPr fontId="1" type="noConversion"/>
  </si>
  <si>
    <r>
      <t>퇴사일자</t>
    </r>
    <r>
      <rPr>
        <b/>
        <sz val="10"/>
        <color rgb="FFFF0000"/>
        <rFont val="맑은 고딕"/>
        <family val="3"/>
        <charset val="129"/>
        <scheme val="minor"/>
      </rPr>
      <t xml:space="preserve"> (메모확인 필수)</t>
    </r>
    <phoneticPr fontId="1" type="noConversion"/>
  </si>
  <si>
    <r>
      <t>퇴사일자</t>
    </r>
    <r>
      <rPr>
        <b/>
        <sz val="10"/>
        <color rgb="FFFF0000"/>
        <rFont val="맑은 고딕"/>
        <family val="3"/>
        <charset val="129"/>
        <scheme val="minor"/>
      </rPr>
      <t xml:space="preserve"> (메모확인 필수)</t>
    </r>
    <phoneticPr fontId="1" type="noConversion"/>
  </si>
  <si>
    <t>최종근무</t>
    <phoneticPr fontId="1" type="noConversion"/>
  </si>
  <si>
    <t>기준일자</t>
    <phoneticPr fontId="1" type="noConversion"/>
  </si>
  <si>
    <t>최종근무</t>
    <phoneticPr fontId="1" type="noConversion"/>
  </si>
  <si>
    <t>기준일자</t>
    <phoneticPr fontId="1" type="noConversion"/>
  </si>
  <si>
    <t xml:space="preserve">   2) 표는 두 기준의 차이에 따른 정산이므로 회계연도 기준의 미지급 수당과 추가수당을 합산 지급해야 함</t>
    <phoneticPr fontId="1" type="noConversion"/>
  </si>
  <si>
    <t>일     자</t>
    <phoneticPr fontId="1" type="noConversion"/>
  </si>
  <si>
    <t>합     계</t>
    <phoneticPr fontId="1" type="noConversion"/>
  </si>
  <si>
    <t>박문식</t>
    <phoneticPr fontId="1" type="noConversion"/>
  </si>
  <si>
    <t>김현기</t>
    <phoneticPr fontId="1" type="noConversion"/>
  </si>
  <si>
    <t>김승희</t>
    <phoneticPr fontId="1" type="noConversion"/>
  </si>
  <si>
    <t>장길석</t>
  </si>
  <si>
    <t>* 0.5 이상은 1일 인정. 0.5 미만은 버림. (반차가 없고 : 7시 30분 근무)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</si>
</sst>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_);[Red]\(0\)"/>
    <numFmt numFmtId="177" formatCode="0.0_);[Red]\(0.0\)"/>
    <numFmt numFmtId="178" formatCode="0.0_ "/>
    <numFmt numFmtId="179" formatCode="0_ "/>
    <numFmt numFmtId="180" formatCode="0.0"/>
    <numFmt numFmtId="181" formatCode="#,##0.0_);[Red]\(#,##0.0\)"/>
    <numFmt numFmtId="182" formatCode="0.0_ ;[Red]\-0.0\ "/>
  </numFmts>
  <fonts count="3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20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rgb="FF7030A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0" tint="-4.9989318521683403E-2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sz val="11"/>
      <color rgb="FF00206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11"/>
      <color rgb="FF0070C0"/>
      <name val="맑은 고딕"/>
      <family val="3"/>
      <charset val="129"/>
      <scheme val="minor"/>
    </font>
    <font>
      <b/>
      <u/>
      <sz val="10"/>
      <color theme="0"/>
      <name val="맑은 고딕"/>
      <family val="3"/>
      <charset val="129"/>
      <scheme val="minor"/>
    </font>
    <font>
      <b/>
      <sz val="9"/>
      <color rgb="FF000000"/>
      <name val="Tahoma"/>
      <family val="2"/>
    </font>
    <font>
      <b/>
      <sz val="9"/>
      <color rgb="FF000000"/>
      <name val="돋움"/>
      <family val="2"/>
      <charset val="129"/>
    </font>
    <font>
      <sz val="9"/>
      <color rgb="FF000000"/>
      <name val="Tahoma"/>
      <family val="2"/>
    </font>
    <font>
      <sz val="9"/>
      <color rgb="FF000000"/>
      <name val="돋움"/>
      <family val="2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CC"/>
        <bgColor indexed="64"/>
      </patternFill>
    </fill>
    <fill>
      <gradientFill type="path" left="0.5" right="0.5" top="0.5" bottom="0.5">
        <stop position="0">
          <color rgb="FFFF0000"/>
        </stop>
        <stop position="1">
          <color rgb="FFFFC000"/>
        </stop>
      </gradientFill>
    </fill>
    <fill>
      <patternFill patternType="solid">
        <fgColor rgb="FF99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CC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hair">
        <color indexed="64"/>
      </top>
      <bottom/>
      <diagonal/>
    </border>
  </borders>
  <cellStyleXfs count="2"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443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4" fontId="4" fillId="3" borderId="16" xfId="0" applyNumberFormat="1" applyFont="1" applyFill="1" applyBorder="1" applyAlignment="1">
      <alignment horizontal="center" vertical="center"/>
    </xf>
    <xf numFmtId="178" fontId="2" fillId="3" borderId="4" xfId="0" applyNumberFormat="1" applyFont="1" applyFill="1" applyBorder="1" applyAlignment="1">
      <alignment horizontal="center" vertical="center"/>
    </xf>
    <xf numFmtId="178" fontId="5" fillId="3" borderId="13" xfId="0" applyNumberFormat="1" applyFont="1" applyFill="1" applyBorder="1" applyAlignment="1">
      <alignment horizontal="center" vertical="center"/>
    </xf>
    <xf numFmtId="0" fontId="5" fillId="4" borderId="21" xfId="0" applyFont="1" applyFill="1" applyBorder="1" applyAlignment="1" applyProtection="1">
      <alignment horizontal="center" vertical="center"/>
      <protection locked="0"/>
    </xf>
    <xf numFmtId="0" fontId="5" fillId="4" borderId="22" xfId="0" applyFont="1" applyFill="1" applyBorder="1" applyAlignment="1" applyProtection="1">
      <alignment horizontal="center" vertical="center"/>
      <protection locked="0"/>
    </xf>
    <xf numFmtId="0" fontId="5" fillId="4" borderId="23" xfId="0" applyFont="1" applyFill="1" applyBorder="1" applyAlignment="1" applyProtection="1">
      <alignment horizontal="center" vertical="center"/>
      <protection locked="0"/>
    </xf>
    <xf numFmtId="0" fontId="5" fillId="4" borderId="20" xfId="0" applyFont="1" applyFill="1" applyBorder="1" applyAlignment="1" applyProtection="1">
      <alignment horizontal="center" vertical="center"/>
      <protection locked="0"/>
    </xf>
    <xf numFmtId="0" fontId="5" fillId="4" borderId="43" xfId="0" applyFont="1" applyFill="1" applyBorder="1" applyAlignment="1" applyProtection="1">
      <alignment horizontal="center" vertical="center"/>
      <protection locked="0"/>
    </xf>
    <xf numFmtId="0" fontId="5" fillId="5" borderId="15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46" xfId="0" applyFont="1" applyFill="1" applyBorder="1" applyAlignment="1">
      <alignment horizontal="center" vertical="center"/>
    </xf>
    <xf numFmtId="14" fontId="6" fillId="3" borderId="39" xfId="0" applyNumberFormat="1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horizontal="center" vertical="center"/>
    </xf>
    <xf numFmtId="0" fontId="5" fillId="3" borderId="47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4" fontId="6" fillId="3" borderId="12" xfId="0" applyNumberFormat="1" applyFont="1" applyFill="1" applyBorder="1" applyAlignment="1">
      <alignment horizontal="center" vertical="center"/>
    </xf>
    <xf numFmtId="14" fontId="6" fillId="3" borderId="16" xfId="0" applyNumberFormat="1" applyFont="1" applyFill="1" applyBorder="1" applyAlignment="1">
      <alignment horizontal="center" vertical="center"/>
    </xf>
    <xf numFmtId="14" fontId="6" fillId="3" borderId="37" xfId="0" applyNumberFormat="1" applyFont="1" applyFill="1" applyBorder="1" applyAlignment="1">
      <alignment horizontal="center" vertical="center"/>
    </xf>
    <xf numFmtId="14" fontId="13" fillId="3" borderId="12" xfId="0" applyNumberFormat="1" applyFont="1" applyFill="1" applyBorder="1" applyAlignment="1">
      <alignment horizontal="center" vertical="center"/>
    </xf>
    <xf numFmtId="14" fontId="13" fillId="3" borderId="16" xfId="0" applyNumberFormat="1" applyFont="1" applyFill="1" applyBorder="1" applyAlignment="1">
      <alignment horizontal="center" vertical="center"/>
    </xf>
    <xf numFmtId="14" fontId="6" fillId="3" borderId="10" xfId="0" applyNumberFormat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42" xfId="0" applyFont="1" applyFill="1" applyBorder="1" applyAlignment="1">
      <alignment horizontal="center" vertical="center"/>
    </xf>
    <xf numFmtId="0" fontId="2" fillId="6" borderId="41" xfId="0" applyFont="1" applyFill="1" applyBorder="1" applyAlignment="1">
      <alignment horizontal="center" vertical="center"/>
    </xf>
    <xf numFmtId="176" fontId="5" fillId="3" borderId="4" xfId="0" applyNumberFormat="1" applyFont="1" applyFill="1" applyBorder="1" applyAlignment="1">
      <alignment horizontal="center" vertical="center"/>
    </xf>
    <xf numFmtId="0" fontId="5" fillId="4" borderId="49" xfId="0" applyFont="1" applyFill="1" applyBorder="1" applyAlignment="1" applyProtection="1">
      <alignment horizontal="center" vertical="center"/>
      <protection locked="0"/>
    </xf>
    <xf numFmtId="176" fontId="11" fillId="3" borderId="4" xfId="0" applyNumberFormat="1" applyFont="1" applyFill="1" applyBorder="1" applyAlignment="1">
      <alignment horizontal="center" vertical="center"/>
    </xf>
    <xf numFmtId="14" fontId="6" fillId="3" borderId="4" xfId="0" applyNumberFormat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4" fontId="6" fillId="3" borderId="8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79" fontId="4" fillId="2" borderId="4" xfId="0" applyNumberFormat="1" applyFont="1" applyFill="1" applyBorder="1" applyAlignment="1">
      <alignment horizontal="center" vertical="center" wrapText="1"/>
    </xf>
    <xf numFmtId="178" fontId="5" fillId="3" borderId="16" xfId="0" applyNumberFormat="1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14" fontId="13" fillId="3" borderId="39" xfId="0" applyNumberFormat="1" applyFont="1" applyFill="1" applyBorder="1" applyAlignment="1">
      <alignment horizontal="center" vertical="center"/>
    </xf>
    <xf numFmtId="178" fontId="5" fillId="3" borderId="39" xfId="0" applyNumberFormat="1" applyFont="1" applyFill="1" applyBorder="1" applyAlignment="1">
      <alignment horizontal="center" vertical="center"/>
    </xf>
    <xf numFmtId="14" fontId="12" fillId="3" borderId="16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5" borderId="39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176" fontId="5" fillId="0" borderId="0" xfId="0" quotePrefix="1" applyNumberFormat="1" applyFont="1">
      <alignment vertical="center"/>
    </xf>
    <xf numFmtId="0" fontId="5" fillId="0" borderId="0" xfId="0" quotePrefix="1" applyFont="1">
      <alignment vertical="center"/>
    </xf>
    <xf numFmtId="179" fontId="4" fillId="2" borderId="7" xfId="0" applyNumberFormat="1" applyFont="1" applyFill="1" applyBorder="1" applyAlignment="1">
      <alignment horizontal="center" vertical="center" wrapText="1"/>
    </xf>
    <xf numFmtId="178" fontId="11" fillId="3" borderId="17" xfId="0" applyNumberFormat="1" applyFont="1" applyFill="1" applyBorder="1" applyAlignment="1">
      <alignment horizontal="center" vertical="center"/>
    </xf>
    <xf numFmtId="0" fontId="3" fillId="2" borderId="0" xfId="0" applyFont="1" applyFill="1">
      <alignment vertical="center"/>
    </xf>
    <xf numFmtId="176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4" borderId="20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>
      <alignment horizontal="center" vertical="center"/>
    </xf>
    <xf numFmtId="38" fontId="5" fillId="4" borderId="55" xfId="0" applyNumberFormat="1" applyFont="1" applyFill="1" applyBorder="1" applyAlignment="1" applyProtection="1">
      <alignment horizontal="center" vertical="center"/>
      <protection locked="0"/>
    </xf>
    <xf numFmtId="38" fontId="5" fillId="4" borderId="62" xfId="0" applyNumberFormat="1" applyFont="1" applyFill="1" applyBorder="1" applyAlignment="1" applyProtection="1">
      <alignment horizontal="center" vertical="center"/>
      <protection locked="0"/>
    </xf>
    <xf numFmtId="181" fontId="5" fillId="3" borderId="63" xfId="0" applyNumberFormat="1" applyFont="1" applyFill="1" applyBorder="1" applyAlignment="1">
      <alignment horizontal="center" vertical="center"/>
    </xf>
    <xf numFmtId="38" fontId="5" fillId="4" borderId="56" xfId="0" applyNumberFormat="1" applyFont="1" applyFill="1" applyBorder="1" applyAlignment="1" applyProtection="1">
      <alignment horizontal="center" vertical="center"/>
      <protection locked="0"/>
    </xf>
    <xf numFmtId="38" fontId="5" fillId="4" borderId="17" xfId="0" applyNumberFormat="1" applyFont="1" applyFill="1" applyBorder="1" applyAlignment="1" applyProtection="1">
      <alignment horizontal="center" vertical="center"/>
      <protection locked="0"/>
    </xf>
    <xf numFmtId="181" fontId="5" fillId="4" borderId="28" xfId="0" applyNumberFormat="1" applyFont="1" applyFill="1" applyBorder="1" applyAlignment="1" applyProtection="1">
      <alignment horizontal="center" vertical="center"/>
      <protection locked="0"/>
    </xf>
    <xf numFmtId="0" fontId="5" fillId="2" borderId="45" xfId="0" applyFont="1" applyFill="1" applyBorder="1" applyAlignment="1">
      <alignment horizontal="center" vertical="center"/>
    </xf>
    <xf numFmtId="38" fontId="5" fillId="4" borderId="59" xfId="0" applyNumberFormat="1" applyFont="1" applyFill="1" applyBorder="1" applyAlignment="1" applyProtection="1">
      <alignment horizontal="center" vertical="center"/>
      <protection locked="0"/>
    </xf>
    <xf numFmtId="38" fontId="5" fillId="4" borderId="31" xfId="0" applyNumberFormat="1" applyFont="1" applyFill="1" applyBorder="1" applyAlignment="1" applyProtection="1">
      <alignment horizontal="center" vertical="center"/>
      <protection locked="0"/>
    </xf>
    <xf numFmtId="181" fontId="5" fillId="4" borderId="31" xfId="0" applyNumberFormat="1" applyFont="1" applyFill="1" applyBorder="1" applyAlignment="1" applyProtection="1">
      <alignment horizontal="center" vertical="center"/>
      <protection locked="0"/>
    </xf>
    <xf numFmtId="181" fontId="5" fillId="3" borderId="61" xfId="0" applyNumberFormat="1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4" borderId="55" xfId="0" applyFont="1" applyFill="1" applyBorder="1" applyAlignment="1" applyProtection="1">
      <alignment horizontal="center" vertical="center"/>
      <protection locked="0"/>
    </xf>
    <xf numFmtId="179" fontId="4" fillId="4" borderId="52" xfId="0" applyNumberFormat="1" applyFont="1" applyFill="1" applyBorder="1" applyAlignment="1" applyProtection="1">
      <alignment horizontal="center" vertical="center"/>
      <protection locked="0"/>
    </xf>
    <xf numFmtId="179" fontId="4" fillId="4" borderId="26" xfId="0" applyNumberFormat="1" applyFont="1" applyFill="1" applyBorder="1" applyAlignment="1" applyProtection="1">
      <alignment horizontal="center" vertical="center"/>
      <protection locked="0"/>
    </xf>
    <xf numFmtId="0" fontId="4" fillId="2" borderId="18" xfId="0" applyFont="1" applyFill="1" applyBorder="1" applyAlignment="1">
      <alignment horizontal="center" vertical="center"/>
    </xf>
    <xf numFmtId="0" fontId="4" fillId="4" borderId="56" xfId="0" applyFont="1" applyFill="1" applyBorder="1" applyAlignment="1" applyProtection="1">
      <alignment horizontal="center" vertical="center"/>
      <protection locked="0"/>
    </xf>
    <xf numFmtId="179" fontId="4" fillId="4" borderId="16" xfId="0" applyNumberFormat="1" applyFont="1" applyFill="1" applyBorder="1" applyAlignment="1" applyProtection="1">
      <alignment horizontal="center" vertical="center"/>
      <protection locked="0"/>
    </xf>
    <xf numFmtId="179" fontId="4" fillId="4" borderId="28" xfId="0" applyNumberFormat="1" applyFont="1" applyFill="1" applyBorder="1" applyAlignment="1" applyProtection="1">
      <alignment horizontal="center" vertical="center"/>
      <protection locked="0"/>
    </xf>
    <xf numFmtId="0" fontId="4" fillId="2" borderId="33" xfId="0" applyFont="1" applyFill="1" applyBorder="1" applyAlignment="1">
      <alignment horizontal="center" vertical="center"/>
    </xf>
    <xf numFmtId="0" fontId="4" fillId="4" borderId="59" xfId="0" applyFont="1" applyFill="1" applyBorder="1" applyAlignment="1" applyProtection="1">
      <alignment horizontal="center" vertical="center"/>
      <protection locked="0"/>
    </xf>
    <xf numFmtId="179" fontId="4" fillId="4" borderId="54" xfId="0" applyNumberFormat="1" applyFont="1" applyFill="1" applyBorder="1" applyAlignment="1" applyProtection="1">
      <alignment horizontal="center" vertical="center"/>
      <protection locked="0"/>
    </xf>
    <xf numFmtId="179" fontId="4" fillId="4" borderId="31" xfId="0" applyNumberFormat="1" applyFont="1" applyFill="1" applyBorder="1" applyAlignment="1" applyProtection="1">
      <alignment horizontal="center" vertical="center"/>
      <protection locked="0"/>
    </xf>
    <xf numFmtId="0" fontId="22" fillId="6" borderId="2" xfId="0" applyFont="1" applyFill="1" applyBorder="1" applyAlignment="1">
      <alignment horizontal="center" vertical="center" wrapText="1"/>
    </xf>
    <xf numFmtId="0" fontId="3" fillId="6" borderId="64" xfId="0" applyFont="1" applyFill="1" applyBorder="1" applyAlignment="1">
      <alignment horizontal="center" vertical="center"/>
    </xf>
    <xf numFmtId="0" fontId="19" fillId="6" borderId="42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0" fontId="22" fillId="6" borderId="3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179" fontId="4" fillId="2" borderId="1" xfId="0" applyNumberFormat="1" applyFont="1" applyFill="1" applyBorder="1" applyAlignment="1">
      <alignment horizontal="center" vertical="center" wrapText="1"/>
    </xf>
    <xf numFmtId="179" fontId="4" fillId="2" borderId="10" xfId="0" applyNumberFormat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79" fontId="4" fillId="2" borderId="38" xfId="0" applyNumberFormat="1" applyFont="1" applyFill="1" applyBorder="1" applyAlignment="1">
      <alignment horizontal="center" vertical="center" wrapText="1"/>
    </xf>
    <xf numFmtId="0" fontId="12" fillId="2" borderId="0" xfId="0" applyFont="1" applyFill="1">
      <alignment vertical="center"/>
    </xf>
    <xf numFmtId="0" fontId="15" fillId="2" borderId="10" xfId="0" applyFont="1" applyFill="1" applyBorder="1" applyAlignment="1">
      <alignment horizontal="center" vertical="center" wrapText="1"/>
    </xf>
    <xf numFmtId="178" fontId="4" fillId="3" borderId="47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5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6" borderId="3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4" fillId="3" borderId="6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6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>
      <alignment vertical="center"/>
    </xf>
    <xf numFmtId="0" fontId="5" fillId="4" borderId="32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>
      <alignment vertical="center"/>
    </xf>
    <xf numFmtId="0" fontId="2" fillId="6" borderId="35" xfId="0" applyFont="1" applyFill="1" applyBorder="1" applyAlignment="1">
      <alignment horizontal="center" vertical="center"/>
    </xf>
    <xf numFmtId="14" fontId="6" fillId="3" borderId="3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44" xfId="0" applyFont="1" applyFill="1" applyBorder="1" applyAlignment="1">
      <alignment horizontal="center" vertical="center"/>
    </xf>
    <xf numFmtId="14" fontId="6" fillId="3" borderId="40" xfId="0" applyNumberFormat="1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5" fillId="0" borderId="21" xfId="0" applyFont="1" applyBorder="1" applyAlignment="1" applyProtection="1">
      <alignment horizontal="center" vertical="center"/>
      <protection locked="0"/>
    </xf>
    <xf numFmtId="38" fontId="5" fillId="4" borderId="57" xfId="0" applyNumberFormat="1" applyFont="1" applyFill="1" applyBorder="1" applyAlignment="1" applyProtection="1">
      <alignment horizontal="center" vertical="center"/>
      <protection locked="0"/>
    </xf>
    <xf numFmtId="38" fontId="5" fillId="4" borderId="58" xfId="0" applyNumberFormat="1" applyFont="1" applyFill="1" applyBorder="1" applyAlignment="1" applyProtection="1">
      <alignment horizontal="center" vertical="center"/>
      <protection locked="0"/>
    </xf>
    <xf numFmtId="38" fontId="5" fillId="4" borderId="60" xfId="0" applyNumberFormat="1" applyFont="1" applyFill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center" vertical="center"/>
      <protection locked="0"/>
    </xf>
    <xf numFmtId="0" fontId="5" fillId="0" borderId="23" xfId="0" applyFont="1" applyBorder="1" applyAlignment="1" applyProtection="1">
      <alignment horizontal="center" vertical="center"/>
      <protection locked="0"/>
    </xf>
    <xf numFmtId="182" fontId="4" fillId="4" borderId="57" xfId="0" applyNumberFormat="1" applyFont="1" applyFill="1" applyBorder="1" applyAlignment="1" applyProtection="1">
      <alignment horizontal="center" vertical="center"/>
      <protection locked="0"/>
    </xf>
    <xf numFmtId="182" fontId="4" fillId="3" borderId="58" xfId="0" applyNumberFormat="1" applyFont="1" applyFill="1" applyBorder="1" applyAlignment="1">
      <alignment horizontal="center" vertical="center"/>
    </xf>
    <xf numFmtId="182" fontId="4" fillId="4" borderId="55" xfId="0" applyNumberFormat="1" applyFont="1" applyFill="1" applyBorder="1" applyAlignment="1" applyProtection="1">
      <alignment horizontal="center" vertical="center"/>
      <protection locked="0"/>
    </xf>
    <xf numFmtId="182" fontId="4" fillId="4" borderId="26" xfId="0" applyNumberFormat="1" applyFont="1" applyFill="1" applyBorder="1" applyAlignment="1" applyProtection="1">
      <alignment horizontal="center" vertical="center"/>
      <protection locked="0"/>
    </xf>
    <xf numFmtId="182" fontId="12" fillId="3" borderId="27" xfId="0" applyNumberFormat="1" applyFont="1" applyFill="1" applyBorder="1" applyAlignment="1">
      <alignment horizontal="center" vertical="center"/>
    </xf>
    <xf numFmtId="182" fontId="4" fillId="4" borderId="52" xfId="0" applyNumberFormat="1" applyFont="1" applyFill="1" applyBorder="1" applyAlignment="1" applyProtection="1">
      <alignment horizontal="center" vertical="center"/>
      <protection locked="0"/>
    </xf>
    <xf numFmtId="182" fontId="4" fillId="3" borderId="16" xfId="0" applyNumberFormat="1" applyFont="1" applyFill="1" applyBorder="1" applyAlignment="1">
      <alignment horizontal="center" vertical="center"/>
    </xf>
    <xf numFmtId="182" fontId="4" fillId="4" borderId="58" xfId="0" applyNumberFormat="1" applyFont="1" applyFill="1" applyBorder="1" applyAlignment="1" applyProtection="1">
      <alignment horizontal="center" vertical="center"/>
      <protection locked="0"/>
    </xf>
    <xf numFmtId="182" fontId="4" fillId="4" borderId="56" xfId="0" applyNumberFormat="1" applyFont="1" applyFill="1" applyBorder="1" applyAlignment="1" applyProtection="1">
      <alignment horizontal="center" vertical="center"/>
      <protection locked="0"/>
    </xf>
    <xf numFmtId="182" fontId="4" fillId="4" borderId="28" xfId="0" applyNumberFormat="1" applyFont="1" applyFill="1" applyBorder="1" applyAlignment="1" applyProtection="1">
      <alignment horizontal="center" vertical="center"/>
      <protection locked="0"/>
    </xf>
    <xf numFmtId="182" fontId="4" fillId="4" borderId="16" xfId="0" applyNumberFormat="1" applyFont="1" applyFill="1" applyBorder="1" applyAlignment="1" applyProtection="1">
      <alignment horizontal="center" vertical="center"/>
      <protection locked="0"/>
    </xf>
    <xf numFmtId="182" fontId="4" fillId="3" borderId="56" xfId="0" applyNumberFormat="1" applyFont="1" applyFill="1" applyBorder="1" applyAlignment="1">
      <alignment horizontal="center" vertical="center"/>
    </xf>
    <xf numFmtId="182" fontId="16" fillId="3" borderId="17" xfId="0" applyNumberFormat="1" applyFont="1" applyFill="1" applyBorder="1">
      <alignment vertical="center"/>
    </xf>
    <xf numFmtId="182" fontId="4" fillId="3" borderId="61" xfId="0" applyNumberFormat="1" applyFont="1" applyFill="1" applyBorder="1" applyAlignment="1">
      <alignment horizontal="center" vertical="center"/>
    </xf>
    <xf numFmtId="182" fontId="4" fillId="4" borderId="60" xfId="0" applyNumberFormat="1" applyFont="1" applyFill="1" applyBorder="1" applyAlignment="1" applyProtection="1">
      <alignment horizontal="center" vertical="center"/>
      <protection locked="0"/>
    </xf>
    <xf numFmtId="182" fontId="4" fillId="4" borderId="59" xfId="0" applyNumberFormat="1" applyFont="1" applyFill="1" applyBorder="1" applyAlignment="1" applyProtection="1">
      <alignment horizontal="center" vertical="center"/>
      <protection locked="0"/>
    </xf>
    <xf numFmtId="182" fontId="4" fillId="4" borderId="31" xfId="0" applyNumberFormat="1" applyFont="1" applyFill="1" applyBorder="1" applyAlignment="1" applyProtection="1">
      <alignment horizontal="center" vertical="center"/>
      <protection locked="0"/>
    </xf>
    <xf numFmtId="182" fontId="4" fillId="4" borderId="54" xfId="0" applyNumberFormat="1" applyFont="1" applyFill="1" applyBorder="1" applyAlignment="1" applyProtection="1">
      <alignment horizontal="center" vertical="center"/>
      <protection locked="0"/>
    </xf>
    <xf numFmtId="182" fontId="4" fillId="3" borderId="65" xfId="0" applyNumberFormat="1" applyFont="1" applyFill="1" applyBorder="1" applyAlignment="1">
      <alignment horizontal="center" vertical="center"/>
    </xf>
    <xf numFmtId="182" fontId="4" fillId="3" borderId="37" xfId="0" applyNumberFormat="1" applyFont="1" applyFill="1" applyBorder="1" applyAlignment="1">
      <alignment horizontal="center" vertical="center"/>
    </xf>
    <xf numFmtId="182" fontId="16" fillId="3" borderId="19" xfId="0" applyNumberFormat="1" applyFont="1" applyFill="1" applyBorder="1">
      <alignment vertical="center"/>
    </xf>
    <xf numFmtId="0" fontId="4" fillId="2" borderId="0" xfId="0" applyFont="1" applyFill="1">
      <alignment vertical="center"/>
    </xf>
    <xf numFmtId="0" fontId="3" fillId="6" borderId="4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182" fontId="4" fillId="3" borderId="37" xfId="0" applyNumberFormat="1" applyFont="1" applyFill="1" applyBorder="1">
      <alignment vertical="center"/>
    </xf>
    <xf numFmtId="176" fontId="5" fillId="3" borderId="16" xfId="0" applyNumberFormat="1" applyFont="1" applyFill="1" applyBorder="1" applyAlignment="1">
      <alignment horizontal="center" vertical="center"/>
    </xf>
    <xf numFmtId="181" fontId="5" fillId="4" borderId="69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182" fontId="4" fillId="3" borderId="16" xfId="0" applyNumberFormat="1" applyFont="1" applyFill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 wrapText="1"/>
    </xf>
    <xf numFmtId="182" fontId="12" fillId="0" borderId="57" xfId="0" applyNumberFormat="1" applyFont="1" applyBorder="1" applyAlignment="1" applyProtection="1">
      <alignment horizontal="center" vertical="center"/>
      <protection locked="0"/>
    </xf>
    <xf numFmtId="182" fontId="12" fillId="0" borderId="58" xfId="0" applyNumberFormat="1" applyFont="1" applyBorder="1" applyAlignment="1" applyProtection="1">
      <alignment horizontal="center" vertical="center"/>
      <protection locked="0"/>
    </xf>
    <xf numFmtId="182" fontId="12" fillId="0" borderId="60" xfId="0" applyNumberFormat="1" applyFont="1" applyBorder="1" applyAlignment="1" applyProtection="1">
      <alignment horizontal="center" vertical="center"/>
      <protection locked="0"/>
    </xf>
    <xf numFmtId="177" fontId="4" fillId="3" borderId="47" xfId="0" applyNumberFormat="1" applyFont="1" applyFill="1" applyBorder="1" applyAlignment="1">
      <alignment horizontal="center" vertical="center"/>
    </xf>
    <xf numFmtId="177" fontId="4" fillId="3" borderId="17" xfId="0" applyNumberFormat="1" applyFont="1" applyFill="1" applyBorder="1" applyAlignment="1">
      <alignment horizontal="center" vertical="center"/>
    </xf>
    <xf numFmtId="177" fontId="4" fillId="3" borderId="16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8" fontId="4" fillId="3" borderId="16" xfId="0" applyNumberFormat="1" applyFont="1" applyFill="1" applyBorder="1" applyAlignment="1">
      <alignment horizontal="center" vertical="center"/>
    </xf>
    <xf numFmtId="178" fontId="4" fillId="3" borderId="39" xfId="0" applyNumberFormat="1" applyFont="1" applyFill="1" applyBorder="1" applyAlignment="1">
      <alignment horizontal="center" vertical="center"/>
    </xf>
    <xf numFmtId="178" fontId="4" fillId="3" borderId="3" xfId="0" applyNumberFormat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178" fontId="4" fillId="3" borderId="37" xfId="0" applyNumberFormat="1" applyFont="1" applyFill="1" applyBorder="1" applyAlignment="1">
      <alignment horizontal="center" vertical="center"/>
    </xf>
    <xf numFmtId="182" fontId="12" fillId="3" borderId="58" xfId="0" applyNumberFormat="1" applyFont="1" applyFill="1" applyBorder="1" applyAlignment="1">
      <alignment horizontal="center" vertical="center"/>
    </xf>
    <xf numFmtId="182" fontId="12" fillId="3" borderId="61" xfId="0" applyNumberFormat="1" applyFont="1" applyFill="1" applyBorder="1" applyAlignment="1">
      <alignment horizontal="center" vertical="center"/>
    </xf>
    <xf numFmtId="176" fontId="5" fillId="3" borderId="37" xfId="0" applyNumberFormat="1" applyFont="1" applyFill="1" applyBorder="1" applyAlignment="1">
      <alignment horizontal="center" vertical="center"/>
    </xf>
    <xf numFmtId="176" fontId="4" fillId="2" borderId="7" xfId="0" applyNumberFormat="1" applyFont="1" applyFill="1" applyBorder="1" applyAlignment="1">
      <alignment horizontal="center" vertical="center" wrapText="1"/>
    </xf>
    <xf numFmtId="176" fontId="5" fillId="3" borderId="17" xfId="0" applyNumberFormat="1" applyFont="1" applyFill="1" applyBorder="1" applyAlignment="1">
      <alignment horizontal="center" vertical="center"/>
    </xf>
    <xf numFmtId="176" fontId="11" fillId="0" borderId="0" xfId="0" applyNumberFormat="1" applyFont="1">
      <alignment vertical="center"/>
    </xf>
    <xf numFmtId="176" fontId="4" fillId="2" borderId="7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7" fontId="4" fillId="3" borderId="37" xfId="0" applyNumberFormat="1" applyFont="1" applyFill="1" applyBorder="1" applyAlignment="1">
      <alignment horizontal="center" vertical="center"/>
    </xf>
    <xf numFmtId="180" fontId="12" fillId="3" borderId="58" xfId="0" applyNumberFormat="1" applyFont="1" applyFill="1" applyBorder="1" applyAlignment="1">
      <alignment horizontal="center" vertical="center"/>
    </xf>
    <xf numFmtId="180" fontId="12" fillId="3" borderId="61" xfId="0" applyNumberFormat="1" applyFont="1" applyFill="1" applyBorder="1" applyAlignment="1">
      <alignment horizontal="center" vertical="center"/>
    </xf>
    <xf numFmtId="180" fontId="16" fillId="3" borderId="16" xfId="0" applyNumberFormat="1" applyFont="1" applyFill="1" applyBorder="1">
      <alignment vertical="center"/>
    </xf>
    <xf numFmtId="180" fontId="16" fillId="3" borderId="16" xfId="0" applyNumberFormat="1" applyFont="1" applyFill="1" applyBorder="1" applyAlignment="1">
      <alignment horizontal="center" vertical="center"/>
    </xf>
    <xf numFmtId="180" fontId="16" fillId="3" borderId="37" xfId="0" applyNumberFormat="1" applyFont="1" applyFill="1" applyBorder="1">
      <alignment vertical="center"/>
    </xf>
    <xf numFmtId="180" fontId="16" fillId="3" borderId="37" xfId="0" applyNumberFormat="1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178" fontId="4" fillId="3" borderId="13" xfId="0" applyNumberFormat="1" applyFont="1" applyFill="1" applyBorder="1" applyAlignment="1">
      <alignment horizontal="center" vertical="center"/>
    </xf>
    <xf numFmtId="178" fontId="4" fillId="3" borderId="17" xfId="0" applyNumberFormat="1" applyFont="1" applyFill="1" applyBorder="1" applyAlignment="1">
      <alignment horizontal="center" vertical="center"/>
    </xf>
    <xf numFmtId="178" fontId="4" fillId="3" borderId="19" xfId="0" applyNumberFormat="1" applyFont="1" applyFill="1" applyBorder="1" applyAlignment="1">
      <alignment horizontal="center" vertical="center"/>
    </xf>
    <xf numFmtId="0" fontId="2" fillId="2" borderId="70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10" fillId="2" borderId="0" xfId="0" applyFont="1" applyFill="1" applyAlignment="1"/>
    <xf numFmtId="14" fontId="16" fillId="2" borderId="0" xfId="0" applyNumberFormat="1" applyFont="1" applyFill="1">
      <alignment vertical="center"/>
    </xf>
    <xf numFmtId="0" fontId="19" fillId="2" borderId="9" xfId="0" applyFont="1" applyFill="1" applyBorder="1">
      <alignment vertical="center"/>
    </xf>
    <xf numFmtId="0" fontId="19" fillId="2" borderId="5" xfId="0" applyFont="1" applyFill="1" applyBorder="1">
      <alignment vertical="center"/>
    </xf>
    <xf numFmtId="0" fontId="19" fillId="2" borderId="38" xfId="0" applyFont="1" applyFill="1" applyBorder="1">
      <alignment vertical="center"/>
    </xf>
    <xf numFmtId="0" fontId="19" fillId="2" borderId="51" xfId="0" applyFont="1" applyFill="1" applyBorder="1">
      <alignment vertical="center"/>
    </xf>
    <xf numFmtId="0" fontId="14" fillId="9" borderId="2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176" fontId="12" fillId="0" borderId="0" xfId="0" applyNumberFormat="1" applyFont="1" applyAlignment="1"/>
    <xf numFmtId="176" fontId="12" fillId="0" borderId="0" xfId="0" applyNumberFormat="1" applyFont="1" applyAlignment="1">
      <alignment vertical="top"/>
    </xf>
    <xf numFmtId="14" fontId="12" fillId="0" borderId="0" xfId="0" applyNumberFormat="1" applyFont="1" applyAlignment="1">
      <alignment horizontal="center" vertical="center"/>
    </xf>
    <xf numFmtId="176" fontId="12" fillId="0" borderId="0" xfId="0" applyNumberFormat="1" applyFont="1">
      <alignment vertical="center"/>
    </xf>
    <xf numFmtId="176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24" fillId="2" borderId="9" xfId="0" applyFont="1" applyFill="1" applyBorder="1">
      <alignment vertical="center"/>
    </xf>
    <xf numFmtId="0" fontId="24" fillId="2" borderId="5" xfId="0" applyFont="1" applyFill="1" applyBorder="1">
      <alignment vertical="center"/>
    </xf>
    <xf numFmtId="0" fontId="25" fillId="2" borderId="38" xfId="0" applyFont="1" applyFill="1" applyBorder="1" applyAlignment="1">
      <alignment horizontal="center" vertical="center"/>
    </xf>
    <xf numFmtId="0" fontId="25" fillId="2" borderId="5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/>
    </xf>
    <xf numFmtId="0" fontId="4" fillId="10" borderId="8" xfId="0" applyFont="1" applyFill="1" applyBorder="1" applyAlignment="1" applyProtection="1">
      <alignment horizontal="center" vertical="center"/>
      <protection locked="0"/>
    </xf>
    <xf numFmtId="0" fontId="4" fillId="10" borderId="4" xfId="0" applyFont="1" applyFill="1" applyBorder="1" applyAlignment="1" applyProtection="1">
      <alignment horizontal="center" vertical="center"/>
      <protection locked="0"/>
    </xf>
    <xf numFmtId="0" fontId="2" fillId="2" borderId="77" xfId="0" applyFont="1" applyFill="1" applyBorder="1" applyAlignment="1">
      <alignment horizontal="center" vertical="center"/>
    </xf>
    <xf numFmtId="178" fontId="5" fillId="3" borderId="17" xfId="0" applyNumberFormat="1" applyFont="1" applyFill="1" applyBorder="1" applyAlignment="1">
      <alignment horizontal="center" vertical="center"/>
    </xf>
    <xf numFmtId="178" fontId="5" fillId="3" borderId="66" xfId="0" applyNumberFormat="1" applyFont="1" applyFill="1" applyBorder="1" applyAlignment="1">
      <alignment horizontal="center" vertical="center"/>
    </xf>
    <xf numFmtId="178" fontId="5" fillId="3" borderId="37" xfId="0" applyNumberFormat="1" applyFont="1" applyFill="1" applyBorder="1" applyAlignment="1">
      <alignment horizontal="center" vertical="center"/>
    </xf>
    <xf numFmtId="0" fontId="26" fillId="0" borderId="0" xfId="0" applyFont="1">
      <alignment vertical="center"/>
    </xf>
    <xf numFmtId="14" fontId="2" fillId="6" borderId="2" xfId="0" applyNumberFormat="1" applyFont="1" applyFill="1" applyBorder="1" applyAlignment="1">
      <alignment horizontal="center" vertical="center" wrapText="1"/>
    </xf>
    <xf numFmtId="14" fontId="2" fillId="6" borderId="6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14" fontId="6" fillId="3" borderId="24" xfId="0" applyNumberFormat="1" applyFont="1" applyFill="1" applyBorder="1" applyAlignment="1">
      <alignment horizontal="center" vertical="center"/>
    </xf>
    <xf numFmtId="0" fontId="5" fillId="3" borderId="8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16" fillId="0" borderId="0" xfId="0" applyFont="1">
      <alignment vertical="center"/>
    </xf>
    <xf numFmtId="14" fontId="4" fillId="3" borderId="37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8" fillId="2" borderId="38" xfId="0" applyFont="1" applyFill="1" applyBorder="1" applyAlignment="1">
      <alignment horizontal="center" vertical="center"/>
    </xf>
    <xf numFmtId="0" fontId="28" fillId="2" borderId="5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6" borderId="41" xfId="0" applyFont="1" applyFill="1" applyBorder="1" applyAlignment="1">
      <alignment horizontal="center" vertical="center"/>
    </xf>
    <xf numFmtId="0" fontId="2" fillId="6" borderId="68" xfId="0" applyFont="1" applyFill="1" applyBorder="1" applyAlignment="1">
      <alignment horizontal="center" vertical="center"/>
    </xf>
    <xf numFmtId="0" fontId="5" fillId="4" borderId="36" xfId="0" applyFont="1" applyFill="1" applyBorder="1" applyAlignment="1" applyProtection="1">
      <alignment horizontal="center" vertical="center"/>
      <protection locked="0"/>
    </xf>
    <xf numFmtId="0" fontId="5" fillId="4" borderId="43" xfId="0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178" fontId="5" fillId="3" borderId="17" xfId="0" applyNumberFormat="1" applyFont="1" applyFill="1" applyBorder="1" applyAlignment="1">
      <alignment horizontal="center" vertical="center"/>
    </xf>
    <xf numFmtId="178" fontId="5" fillId="3" borderId="18" xfId="0" applyNumberFormat="1" applyFont="1" applyFill="1" applyBorder="1" applyAlignment="1">
      <alignment horizontal="center" vertical="center"/>
    </xf>
    <xf numFmtId="178" fontId="5" fillId="3" borderId="19" xfId="0" applyNumberFormat="1" applyFont="1" applyFill="1" applyBorder="1" applyAlignment="1">
      <alignment horizontal="center" vertical="center"/>
    </xf>
    <xf numFmtId="178" fontId="5" fillId="3" borderId="33" xfId="0" applyNumberFormat="1" applyFont="1" applyFill="1" applyBorder="1" applyAlignment="1">
      <alignment horizontal="center" vertical="center"/>
    </xf>
    <xf numFmtId="178" fontId="2" fillId="3" borderId="4" xfId="0" applyNumberFormat="1" applyFont="1" applyFill="1" applyBorder="1" applyAlignment="1">
      <alignment horizontal="center" vertical="center"/>
    </xf>
    <xf numFmtId="178" fontId="2" fillId="3" borderId="10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178" fontId="5" fillId="3" borderId="17" xfId="0" quotePrefix="1" applyNumberFormat="1" applyFont="1" applyFill="1" applyBorder="1" applyAlignment="1">
      <alignment horizontal="center" vertical="center"/>
    </xf>
    <xf numFmtId="178" fontId="5" fillId="3" borderId="18" xfId="0" quotePrefix="1" applyNumberFormat="1" applyFont="1" applyFill="1" applyBorder="1" applyAlignment="1">
      <alignment horizontal="center" vertical="center"/>
    </xf>
    <xf numFmtId="178" fontId="5" fillId="4" borderId="27" xfId="0" applyNumberFormat="1" applyFont="1" applyFill="1" applyBorder="1" applyAlignment="1" applyProtection="1">
      <alignment horizontal="center" vertical="center"/>
      <protection locked="0"/>
    </xf>
    <xf numFmtId="178" fontId="5" fillId="4" borderId="18" xfId="0" applyNumberFormat="1" applyFont="1" applyFill="1" applyBorder="1" applyAlignment="1" applyProtection="1">
      <alignment horizontal="center" vertical="center"/>
      <protection locked="0"/>
    </xf>
    <xf numFmtId="14" fontId="4" fillId="3" borderId="18" xfId="0" applyNumberFormat="1" applyFont="1" applyFill="1" applyBorder="1" applyAlignment="1">
      <alignment horizontal="center" vertical="center"/>
    </xf>
    <xf numFmtId="14" fontId="4" fillId="3" borderId="15" xfId="0" applyNumberFormat="1" applyFont="1" applyFill="1" applyBorder="1" applyAlignment="1">
      <alignment horizontal="center" vertical="center"/>
    </xf>
    <xf numFmtId="178" fontId="5" fillId="4" borderId="71" xfId="0" applyNumberFormat="1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178" fontId="5" fillId="3" borderId="13" xfId="0" quotePrefix="1" applyNumberFormat="1" applyFont="1" applyFill="1" applyBorder="1" applyAlignment="1">
      <alignment horizontal="center" vertical="center"/>
    </xf>
    <xf numFmtId="178" fontId="5" fillId="3" borderId="14" xfId="0" quotePrefix="1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178" fontId="5" fillId="4" borderId="25" xfId="0" applyNumberFormat="1" applyFont="1" applyFill="1" applyBorder="1" applyAlignment="1" applyProtection="1">
      <alignment horizontal="center" vertical="center"/>
      <protection locked="0"/>
    </xf>
    <xf numFmtId="178" fontId="5" fillId="4" borderId="72" xfId="0" applyNumberFormat="1" applyFont="1" applyFill="1" applyBorder="1" applyAlignment="1" applyProtection="1">
      <alignment horizontal="center" vertical="center"/>
      <protection locked="0"/>
    </xf>
    <xf numFmtId="14" fontId="13" fillId="3" borderId="14" xfId="0" quotePrefix="1" applyNumberFormat="1" applyFont="1" applyFill="1" applyBorder="1" applyAlignment="1">
      <alignment horizontal="center" vertical="center"/>
    </xf>
    <xf numFmtId="14" fontId="13" fillId="3" borderId="11" xfId="0" applyNumberFormat="1" applyFont="1" applyFill="1" applyBorder="1" applyAlignment="1">
      <alignment horizontal="center" vertical="center"/>
    </xf>
    <xf numFmtId="178" fontId="5" fillId="4" borderId="74" xfId="0" applyNumberFormat="1" applyFont="1" applyFill="1" applyBorder="1" applyAlignment="1" applyProtection="1">
      <alignment horizontal="center" vertical="center"/>
      <protection locked="0"/>
    </xf>
    <xf numFmtId="0" fontId="19" fillId="2" borderId="7" xfId="0" applyFont="1" applyFill="1" applyBorder="1" applyAlignment="1">
      <alignment horizontal="left" vertical="center"/>
    </xf>
    <xf numFmtId="0" fontId="19" fillId="2" borderId="38" xfId="0" applyFont="1" applyFill="1" applyBorder="1" applyAlignment="1">
      <alignment horizontal="left" vertical="center"/>
    </xf>
    <xf numFmtId="0" fontId="19" fillId="2" borderId="6" xfId="0" applyFont="1" applyFill="1" applyBorder="1" applyAlignment="1">
      <alignment horizontal="left" vertical="center"/>
    </xf>
    <xf numFmtId="0" fontId="19" fillId="2" borderId="9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178" fontId="5" fillId="4" borderId="29" xfId="0" applyNumberFormat="1" applyFont="1" applyFill="1" applyBorder="1" applyAlignment="1" applyProtection="1">
      <alignment horizontal="center" vertical="center"/>
      <protection locked="0"/>
    </xf>
    <xf numFmtId="178" fontId="5" fillId="4" borderId="75" xfId="0" applyNumberFormat="1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>
      <alignment horizontal="center" vertical="center"/>
    </xf>
    <xf numFmtId="0" fontId="12" fillId="2" borderId="9" xfId="0" applyFont="1" applyFill="1" applyBorder="1">
      <alignment vertical="center"/>
    </xf>
    <xf numFmtId="0" fontId="4" fillId="2" borderId="0" xfId="0" applyFont="1" applyFill="1">
      <alignment vertical="center"/>
    </xf>
    <xf numFmtId="14" fontId="13" fillId="3" borderId="18" xfId="0" quotePrefix="1" applyNumberFormat="1" applyFont="1" applyFill="1" applyBorder="1" applyAlignment="1">
      <alignment horizontal="center" vertical="center"/>
    </xf>
    <xf numFmtId="14" fontId="13" fillId="3" borderId="15" xfId="0" applyNumberFormat="1" applyFont="1" applyFill="1" applyBorder="1" applyAlignment="1">
      <alignment horizontal="center" vertical="center"/>
    </xf>
    <xf numFmtId="178" fontId="5" fillId="4" borderId="73" xfId="0" applyNumberFormat="1" applyFont="1" applyFill="1" applyBorder="1" applyAlignment="1" applyProtection="1">
      <alignment horizontal="center" vertical="center"/>
      <protection locked="0"/>
    </xf>
    <xf numFmtId="14" fontId="4" fillId="3" borderId="33" xfId="0" applyNumberFormat="1" applyFont="1" applyFill="1" applyBorder="1" applyAlignment="1">
      <alignment horizontal="center" vertical="center"/>
    </xf>
    <xf numFmtId="14" fontId="4" fillId="3" borderId="45" xfId="0" applyNumberFormat="1" applyFont="1" applyFill="1" applyBorder="1" applyAlignment="1">
      <alignment horizontal="center" vertical="center"/>
    </xf>
    <xf numFmtId="0" fontId="5" fillId="0" borderId="76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14" fontId="13" fillId="3" borderId="47" xfId="0" applyNumberFormat="1" applyFont="1" applyFill="1" applyBorder="1" applyAlignment="1">
      <alignment horizontal="center" vertical="center"/>
    </xf>
    <xf numFmtId="14" fontId="13" fillId="3" borderId="46" xfId="0" applyNumberFormat="1" applyFont="1" applyFill="1" applyBorder="1" applyAlignment="1">
      <alignment horizontal="center" vertical="center"/>
    </xf>
    <xf numFmtId="14" fontId="4" fillId="3" borderId="17" xfId="0" applyNumberFormat="1" applyFont="1" applyFill="1" applyBorder="1" applyAlignment="1">
      <alignment horizontal="center" vertical="center"/>
    </xf>
    <xf numFmtId="180" fontId="5" fillId="3" borderId="16" xfId="0" applyNumberFormat="1" applyFont="1" applyFill="1" applyBorder="1" applyAlignment="1">
      <alignment horizontal="center" vertical="center"/>
    </xf>
    <xf numFmtId="180" fontId="5" fillId="3" borderId="39" xfId="0" quotePrefix="1" applyNumberFormat="1" applyFont="1" applyFill="1" applyBorder="1" applyAlignment="1">
      <alignment horizontal="center" vertical="center"/>
    </xf>
    <xf numFmtId="180" fontId="5" fillId="3" borderId="39" xfId="0" applyNumberFormat="1" applyFont="1" applyFill="1" applyBorder="1" applyAlignment="1">
      <alignment horizontal="center" vertical="center"/>
    </xf>
    <xf numFmtId="14" fontId="5" fillId="2" borderId="16" xfId="0" applyNumberFormat="1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4" fillId="2" borderId="9" xfId="0" applyFont="1" applyFill="1" applyBorder="1" applyAlignment="1">
      <alignment vertical="center" wrapText="1"/>
    </xf>
    <xf numFmtId="0" fontId="4" fillId="2" borderId="9" xfId="0" applyFont="1" applyFill="1" applyBorder="1">
      <alignment vertical="center"/>
    </xf>
    <xf numFmtId="180" fontId="2" fillId="3" borderId="4" xfId="0" applyNumberFormat="1" applyFont="1" applyFill="1" applyBorder="1" applyAlignment="1">
      <alignment horizontal="center" vertical="center"/>
    </xf>
    <xf numFmtId="180" fontId="2" fillId="3" borderId="10" xfId="0" applyNumberFormat="1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14" fontId="4" fillId="3" borderId="19" xfId="0" applyNumberFormat="1" applyFont="1" applyFill="1" applyBorder="1" applyAlignment="1">
      <alignment horizontal="center" vertical="center"/>
    </xf>
    <xf numFmtId="0" fontId="2" fillId="2" borderId="4" xfId="0" quotePrefix="1" applyFont="1" applyFill="1" applyBorder="1" applyAlignment="1">
      <alignment horizontal="center" vertical="center"/>
    </xf>
    <xf numFmtId="0" fontId="2" fillId="2" borderId="10" xfId="0" quotePrefix="1" applyFont="1" applyFill="1" applyBorder="1" applyAlignment="1">
      <alignment horizontal="center" vertical="center"/>
    </xf>
    <xf numFmtId="0" fontId="2" fillId="2" borderId="8" xfId="0" quotePrefix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13" fillId="2" borderId="39" xfId="0" quotePrefix="1" applyFont="1" applyFill="1" applyBorder="1" applyAlignment="1">
      <alignment horizontal="center" vertical="center"/>
    </xf>
    <xf numFmtId="0" fontId="13" fillId="2" borderId="39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4" fillId="2" borderId="4" xfId="0" applyFont="1" applyFill="1" applyBorder="1" applyAlignment="1">
      <alignment horizontal="center" vertical="center"/>
    </xf>
    <xf numFmtId="0" fontId="19" fillId="2" borderId="4" xfId="0" applyFont="1" applyFill="1" applyBorder="1">
      <alignment vertical="center"/>
    </xf>
    <xf numFmtId="0" fontId="19" fillId="2" borderId="10" xfId="0" applyFont="1" applyFill="1" applyBorder="1">
      <alignment vertical="center"/>
    </xf>
    <xf numFmtId="0" fontId="19" fillId="2" borderId="8" xfId="0" applyFont="1" applyFill="1" applyBorder="1">
      <alignment vertical="center"/>
    </xf>
    <xf numFmtId="0" fontId="12" fillId="2" borderId="1" xfId="0" applyFont="1" applyFill="1" applyBorder="1" applyAlignment="1">
      <alignment horizontal="center"/>
    </xf>
    <xf numFmtId="0" fontId="12" fillId="10" borderId="1" xfId="0" applyFont="1" applyFill="1" applyBorder="1" applyAlignment="1" applyProtection="1">
      <alignment horizontal="center" vertical="center"/>
      <protection locked="0"/>
    </xf>
    <xf numFmtId="0" fontId="12" fillId="2" borderId="4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/>
    </xf>
    <xf numFmtId="0" fontId="12" fillId="10" borderId="4" xfId="0" applyFont="1" applyFill="1" applyBorder="1" applyAlignment="1" applyProtection="1">
      <alignment horizontal="center" vertical="center"/>
      <protection locked="0"/>
    </xf>
    <xf numFmtId="0" fontId="3" fillId="6" borderId="6" xfId="0" applyFont="1" applyFill="1" applyBorder="1">
      <alignment vertical="center"/>
    </xf>
    <xf numFmtId="0" fontId="3" fillId="6" borderId="5" xfId="0" applyFont="1" applyFill="1" applyBorder="1">
      <alignment vertical="center"/>
    </xf>
    <xf numFmtId="0" fontId="2" fillId="9" borderId="9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/>
    </xf>
    <xf numFmtId="0" fontId="12" fillId="3" borderId="13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/>
    </xf>
    <xf numFmtId="0" fontId="12" fillId="3" borderId="17" xfId="0" applyFont="1" applyFill="1" applyBorder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3" fillId="6" borderId="6" xfId="0" applyFont="1" applyFill="1" applyBorder="1" applyAlignment="1">
      <alignment vertical="center" wrapText="1"/>
    </xf>
    <xf numFmtId="0" fontId="3" fillId="6" borderId="9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>
      <alignment vertical="center"/>
    </xf>
    <xf numFmtId="0" fontId="22" fillId="6" borderId="6" xfId="0" applyFont="1" applyFill="1" applyBorder="1" applyAlignment="1">
      <alignment vertical="center" wrapText="1"/>
    </xf>
    <xf numFmtId="0" fontId="22" fillId="6" borderId="8" xfId="0" applyFont="1" applyFill="1" applyBorder="1" applyAlignment="1">
      <alignment vertical="center" wrapText="1"/>
    </xf>
    <xf numFmtId="0" fontId="3" fillId="6" borderId="8" xfId="0" applyFont="1" applyFill="1" applyBorder="1" applyAlignment="1">
      <alignment vertical="center" wrapText="1"/>
    </xf>
    <xf numFmtId="0" fontId="3" fillId="6" borderId="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top"/>
    </xf>
    <xf numFmtId="0" fontId="2" fillId="2" borderId="34" xfId="0" applyFont="1" applyFill="1" applyBorder="1" applyAlignment="1">
      <alignment horizontal="center" vertical="top"/>
    </xf>
    <xf numFmtId="0" fontId="12" fillId="3" borderId="16" xfId="0" applyFont="1" applyFill="1" applyBorder="1" applyAlignment="1">
      <alignment horizontal="center" vertical="center"/>
    </xf>
    <xf numFmtId="0" fontId="12" fillId="3" borderId="37" xfId="0" applyFont="1" applyFill="1" applyBorder="1" applyAlignment="1" applyProtection="1">
      <alignment horizontal="center" vertical="center"/>
      <protection locked="0"/>
    </xf>
    <xf numFmtId="0" fontId="12" fillId="3" borderId="37" xfId="0" applyFont="1" applyFill="1" applyBorder="1" applyAlignment="1">
      <alignment horizontal="center"/>
    </xf>
    <xf numFmtId="0" fontId="12" fillId="3" borderId="19" xfId="0" applyFont="1" applyFill="1" applyBorder="1" applyAlignment="1">
      <alignment horizontal="center"/>
    </xf>
    <xf numFmtId="0" fontId="3" fillId="6" borderId="51" xfId="0" applyFont="1" applyFill="1" applyBorder="1" applyAlignment="1">
      <alignment horizontal="center" vertical="center"/>
    </xf>
    <xf numFmtId="38" fontId="5" fillId="4" borderId="27" xfId="0" applyNumberFormat="1" applyFont="1" applyFill="1" applyBorder="1" applyAlignment="1" applyProtection="1">
      <alignment horizontal="center" vertical="center"/>
      <protection locked="0"/>
    </xf>
    <xf numFmtId="38" fontId="5" fillId="4" borderId="15" xfId="0" applyNumberFormat="1" applyFont="1" applyFill="1" applyBorder="1" applyAlignment="1" applyProtection="1">
      <alignment horizontal="center" vertical="center"/>
      <protection locked="0"/>
    </xf>
    <xf numFmtId="38" fontId="5" fillId="3" borderId="27" xfId="0" applyNumberFormat="1" applyFont="1" applyFill="1" applyBorder="1" applyAlignment="1">
      <alignment horizontal="center" vertical="center"/>
    </xf>
    <xf numFmtId="38" fontId="5" fillId="3" borderId="18" xfId="0" applyNumberFormat="1" applyFont="1" applyFill="1" applyBorder="1" applyAlignment="1">
      <alignment horizontal="center" vertical="center"/>
    </xf>
    <xf numFmtId="0" fontId="5" fillId="2" borderId="0" xfId="0" applyFont="1" applyFill="1">
      <alignment vertical="center"/>
    </xf>
    <xf numFmtId="38" fontId="5" fillId="4" borderId="29" xfId="0" applyNumberFormat="1" applyFont="1" applyFill="1" applyBorder="1" applyAlignment="1" applyProtection="1">
      <alignment horizontal="center" vertical="center"/>
      <protection locked="0"/>
    </xf>
    <xf numFmtId="38" fontId="5" fillId="4" borderId="30" xfId="0" applyNumberFormat="1" applyFont="1" applyFill="1" applyBorder="1" applyAlignment="1" applyProtection="1">
      <alignment horizontal="center" vertical="center"/>
      <protection locked="0"/>
    </xf>
    <xf numFmtId="38" fontId="5" fillId="3" borderId="78" xfId="0" applyNumberFormat="1" applyFont="1" applyFill="1" applyBorder="1" applyAlignment="1">
      <alignment horizontal="center" vertical="center"/>
    </xf>
    <xf numFmtId="38" fontId="5" fillId="3" borderId="33" xfId="0" applyNumberFormat="1" applyFont="1" applyFill="1" applyBorder="1" applyAlignment="1">
      <alignment horizontal="center" vertical="center"/>
    </xf>
    <xf numFmtId="38" fontId="4" fillId="3" borderId="4" xfId="0" applyNumberFormat="1" applyFont="1" applyFill="1" applyBorder="1" applyAlignment="1">
      <alignment horizontal="center" vertical="center"/>
    </xf>
    <xf numFmtId="38" fontId="4" fillId="3" borderId="10" xfId="0" applyNumberFormat="1" applyFont="1" applyFill="1" applyBorder="1" applyAlignment="1">
      <alignment horizontal="center" vertical="center"/>
    </xf>
    <xf numFmtId="0" fontId="5" fillId="2" borderId="9" xfId="0" applyFont="1" applyFill="1" applyBorder="1">
      <alignment vertical="center"/>
    </xf>
    <xf numFmtId="0" fontId="23" fillId="2" borderId="0" xfId="0" applyFont="1" applyFill="1">
      <alignment vertical="center"/>
    </xf>
    <xf numFmtId="0" fontId="23" fillId="2" borderId="50" xfId="0" applyFont="1" applyFill="1" applyBorder="1">
      <alignment vertical="center"/>
    </xf>
    <xf numFmtId="0" fontId="29" fillId="7" borderId="36" xfId="1" applyFont="1" applyFill="1" applyBorder="1" applyAlignment="1" applyProtection="1">
      <alignment horizontal="center" vertical="center"/>
    </xf>
    <xf numFmtId="0" fontId="29" fillId="7" borderId="32" xfId="1" applyFont="1" applyFill="1" applyBorder="1" applyAlignment="1" applyProtection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17" fillId="2" borderId="38" xfId="0" applyFont="1" applyFill="1" applyBorder="1">
      <alignment vertical="center"/>
    </xf>
    <xf numFmtId="0" fontId="14" fillId="8" borderId="38" xfId="0" applyFont="1" applyFill="1" applyBorder="1" applyAlignment="1">
      <alignment horizontal="center" vertical="center"/>
    </xf>
    <xf numFmtId="0" fontId="14" fillId="8" borderId="53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6" borderId="41" xfId="0" applyFont="1" applyFill="1" applyBorder="1" applyAlignment="1">
      <alignment horizontal="center" vertical="center"/>
    </xf>
    <xf numFmtId="0" fontId="14" fillId="6" borderId="68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38" xfId="0" applyFont="1" applyFill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/>
    </xf>
    <xf numFmtId="0" fontId="2" fillId="6" borderId="51" xfId="0" applyFont="1" applyFill="1" applyBorder="1" applyAlignment="1">
      <alignment horizontal="center" vertical="center"/>
    </xf>
    <xf numFmtId="0" fontId="2" fillId="6" borderId="35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0" fontId="18" fillId="6" borderId="8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0" fontId="18" fillId="2" borderId="0" xfId="0" applyFont="1" applyFill="1">
      <alignment vertical="center"/>
    </xf>
    <xf numFmtId="0" fontId="10" fillId="2" borderId="38" xfId="0" quotePrefix="1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5" fillId="11" borderId="51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6" borderId="80" xfId="0" applyFont="1" applyFill="1" applyBorder="1" applyAlignment="1">
      <alignment horizontal="center" vertical="center" wrapText="1"/>
    </xf>
    <xf numFmtId="0" fontId="5" fillId="6" borderId="79" xfId="0" applyFont="1" applyFill="1" applyBorder="1" applyAlignment="1">
      <alignment horizontal="center" vertical="center" wrapText="1"/>
    </xf>
    <xf numFmtId="0" fontId="5" fillId="11" borderId="34" xfId="0" applyFont="1" applyFill="1" applyBorder="1" applyAlignment="1">
      <alignment horizontal="center" vertical="center" wrapText="1"/>
    </xf>
    <xf numFmtId="0" fontId="5" fillId="11" borderId="24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7">
    <dxf>
      <font>
        <b/>
        <i val="0"/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CC"/>
      <color rgb="FFFFFFCC"/>
      <color rgb="FFFFFF99"/>
      <color rgb="FFFFCC00"/>
      <color rgb="FFFF0000"/>
      <color rgb="FFFFFF00"/>
      <color rgb="FFFFCCCC"/>
      <color rgb="FFFF9999"/>
      <color rgb="FFFF7C8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Lines="3" dropStyle="combo" dx="16" fmlaLink="$A$42" fmlaRange="$A$39:$A$41" sel="1" val="0"/>
</file>

<file path=xl/ctrlProps/ctrlProp2.xml><?xml version="1.0" encoding="utf-8"?>
<formControlPr xmlns="http://schemas.microsoft.com/office/spreadsheetml/2009/9/main" objectType="Drop" dropLines="3" dropStyle="combo" dx="16" fmlaLink="$B$42" fmlaRange="$B$39:$B$41" sel="1" val="0"/>
</file>

<file path=xl/ctrlProps/ctrlProp3.xml><?xml version="1.0" encoding="utf-8"?>
<formControlPr xmlns="http://schemas.microsoft.com/office/spreadsheetml/2009/9/main" objectType="Drop" dropLines="3" dropStyle="combo" dx="16" fmlaLink="$E$6" fmlaRange="$E$3:$E$5" sel="1" val="0"/>
</file>

<file path=xl/ctrlProps/ctrlProp4.xml><?xml version="1.0" encoding="utf-8"?>
<formControlPr xmlns="http://schemas.microsoft.com/office/spreadsheetml/2009/9/main" objectType="Drop" dropLines="3" dropStyle="combo" dx="16" fmlaLink="$F$6" fmlaRange="$F$3:$F$5" sel="1" val="0"/>
</file>

<file path=xl/ctrlProps/ctrlProp5.xml><?xml version="1.0" encoding="utf-8"?>
<formControlPr xmlns="http://schemas.microsoft.com/office/spreadsheetml/2009/9/main" objectType="Drop" dropLines="3" dropStyle="combo" dx="16" fmlaLink="$M$5" fmlaRange="$M$2:$N$4" sel="1" val="0"/>
</file>

<file path=xl/ctrlProps/ctrlProp6.xml><?xml version="1.0" encoding="utf-8"?>
<formControlPr xmlns="http://schemas.microsoft.com/office/spreadsheetml/2009/9/main" objectType="Drop" dropLines="3" dropStyle="combo" dx="16" fmlaLink="$O$5" fmlaRange="$O$2:$P$4" sel="1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blog.naver.com/ccpwoong/221286725796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blog.naver.com/ccpwoong/221286725796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blog.naver.com/ccpwoong/221286725796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blog.naver.com/ccpwoong/221286725796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495300</xdr:colOff>
      <xdr:row>37</xdr:row>
      <xdr:rowOff>28575</xdr:rowOff>
    </xdr:from>
    <xdr:to>
      <xdr:col>8</xdr:col>
      <xdr:colOff>405145</xdr:colOff>
      <xdr:row>38</xdr:row>
      <xdr:rowOff>161925</xdr:rowOff>
    </xdr:to>
    <xdr:pic>
      <xdr:nvPicPr>
        <xdr:cNvPr id="3" name="그림 2" descr="검색창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076700" y="8763000"/>
          <a:ext cx="1662445" cy="3714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177800</xdr:colOff>
          <xdr:row>1</xdr:row>
          <xdr:rowOff>63500</xdr:rowOff>
        </xdr:from>
        <xdr:to>
          <xdr:col>13</xdr:col>
          <xdr:colOff>406400</xdr:colOff>
          <xdr:row>1</xdr:row>
          <xdr:rowOff>203200</xdr:rowOff>
        </xdr:to>
        <xdr:sp macro="" textlink="">
          <xdr:nvSpPr>
            <xdr:cNvPr id="2060" name="Drop Down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177800</xdr:colOff>
          <xdr:row>2</xdr:row>
          <xdr:rowOff>38100</xdr:rowOff>
        </xdr:from>
        <xdr:to>
          <xdr:col>13</xdr:col>
          <xdr:colOff>406400</xdr:colOff>
          <xdr:row>2</xdr:row>
          <xdr:rowOff>177800</xdr:rowOff>
        </xdr:to>
        <xdr:sp macro="" textlink="">
          <xdr:nvSpPr>
            <xdr:cNvPr id="2062" name="Drop Down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485775</xdr:colOff>
      <xdr:row>36</xdr:row>
      <xdr:rowOff>28575</xdr:rowOff>
    </xdr:from>
    <xdr:to>
      <xdr:col>11</xdr:col>
      <xdr:colOff>395620</xdr:colOff>
      <xdr:row>37</xdr:row>
      <xdr:rowOff>161925</xdr:rowOff>
    </xdr:to>
    <xdr:pic>
      <xdr:nvPicPr>
        <xdr:cNvPr id="4" name="그림 3" descr="검색창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38375" y="8601075"/>
          <a:ext cx="1662445" cy="3714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177800</xdr:colOff>
          <xdr:row>1</xdr:row>
          <xdr:rowOff>63500</xdr:rowOff>
        </xdr:from>
        <xdr:to>
          <xdr:col>16</xdr:col>
          <xdr:colOff>406400</xdr:colOff>
          <xdr:row>1</xdr:row>
          <xdr:rowOff>203200</xdr:rowOff>
        </xdr:to>
        <xdr:sp macro="" textlink="">
          <xdr:nvSpPr>
            <xdr:cNvPr id="3075" name="Drop Down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177800</xdr:colOff>
          <xdr:row>2</xdr:row>
          <xdr:rowOff>38100</xdr:rowOff>
        </xdr:from>
        <xdr:to>
          <xdr:col>16</xdr:col>
          <xdr:colOff>406400</xdr:colOff>
          <xdr:row>2</xdr:row>
          <xdr:rowOff>177800</xdr:rowOff>
        </xdr:to>
        <xdr:sp macro="" textlink="">
          <xdr:nvSpPr>
            <xdr:cNvPr id="3076" name="Drop Down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342900</xdr:colOff>
      <xdr:row>28</xdr:row>
      <xdr:rowOff>38100</xdr:rowOff>
    </xdr:from>
    <xdr:to>
      <xdr:col>37</xdr:col>
      <xdr:colOff>52720</xdr:colOff>
      <xdr:row>29</xdr:row>
      <xdr:rowOff>152400</xdr:rowOff>
    </xdr:to>
    <xdr:pic>
      <xdr:nvPicPr>
        <xdr:cNvPr id="2" name="그림 1" descr="검색창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38925" y="7239000"/>
          <a:ext cx="1662445" cy="371475"/>
        </a:xfrm>
        <a:prstGeom prst="rect">
          <a:avLst/>
        </a:prstGeom>
      </xdr:spPr>
    </xdr:pic>
    <xdr:clientData/>
  </xdr:twoCellAnchor>
  <xdr:twoCellAnchor>
    <xdr:from>
      <xdr:col>29</xdr:col>
      <xdr:colOff>76200</xdr:colOff>
      <xdr:row>3</xdr:row>
      <xdr:rowOff>57150</xdr:rowOff>
    </xdr:from>
    <xdr:to>
      <xdr:col>29</xdr:col>
      <xdr:colOff>238125</xdr:colOff>
      <xdr:row>3</xdr:row>
      <xdr:rowOff>209550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4954250" y="828675"/>
          <a:ext cx="161925" cy="152400"/>
        </a:xfrm>
        <a:prstGeom prst="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35</xdr:col>
      <xdr:colOff>76200</xdr:colOff>
      <xdr:row>3</xdr:row>
      <xdr:rowOff>57150</xdr:rowOff>
    </xdr:from>
    <xdr:to>
      <xdr:col>35</xdr:col>
      <xdr:colOff>238125</xdr:colOff>
      <xdr:row>3</xdr:row>
      <xdr:rowOff>209550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7297400" y="828675"/>
          <a:ext cx="161925" cy="152400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50</xdr:col>
          <xdr:colOff>330200</xdr:colOff>
          <xdr:row>2</xdr:row>
          <xdr:rowOff>63500</xdr:rowOff>
        </xdr:from>
        <xdr:to>
          <xdr:col>53</xdr:col>
          <xdr:colOff>342900</xdr:colOff>
          <xdr:row>2</xdr:row>
          <xdr:rowOff>215900</xdr:rowOff>
        </xdr:to>
        <xdr:sp macro="" textlink="">
          <xdr:nvSpPr>
            <xdr:cNvPr id="4122" name="Drop Down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2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50</xdr:col>
          <xdr:colOff>330200</xdr:colOff>
          <xdr:row>3</xdr:row>
          <xdr:rowOff>25400</xdr:rowOff>
        </xdr:from>
        <xdr:to>
          <xdr:col>53</xdr:col>
          <xdr:colOff>342900</xdr:colOff>
          <xdr:row>3</xdr:row>
          <xdr:rowOff>190500</xdr:rowOff>
        </xdr:to>
        <xdr:sp macro="" textlink="">
          <xdr:nvSpPr>
            <xdr:cNvPr id="4123" name="Drop Down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2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485775</xdr:colOff>
      <xdr:row>31</xdr:row>
      <xdr:rowOff>85725</xdr:rowOff>
    </xdr:from>
    <xdr:to>
      <xdr:col>6</xdr:col>
      <xdr:colOff>700420</xdr:colOff>
      <xdr:row>32</xdr:row>
      <xdr:rowOff>180975</xdr:rowOff>
    </xdr:to>
    <xdr:pic>
      <xdr:nvPicPr>
        <xdr:cNvPr id="2" name="그림 1" descr="검색창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38375" y="8648700"/>
          <a:ext cx="1662445" cy="3714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&#49324;&#50857;&#51088;/Desktop/&#45236;&#47928;&#49436;/1&#44221;&#50689;&#44288;&#47532;/2&#49324;&#47924;/1&#48660;&#47196;&#44536;&#52392;&#48512;/&#51088;&#46041;&#44228;&#49328;&#44592;/&#53748;&#51649;&#44552;&#44228;&#49328;&#44592;(2016032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산기(간이)"/>
      <sheetName val="계산기(입력)"/>
      <sheetName val="산정서(일반)"/>
      <sheetName val="산정서(5인미만)"/>
      <sheetName val="메모(숨김)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mments" Target="../comments3.xml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blog.naver.com/ccpwoong/80198276600" TargetMode="External"/><Relationship Id="rId1" Type="http://schemas.openxmlformats.org/officeDocument/2006/relationships/hyperlink" Target="http://ccpwoong.blog.me/80198276600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showGridLines="0" topLeftCell="D1" zoomScale="130" zoomScaleNormal="130" workbookViewId="0">
      <pane ySplit="10" topLeftCell="A11" activePane="bottomLeft" state="frozen"/>
      <selection activeCell="D1" sqref="D1:M2"/>
      <selection pane="bottomLeft" activeCell="F11" sqref="F11"/>
    </sheetView>
  </sheetViews>
  <sheetFormatPr baseColWidth="10" defaultColWidth="9" defaultRowHeight="18.75" customHeight="1"/>
  <cols>
    <col min="1" max="1" width="8" style="1" hidden="1" customWidth="1"/>
    <col min="2" max="2" width="8" style="7" hidden="1" customWidth="1"/>
    <col min="3" max="3" width="8" style="1" hidden="1" customWidth="1"/>
    <col min="4" max="6" width="11.5" style="1" customWidth="1"/>
    <col min="7" max="14" width="5.6640625" style="1" customWidth="1"/>
    <col min="15" max="23" width="9" style="2"/>
    <col min="24" max="16384" width="9" style="1"/>
  </cols>
  <sheetData>
    <row r="1" spans="1:14" ht="18.75" customHeight="1">
      <c r="A1" s="311" t="s">
        <v>42</v>
      </c>
      <c r="B1" s="311"/>
      <c r="C1" s="311"/>
      <c r="D1" s="294" t="s">
        <v>166</v>
      </c>
      <c r="E1" s="294"/>
      <c r="F1" s="294"/>
      <c r="G1" s="294"/>
      <c r="H1" s="294"/>
      <c r="I1" s="204"/>
      <c r="J1" s="204"/>
      <c r="K1" s="204"/>
      <c r="L1" s="204"/>
      <c r="M1" s="204"/>
      <c r="N1" s="204"/>
    </row>
    <row r="2" spans="1:14" ht="18.75" customHeight="1">
      <c r="A2" s="98" t="s">
        <v>64</v>
      </c>
      <c r="B2" s="99" t="s">
        <v>76</v>
      </c>
      <c r="C2" s="100" t="s">
        <v>211</v>
      </c>
      <c r="D2" s="294"/>
      <c r="E2" s="294"/>
      <c r="F2" s="294"/>
      <c r="G2" s="294"/>
      <c r="H2" s="294"/>
      <c r="I2" s="230" t="s">
        <v>164</v>
      </c>
      <c r="J2" s="302" t="s">
        <v>163</v>
      </c>
      <c r="K2" s="303"/>
      <c r="L2" s="303"/>
      <c r="M2" s="226"/>
      <c r="N2" s="227"/>
    </row>
    <row r="3" spans="1:14" ht="18.75" customHeight="1">
      <c r="A3" s="45">
        <f>IF(ISERR(DATE(F7,G7,H7)),"e",DATE(F7,G7,H7))</f>
        <v>45048</v>
      </c>
      <c r="B3" s="47">
        <f>IF(A5&lt;2,DATE(F7+1,M7,N7),DATE(F7,M7,N7))</f>
        <v>45292</v>
      </c>
      <c r="C3" s="33" t="str">
        <f>IF(ISERR(DATE(I7,K7,L7)),"e",DATE(I7,K7,L7)-1)</f>
        <v>e</v>
      </c>
      <c r="D3" s="265" t="s">
        <v>167</v>
      </c>
      <c r="E3" s="265"/>
      <c r="F3" s="265"/>
      <c r="G3" s="265"/>
      <c r="H3" s="266"/>
      <c r="I3" s="231" t="s">
        <v>165</v>
      </c>
      <c r="J3" s="300" t="s">
        <v>162</v>
      </c>
      <c r="K3" s="301"/>
      <c r="L3" s="301"/>
      <c r="M3" s="228"/>
      <c r="N3" s="229"/>
    </row>
    <row r="4" spans="1:14" ht="15" customHeight="1">
      <c r="A4" s="46" t="s">
        <v>33</v>
      </c>
      <c r="B4" s="48" t="s">
        <v>37</v>
      </c>
      <c r="C4" s="48" t="s">
        <v>36</v>
      </c>
      <c r="D4" s="3"/>
      <c r="E4" s="3"/>
      <c r="F4" s="3"/>
      <c r="G4" s="3"/>
      <c r="H4" s="3"/>
      <c r="I4" s="3"/>
      <c r="J4" s="3"/>
      <c r="K4" s="3"/>
      <c r="L4" s="3"/>
      <c r="M4" s="232"/>
      <c r="N4" s="232"/>
    </row>
    <row r="5" spans="1:14" ht="18.75" customHeight="1">
      <c r="A5" s="27">
        <f>IF(G7*100+H7&gt;M7*100+N7,0,IF(G7*100+H7=M7*100+N7,1,2))</f>
        <v>0</v>
      </c>
      <c r="B5" s="39">
        <f>DATEDIF(A3,B3,"m")-IF(H7=N7,1,0)</f>
        <v>7</v>
      </c>
      <c r="C5" s="41">
        <f>IF(C3="e",1200,DATEDIF(A3,C3,"m"))</f>
        <v>1200</v>
      </c>
      <c r="D5" s="304" t="s">
        <v>11</v>
      </c>
      <c r="E5" s="305"/>
      <c r="F5" s="305" t="s">
        <v>25</v>
      </c>
      <c r="G5" s="305"/>
      <c r="H5" s="306"/>
      <c r="I5" s="305" t="s">
        <v>209</v>
      </c>
      <c r="J5" s="305"/>
      <c r="K5" s="305"/>
      <c r="L5" s="305"/>
      <c r="M5" s="280" t="s">
        <v>80</v>
      </c>
      <c r="N5" s="281"/>
    </row>
    <row r="6" spans="1:14" ht="18.75" customHeight="1" thickBot="1">
      <c r="A6" s="98" t="s">
        <v>101</v>
      </c>
      <c r="B6" s="103" t="s">
        <v>102</v>
      </c>
      <c r="C6" s="101" t="s">
        <v>103</v>
      </c>
      <c r="D6" s="34" t="s">
        <v>12</v>
      </c>
      <c r="E6" s="35" t="s">
        <v>13</v>
      </c>
      <c r="F6" s="35" t="s">
        <v>14</v>
      </c>
      <c r="G6" s="35" t="s">
        <v>15</v>
      </c>
      <c r="H6" s="36" t="s">
        <v>16</v>
      </c>
      <c r="I6" s="267" t="s">
        <v>3</v>
      </c>
      <c r="J6" s="268"/>
      <c r="K6" s="37" t="s">
        <v>2</v>
      </c>
      <c r="L6" s="37" t="s">
        <v>4</v>
      </c>
      <c r="M6" s="37" t="s">
        <v>15</v>
      </c>
      <c r="N6" s="38" t="s">
        <v>16</v>
      </c>
    </row>
    <row r="7" spans="1:14" ht="18.75" customHeight="1" thickBot="1">
      <c r="A7" s="165" t="s">
        <v>104</v>
      </c>
      <c r="B7" s="47">
        <v>42885</v>
      </c>
      <c r="C7" s="45">
        <v>43249</v>
      </c>
      <c r="D7" s="15"/>
      <c r="E7" s="40"/>
      <c r="F7" s="12">
        <v>2023</v>
      </c>
      <c r="G7" s="13">
        <v>5</v>
      </c>
      <c r="H7" s="14">
        <v>2</v>
      </c>
      <c r="I7" s="269"/>
      <c r="J7" s="270"/>
      <c r="K7" s="13"/>
      <c r="L7" s="14"/>
      <c r="M7" s="16">
        <v>1</v>
      </c>
      <c r="N7" s="123">
        <v>1</v>
      </c>
    </row>
    <row r="8" spans="1:14" ht="15" customHeight="1">
      <c r="A8" s="165" t="s">
        <v>105</v>
      </c>
      <c r="B8" s="47">
        <v>43586</v>
      </c>
      <c r="C8" s="47">
        <v>43891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8.75" customHeight="1">
      <c r="A9" s="311" t="s">
        <v>81</v>
      </c>
      <c r="B9" s="311"/>
      <c r="C9" s="311"/>
      <c r="D9" s="272" t="s">
        <v>17</v>
      </c>
      <c r="E9" s="4" t="s">
        <v>18</v>
      </c>
      <c r="F9" s="271" t="s">
        <v>30</v>
      </c>
      <c r="G9" s="289"/>
      <c r="H9" s="272"/>
      <c r="I9" s="271" t="s">
        <v>19</v>
      </c>
      <c r="J9" s="272"/>
      <c r="K9" s="271" t="s">
        <v>20</v>
      </c>
      <c r="L9" s="272"/>
      <c r="M9" s="271" t="s">
        <v>20</v>
      </c>
      <c r="N9" s="289"/>
    </row>
    <row r="10" spans="1:14" ht="18.75" customHeight="1" thickBot="1">
      <c r="A10" s="98" t="s">
        <v>89</v>
      </c>
      <c r="B10" s="247" t="s">
        <v>212</v>
      </c>
      <c r="C10" s="48" t="s">
        <v>31</v>
      </c>
      <c r="D10" s="266"/>
      <c r="E10" s="5" t="s">
        <v>21</v>
      </c>
      <c r="F10" s="3"/>
      <c r="G10" s="307" t="s">
        <v>29</v>
      </c>
      <c r="H10" s="308"/>
      <c r="I10" s="273" t="s">
        <v>22</v>
      </c>
      <c r="J10" s="266"/>
      <c r="K10" s="273" t="s">
        <v>216</v>
      </c>
      <c r="L10" s="266"/>
      <c r="M10" s="290" t="s">
        <v>23</v>
      </c>
      <c r="N10" s="291"/>
    </row>
    <row r="11" spans="1:14" ht="18.75" customHeight="1">
      <c r="A11" s="19">
        <v>-1</v>
      </c>
      <c r="B11" s="28">
        <f t="shared" ref="B11:B36" si="0">DATE(IF($A$5&lt;2,$F$7+A11+1,$F$7+A11),$M$7,$N$7)</f>
        <v>44927</v>
      </c>
      <c r="C11" s="20">
        <f>IF(AND(NOT($C$3="e"),B11&gt;$C$3),1,0)</f>
        <v>0</v>
      </c>
      <c r="D11" s="43" t="str">
        <f>A11+2&amp;"년차(월차)"</f>
        <v>1년차(월차)</v>
      </c>
      <c r="E11" s="31" t="str">
        <f>"매월"&amp;H7&amp;"일(1개씩)"</f>
        <v>매월2일(1개씩)</v>
      </c>
      <c r="F11" s="11">
        <f>IF(B3&gt;C3,C5,B5)</f>
        <v>7</v>
      </c>
      <c r="G11" s="295"/>
      <c r="H11" s="296"/>
      <c r="I11" s="295"/>
      <c r="J11" s="299"/>
      <c r="K11" s="297" t="str">
        <f>IF(OR(AND(A3&gt;=B7,C3&gt;=C7),B12&gt;C3),IF(C5&lt;12,C3+1,IF(A3&lt;B8,"발생 ",IF(A3&lt;C8,"발생(입사)","입사 "))&amp;"1년후"),"-")</f>
        <v>입사 1년후</v>
      </c>
      <c r="L11" s="298"/>
      <c r="M11" s="292">
        <f>IF(OR(AND(A3&gt;=B7,C3&gt;=C7),B12&gt;C3),IF(G11="",F11,G11)-I11,"-")</f>
        <v>7</v>
      </c>
      <c r="N11" s="293"/>
    </row>
    <row r="12" spans="1:14" ht="18.75" customHeight="1">
      <c r="A12" s="25">
        <v>0</v>
      </c>
      <c r="B12" s="29">
        <f t="shared" si="0"/>
        <v>45292</v>
      </c>
      <c r="C12" s="20">
        <f>IF(AND(NOT($C$3="e"),B12&gt;$C$3),1,0)</f>
        <v>0</v>
      </c>
      <c r="D12" s="6" t="str">
        <f>IF(C12=1,"",A12+2&amp;"년차")</f>
        <v>2년차</v>
      </c>
      <c r="E12" s="9">
        <f>IF(C12=1,"",B12)</f>
        <v>45292</v>
      </c>
      <c r="F12" s="240">
        <f>IF(C12=1,"",IF($B$42=3,15,IF($A$42=1,15*(B12-A3)/365,IF($A$42=2,ROUNDUP(15*(B12-A3)/365,0),ROUNDUP(15*(B12-A3)/365*2,0)/2)))-IF(AND(A3&gt;=B7,C3&gt;=C7),0,I11))</f>
        <v>10.027397260273972</v>
      </c>
      <c r="G12" s="284"/>
      <c r="H12" s="285"/>
      <c r="I12" s="284"/>
      <c r="J12" s="288"/>
      <c r="K12" s="286">
        <f>IF(C12=1,"",IF(B14&gt;$C$3,$C$3+1,B14))</f>
        <v>45658</v>
      </c>
      <c r="L12" s="287"/>
      <c r="M12" s="274">
        <f>IF(C12=1,"",IF(G12="",F12,G12)-I12)</f>
        <v>10.027397260273972</v>
      </c>
      <c r="N12" s="275"/>
    </row>
    <row r="13" spans="1:14" ht="18.75" customHeight="1">
      <c r="A13" s="25">
        <v>0</v>
      </c>
      <c r="B13" s="29">
        <f t="shared" si="0"/>
        <v>45292</v>
      </c>
      <c r="C13" s="20">
        <f t="shared" ref="C13:C34" si="1">IF(AND(NOT($C$3="e"),B13&gt;$C$3),1,0)</f>
        <v>0</v>
      </c>
      <c r="D13" s="44" t="str">
        <f>IF(C13=1,"",A13+2&amp;"년차(월차)")</f>
        <v>2년차(월차)</v>
      </c>
      <c r="E13" s="32" t="str">
        <f>IF(C13=1,"","매월"&amp;H7&amp;"일(1개씩)")</f>
        <v>매월2일(1개씩)</v>
      </c>
      <c r="F13" s="60">
        <f>IF(C13=1,"",IF(B14&gt;C3,IF(C5&gt;11,11,C5)-F11,11-B5))</f>
        <v>4</v>
      </c>
      <c r="G13" s="284"/>
      <c r="H13" s="285"/>
      <c r="I13" s="284"/>
      <c r="J13" s="288"/>
      <c r="K13" s="314" t="str">
        <f>IF(C13=1,"",IF(OR(AND(A3&gt;=B7,C3&gt;=C7),B14&gt;C3),IF(C5&lt;12,C3+1,IF(B3&lt;B8,"발생 ",IF(B3&lt;C8,"발생(입사)","입사 "))&amp;"1년후"),"-"))</f>
        <v>입사 1년후</v>
      </c>
      <c r="L13" s="315"/>
      <c r="M13" s="282">
        <f>IF(C13=1,"",IF(OR(AND(A3&gt;=B7,C3&gt;=C7),B14&gt;C3),IF(G13="",F13,G13)-I13,"-"))</f>
        <v>4</v>
      </c>
      <c r="N13" s="283"/>
    </row>
    <row r="14" spans="1:14" ht="18.75" customHeight="1">
      <c r="A14" s="25">
        <v>1</v>
      </c>
      <c r="B14" s="29">
        <f t="shared" si="0"/>
        <v>45658</v>
      </c>
      <c r="C14" s="20">
        <f t="shared" si="1"/>
        <v>0</v>
      </c>
      <c r="D14" s="6" t="str">
        <f>IF(C14=1,"",A14+2&amp;"년차")</f>
        <v>3년차</v>
      </c>
      <c r="E14" s="9">
        <f>IF(C14=1,"",IF(C14=1,$C$3,B14))</f>
        <v>45658</v>
      </c>
      <c r="F14" s="240">
        <f>IF(C14=1,"",15-IF(AND(A3&gt;=B7,C3&gt;=C7),0,I13))</f>
        <v>15</v>
      </c>
      <c r="G14" s="284"/>
      <c r="H14" s="285"/>
      <c r="I14" s="284"/>
      <c r="J14" s="288"/>
      <c r="K14" s="286">
        <f>IF(C14=1,"",IF(B15&gt;$C$3,$C$3+1,B15))</f>
        <v>46023</v>
      </c>
      <c r="L14" s="287"/>
      <c r="M14" s="274">
        <f>IF(C14=1,"",IF(G14="",F14,G14)-I14)</f>
        <v>15</v>
      </c>
      <c r="N14" s="275"/>
    </row>
    <row r="15" spans="1:14" ht="18.75" customHeight="1">
      <c r="A15" s="25">
        <v>2</v>
      </c>
      <c r="B15" s="29">
        <f t="shared" si="0"/>
        <v>46023</v>
      </c>
      <c r="C15" s="20">
        <f t="shared" si="1"/>
        <v>0</v>
      </c>
      <c r="D15" s="6" t="str">
        <f t="shared" ref="D15:D33" si="2">IF(C15=1,"",A15+2&amp;"년차")</f>
        <v>4년차</v>
      </c>
      <c r="E15" s="9">
        <f t="shared" ref="E15:E33" si="3">IF(C15=1,"",IF(C15=1,$C$3,B15))</f>
        <v>46023</v>
      </c>
      <c r="F15" s="240">
        <f>IF(C15=1,"",15+INT((A15+IF($B$42=1,0,1)-IF(AND($B$42=1,$A$5=1),0,1))/2))</f>
        <v>15</v>
      </c>
      <c r="G15" s="284"/>
      <c r="H15" s="285"/>
      <c r="I15" s="284"/>
      <c r="J15" s="288"/>
      <c r="K15" s="286">
        <f t="shared" ref="K15:K33" si="4">IF(C15=1,"",IF(B16&gt;$C$3,$C$3+1,B16))</f>
        <v>46388</v>
      </c>
      <c r="L15" s="287"/>
      <c r="M15" s="274">
        <f t="shared" ref="M15:M33" si="5">IF(C15=1,"",IF(G15="",F15,G15)-I15)</f>
        <v>15</v>
      </c>
      <c r="N15" s="275"/>
    </row>
    <row r="16" spans="1:14" ht="18.75" customHeight="1">
      <c r="A16" s="25">
        <v>3</v>
      </c>
      <c r="B16" s="29">
        <f t="shared" si="0"/>
        <v>46388</v>
      </c>
      <c r="C16" s="20">
        <f t="shared" si="1"/>
        <v>0</v>
      </c>
      <c r="D16" s="6" t="str">
        <f t="shared" si="2"/>
        <v>5년차</v>
      </c>
      <c r="E16" s="9">
        <f t="shared" si="3"/>
        <v>46388</v>
      </c>
      <c r="F16" s="240">
        <f t="shared" ref="F16:F33" si="6">IF(C16=1,"",15+INT((A16+IF($B$42=1,0,1)-IF(AND($B$42=1,$A$5=1),0,1))/2))</f>
        <v>16</v>
      </c>
      <c r="G16" s="284"/>
      <c r="H16" s="285"/>
      <c r="I16" s="284"/>
      <c r="J16" s="288"/>
      <c r="K16" s="286">
        <f t="shared" si="4"/>
        <v>46753</v>
      </c>
      <c r="L16" s="287"/>
      <c r="M16" s="274">
        <f t="shared" si="5"/>
        <v>16</v>
      </c>
      <c r="N16" s="275"/>
    </row>
    <row r="17" spans="1:14" ht="18.75" customHeight="1">
      <c r="A17" s="25">
        <v>4</v>
      </c>
      <c r="B17" s="29">
        <f t="shared" si="0"/>
        <v>46753</v>
      </c>
      <c r="C17" s="20">
        <f t="shared" si="1"/>
        <v>0</v>
      </c>
      <c r="D17" s="6" t="str">
        <f t="shared" si="2"/>
        <v>6년차</v>
      </c>
      <c r="E17" s="9">
        <f t="shared" si="3"/>
        <v>46753</v>
      </c>
      <c r="F17" s="240">
        <f t="shared" si="6"/>
        <v>16</v>
      </c>
      <c r="G17" s="284"/>
      <c r="H17" s="285"/>
      <c r="I17" s="284"/>
      <c r="J17" s="288"/>
      <c r="K17" s="286">
        <f t="shared" si="4"/>
        <v>47119</v>
      </c>
      <c r="L17" s="287"/>
      <c r="M17" s="274">
        <f t="shared" si="5"/>
        <v>16</v>
      </c>
      <c r="N17" s="275"/>
    </row>
    <row r="18" spans="1:14" ht="18.75" customHeight="1">
      <c r="A18" s="25">
        <v>5</v>
      </c>
      <c r="B18" s="29">
        <f t="shared" si="0"/>
        <v>47119</v>
      </c>
      <c r="C18" s="20">
        <f t="shared" si="1"/>
        <v>0</v>
      </c>
      <c r="D18" s="6" t="str">
        <f t="shared" si="2"/>
        <v>7년차</v>
      </c>
      <c r="E18" s="9">
        <f t="shared" si="3"/>
        <v>47119</v>
      </c>
      <c r="F18" s="240">
        <f t="shared" si="6"/>
        <v>17</v>
      </c>
      <c r="G18" s="284"/>
      <c r="H18" s="285"/>
      <c r="I18" s="284"/>
      <c r="J18" s="288"/>
      <c r="K18" s="286">
        <f t="shared" si="4"/>
        <v>47484</v>
      </c>
      <c r="L18" s="287"/>
      <c r="M18" s="274">
        <f t="shared" si="5"/>
        <v>17</v>
      </c>
      <c r="N18" s="275"/>
    </row>
    <row r="19" spans="1:14" ht="18.75" customHeight="1">
      <c r="A19" s="25">
        <v>6</v>
      </c>
      <c r="B19" s="29">
        <f t="shared" si="0"/>
        <v>47484</v>
      </c>
      <c r="C19" s="20">
        <f t="shared" si="1"/>
        <v>0</v>
      </c>
      <c r="D19" s="6" t="str">
        <f t="shared" si="2"/>
        <v>8년차</v>
      </c>
      <c r="E19" s="9">
        <f t="shared" si="3"/>
        <v>47484</v>
      </c>
      <c r="F19" s="240">
        <f t="shared" si="6"/>
        <v>17</v>
      </c>
      <c r="G19" s="284"/>
      <c r="H19" s="285"/>
      <c r="I19" s="284"/>
      <c r="J19" s="288"/>
      <c r="K19" s="286">
        <f t="shared" si="4"/>
        <v>47849</v>
      </c>
      <c r="L19" s="287"/>
      <c r="M19" s="274">
        <f t="shared" si="5"/>
        <v>17</v>
      </c>
      <c r="N19" s="275"/>
    </row>
    <row r="20" spans="1:14" ht="18.75" customHeight="1">
      <c r="A20" s="25">
        <v>7</v>
      </c>
      <c r="B20" s="29">
        <f t="shared" si="0"/>
        <v>47849</v>
      </c>
      <c r="C20" s="20">
        <f t="shared" si="1"/>
        <v>0</v>
      </c>
      <c r="D20" s="6" t="str">
        <f t="shared" si="2"/>
        <v>9년차</v>
      </c>
      <c r="E20" s="9">
        <f t="shared" si="3"/>
        <v>47849</v>
      </c>
      <c r="F20" s="240">
        <f t="shared" si="6"/>
        <v>18</v>
      </c>
      <c r="G20" s="284"/>
      <c r="H20" s="285"/>
      <c r="I20" s="284"/>
      <c r="J20" s="288"/>
      <c r="K20" s="286">
        <f t="shared" si="4"/>
        <v>48214</v>
      </c>
      <c r="L20" s="287"/>
      <c r="M20" s="274">
        <f t="shared" si="5"/>
        <v>18</v>
      </c>
      <c r="N20" s="275"/>
    </row>
    <row r="21" spans="1:14" ht="18.75" customHeight="1">
      <c r="A21" s="25">
        <v>8</v>
      </c>
      <c r="B21" s="29">
        <f t="shared" si="0"/>
        <v>48214</v>
      </c>
      <c r="C21" s="20">
        <f t="shared" si="1"/>
        <v>0</v>
      </c>
      <c r="D21" s="6" t="str">
        <f t="shared" si="2"/>
        <v>10년차</v>
      </c>
      <c r="E21" s="9">
        <f t="shared" si="3"/>
        <v>48214</v>
      </c>
      <c r="F21" s="240">
        <f t="shared" si="6"/>
        <v>18</v>
      </c>
      <c r="G21" s="284"/>
      <c r="H21" s="285"/>
      <c r="I21" s="284"/>
      <c r="J21" s="288"/>
      <c r="K21" s="286">
        <f t="shared" si="4"/>
        <v>48580</v>
      </c>
      <c r="L21" s="287"/>
      <c r="M21" s="274">
        <f t="shared" si="5"/>
        <v>18</v>
      </c>
      <c r="N21" s="275"/>
    </row>
    <row r="22" spans="1:14" ht="18.75" customHeight="1">
      <c r="A22" s="25">
        <v>9</v>
      </c>
      <c r="B22" s="29">
        <f t="shared" si="0"/>
        <v>48580</v>
      </c>
      <c r="C22" s="20">
        <f t="shared" si="1"/>
        <v>0</v>
      </c>
      <c r="D22" s="6" t="str">
        <f t="shared" si="2"/>
        <v>11년차</v>
      </c>
      <c r="E22" s="9">
        <f t="shared" si="3"/>
        <v>48580</v>
      </c>
      <c r="F22" s="240">
        <f t="shared" si="6"/>
        <v>19</v>
      </c>
      <c r="G22" s="284"/>
      <c r="H22" s="285"/>
      <c r="I22" s="284"/>
      <c r="J22" s="288"/>
      <c r="K22" s="286">
        <f t="shared" si="4"/>
        <v>48945</v>
      </c>
      <c r="L22" s="287"/>
      <c r="M22" s="274">
        <f t="shared" si="5"/>
        <v>19</v>
      </c>
      <c r="N22" s="275"/>
    </row>
    <row r="23" spans="1:14" ht="18.75" customHeight="1">
      <c r="A23" s="25">
        <v>10</v>
      </c>
      <c r="B23" s="29">
        <f t="shared" si="0"/>
        <v>48945</v>
      </c>
      <c r="C23" s="20">
        <f t="shared" si="1"/>
        <v>0</v>
      </c>
      <c r="D23" s="6" t="str">
        <f t="shared" si="2"/>
        <v>12년차</v>
      </c>
      <c r="E23" s="9">
        <f t="shared" si="3"/>
        <v>48945</v>
      </c>
      <c r="F23" s="240">
        <f t="shared" si="6"/>
        <v>19</v>
      </c>
      <c r="G23" s="284"/>
      <c r="H23" s="285"/>
      <c r="I23" s="284"/>
      <c r="J23" s="288"/>
      <c r="K23" s="286">
        <f t="shared" si="4"/>
        <v>49310</v>
      </c>
      <c r="L23" s="287"/>
      <c r="M23" s="274">
        <f t="shared" si="5"/>
        <v>19</v>
      </c>
      <c r="N23" s="275"/>
    </row>
    <row r="24" spans="1:14" ht="18.75" customHeight="1">
      <c r="A24" s="25">
        <v>11</v>
      </c>
      <c r="B24" s="29">
        <f t="shared" si="0"/>
        <v>49310</v>
      </c>
      <c r="C24" s="20">
        <f t="shared" si="1"/>
        <v>0</v>
      </c>
      <c r="D24" s="6" t="str">
        <f t="shared" si="2"/>
        <v>13년차</v>
      </c>
      <c r="E24" s="9">
        <f t="shared" si="3"/>
        <v>49310</v>
      </c>
      <c r="F24" s="240">
        <f t="shared" si="6"/>
        <v>20</v>
      </c>
      <c r="G24" s="284"/>
      <c r="H24" s="285"/>
      <c r="I24" s="284"/>
      <c r="J24" s="288"/>
      <c r="K24" s="286">
        <f t="shared" si="4"/>
        <v>49675</v>
      </c>
      <c r="L24" s="287"/>
      <c r="M24" s="274">
        <f t="shared" si="5"/>
        <v>20</v>
      </c>
      <c r="N24" s="275"/>
    </row>
    <row r="25" spans="1:14" ht="18.75" customHeight="1">
      <c r="A25" s="25">
        <v>12</v>
      </c>
      <c r="B25" s="29">
        <f t="shared" si="0"/>
        <v>49675</v>
      </c>
      <c r="C25" s="20">
        <f t="shared" si="1"/>
        <v>0</v>
      </c>
      <c r="D25" s="6" t="str">
        <f t="shared" si="2"/>
        <v>14년차</v>
      </c>
      <c r="E25" s="9">
        <f t="shared" si="3"/>
        <v>49675</v>
      </c>
      <c r="F25" s="240">
        <f t="shared" si="6"/>
        <v>20</v>
      </c>
      <c r="G25" s="284"/>
      <c r="H25" s="285"/>
      <c r="I25" s="284"/>
      <c r="J25" s="288"/>
      <c r="K25" s="286">
        <f t="shared" si="4"/>
        <v>50041</v>
      </c>
      <c r="L25" s="287"/>
      <c r="M25" s="274">
        <f t="shared" si="5"/>
        <v>20</v>
      </c>
      <c r="N25" s="275"/>
    </row>
    <row r="26" spans="1:14" ht="18.75" customHeight="1">
      <c r="A26" s="25">
        <v>13</v>
      </c>
      <c r="B26" s="29">
        <f t="shared" si="0"/>
        <v>50041</v>
      </c>
      <c r="C26" s="20">
        <f t="shared" si="1"/>
        <v>0</v>
      </c>
      <c r="D26" s="6" t="str">
        <f t="shared" si="2"/>
        <v>15년차</v>
      </c>
      <c r="E26" s="9">
        <f t="shared" si="3"/>
        <v>50041</v>
      </c>
      <c r="F26" s="240">
        <f t="shared" si="6"/>
        <v>21</v>
      </c>
      <c r="G26" s="284"/>
      <c r="H26" s="285"/>
      <c r="I26" s="284"/>
      <c r="J26" s="288"/>
      <c r="K26" s="286">
        <f t="shared" si="4"/>
        <v>50406</v>
      </c>
      <c r="L26" s="287"/>
      <c r="M26" s="274">
        <f t="shared" si="5"/>
        <v>21</v>
      </c>
      <c r="N26" s="275"/>
    </row>
    <row r="27" spans="1:14" ht="18.75" customHeight="1">
      <c r="A27" s="25">
        <v>14</v>
      </c>
      <c r="B27" s="29">
        <f t="shared" si="0"/>
        <v>50406</v>
      </c>
      <c r="C27" s="20">
        <f t="shared" si="1"/>
        <v>0</v>
      </c>
      <c r="D27" s="6" t="str">
        <f t="shared" si="2"/>
        <v>16년차</v>
      </c>
      <c r="E27" s="9">
        <f t="shared" si="3"/>
        <v>50406</v>
      </c>
      <c r="F27" s="240">
        <f t="shared" si="6"/>
        <v>21</v>
      </c>
      <c r="G27" s="284"/>
      <c r="H27" s="285"/>
      <c r="I27" s="284"/>
      <c r="J27" s="288"/>
      <c r="K27" s="286">
        <f t="shared" si="4"/>
        <v>50771</v>
      </c>
      <c r="L27" s="287"/>
      <c r="M27" s="274">
        <f t="shared" si="5"/>
        <v>21</v>
      </c>
      <c r="N27" s="275"/>
    </row>
    <row r="28" spans="1:14" ht="18.75" customHeight="1">
      <c r="A28" s="25">
        <v>15</v>
      </c>
      <c r="B28" s="29">
        <f t="shared" si="0"/>
        <v>50771</v>
      </c>
      <c r="C28" s="20">
        <f t="shared" si="1"/>
        <v>0</v>
      </c>
      <c r="D28" s="6" t="str">
        <f t="shared" si="2"/>
        <v>17년차</v>
      </c>
      <c r="E28" s="9">
        <f t="shared" si="3"/>
        <v>50771</v>
      </c>
      <c r="F28" s="240">
        <f t="shared" si="6"/>
        <v>22</v>
      </c>
      <c r="G28" s="284"/>
      <c r="H28" s="285"/>
      <c r="I28" s="284"/>
      <c r="J28" s="288"/>
      <c r="K28" s="286">
        <f t="shared" si="4"/>
        <v>51136</v>
      </c>
      <c r="L28" s="287"/>
      <c r="M28" s="274">
        <f t="shared" si="5"/>
        <v>22</v>
      </c>
      <c r="N28" s="275"/>
    </row>
    <row r="29" spans="1:14" ht="18.75" customHeight="1">
      <c r="A29" s="25">
        <v>16</v>
      </c>
      <c r="B29" s="29">
        <f t="shared" si="0"/>
        <v>51136</v>
      </c>
      <c r="C29" s="20">
        <f t="shared" si="1"/>
        <v>0</v>
      </c>
      <c r="D29" s="6" t="str">
        <f t="shared" si="2"/>
        <v>18년차</v>
      </c>
      <c r="E29" s="9">
        <f t="shared" si="3"/>
        <v>51136</v>
      </c>
      <c r="F29" s="240">
        <f t="shared" si="6"/>
        <v>22</v>
      </c>
      <c r="G29" s="284"/>
      <c r="H29" s="285"/>
      <c r="I29" s="284"/>
      <c r="J29" s="288"/>
      <c r="K29" s="286">
        <f t="shared" si="4"/>
        <v>51502</v>
      </c>
      <c r="L29" s="287"/>
      <c r="M29" s="274">
        <f t="shared" si="5"/>
        <v>22</v>
      </c>
      <c r="N29" s="275"/>
    </row>
    <row r="30" spans="1:14" ht="18.75" customHeight="1">
      <c r="A30" s="25">
        <v>17</v>
      </c>
      <c r="B30" s="29">
        <f t="shared" si="0"/>
        <v>51502</v>
      </c>
      <c r="C30" s="20">
        <f t="shared" si="1"/>
        <v>0</v>
      </c>
      <c r="D30" s="6" t="str">
        <f t="shared" si="2"/>
        <v>19년차</v>
      </c>
      <c r="E30" s="9">
        <f t="shared" si="3"/>
        <v>51502</v>
      </c>
      <c r="F30" s="240">
        <f t="shared" si="6"/>
        <v>23</v>
      </c>
      <c r="G30" s="284"/>
      <c r="H30" s="285"/>
      <c r="I30" s="284"/>
      <c r="J30" s="288"/>
      <c r="K30" s="286">
        <f t="shared" si="4"/>
        <v>51867</v>
      </c>
      <c r="L30" s="287"/>
      <c r="M30" s="274">
        <f t="shared" si="5"/>
        <v>23</v>
      </c>
      <c r="N30" s="275"/>
    </row>
    <row r="31" spans="1:14" ht="18.75" customHeight="1">
      <c r="A31" s="25">
        <v>18</v>
      </c>
      <c r="B31" s="29">
        <f t="shared" si="0"/>
        <v>51867</v>
      </c>
      <c r="C31" s="20">
        <f t="shared" si="1"/>
        <v>0</v>
      </c>
      <c r="D31" s="6" t="str">
        <f t="shared" si="2"/>
        <v>20년차</v>
      </c>
      <c r="E31" s="9">
        <f t="shared" si="3"/>
        <v>51867</v>
      </c>
      <c r="F31" s="240">
        <f t="shared" si="6"/>
        <v>23</v>
      </c>
      <c r="G31" s="284"/>
      <c r="H31" s="285"/>
      <c r="I31" s="284"/>
      <c r="J31" s="288"/>
      <c r="K31" s="286">
        <f t="shared" si="4"/>
        <v>52232</v>
      </c>
      <c r="L31" s="287"/>
      <c r="M31" s="274">
        <f t="shared" si="5"/>
        <v>23</v>
      </c>
      <c r="N31" s="275"/>
    </row>
    <row r="32" spans="1:14" ht="18.75" customHeight="1">
      <c r="A32" s="25">
        <v>19</v>
      </c>
      <c r="B32" s="29">
        <f t="shared" si="0"/>
        <v>52232</v>
      </c>
      <c r="C32" s="20">
        <f t="shared" si="1"/>
        <v>0</v>
      </c>
      <c r="D32" s="6" t="str">
        <f t="shared" si="2"/>
        <v>21년차</v>
      </c>
      <c r="E32" s="9">
        <f t="shared" si="3"/>
        <v>52232</v>
      </c>
      <c r="F32" s="240">
        <f t="shared" si="6"/>
        <v>24</v>
      </c>
      <c r="G32" s="284"/>
      <c r="H32" s="285"/>
      <c r="I32" s="284"/>
      <c r="J32" s="288"/>
      <c r="K32" s="286">
        <f t="shared" si="4"/>
        <v>52597</v>
      </c>
      <c r="L32" s="287"/>
      <c r="M32" s="274">
        <f t="shared" si="5"/>
        <v>24</v>
      </c>
      <c r="N32" s="275"/>
    </row>
    <row r="33" spans="1:23" ht="18.75" customHeight="1">
      <c r="A33" s="25">
        <v>20</v>
      </c>
      <c r="B33" s="29">
        <f t="shared" si="0"/>
        <v>52597</v>
      </c>
      <c r="C33" s="20">
        <f t="shared" si="1"/>
        <v>0</v>
      </c>
      <c r="D33" s="6" t="str">
        <f t="shared" si="2"/>
        <v>22년차</v>
      </c>
      <c r="E33" s="9">
        <f t="shared" si="3"/>
        <v>52597</v>
      </c>
      <c r="F33" s="240">
        <f t="shared" si="6"/>
        <v>24</v>
      </c>
      <c r="G33" s="284"/>
      <c r="H33" s="285"/>
      <c r="I33" s="284"/>
      <c r="J33" s="288"/>
      <c r="K33" s="286">
        <f t="shared" si="4"/>
        <v>52963</v>
      </c>
      <c r="L33" s="287"/>
      <c r="M33" s="274">
        <f t="shared" si="5"/>
        <v>24</v>
      </c>
      <c r="N33" s="275"/>
    </row>
    <row r="34" spans="1:23" ht="18.75" customHeight="1" thickBot="1">
      <c r="A34" s="128">
        <v>21</v>
      </c>
      <c r="B34" s="129">
        <f t="shared" si="0"/>
        <v>52963</v>
      </c>
      <c r="C34" s="20">
        <f t="shared" si="1"/>
        <v>0</v>
      </c>
      <c r="D34" s="72" t="str">
        <f>IF(C35&gt;0,"",A35+2&amp;"년차**")</f>
        <v>23년차**</v>
      </c>
      <c r="E34" s="259">
        <f>IF(C35&gt;0,"",IF(C3="e",IF(C35=1,C3,B35),"추가 "&amp;A35-A33&amp;"년치"))</f>
        <v>52963</v>
      </c>
      <c r="F34" s="241">
        <f>IF(C35&gt;0,"",IF(C3="e",15+INT((A35-1)/2),(A35-A33)*25))</f>
        <v>25</v>
      </c>
      <c r="G34" s="309"/>
      <c r="H34" s="316"/>
      <c r="I34" s="309"/>
      <c r="J34" s="310"/>
      <c r="K34" s="317">
        <f>IF(C35&gt;0,"",IF(C3="e",IF(B36&gt;C3,C3+1,B36),"추가 "&amp;A35-A33&amp;"년치"))</f>
        <v>53328</v>
      </c>
      <c r="L34" s="318"/>
      <c r="M34" s="276">
        <f>IF(C35&gt;0,"",IF(G34="",F34,G34)-I34)</f>
        <v>25</v>
      </c>
      <c r="N34" s="277"/>
      <c r="O34" s="57"/>
    </row>
    <row r="35" spans="1:23" ht="18.75" customHeight="1">
      <c r="A35" s="17">
        <f>IF(C3="e",A33+1,IF(B3&gt;C3,0,DATEDIF(B3,C3,"y")))</f>
        <v>21</v>
      </c>
      <c r="B35" s="29">
        <f t="shared" si="0"/>
        <v>52963</v>
      </c>
      <c r="C35" s="18">
        <f>IF(A33&gt;A35-1,2,IF(AND(NOT(C3="e"),B35&gt;C3),1,0))</f>
        <v>0</v>
      </c>
      <c r="D35" s="262" t="str">
        <f>IF(NOT(C3="e"),IF(AND(A3=퇴직정산!A3,B3=퇴직정산!B3,C3=퇴직정산!C3,A42=퇴직정산!E6,B42=퇴직정산!F6),"[퇴직정산 총일수] "&amp;ROUND(M35+IF(퇴직정산!$N$34&gt;퇴직정산!$I$34,퇴직정산!N34-퇴직정산!I34,0),1)&amp;"일분 (입사일 기준 미달 일수를 합한 일수)","(이 시트와 다음 시트 입력값이 모두 같으면 퇴직정산 총일수 표시)"),"")</f>
        <v/>
      </c>
      <c r="E35" s="262"/>
      <c r="F35" s="262"/>
      <c r="G35" s="262"/>
      <c r="H35" s="262"/>
      <c r="I35" s="262"/>
      <c r="J35" s="263"/>
      <c r="K35" s="260" t="s">
        <v>217</v>
      </c>
      <c r="L35" s="261"/>
      <c r="M35" s="278" t="str">
        <f>IF(C3="e","",SUM(M11:N34))</f>
        <v/>
      </c>
      <c r="N35" s="279"/>
      <c r="O35" s="1"/>
      <c r="P35" s="1"/>
      <c r="Q35" s="1"/>
      <c r="R35" s="1"/>
      <c r="S35" s="1"/>
      <c r="T35" s="1"/>
      <c r="U35" s="1"/>
      <c r="V35" s="1"/>
      <c r="W35" s="1"/>
    </row>
    <row r="36" spans="1:23" ht="18.75" customHeight="1">
      <c r="A36" s="111">
        <f>A35+1</f>
        <v>22</v>
      </c>
      <c r="B36" s="126">
        <f t="shared" si="0"/>
        <v>53328</v>
      </c>
      <c r="C36" s="127"/>
      <c r="D36" s="312" t="s">
        <v>86</v>
      </c>
      <c r="E36" s="312"/>
      <c r="F36" s="312"/>
      <c r="G36" s="312"/>
      <c r="H36" s="312"/>
      <c r="I36" s="312"/>
      <c r="J36" s="312"/>
      <c r="K36" s="312"/>
      <c r="L36" s="312"/>
      <c r="M36" s="312"/>
      <c r="N36" s="312"/>
    </row>
    <row r="37" spans="1:23" ht="18.75" customHeight="1">
      <c r="A37" s="264" t="s">
        <v>168</v>
      </c>
      <c r="B37" s="264"/>
      <c r="D37" s="313" t="s">
        <v>90</v>
      </c>
      <c r="E37" s="313"/>
      <c r="F37" s="313"/>
      <c r="G37" s="313"/>
      <c r="H37" s="313"/>
      <c r="I37" s="313"/>
      <c r="J37" s="313"/>
      <c r="K37" s="313"/>
      <c r="L37" s="313"/>
      <c r="M37" s="313"/>
      <c r="N37" s="313"/>
    </row>
    <row r="38" spans="1:23" ht="18.75" customHeight="1">
      <c r="A38" s="233" t="s">
        <v>140</v>
      </c>
      <c r="B38" s="212" t="s">
        <v>147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23" ht="18.75" customHeight="1">
      <c r="A39" s="234" t="s">
        <v>141</v>
      </c>
      <c r="B39" s="213" t="s">
        <v>144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23" ht="18.75" customHeight="1">
      <c r="A40" s="235" t="s">
        <v>142</v>
      </c>
      <c r="B40" s="214" t="s">
        <v>145</v>
      </c>
    </row>
    <row r="41" spans="1:23" ht="18.75" customHeight="1">
      <c r="A41" s="236" t="s">
        <v>143</v>
      </c>
      <c r="B41" s="215" t="s">
        <v>146</v>
      </c>
    </row>
    <row r="42" spans="1:23" ht="18.75" customHeight="1">
      <c r="A42" s="237">
        <v>1</v>
      </c>
      <c r="B42" s="238">
        <v>1</v>
      </c>
    </row>
  </sheetData>
  <sheetProtection sheet="1" objects="1" scenarios="1"/>
  <mergeCells count="123">
    <mergeCell ref="A9:C9"/>
    <mergeCell ref="A1:C1"/>
    <mergeCell ref="D36:N36"/>
    <mergeCell ref="D37:N37"/>
    <mergeCell ref="G13:H13"/>
    <mergeCell ref="K13:L13"/>
    <mergeCell ref="G32:H32"/>
    <mergeCell ref="K32:L32"/>
    <mergeCell ref="G30:H30"/>
    <mergeCell ref="K30:L30"/>
    <mergeCell ref="G31:H31"/>
    <mergeCell ref="K31:L31"/>
    <mergeCell ref="G27:H27"/>
    <mergeCell ref="K27:L27"/>
    <mergeCell ref="I25:J25"/>
    <mergeCell ref="I26:J26"/>
    <mergeCell ref="I27:J27"/>
    <mergeCell ref="G34:H34"/>
    <mergeCell ref="K34:L34"/>
    <mergeCell ref="K29:L29"/>
    <mergeCell ref="G28:H28"/>
    <mergeCell ref="K28:L28"/>
    <mergeCell ref="G29:H29"/>
    <mergeCell ref="G33:H33"/>
    <mergeCell ref="K33:L33"/>
    <mergeCell ref="I28:J28"/>
    <mergeCell ref="I29:J29"/>
    <mergeCell ref="I30:J30"/>
    <mergeCell ref="I31:J31"/>
    <mergeCell ref="I32:J32"/>
    <mergeCell ref="I33:J33"/>
    <mergeCell ref="I34:J34"/>
    <mergeCell ref="G24:H24"/>
    <mergeCell ref="K24:L24"/>
    <mergeCell ref="I22:J22"/>
    <mergeCell ref="I23:J23"/>
    <mergeCell ref="I24:J24"/>
    <mergeCell ref="G25:H25"/>
    <mergeCell ref="K25:L25"/>
    <mergeCell ref="G26:H26"/>
    <mergeCell ref="K26:L26"/>
    <mergeCell ref="I5:L5"/>
    <mergeCell ref="D9:D10"/>
    <mergeCell ref="F9:H9"/>
    <mergeCell ref="K9:L9"/>
    <mergeCell ref="G10:H10"/>
    <mergeCell ref="K10:L10"/>
    <mergeCell ref="G22:H22"/>
    <mergeCell ref="K22:L22"/>
    <mergeCell ref="G23:H23"/>
    <mergeCell ref="K23:L23"/>
    <mergeCell ref="M20:N20"/>
    <mergeCell ref="M11:N11"/>
    <mergeCell ref="G16:H16"/>
    <mergeCell ref="K16:L16"/>
    <mergeCell ref="G17:H17"/>
    <mergeCell ref="K17:L17"/>
    <mergeCell ref="I16:J16"/>
    <mergeCell ref="I17:J17"/>
    <mergeCell ref="D1:H2"/>
    <mergeCell ref="G14:H14"/>
    <mergeCell ref="K14:L14"/>
    <mergeCell ref="G11:H11"/>
    <mergeCell ref="K11:L11"/>
    <mergeCell ref="G15:H15"/>
    <mergeCell ref="K15:L15"/>
    <mergeCell ref="I11:J11"/>
    <mergeCell ref="I12:J12"/>
    <mergeCell ref="I13:J13"/>
    <mergeCell ref="I14:J14"/>
    <mergeCell ref="I15:J15"/>
    <mergeCell ref="J3:L3"/>
    <mergeCell ref="J2:L2"/>
    <mergeCell ref="D5:E5"/>
    <mergeCell ref="F5:H5"/>
    <mergeCell ref="M5:N5"/>
    <mergeCell ref="M21:N21"/>
    <mergeCell ref="M12:N12"/>
    <mergeCell ref="M13:N13"/>
    <mergeCell ref="M14:N14"/>
    <mergeCell ref="M15:N15"/>
    <mergeCell ref="M16:N16"/>
    <mergeCell ref="M17:N17"/>
    <mergeCell ref="G12:H12"/>
    <mergeCell ref="K12:L12"/>
    <mergeCell ref="G18:H18"/>
    <mergeCell ref="K18:L18"/>
    <mergeCell ref="I18:J18"/>
    <mergeCell ref="G19:H19"/>
    <mergeCell ref="K19:L19"/>
    <mergeCell ref="G20:H20"/>
    <mergeCell ref="K20:L20"/>
    <mergeCell ref="G21:H21"/>
    <mergeCell ref="K21:L21"/>
    <mergeCell ref="I19:J19"/>
    <mergeCell ref="I20:J20"/>
    <mergeCell ref="I21:J21"/>
    <mergeCell ref="M9:N9"/>
    <mergeCell ref="M10:N10"/>
    <mergeCell ref="K35:L35"/>
    <mergeCell ref="D35:J35"/>
    <mergeCell ref="A37:B37"/>
    <mergeCell ref="D3:H3"/>
    <mergeCell ref="I6:J6"/>
    <mergeCell ref="I7:J7"/>
    <mergeCell ref="I9:J9"/>
    <mergeCell ref="I10:J10"/>
    <mergeCell ref="M22:N22"/>
    <mergeCell ref="M23:N23"/>
    <mergeCell ref="M24:N24"/>
    <mergeCell ref="M25:N25"/>
    <mergeCell ref="M26:N26"/>
    <mergeCell ref="M27:N27"/>
    <mergeCell ref="M28:N28"/>
    <mergeCell ref="M34:N34"/>
    <mergeCell ref="M35:N35"/>
    <mergeCell ref="M29:N29"/>
    <mergeCell ref="M30:N30"/>
    <mergeCell ref="M31:N31"/>
    <mergeCell ref="M32:N32"/>
    <mergeCell ref="M33:N33"/>
    <mergeCell ref="M18:N18"/>
    <mergeCell ref="M19:N19"/>
  </mergeCells>
  <phoneticPr fontId="1" type="noConversion"/>
  <pageMargins left="0.7" right="0.7" top="0.75" bottom="0.75" header="0.3" footer="0.3"/>
  <pageSetup paperSize="9" orientation="portrait" horizontalDpi="4294967292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60" r:id="rId4" name="Drop Down 12">
              <controlPr defaultSize="0" autoLine="0" autoPict="0">
                <anchor moveWithCells="1">
                  <from>
                    <xdr:col>11</xdr:col>
                    <xdr:colOff>177800</xdr:colOff>
                    <xdr:row>1</xdr:row>
                    <xdr:rowOff>63500</xdr:rowOff>
                  </from>
                  <to>
                    <xdr:col>13</xdr:col>
                    <xdr:colOff>406400</xdr:colOff>
                    <xdr:row>1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5" name="Drop Down 14">
              <controlPr defaultSize="0" autoLine="0" autoPict="0">
                <anchor moveWithCells="1">
                  <from>
                    <xdr:col>11</xdr:col>
                    <xdr:colOff>177800</xdr:colOff>
                    <xdr:row>2</xdr:row>
                    <xdr:rowOff>38100</xdr:rowOff>
                  </from>
                  <to>
                    <xdr:col>13</xdr:col>
                    <xdr:colOff>406400</xdr:colOff>
                    <xdr:row>2</xdr:row>
                    <xdr:rowOff>177800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6"/>
  <sheetViews>
    <sheetView showGridLines="0" topLeftCell="G1" zoomScale="120" zoomScaleNormal="120" workbookViewId="0">
      <pane ySplit="10" topLeftCell="A11" activePane="bottomLeft" state="frozen"/>
      <selection activeCell="D1" sqref="D1:M2"/>
      <selection pane="bottomLeft" activeCell="G36" sqref="G36:Q36"/>
    </sheetView>
  </sheetViews>
  <sheetFormatPr baseColWidth="10" defaultColWidth="9" defaultRowHeight="18.75" customHeight="1"/>
  <cols>
    <col min="1" max="1" width="8" style="1" hidden="1" customWidth="1"/>
    <col min="2" max="2" width="8" style="7" hidden="1" customWidth="1"/>
    <col min="3" max="4" width="8" style="1" hidden="1" customWidth="1"/>
    <col min="5" max="5" width="8" style="7" hidden="1" customWidth="1"/>
    <col min="6" max="6" width="8" style="1" hidden="1" customWidth="1"/>
    <col min="7" max="9" width="11.5" style="1" customWidth="1"/>
    <col min="10" max="17" width="5.6640625" style="1" customWidth="1"/>
    <col min="18" max="16384" width="9" style="1"/>
  </cols>
  <sheetData>
    <row r="1" spans="1:17" ht="18.75" customHeight="1">
      <c r="A1" s="311" t="s">
        <v>41</v>
      </c>
      <c r="B1" s="311"/>
      <c r="C1" s="311"/>
      <c r="E1" s="311" t="s">
        <v>169</v>
      </c>
      <c r="F1" s="311"/>
      <c r="G1" s="294" t="s">
        <v>28</v>
      </c>
      <c r="H1" s="294"/>
      <c r="I1" s="294"/>
      <c r="J1" s="294"/>
      <c r="K1" s="294"/>
      <c r="L1" s="204"/>
      <c r="M1" s="204"/>
      <c r="N1" s="204"/>
      <c r="O1" s="204"/>
      <c r="P1" s="204"/>
      <c r="Q1" s="204"/>
    </row>
    <row r="2" spans="1:17" ht="18.75" customHeight="1">
      <c r="A2" s="98" t="s">
        <v>94</v>
      </c>
      <c r="B2" s="99" t="s">
        <v>76</v>
      </c>
      <c r="C2" s="104" t="s">
        <v>213</v>
      </c>
      <c r="E2" s="233" t="s">
        <v>140</v>
      </c>
      <c r="F2" s="212" t="s">
        <v>147</v>
      </c>
      <c r="G2" s="294"/>
      <c r="H2" s="294"/>
      <c r="I2" s="294"/>
      <c r="J2" s="294"/>
      <c r="K2" s="294"/>
      <c r="L2" s="230" t="s">
        <v>160</v>
      </c>
      <c r="M2" s="302" t="s">
        <v>158</v>
      </c>
      <c r="N2" s="303"/>
      <c r="O2" s="303"/>
      <c r="P2" s="226"/>
      <c r="Q2" s="227"/>
    </row>
    <row r="3" spans="1:17" ht="18.75" customHeight="1">
      <c r="A3" s="33">
        <f>IF(ISERR(DATE(I7,J7,K7)),"e",DATE(I7,J7,K7))</f>
        <v>45048</v>
      </c>
      <c r="B3" s="47">
        <f>IF(A5&lt;2,DATE(I7+1,P7,Q7),DATE(I7,P7,Q7))</f>
        <v>45292</v>
      </c>
      <c r="C3" s="42" t="str">
        <f>IF(ISERR(DATE(L7,N7,O7)),"e",DATE(L7,N7,O7)-1)</f>
        <v>e</v>
      </c>
      <c r="E3" s="234" t="s">
        <v>141</v>
      </c>
      <c r="F3" s="213" t="s">
        <v>144</v>
      </c>
      <c r="G3" s="265" t="s">
        <v>77</v>
      </c>
      <c r="H3" s="265"/>
      <c r="I3" s="265"/>
      <c r="J3" s="265"/>
      <c r="K3" s="266"/>
      <c r="L3" s="231" t="s">
        <v>161</v>
      </c>
      <c r="M3" s="300" t="s">
        <v>162</v>
      </c>
      <c r="N3" s="301"/>
      <c r="O3" s="301"/>
      <c r="P3" s="228"/>
      <c r="Q3" s="229"/>
    </row>
    <row r="4" spans="1:17" ht="18.75" customHeight="1">
      <c r="A4" s="46" t="s">
        <v>33</v>
      </c>
      <c r="B4" s="48" t="s">
        <v>37</v>
      </c>
      <c r="C4" s="59" t="s">
        <v>36</v>
      </c>
      <c r="E4" s="235" t="s">
        <v>142</v>
      </c>
      <c r="F4" s="214" t="s">
        <v>145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8.75" customHeight="1">
      <c r="A5" s="27">
        <f>IF(J7*100+K7&gt;P7*100+Q7,0,IF(J7*100+K7=P7*100+Q7,1,2))</f>
        <v>0</v>
      </c>
      <c r="B5" s="39">
        <f>DATEDIF(A3,B3,"m")</f>
        <v>7</v>
      </c>
      <c r="C5" s="41">
        <f>IF(C3="e",1200,DATEDIF(A3,C3,"m"))</f>
        <v>1200</v>
      </c>
      <c r="E5" s="236" t="s">
        <v>143</v>
      </c>
      <c r="F5" s="215" t="s">
        <v>146</v>
      </c>
      <c r="G5" s="304" t="s">
        <v>0</v>
      </c>
      <c r="H5" s="305"/>
      <c r="I5" s="305" t="s">
        <v>25</v>
      </c>
      <c r="J5" s="305"/>
      <c r="K5" s="306"/>
      <c r="L5" s="305" t="s">
        <v>210</v>
      </c>
      <c r="M5" s="305"/>
      <c r="N5" s="305"/>
      <c r="O5" s="306"/>
      <c r="P5" s="330" t="s">
        <v>78</v>
      </c>
      <c r="Q5" s="331"/>
    </row>
    <row r="6" spans="1:17" ht="18.75" customHeight="1" thickBot="1">
      <c r="A6" s="101" t="s">
        <v>92</v>
      </c>
      <c r="B6" s="103" t="s">
        <v>96</v>
      </c>
      <c r="C6" s="101" t="s">
        <v>95</v>
      </c>
      <c r="E6" s="237">
        <v>1</v>
      </c>
      <c r="F6" s="238">
        <v>1</v>
      </c>
      <c r="G6" s="34" t="s">
        <v>5</v>
      </c>
      <c r="H6" s="35" t="s">
        <v>1</v>
      </c>
      <c r="I6" s="35" t="s">
        <v>3</v>
      </c>
      <c r="J6" s="35" t="s">
        <v>2</v>
      </c>
      <c r="K6" s="36" t="s">
        <v>4</v>
      </c>
      <c r="L6" s="267" t="s">
        <v>3</v>
      </c>
      <c r="M6" s="268"/>
      <c r="N6" s="35" t="s">
        <v>2</v>
      </c>
      <c r="O6" s="36" t="s">
        <v>4</v>
      </c>
      <c r="P6" s="35" t="s">
        <v>2</v>
      </c>
      <c r="Q6" s="36" t="s">
        <v>4</v>
      </c>
    </row>
    <row r="7" spans="1:17" ht="18.75" customHeight="1" thickBot="1">
      <c r="A7" s="102" t="s">
        <v>93</v>
      </c>
      <c r="B7" s="47">
        <f>연차일수!B7</f>
        <v>42885</v>
      </c>
      <c r="C7" s="33">
        <f>연차일수!C7</f>
        <v>43249</v>
      </c>
      <c r="E7" s="1"/>
      <c r="G7" s="131">
        <f>연차일수!D7</f>
        <v>0</v>
      </c>
      <c r="H7" s="135">
        <f>연차일수!E7</f>
        <v>0</v>
      </c>
      <c r="I7" s="135">
        <f>연차일수!F7</f>
        <v>2023</v>
      </c>
      <c r="J7" s="135">
        <f>연차일수!G7</f>
        <v>5</v>
      </c>
      <c r="K7" s="135">
        <f>연차일수!H7</f>
        <v>2</v>
      </c>
      <c r="L7" s="319">
        <f>연차일수!I7</f>
        <v>0</v>
      </c>
      <c r="M7" s="320"/>
      <c r="N7" s="135">
        <f>연차일수!K7</f>
        <v>0</v>
      </c>
      <c r="O7" s="135">
        <f>연차일수!L7</f>
        <v>0</v>
      </c>
      <c r="P7" s="135">
        <f>연차일수!M7</f>
        <v>1</v>
      </c>
      <c r="Q7" s="136">
        <f>연차일수!N7</f>
        <v>1</v>
      </c>
    </row>
    <row r="8" spans="1:17" ht="18.75" customHeight="1">
      <c r="B8" s="1"/>
      <c r="E8" s="1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18.75" customHeight="1">
      <c r="A9" s="311" t="s">
        <v>79</v>
      </c>
      <c r="B9" s="311"/>
      <c r="C9" s="350"/>
      <c r="D9" s="351" t="s">
        <v>39</v>
      </c>
      <c r="E9" s="264"/>
      <c r="F9" s="264"/>
      <c r="G9" s="261" t="s">
        <v>79</v>
      </c>
      <c r="H9" s="334"/>
      <c r="I9" s="260"/>
      <c r="J9" s="260" t="s">
        <v>8</v>
      </c>
      <c r="K9" s="336"/>
      <c r="L9" s="336"/>
      <c r="M9" s="336"/>
      <c r="N9" s="336"/>
      <c r="O9" s="336"/>
      <c r="P9" s="271" t="s">
        <v>26</v>
      </c>
      <c r="Q9" s="289"/>
    </row>
    <row r="10" spans="1:17" ht="18.75" customHeight="1">
      <c r="A10" s="98" t="s">
        <v>82</v>
      </c>
      <c r="B10" s="247" t="s">
        <v>214</v>
      </c>
      <c r="C10" s="110" t="s">
        <v>38</v>
      </c>
      <c r="D10" s="110" t="s">
        <v>40</v>
      </c>
      <c r="E10" s="247" t="s">
        <v>214</v>
      </c>
      <c r="F10" s="108" t="s">
        <v>38</v>
      </c>
      <c r="G10" s="119" t="s">
        <v>7</v>
      </c>
      <c r="H10" s="120" t="s">
        <v>24</v>
      </c>
      <c r="I10" s="121" t="s">
        <v>10</v>
      </c>
      <c r="J10" s="271" t="s">
        <v>6</v>
      </c>
      <c r="K10" s="272"/>
      <c r="L10" s="271" t="s">
        <v>9</v>
      </c>
      <c r="M10" s="272"/>
      <c r="N10" s="335" t="s">
        <v>10</v>
      </c>
      <c r="O10" s="271"/>
      <c r="P10" s="273" t="s">
        <v>27</v>
      </c>
      <c r="Q10" s="265"/>
    </row>
    <row r="11" spans="1:17" ht="18.75" customHeight="1">
      <c r="A11" s="21">
        <v>-1</v>
      </c>
      <c r="B11" s="22">
        <f t="shared" ref="B11:B35" si="0">DATE(IF($A$5&lt;2,$I$7+A11+1,$I$7+A11),$P$7,$Q$7)</f>
        <v>44927</v>
      </c>
      <c r="C11" s="23">
        <f>IF(AND(NOT($C$3="e"),B11&gt;$C$3),1,0)</f>
        <v>0</v>
      </c>
      <c r="D11" s="23">
        <v>0</v>
      </c>
      <c r="E11" s="22">
        <f t="shared" ref="E11:E35" si="1">DATE($I$7+D11,$J$7,$K$7)</f>
        <v>45048</v>
      </c>
      <c r="F11" s="24">
        <f>IF(AND(NOT($C$3="e"),E11&gt;$C$3),1,0)</f>
        <v>0</v>
      </c>
      <c r="G11" s="50" t="s">
        <v>35</v>
      </c>
      <c r="H11" s="51" t="str">
        <f>IF(OR(AND(A3&gt;=B7,C3&gt;=C7),B13&gt;C3),"매월"&amp;K7&amp;"일(1개씩)","-")</f>
        <v>매월2일(1개씩)</v>
      </c>
      <c r="I11" s="52">
        <f>IF(AND(A3&gt;=B7,C3&gt;=C7),IF(C5&lt;12,C5,11),IF(B3&gt;C3,C5,IF(B13&gt;C3,IF(C5&lt;12,C5,11)-B5,"-")))</f>
        <v>11</v>
      </c>
      <c r="J11" s="352" t="s">
        <v>34</v>
      </c>
      <c r="K11" s="353"/>
      <c r="L11" s="321" t="str">
        <f>IF(OR(C5&lt;12,AND(A3&gt;=DATE(2017,5,30),C3&gt;=DATE(2018,5,29))),"매월"&amp;K7&amp;"일(1개씩)","-")</f>
        <v>매월2일(1개씩)</v>
      </c>
      <c r="M11" s="322"/>
      <c r="N11" s="325">
        <f>IF(OR(C5&lt;12,AND(A3&gt;=DATE(2017,5,30),C3&gt;=DATE(2018,5,29))),IF(C5&lt;12,C5,11),"-")</f>
        <v>11</v>
      </c>
      <c r="O11" s="326"/>
      <c r="P11" s="332"/>
      <c r="Q11" s="333"/>
    </row>
    <row r="12" spans="1:17" ht="18.75" customHeight="1">
      <c r="A12" s="21">
        <v>0</v>
      </c>
      <c r="B12" s="22">
        <f t="shared" si="0"/>
        <v>45292</v>
      </c>
      <c r="C12" s="23">
        <f>IF(AND(NOT($C$3="e"),B12&gt;$C$3),1,0)</f>
        <v>0</v>
      </c>
      <c r="D12" s="23">
        <v>1</v>
      </c>
      <c r="E12" s="22">
        <f t="shared" si="1"/>
        <v>45414</v>
      </c>
      <c r="F12" s="24">
        <f>IF(AND(NOT($C$3="e"),E12&gt;$C$3),1,0)</f>
        <v>0</v>
      </c>
      <c r="G12" s="6" t="str">
        <f>IF(C12=1,"",A12+2&amp;"년차")</f>
        <v>2년차</v>
      </c>
      <c r="H12" s="53">
        <f>IF(C12=1,"",B12)</f>
        <v>45292</v>
      </c>
      <c r="I12" s="49">
        <f>IF(C12=1,"",IF(OR($A$5=1,$F$6=3),15,IF($E$6=1,15*(B12-A3)/365,IF($E$6=2,ROUNDUP(15*(B12-A3)/365,0),ROUNDUP(15*(B12-A3)/365*2,0)/2))))</f>
        <v>10.027397260273972</v>
      </c>
      <c r="J12" s="327" t="str">
        <f>IF(F12=1,"",D12&amp;"년근속")</f>
        <v>1년근속</v>
      </c>
      <c r="K12" s="327"/>
      <c r="L12" s="323">
        <f>IF(F12=1,"",E12)</f>
        <v>45414</v>
      </c>
      <c r="M12" s="287"/>
      <c r="N12" s="324">
        <f>IF(F12=1,"",15+INT((D12-1)/2))</f>
        <v>15</v>
      </c>
      <c r="O12" s="324"/>
      <c r="P12" s="328"/>
      <c r="Q12" s="329"/>
    </row>
    <row r="13" spans="1:17" ht="18.75" customHeight="1">
      <c r="A13" s="25">
        <v>1</v>
      </c>
      <c r="B13" s="22">
        <f>DATE(IF($A$5&lt;2,$I$7+A13+1,$I$7+A13),$P$7,$Q$7)</f>
        <v>45658</v>
      </c>
      <c r="C13" s="23">
        <f t="shared" ref="C13:C33" si="2">IF(AND(NOT($C$3="e"),B13&gt;$C$3),1,0)</f>
        <v>0</v>
      </c>
      <c r="D13" s="23">
        <v>2</v>
      </c>
      <c r="E13" s="22">
        <f t="shared" si="1"/>
        <v>45779</v>
      </c>
      <c r="F13" s="24">
        <f t="shared" ref="F13:F33" si="3">IF(AND(NOT($C$3="e"),E13&gt;$C$3),1,0)</f>
        <v>0</v>
      </c>
      <c r="G13" s="6" t="str">
        <f t="shared" ref="G13:G32" si="4">IF(C13=1,"",A13+2&amp;"년차")</f>
        <v>3년차</v>
      </c>
      <c r="H13" s="53">
        <f t="shared" ref="H13:H32" si="5">IF(C13=1,"",B13)</f>
        <v>45658</v>
      </c>
      <c r="I13" s="49">
        <f>IF(C13=1,"",15)</f>
        <v>15</v>
      </c>
      <c r="J13" s="327" t="str">
        <f t="shared" ref="J13:J32" si="6">IF(F13=1,"",D13&amp;"년근속")</f>
        <v>2년근속</v>
      </c>
      <c r="K13" s="327"/>
      <c r="L13" s="323">
        <f t="shared" ref="L13:L32" si="7">IF(F13=1,"",E13)</f>
        <v>45779</v>
      </c>
      <c r="M13" s="287"/>
      <c r="N13" s="324">
        <f t="shared" ref="N13:N32" si="8">IF(F13=1,"",15+INT((D13-1)/2))</f>
        <v>15</v>
      </c>
      <c r="O13" s="324"/>
      <c r="P13" s="328"/>
      <c r="Q13" s="329"/>
    </row>
    <row r="14" spans="1:17" ht="18.75" customHeight="1">
      <c r="A14" s="25">
        <v>2</v>
      </c>
      <c r="B14" s="22">
        <f t="shared" si="0"/>
        <v>46023</v>
      </c>
      <c r="C14" s="23">
        <f t="shared" si="2"/>
        <v>0</v>
      </c>
      <c r="D14" s="23">
        <v>3</v>
      </c>
      <c r="E14" s="22">
        <f t="shared" si="1"/>
        <v>46144</v>
      </c>
      <c r="F14" s="24">
        <f t="shared" si="3"/>
        <v>0</v>
      </c>
      <c r="G14" s="6" t="str">
        <f t="shared" si="4"/>
        <v>4년차</v>
      </c>
      <c r="H14" s="53">
        <f t="shared" si="5"/>
        <v>46023</v>
      </c>
      <c r="I14" s="49">
        <f>IF(C14=1,"",15+INT((A14+IF($F$6=1,0,1)-IF(AND($F$6=1,$A$5=1),0,1))/2))</f>
        <v>15</v>
      </c>
      <c r="J14" s="327" t="str">
        <f t="shared" si="6"/>
        <v>3년근속</v>
      </c>
      <c r="K14" s="327"/>
      <c r="L14" s="323">
        <f t="shared" si="7"/>
        <v>46144</v>
      </c>
      <c r="M14" s="287"/>
      <c r="N14" s="324">
        <f t="shared" si="8"/>
        <v>16</v>
      </c>
      <c r="O14" s="324"/>
      <c r="P14" s="328"/>
      <c r="Q14" s="329"/>
    </row>
    <row r="15" spans="1:17" ht="18.75" customHeight="1">
      <c r="A15" s="25">
        <v>3</v>
      </c>
      <c r="B15" s="22">
        <f t="shared" si="0"/>
        <v>46388</v>
      </c>
      <c r="C15" s="23">
        <f t="shared" si="2"/>
        <v>0</v>
      </c>
      <c r="D15" s="23">
        <v>4</v>
      </c>
      <c r="E15" s="22">
        <f t="shared" si="1"/>
        <v>46509</v>
      </c>
      <c r="F15" s="24">
        <f t="shared" si="3"/>
        <v>0</v>
      </c>
      <c r="G15" s="6" t="str">
        <f t="shared" si="4"/>
        <v>5년차</v>
      </c>
      <c r="H15" s="53">
        <f t="shared" si="5"/>
        <v>46388</v>
      </c>
      <c r="I15" s="49">
        <f t="shared" ref="I15:I32" si="9">IF(C15=1,"",15+INT((A15+IF($F$6=1,0,1)-IF(AND($F$6=1,$A$5=1),0,1))/2))</f>
        <v>16</v>
      </c>
      <c r="J15" s="327" t="str">
        <f t="shared" si="6"/>
        <v>4년근속</v>
      </c>
      <c r="K15" s="327"/>
      <c r="L15" s="323">
        <f t="shared" si="7"/>
        <v>46509</v>
      </c>
      <c r="M15" s="287"/>
      <c r="N15" s="324">
        <f t="shared" si="8"/>
        <v>16</v>
      </c>
      <c r="O15" s="324"/>
      <c r="P15" s="328"/>
      <c r="Q15" s="329"/>
    </row>
    <row r="16" spans="1:17" ht="18.75" customHeight="1">
      <c r="A16" s="25">
        <v>4</v>
      </c>
      <c r="B16" s="22">
        <f t="shared" si="0"/>
        <v>46753</v>
      </c>
      <c r="C16" s="23">
        <f t="shared" si="2"/>
        <v>0</v>
      </c>
      <c r="D16" s="23">
        <v>5</v>
      </c>
      <c r="E16" s="22">
        <f t="shared" si="1"/>
        <v>46875</v>
      </c>
      <c r="F16" s="24">
        <f t="shared" si="3"/>
        <v>0</v>
      </c>
      <c r="G16" s="6" t="str">
        <f t="shared" si="4"/>
        <v>6년차</v>
      </c>
      <c r="H16" s="53">
        <f t="shared" si="5"/>
        <v>46753</v>
      </c>
      <c r="I16" s="49">
        <f t="shared" si="9"/>
        <v>16</v>
      </c>
      <c r="J16" s="327" t="str">
        <f t="shared" si="6"/>
        <v>5년근속</v>
      </c>
      <c r="K16" s="327"/>
      <c r="L16" s="323">
        <f t="shared" si="7"/>
        <v>46875</v>
      </c>
      <c r="M16" s="287"/>
      <c r="N16" s="324">
        <f t="shared" si="8"/>
        <v>17</v>
      </c>
      <c r="O16" s="324"/>
      <c r="P16" s="328"/>
      <c r="Q16" s="329"/>
    </row>
    <row r="17" spans="1:17" ht="18.75" customHeight="1">
      <c r="A17" s="25">
        <v>5</v>
      </c>
      <c r="B17" s="22">
        <f t="shared" si="0"/>
        <v>47119</v>
      </c>
      <c r="C17" s="23">
        <f t="shared" si="2"/>
        <v>0</v>
      </c>
      <c r="D17" s="23">
        <v>6</v>
      </c>
      <c r="E17" s="22">
        <f t="shared" si="1"/>
        <v>47240</v>
      </c>
      <c r="F17" s="24">
        <f t="shared" si="3"/>
        <v>0</v>
      </c>
      <c r="G17" s="6" t="str">
        <f t="shared" si="4"/>
        <v>7년차</v>
      </c>
      <c r="H17" s="53">
        <f t="shared" si="5"/>
        <v>47119</v>
      </c>
      <c r="I17" s="49">
        <f t="shared" si="9"/>
        <v>17</v>
      </c>
      <c r="J17" s="327" t="str">
        <f t="shared" si="6"/>
        <v>6년근속</v>
      </c>
      <c r="K17" s="327"/>
      <c r="L17" s="323">
        <f t="shared" si="7"/>
        <v>47240</v>
      </c>
      <c r="M17" s="287"/>
      <c r="N17" s="324">
        <f t="shared" si="8"/>
        <v>17</v>
      </c>
      <c r="O17" s="324"/>
      <c r="P17" s="328"/>
      <c r="Q17" s="329"/>
    </row>
    <row r="18" spans="1:17" ht="18.75" customHeight="1">
      <c r="A18" s="25">
        <v>6</v>
      </c>
      <c r="B18" s="22">
        <f t="shared" si="0"/>
        <v>47484</v>
      </c>
      <c r="C18" s="23">
        <f t="shared" si="2"/>
        <v>0</v>
      </c>
      <c r="D18" s="23">
        <v>7</v>
      </c>
      <c r="E18" s="22">
        <f t="shared" si="1"/>
        <v>47605</v>
      </c>
      <c r="F18" s="24">
        <f t="shared" si="3"/>
        <v>0</v>
      </c>
      <c r="G18" s="6" t="str">
        <f t="shared" si="4"/>
        <v>8년차</v>
      </c>
      <c r="H18" s="53">
        <f t="shared" si="5"/>
        <v>47484</v>
      </c>
      <c r="I18" s="49">
        <f t="shared" si="9"/>
        <v>17</v>
      </c>
      <c r="J18" s="327" t="str">
        <f t="shared" si="6"/>
        <v>7년근속</v>
      </c>
      <c r="K18" s="327"/>
      <c r="L18" s="323">
        <f t="shared" si="7"/>
        <v>47605</v>
      </c>
      <c r="M18" s="287"/>
      <c r="N18" s="324">
        <f t="shared" si="8"/>
        <v>18</v>
      </c>
      <c r="O18" s="324"/>
      <c r="P18" s="328"/>
      <c r="Q18" s="329"/>
    </row>
    <row r="19" spans="1:17" ht="18.75" customHeight="1">
      <c r="A19" s="25">
        <v>7</v>
      </c>
      <c r="B19" s="22">
        <f t="shared" si="0"/>
        <v>47849</v>
      </c>
      <c r="C19" s="23">
        <f t="shared" si="2"/>
        <v>0</v>
      </c>
      <c r="D19" s="23">
        <v>8</v>
      </c>
      <c r="E19" s="22">
        <f t="shared" si="1"/>
        <v>47970</v>
      </c>
      <c r="F19" s="24">
        <f t="shared" si="3"/>
        <v>0</v>
      </c>
      <c r="G19" s="6" t="str">
        <f t="shared" si="4"/>
        <v>9년차</v>
      </c>
      <c r="H19" s="53">
        <f t="shared" si="5"/>
        <v>47849</v>
      </c>
      <c r="I19" s="49">
        <f t="shared" si="9"/>
        <v>18</v>
      </c>
      <c r="J19" s="327" t="str">
        <f t="shared" si="6"/>
        <v>8년근속</v>
      </c>
      <c r="K19" s="327"/>
      <c r="L19" s="323">
        <f t="shared" si="7"/>
        <v>47970</v>
      </c>
      <c r="M19" s="287"/>
      <c r="N19" s="324">
        <f t="shared" si="8"/>
        <v>18</v>
      </c>
      <c r="O19" s="324"/>
      <c r="P19" s="328"/>
      <c r="Q19" s="329"/>
    </row>
    <row r="20" spans="1:17" ht="18.75" customHeight="1">
      <c r="A20" s="25">
        <v>8</v>
      </c>
      <c r="B20" s="22">
        <f t="shared" si="0"/>
        <v>48214</v>
      </c>
      <c r="C20" s="23">
        <f t="shared" si="2"/>
        <v>0</v>
      </c>
      <c r="D20" s="23">
        <v>9</v>
      </c>
      <c r="E20" s="22">
        <f t="shared" si="1"/>
        <v>48336</v>
      </c>
      <c r="F20" s="24">
        <f t="shared" si="3"/>
        <v>0</v>
      </c>
      <c r="G20" s="6" t="str">
        <f t="shared" si="4"/>
        <v>10년차</v>
      </c>
      <c r="H20" s="53">
        <f t="shared" si="5"/>
        <v>48214</v>
      </c>
      <c r="I20" s="49">
        <f t="shared" si="9"/>
        <v>18</v>
      </c>
      <c r="J20" s="327" t="str">
        <f t="shared" si="6"/>
        <v>9년근속</v>
      </c>
      <c r="K20" s="327"/>
      <c r="L20" s="323">
        <f t="shared" si="7"/>
        <v>48336</v>
      </c>
      <c r="M20" s="287"/>
      <c r="N20" s="324">
        <f t="shared" si="8"/>
        <v>19</v>
      </c>
      <c r="O20" s="324"/>
      <c r="P20" s="328"/>
      <c r="Q20" s="329"/>
    </row>
    <row r="21" spans="1:17" ht="18.75" customHeight="1">
      <c r="A21" s="25">
        <v>9</v>
      </c>
      <c r="B21" s="22">
        <f t="shared" si="0"/>
        <v>48580</v>
      </c>
      <c r="C21" s="23">
        <f t="shared" si="2"/>
        <v>0</v>
      </c>
      <c r="D21" s="23">
        <v>10</v>
      </c>
      <c r="E21" s="22">
        <f t="shared" si="1"/>
        <v>48701</v>
      </c>
      <c r="F21" s="24">
        <f t="shared" si="3"/>
        <v>0</v>
      </c>
      <c r="G21" s="6" t="str">
        <f t="shared" si="4"/>
        <v>11년차</v>
      </c>
      <c r="H21" s="53">
        <f t="shared" si="5"/>
        <v>48580</v>
      </c>
      <c r="I21" s="49">
        <f t="shared" si="9"/>
        <v>19</v>
      </c>
      <c r="J21" s="327" t="str">
        <f t="shared" si="6"/>
        <v>10년근속</v>
      </c>
      <c r="K21" s="327"/>
      <c r="L21" s="323">
        <f t="shared" si="7"/>
        <v>48701</v>
      </c>
      <c r="M21" s="287"/>
      <c r="N21" s="324">
        <f t="shared" si="8"/>
        <v>19</v>
      </c>
      <c r="O21" s="324"/>
      <c r="P21" s="328"/>
      <c r="Q21" s="329"/>
    </row>
    <row r="22" spans="1:17" ht="18.75" customHeight="1">
      <c r="A22" s="25">
        <v>10</v>
      </c>
      <c r="B22" s="22">
        <f t="shared" si="0"/>
        <v>48945</v>
      </c>
      <c r="C22" s="23">
        <f t="shared" si="2"/>
        <v>0</v>
      </c>
      <c r="D22" s="23">
        <v>11</v>
      </c>
      <c r="E22" s="22">
        <f t="shared" si="1"/>
        <v>49066</v>
      </c>
      <c r="F22" s="24">
        <f t="shared" si="3"/>
        <v>0</v>
      </c>
      <c r="G22" s="6" t="str">
        <f t="shared" si="4"/>
        <v>12년차</v>
      </c>
      <c r="H22" s="53">
        <f t="shared" si="5"/>
        <v>48945</v>
      </c>
      <c r="I22" s="49">
        <f t="shared" si="9"/>
        <v>19</v>
      </c>
      <c r="J22" s="327" t="str">
        <f t="shared" si="6"/>
        <v>11년근속</v>
      </c>
      <c r="K22" s="327"/>
      <c r="L22" s="323">
        <f t="shared" si="7"/>
        <v>49066</v>
      </c>
      <c r="M22" s="287"/>
      <c r="N22" s="324">
        <f t="shared" si="8"/>
        <v>20</v>
      </c>
      <c r="O22" s="324"/>
      <c r="P22" s="328"/>
      <c r="Q22" s="329"/>
    </row>
    <row r="23" spans="1:17" ht="18.75" customHeight="1">
      <c r="A23" s="25">
        <v>11</v>
      </c>
      <c r="B23" s="22">
        <f t="shared" si="0"/>
        <v>49310</v>
      </c>
      <c r="C23" s="23">
        <f t="shared" si="2"/>
        <v>0</v>
      </c>
      <c r="D23" s="23">
        <v>12</v>
      </c>
      <c r="E23" s="22">
        <f t="shared" si="1"/>
        <v>49431</v>
      </c>
      <c r="F23" s="24">
        <f t="shared" si="3"/>
        <v>0</v>
      </c>
      <c r="G23" s="6" t="str">
        <f t="shared" si="4"/>
        <v>13년차</v>
      </c>
      <c r="H23" s="53">
        <f t="shared" si="5"/>
        <v>49310</v>
      </c>
      <c r="I23" s="49">
        <f t="shared" si="9"/>
        <v>20</v>
      </c>
      <c r="J23" s="327" t="str">
        <f t="shared" si="6"/>
        <v>12년근속</v>
      </c>
      <c r="K23" s="327"/>
      <c r="L23" s="323">
        <f t="shared" si="7"/>
        <v>49431</v>
      </c>
      <c r="M23" s="287"/>
      <c r="N23" s="324">
        <f t="shared" si="8"/>
        <v>20</v>
      </c>
      <c r="O23" s="324"/>
      <c r="P23" s="328"/>
      <c r="Q23" s="329"/>
    </row>
    <row r="24" spans="1:17" ht="18.75" customHeight="1">
      <c r="A24" s="25">
        <v>12</v>
      </c>
      <c r="B24" s="22">
        <f t="shared" si="0"/>
        <v>49675</v>
      </c>
      <c r="C24" s="23">
        <f t="shared" si="2"/>
        <v>0</v>
      </c>
      <c r="D24" s="23">
        <v>13</v>
      </c>
      <c r="E24" s="22">
        <f t="shared" si="1"/>
        <v>49797</v>
      </c>
      <c r="F24" s="24">
        <f t="shared" si="3"/>
        <v>0</v>
      </c>
      <c r="G24" s="6" t="str">
        <f t="shared" si="4"/>
        <v>14년차</v>
      </c>
      <c r="H24" s="53">
        <f t="shared" si="5"/>
        <v>49675</v>
      </c>
      <c r="I24" s="49">
        <f t="shared" si="9"/>
        <v>20</v>
      </c>
      <c r="J24" s="327" t="str">
        <f t="shared" si="6"/>
        <v>13년근속</v>
      </c>
      <c r="K24" s="327"/>
      <c r="L24" s="323">
        <f t="shared" si="7"/>
        <v>49797</v>
      </c>
      <c r="M24" s="287"/>
      <c r="N24" s="324">
        <f t="shared" si="8"/>
        <v>21</v>
      </c>
      <c r="O24" s="324"/>
      <c r="P24" s="328"/>
      <c r="Q24" s="329"/>
    </row>
    <row r="25" spans="1:17" ht="18.75" customHeight="1">
      <c r="A25" s="25">
        <v>13</v>
      </c>
      <c r="B25" s="22">
        <f t="shared" si="0"/>
        <v>50041</v>
      </c>
      <c r="C25" s="23">
        <f t="shared" si="2"/>
        <v>0</v>
      </c>
      <c r="D25" s="23">
        <v>14</v>
      </c>
      <c r="E25" s="22">
        <f t="shared" si="1"/>
        <v>50162</v>
      </c>
      <c r="F25" s="24">
        <f t="shared" si="3"/>
        <v>0</v>
      </c>
      <c r="G25" s="6" t="str">
        <f t="shared" si="4"/>
        <v>15년차</v>
      </c>
      <c r="H25" s="53">
        <f t="shared" si="5"/>
        <v>50041</v>
      </c>
      <c r="I25" s="49">
        <f t="shared" si="9"/>
        <v>21</v>
      </c>
      <c r="J25" s="327" t="str">
        <f t="shared" si="6"/>
        <v>14년근속</v>
      </c>
      <c r="K25" s="327"/>
      <c r="L25" s="323">
        <f t="shared" si="7"/>
        <v>50162</v>
      </c>
      <c r="M25" s="287"/>
      <c r="N25" s="324">
        <f t="shared" si="8"/>
        <v>21</v>
      </c>
      <c r="O25" s="324"/>
      <c r="P25" s="328"/>
      <c r="Q25" s="329"/>
    </row>
    <row r="26" spans="1:17" ht="18.75" customHeight="1">
      <c r="A26" s="25">
        <v>14</v>
      </c>
      <c r="B26" s="22">
        <f t="shared" si="0"/>
        <v>50406</v>
      </c>
      <c r="C26" s="23">
        <f t="shared" si="2"/>
        <v>0</v>
      </c>
      <c r="D26" s="23">
        <v>15</v>
      </c>
      <c r="E26" s="22">
        <f t="shared" si="1"/>
        <v>50527</v>
      </c>
      <c r="F26" s="24">
        <f t="shared" si="3"/>
        <v>0</v>
      </c>
      <c r="G26" s="6" t="str">
        <f t="shared" si="4"/>
        <v>16년차</v>
      </c>
      <c r="H26" s="53">
        <f t="shared" si="5"/>
        <v>50406</v>
      </c>
      <c r="I26" s="49">
        <f t="shared" si="9"/>
        <v>21</v>
      </c>
      <c r="J26" s="327" t="str">
        <f t="shared" si="6"/>
        <v>15년근속</v>
      </c>
      <c r="K26" s="327"/>
      <c r="L26" s="323">
        <f t="shared" si="7"/>
        <v>50527</v>
      </c>
      <c r="M26" s="287"/>
      <c r="N26" s="324">
        <f t="shared" si="8"/>
        <v>22</v>
      </c>
      <c r="O26" s="324"/>
      <c r="P26" s="328"/>
      <c r="Q26" s="329"/>
    </row>
    <row r="27" spans="1:17" ht="18.75" customHeight="1">
      <c r="A27" s="25">
        <v>15</v>
      </c>
      <c r="B27" s="22">
        <f t="shared" si="0"/>
        <v>50771</v>
      </c>
      <c r="C27" s="23">
        <f t="shared" si="2"/>
        <v>0</v>
      </c>
      <c r="D27" s="23">
        <v>16</v>
      </c>
      <c r="E27" s="22">
        <f t="shared" si="1"/>
        <v>50892</v>
      </c>
      <c r="F27" s="24">
        <f t="shared" si="3"/>
        <v>0</v>
      </c>
      <c r="G27" s="6" t="str">
        <f t="shared" si="4"/>
        <v>17년차</v>
      </c>
      <c r="H27" s="53">
        <f t="shared" si="5"/>
        <v>50771</v>
      </c>
      <c r="I27" s="49">
        <f t="shared" si="9"/>
        <v>22</v>
      </c>
      <c r="J27" s="327" t="str">
        <f t="shared" si="6"/>
        <v>16년근속</v>
      </c>
      <c r="K27" s="327"/>
      <c r="L27" s="323">
        <f t="shared" si="7"/>
        <v>50892</v>
      </c>
      <c r="M27" s="287"/>
      <c r="N27" s="324">
        <f t="shared" si="8"/>
        <v>22</v>
      </c>
      <c r="O27" s="324"/>
      <c r="P27" s="328"/>
      <c r="Q27" s="329"/>
    </row>
    <row r="28" spans="1:17" ht="18.75" customHeight="1">
      <c r="A28" s="25">
        <v>16</v>
      </c>
      <c r="B28" s="22">
        <f t="shared" si="0"/>
        <v>51136</v>
      </c>
      <c r="C28" s="23">
        <f t="shared" si="2"/>
        <v>0</v>
      </c>
      <c r="D28" s="23">
        <v>17</v>
      </c>
      <c r="E28" s="22">
        <f t="shared" si="1"/>
        <v>51258</v>
      </c>
      <c r="F28" s="24">
        <f t="shared" si="3"/>
        <v>0</v>
      </c>
      <c r="G28" s="6" t="str">
        <f t="shared" si="4"/>
        <v>18년차</v>
      </c>
      <c r="H28" s="53">
        <f t="shared" si="5"/>
        <v>51136</v>
      </c>
      <c r="I28" s="49">
        <f t="shared" si="9"/>
        <v>22</v>
      </c>
      <c r="J28" s="327" t="str">
        <f t="shared" si="6"/>
        <v>17년근속</v>
      </c>
      <c r="K28" s="327"/>
      <c r="L28" s="323">
        <f t="shared" si="7"/>
        <v>51258</v>
      </c>
      <c r="M28" s="287"/>
      <c r="N28" s="324">
        <f t="shared" si="8"/>
        <v>23</v>
      </c>
      <c r="O28" s="324"/>
      <c r="P28" s="328"/>
      <c r="Q28" s="329"/>
    </row>
    <row r="29" spans="1:17" ht="18.75" customHeight="1">
      <c r="A29" s="25">
        <v>17</v>
      </c>
      <c r="B29" s="22">
        <f t="shared" si="0"/>
        <v>51502</v>
      </c>
      <c r="C29" s="23">
        <f t="shared" si="2"/>
        <v>0</v>
      </c>
      <c r="D29" s="23">
        <v>18</v>
      </c>
      <c r="E29" s="22">
        <f t="shared" si="1"/>
        <v>51623</v>
      </c>
      <c r="F29" s="24">
        <f t="shared" si="3"/>
        <v>0</v>
      </c>
      <c r="G29" s="6" t="str">
        <f t="shared" si="4"/>
        <v>19년차</v>
      </c>
      <c r="H29" s="53">
        <f t="shared" si="5"/>
        <v>51502</v>
      </c>
      <c r="I29" s="49">
        <f t="shared" si="9"/>
        <v>23</v>
      </c>
      <c r="J29" s="327" t="str">
        <f t="shared" si="6"/>
        <v>18년근속</v>
      </c>
      <c r="K29" s="327"/>
      <c r="L29" s="323">
        <f t="shared" si="7"/>
        <v>51623</v>
      </c>
      <c r="M29" s="287"/>
      <c r="N29" s="324">
        <f t="shared" si="8"/>
        <v>23</v>
      </c>
      <c r="O29" s="324"/>
      <c r="P29" s="328"/>
      <c r="Q29" s="329"/>
    </row>
    <row r="30" spans="1:17" ht="18.75" customHeight="1">
      <c r="A30" s="25">
        <v>18</v>
      </c>
      <c r="B30" s="22">
        <f t="shared" si="0"/>
        <v>51867</v>
      </c>
      <c r="C30" s="23">
        <f t="shared" si="2"/>
        <v>0</v>
      </c>
      <c r="D30" s="23">
        <v>19</v>
      </c>
      <c r="E30" s="22">
        <f t="shared" si="1"/>
        <v>51988</v>
      </c>
      <c r="F30" s="24">
        <f t="shared" si="3"/>
        <v>0</v>
      </c>
      <c r="G30" s="6" t="str">
        <f t="shared" si="4"/>
        <v>20년차</v>
      </c>
      <c r="H30" s="53">
        <f t="shared" si="5"/>
        <v>51867</v>
      </c>
      <c r="I30" s="49">
        <f t="shared" si="9"/>
        <v>23</v>
      </c>
      <c r="J30" s="327" t="str">
        <f t="shared" si="6"/>
        <v>19년근속</v>
      </c>
      <c r="K30" s="327"/>
      <c r="L30" s="323">
        <f t="shared" si="7"/>
        <v>51988</v>
      </c>
      <c r="M30" s="287"/>
      <c r="N30" s="324">
        <f t="shared" si="8"/>
        <v>24</v>
      </c>
      <c r="O30" s="324"/>
      <c r="P30" s="328"/>
      <c r="Q30" s="329"/>
    </row>
    <row r="31" spans="1:17" ht="18.75" customHeight="1">
      <c r="A31" s="25">
        <v>19</v>
      </c>
      <c r="B31" s="22">
        <f t="shared" si="0"/>
        <v>52232</v>
      </c>
      <c r="C31" s="23">
        <f t="shared" si="2"/>
        <v>0</v>
      </c>
      <c r="D31" s="23">
        <v>20</v>
      </c>
      <c r="E31" s="22">
        <f t="shared" si="1"/>
        <v>52353</v>
      </c>
      <c r="F31" s="24">
        <f t="shared" si="3"/>
        <v>0</v>
      </c>
      <c r="G31" s="6" t="str">
        <f t="shared" si="4"/>
        <v>21년차</v>
      </c>
      <c r="H31" s="53">
        <f t="shared" si="5"/>
        <v>52232</v>
      </c>
      <c r="I31" s="49">
        <f t="shared" si="9"/>
        <v>24</v>
      </c>
      <c r="J31" s="327" t="str">
        <f t="shared" si="6"/>
        <v>20년근속</v>
      </c>
      <c r="K31" s="327"/>
      <c r="L31" s="323">
        <f t="shared" si="7"/>
        <v>52353</v>
      </c>
      <c r="M31" s="287"/>
      <c r="N31" s="324">
        <f t="shared" si="8"/>
        <v>24</v>
      </c>
      <c r="O31" s="324"/>
      <c r="P31" s="328"/>
      <c r="Q31" s="329"/>
    </row>
    <row r="32" spans="1:17" ht="18.75" customHeight="1">
      <c r="A32" s="25">
        <v>20</v>
      </c>
      <c r="B32" s="22">
        <f t="shared" si="0"/>
        <v>52597</v>
      </c>
      <c r="C32" s="23">
        <f t="shared" si="2"/>
        <v>0</v>
      </c>
      <c r="D32" s="23">
        <v>21</v>
      </c>
      <c r="E32" s="22">
        <f t="shared" si="1"/>
        <v>52719</v>
      </c>
      <c r="F32" s="24">
        <f t="shared" si="3"/>
        <v>0</v>
      </c>
      <c r="G32" s="6" t="str">
        <f t="shared" si="4"/>
        <v>22년차</v>
      </c>
      <c r="H32" s="53">
        <f t="shared" si="5"/>
        <v>52597</v>
      </c>
      <c r="I32" s="49">
        <f t="shared" si="9"/>
        <v>24</v>
      </c>
      <c r="J32" s="327" t="str">
        <f t="shared" si="6"/>
        <v>21년근속</v>
      </c>
      <c r="K32" s="327"/>
      <c r="L32" s="323">
        <f t="shared" si="7"/>
        <v>52719</v>
      </c>
      <c r="M32" s="287"/>
      <c r="N32" s="324">
        <f t="shared" si="8"/>
        <v>25</v>
      </c>
      <c r="O32" s="324"/>
      <c r="P32" s="328"/>
      <c r="Q32" s="329"/>
    </row>
    <row r="33" spans="1:19" ht="18.75" customHeight="1" thickBot="1">
      <c r="A33" s="25">
        <v>21</v>
      </c>
      <c r="B33" s="22">
        <f t="shared" si="0"/>
        <v>52963</v>
      </c>
      <c r="C33" s="23">
        <f t="shared" si="2"/>
        <v>0</v>
      </c>
      <c r="D33" s="23">
        <v>22</v>
      </c>
      <c r="E33" s="22">
        <f t="shared" si="1"/>
        <v>53084</v>
      </c>
      <c r="F33" s="24">
        <f t="shared" si="3"/>
        <v>0</v>
      </c>
      <c r="G33" s="6" t="str">
        <f>IF(C34&gt;0,"",A34+2&amp;"년차")</f>
        <v>23년차</v>
      </c>
      <c r="H33" s="9">
        <f>IF(C34&gt;0,"",IF(C3="e",IF(C34=1,C3+1,B34),"추가 "&amp;A34-A32&amp;"년치"))</f>
        <v>52963</v>
      </c>
      <c r="I33" s="242">
        <f>IF(C34&gt;0,"",IF(C3="e",15+INT((A34-1)/2),(A34-A32)*25))</f>
        <v>25</v>
      </c>
      <c r="J33" s="327" t="str">
        <f>IF(F34&gt;0,"",D34&amp;"년근속")</f>
        <v>22년근속</v>
      </c>
      <c r="K33" s="327"/>
      <c r="L33" s="346">
        <f>IF(F34&gt;0,"",IF(C3="e",E34,"추가 "&amp;D34-D32&amp;"년치"))</f>
        <v>53084</v>
      </c>
      <c r="M33" s="318"/>
      <c r="N33" s="324">
        <f>IF(F34&gt;0,"",IF(C3="e",15+INT((D34-1)/2),(D34-D32)*25))</f>
        <v>25</v>
      </c>
      <c r="O33" s="324"/>
      <c r="P33" s="342"/>
      <c r="Q33" s="343"/>
    </row>
    <row r="34" spans="1:19" ht="18.75" customHeight="1" thickBot="1">
      <c r="A34" s="17">
        <f>IF(C3="e",A32+1,IF(B3&gt;C3,0,DATEDIF(B3,C3,"y")))</f>
        <v>21</v>
      </c>
      <c r="B34" s="22">
        <f t="shared" si="0"/>
        <v>52963</v>
      </c>
      <c r="C34" s="26">
        <f>IF(A32&gt;A34-1,2,IF(AND(NOT(C3="e"),B34&gt;C3),1,0))</f>
        <v>0</v>
      </c>
      <c r="D34" s="55">
        <f>IF(C3="e",D32+1,DATEDIF(A3,C3,"y"))</f>
        <v>22</v>
      </c>
      <c r="E34" s="22">
        <f t="shared" si="1"/>
        <v>53084</v>
      </c>
      <c r="F34" s="18">
        <f>IF(D32&gt;D34-1,2,IF(AND(NOT(C3="e"),E34&gt;C3),1,0))</f>
        <v>0</v>
      </c>
      <c r="G34" s="336" t="s">
        <v>32</v>
      </c>
      <c r="H34" s="261"/>
      <c r="I34" s="10" t="str">
        <f>IF(C3="e","",SUM(I11:I33))</f>
        <v/>
      </c>
      <c r="J34" s="347" t="s">
        <v>32</v>
      </c>
      <c r="K34" s="348"/>
      <c r="L34" s="348"/>
      <c r="M34" s="349"/>
      <c r="N34" s="340" t="str">
        <f>IF(C3="e","",SUM(N11:O33))</f>
        <v/>
      </c>
      <c r="O34" s="341"/>
      <c r="P34" s="344" t="str">
        <f>IF($N$34&gt;$I$34,ROUND(N34-I34,1)&amp;"일분","해당없음")</f>
        <v>해당없음</v>
      </c>
      <c r="Q34" s="345"/>
      <c r="S34" s="58"/>
    </row>
    <row r="35" spans="1:19" ht="18.75" customHeight="1">
      <c r="A35" s="128">
        <f>A34+1</f>
        <v>22</v>
      </c>
      <c r="B35" s="129">
        <f t="shared" si="0"/>
        <v>53328</v>
      </c>
      <c r="C35" s="253"/>
      <c r="D35" s="56">
        <f>D34+1</f>
        <v>23</v>
      </c>
      <c r="E35" s="254">
        <f t="shared" si="1"/>
        <v>53449</v>
      </c>
      <c r="F35" s="255"/>
      <c r="G35" s="338" t="s">
        <v>91</v>
      </c>
      <c r="H35" s="339"/>
      <c r="I35" s="339"/>
      <c r="J35" s="339"/>
      <c r="K35" s="339"/>
      <c r="L35" s="339"/>
      <c r="M35" s="339"/>
      <c r="N35" s="339"/>
      <c r="O35" s="339"/>
      <c r="P35" s="313"/>
      <c r="Q35" s="313"/>
      <c r="S35" s="54"/>
    </row>
    <row r="36" spans="1:19" ht="18.75" customHeight="1">
      <c r="A36" s="256"/>
      <c r="B36" s="256"/>
      <c r="C36" s="256"/>
      <c r="D36" s="256"/>
      <c r="E36" s="256"/>
      <c r="F36" s="256"/>
      <c r="G36" s="337" t="s">
        <v>215</v>
      </c>
      <c r="H36" s="337"/>
      <c r="I36" s="337"/>
      <c r="J36" s="337"/>
      <c r="K36" s="337"/>
      <c r="L36" s="337"/>
      <c r="M36" s="337"/>
      <c r="N36" s="337"/>
      <c r="O36" s="337"/>
      <c r="P36" s="337"/>
      <c r="Q36" s="337"/>
    </row>
    <row r="37" spans="1:19" ht="18.75" customHeight="1">
      <c r="A37" s="256"/>
      <c r="B37" s="256"/>
      <c r="C37" s="256"/>
      <c r="D37" s="256"/>
      <c r="E37" s="256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9" ht="18.75" customHeight="1">
      <c r="A38" s="256"/>
      <c r="B38" s="256"/>
      <c r="C38" s="8"/>
      <c r="D38" s="8"/>
      <c r="E38" s="8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9" ht="18.75" customHeight="1">
      <c r="A39" s="8"/>
      <c r="B39" s="8"/>
      <c r="C39" s="8"/>
      <c r="D39" s="8"/>
      <c r="E39" s="8"/>
      <c r="G39" s="8"/>
    </row>
    <row r="40" spans="1:19" ht="18.75" customHeight="1">
      <c r="A40" s="256"/>
      <c r="B40" s="256"/>
      <c r="C40" s="256"/>
      <c r="D40" s="256"/>
      <c r="E40" s="256"/>
    </row>
    <row r="41" spans="1:19" ht="18.75" customHeight="1">
      <c r="A41" s="257"/>
      <c r="B41" s="257"/>
      <c r="C41" s="257"/>
      <c r="D41" s="257"/>
      <c r="E41" s="257"/>
    </row>
    <row r="42" spans="1:19" ht="18.75" customHeight="1">
      <c r="A42" s="257"/>
      <c r="B42" s="257"/>
      <c r="C42" s="257"/>
      <c r="D42" s="257"/>
      <c r="E42" s="257"/>
    </row>
    <row r="43" spans="1:19" ht="18.75" customHeight="1">
      <c r="A43" s="257"/>
      <c r="B43" s="257"/>
      <c r="C43" s="257"/>
      <c r="D43" s="257"/>
      <c r="E43" s="257"/>
    </row>
    <row r="44" spans="1:19" ht="18.75" customHeight="1">
      <c r="A44" s="257"/>
      <c r="B44" s="257"/>
      <c r="C44" s="257"/>
      <c r="D44" s="257"/>
      <c r="E44" s="257"/>
    </row>
    <row r="45" spans="1:19" ht="18.75" customHeight="1">
      <c r="A45" s="257"/>
      <c r="B45" s="257"/>
      <c r="C45" s="257"/>
      <c r="D45" s="257"/>
      <c r="E45" s="257"/>
    </row>
    <row r="46" spans="1:19" ht="18.75" customHeight="1">
      <c r="A46" s="257"/>
      <c r="B46" s="257"/>
      <c r="C46" s="257"/>
      <c r="D46" s="257"/>
      <c r="E46" s="257"/>
    </row>
    <row r="47" spans="1:19" ht="18.75" customHeight="1">
      <c r="A47" s="257"/>
      <c r="B47" s="257"/>
      <c r="C47" s="257"/>
      <c r="D47" s="257"/>
      <c r="E47" s="257"/>
    </row>
    <row r="48" spans="1:19" ht="18.75" customHeight="1">
      <c r="A48" s="257"/>
      <c r="B48" s="257"/>
      <c r="C48" s="257"/>
      <c r="D48" s="257"/>
      <c r="E48" s="257"/>
    </row>
    <row r="49" spans="1:5" ht="18.75" customHeight="1">
      <c r="A49" s="257"/>
      <c r="B49" s="257"/>
      <c r="C49" s="257"/>
      <c r="D49" s="257"/>
      <c r="E49" s="257"/>
    </row>
    <row r="50" spans="1:5" ht="18.75" customHeight="1">
      <c r="A50" s="258"/>
      <c r="B50" s="257"/>
      <c r="C50" s="257"/>
      <c r="D50" s="257"/>
      <c r="E50" s="257"/>
    </row>
    <row r="51" spans="1:5" ht="18.75" customHeight="1">
      <c r="A51" s="8"/>
      <c r="B51" s="8"/>
      <c r="C51" s="8"/>
      <c r="D51" s="8"/>
      <c r="E51" s="8"/>
    </row>
    <row r="52" spans="1:5" ht="18.75" customHeight="1">
      <c r="B52" s="1"/>
      <c r="E52" s="1"/>
    </row>
    <row r="53" spans="1:5" ht="18.75" customHeight="1">
      <c r="B53" s="1"/>
      <c r="E53" s="1"/>
    </row>
    <row r="54" spans="1:5" ht="18.75" customHeight="1">
      <c r="B54" s="1"/>
      <c r="E54" s="1"/>
    </row>
    <row r="55" spans="1:5" ht="18.75" customHeight="1">
      <c r="B55" s="1"/>
      <c r="E55" s="1"/>
    </row>
    <row r="56" spans="1:5" ht="18.75" customHeight="1">
      <c r="B56" s="1"/>
      <c r="E56" s="1"/>
    </row>
  </sheetData>
  <sheetProtection sheet="1" objects="1" scenarios="1"/>
  <mergeCells count="119">
    <mergeCell ref="J24:K24"/>
    <mergeCell ref="A1:C1"/>
    <mergeCell ref="J20:K20"/>
    <mergeCell ref="J21:K21"/>
    <mergeCell ref="A9:C9"/>
    <mergeCell ref="D9:F9"/>
    <mergeCell ref="J16:K16"/>
    <mergeCell ref="J17:K17"/>
    <mergeCell ref="J15:K15"/>
    <mergeCell ref="J13:K13"/>
    <mergeCell ref="J14:K14"/>
    <mergeCell ref="J12:K12"/>
    <mergeCell ref="G5:H5"/>
    <mergeCell ref="I5:K5"/>
    <mergeCell ref="J11:K11"/>
    <mergeCell ref="E1:F1"/>
    <mergeCell ref="G1:K2"/>
    <mergeCell ref="G3:K3"/>
    <mergeCell ref="L27:M27"/>
    <mergeCell ref="L28:M28"/>
    <mergeCell ref="L29:M29"/>
    <mergeCell ref="L30:M30"/>
    <mergeCell ref="P33:Q33"/>
    <mergeCell ref="P34:Q34"/>
    <mergeCell ref="P31:Q31"/>
    <mergeCell ref="L31:M31"/>
    <mergeCell ref="L32:M32"/>
    <mergeCell ref="L33:M33"/>
    <mergeCell ref="J34:M34"/>
    <mergeCell ref="J27:K27"/>
    <mergeCell ref="P27:Q27"/>
    <mergeCell ref="G36:Q36"/>
    <mergeCell ref="P30:Q30"/>
    <mergeCell ref="P32:Q32"/>
    <mergeCell ref="G35:Q35"/>
    <mergeCell ref="N31:O31"/>
    <mergeCell ref="N32:O32"/>
    <mergeCell ref="N33:O33"/>
    <mergeCell ref="P28:Q28"/>
    <mergeCell ref="J30:K30"/>
    <mergeCell ref="N29:O29"/>
    <mergeCell ref="N30:O30"/>
    <mergeCell ref="P29:Q29"/>
    <mergeCell ref="G34:H34"/>
    <mergeCell ref="N34:O34"/>
    <mergeCell ref="J33:K33"/>
    <mergeCell ref="P11:Q11"/>
    <mergeCell ref="G9:I9"/>
    <mergeCell ref="N10:O10"/>
    <mergeCell ref="J9:O9"/>
    <mergeCell ref="J10:K10"/>
    <mergeCell ref="L20:M20"/>
    <mergeCell ref="L22:M22"/>
    <mergeCell ref="L23:M23"/>
    <mergeCell ref="P18:Q18"/>
    <mergeCell ref="N16:O16"/>
    <mergeCell ref="P17:Q17"/>
    <mergeCell ref="N17:O17"/>
    <mergeCell ref="N26:O26"/>
    <mergeCell ref="P13:Q13"/>
    <mergeCell ref="L5:O5"/>
    <mergeCell ref="P5:Q5"/>
    <mergeCell ref="P9:Q9"/>
    <mergeCell ref="P10:Q10"/>
    <mergeCell ref="P24:Q24"/>
    <mergeCell ref="L24:M24"/>
    <mergeCell ref="L25:M25"/>
    <mergeCell ref="L26:M26"/>
    <mergeCell ref="P26:Q26"/>
    <mergeCell ref="P14:Q14"/>
    <mergeCell ref="P15:Q15"/>
    <mergeCell ref="P16:Q16"/>
    <mergeCell ref="N22:O22"/>
    <mergeCell ref="P20:Q20"/>
    <mergeCell ref="P21:Q21"/>
    <mergeCell ref="P22:Q22"/>
    <mergeCell ref="P12:Q12"/>
    <mergeCell ref="L15:M15"/>
    <mergeCell ref="L16:M16"/>
    <mergeCell ref="L17:M17"/>
    <mergeCell ref="L18:M18"/>
    <mergeCell ref="N15:O15"/>
    <mergeCell ref="J26:K26"/>
    <mergeCell ref="J32:K32"/>
    <mergeCell ref="J31:K31"/>
    <mergeCell ref="N25:O25"/>
    <mergeCell ref="J22:K22"/>
    <mergeCell ref="J18:K18"/>
    <mergeCell ref="J19:K19"/>
    <mergeCell ref="P19:Q19"/>
    <mergeCell ref="P23:Q23"/>
    <mergeCell ref="P25:Q25"/>
    <mergeCell ref="J25:K25"/>
    <mergeCell ref="J28:K28"/>
    <mergeCell ref="J29:K29"/>
    <mergeCell ref="N28:O28"/>
    <mergeCell ref="N27:O27"/>
    <mergeCell ref="N18:O18"/>
    <mergeCell ref="N23:O23"/>
    <mergeCell ref="N24:O24"/>
    <mergeCell ref="L21:M21"/>
    <mergeCell ref="J23:K23"/>
    <mergeCell ref="L19:M19"/>
    <mergeCell ref="N19:O19"/>
    <mergeCell ref="N20:O20"/>
    <mergeCell ref="N21:O21"/>
    <mergeCell ref="M2:O2"/>
    <mergeCell ref="M3:O3"/>
    <mergeCell ref="L6:M6"/>
    <mergeCell ref="L7:M7"/>
    <mergeCell ref="L10:M10"/>
    <mergeCell ref="L11:M11"/>
    <mergeCell ref="L12:M12"/>
    <mergeCell ref="L13:M13"/>
    <mergeCell ref="L14:M14"/>
    <mergeCell ref="N12:O12"/>
    <mergeCell ref="N13:O13"/>
    <mergeCell ref="N14:O14"/>
    <mergeCell ref="N11:O11"/>
  </mergeCells>
  <phoneticPr fontId="1" type="noConversion"/>
  <pageMargins left="0.7" right="0.7" top="0.75" bottom="0.75" header="0.3" footer="0.3"/>
  <pageSetup paperSize="9" orientation="portrait" horizontalDpi="4294967292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Drop Down 3">
              <controlPr defaultSize="0" autoLine="0" autoPict="0">
                <anchor moveWithCells="1">
                  <from>
                    <xdr:col>14</xdr:col>
                    <xdr:colOff>177800</xdr:colOff>
                    <xdr:row>1</xdr:row>
                    <xdr:rowOff>63500</xdr:rowOff>
                  </from>
                  <to>
                    <xdr:col>16</xdr:col>
                    <xdr:colOff>406400</xdr:colOff>
                    <xdr:row>1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5" name="Drop Down 4">
              <controlPr defaultSize="0" autoLine="0" autoPict="0">
                <anchor moveWithCells="1">
                  <from>
                    <xdr:col>14</xdr:col>
                    <xdr:colOff>177800</xdr:colOff>
                    <xdr:row>2</xdr:row>
                    <xdr:rowOff>38100</xdr:rowOff>
                  </from>
                  <to>
                    <xdr:col>16</xdr:col>
                    <xdr:colOff>406400</xdr:colOff>
                    <xdr:row>2</xdr:row>
                    <xdr:rowOff>177800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B30"/>
  <sheetViews>
    <sheetView showGridLines="0" tabSelected="1" topLeftCell="Q1" zoomScale="130" zoomScaleNormal="130" workbookViewId="0">
      <pane ySplit="7" topLeftCell="A8" activePane="bottomLeft" state="frozen"/>
      <selection activeCell="D1" sqref="D1:M2"/>
      <selection pane="bottomLeft" activeCell="AE10" sqref="AE10"/>
    </sheetView>
  </sheetViews>
  <sheetFormatPr baseColWidth="10" defaultColWidth="5.1640625" defaultRowHeight="20.25" customHeight="1"/>
  <cols>
    <col min="1" max="3" width="8" style="1" hidden="1" customWidth="1"/>
    <col min="4" max="11" width="8" style="2" hidden="1" customWidth="1"/>
    <col min="12" max="16" width="8" style="1" hidden="1" customWidth="1"/>
    <col min="17" max="17" width="3.1640625" style="1" bestFit="1" customWidth="1"/>
    <col min="18" max="18" width="8" style="1" bestFit="1" customWidth="1"/>
    <col min="19" max="19" width="6.6640625" style="1" bestFit="1" customWidth="1"/>
    <col min="20" max="20" width="4.1640625" style="1" customWidth="1"/>
    <col min="21" max="21" width="4.1640625" style="1" bestFit="1" customWidth="1"/>
    <col min="22" max="28" width="5.1640625" style="1" customWidth="1"/>
    <col min="29" max="29" width="6" style="1" bestFit="1" customWidth="1"/>
    <col min="30" max="54" width="5.1640625" style="1" customWidth="1"/>
    <col min="55" max="55" width="5.1640625" style="1"/>
    <col min="56" max="56" width="6.5" style="1" bestFit="1" customWidth="1"/>
    <col min="57" max="16384" width="5.1640625" style="1"/>
  </cols>
  <sheetData>
    <row r="1" spans="1:54" ht="20.25" customHeight="1">
      <c r="A1" s="78"/>
      <c r="B1" s="78"/>
      <c r="C1" s="78"/>
      <c r="D1" s="223"/>
      <c r="E1" s="218"/>
      <c r="F1" s="218"/>
      <c r="G1" s="219"/>
      <c r="H1" s="219"/>
      <c r="I1" s="218"/>
      <c r="J1" s="218"/>
      <c r="K1" s="218"/>
      <c r="L1" s="225" t="s">
        <v>157</v>
      </c>
      <c r="M1" s="359" t="s">
        <v>156</v>
      </c>
      <c r="N1" s="359"/>
      <c r="O1" s="359" t="s">
        <v>148</v>
      </c>
      <c r="P1" s="361"/>
      <c r="Q1" s="204"/>
      <c r="R1" s="204"/>
      <c r="S1" s="204"/>
      <c r="T1" s="204"/>
      <c r="U1" s="204"/>
      <c r="V1" s="204"/>
      <c r="W1" s="204"/>
      <c r="X1" s="294" t="s">
        <v>170</v>
      </c>
      <c r="Y1" s="294"/>
      <c r="Z1" s="294"/>
      <c r="AA1" s="294"/>
      <c r="AB1" s="294"/>
      <c r="AC1" s="294"/>
      <c r="AD1" s="294"/>
      <c r="AE1" s="294"/>
      <c r="AF1" s="294"/>
      <c r="AG1" s="294"/>
      <c r="AH1" s="294"/>
      <c r="AI1" s="294"/>
      <c r="AJ1" s="294"/>
      <c r="AK1" s="294"/>
      <c r="AL1" s="294"/>
      <c r="AM1" s="294"/>
      <c r="AN1" s="294"/>
      <c r="AO1" s="294"/>
      <c r="AP1" s="294"/>
      <c r="AQ1" s="294"/>
      <c r="AR1" s="294"/>
      <c r="AS1" s="294"/>
      <c r="AT1" s="294"/>
      <c r="AU1" s="294"/>
      <c r="AV1" s="374" t="str">
        <f ca="1">IF(TODAY()&gt;=DATE(IF($T$4&gt;3,$R$4+1,$R$4),IF($T$4&gt;3,$T$4-3,$T$4+9),$V$4),"월차 사용촉진을 실시할 경우 "&amp;IF($T$4&gt;3,$R$4+1,$R$4)&amp;"/"&amp;IF($T$4&gt;3,$T$4-3,$T$4+9)&amp;"/"&amp;$V$4&amp;"부터","")</f>
        <v/>
      </c>
      <c r="AW1" s="374"/>
      <c r="AX1" s="374"/>
      <c r="AY1" s="374"/>
      <c r="AZ1" s="374"/>
      <c r="BA1" s="374"/>
      <c r="BB1" s="374"/>
    </row>
    <row r="2" spans="1:54" ht="20.25" customHeight="1">
      <c r="A2" s="189" t="s">
        <v>120</v>
      </c>
      <c r="B2" s="103" t="s">
        <v>124</v>
      </c>
      <c r="C2" s="311" t="s">
        <v>126</v>
      </c>
      <c r="D2" s="311"/>
      <c r="E2" s="180"/>
      <c r="F2" s="217"/>
      <c r="G2" s="219"/>
      <c r="H2" s="219"/>
      <c r="I2" s="217"/>
      <c r="J2" s="217"/>
      <c r="K2" s="217"/>
      <c r="L2" s="362" t="s">
        <v>173</v>
      </c>
      <c r="M2" s="370" t="s">
        <v>150</v>
      </c>
      <c r="N2" s="370"/>
      <c r="O2" s="370" t="s">
        <v>153</v>
      </c>
      <c r="P2" s="371"/>
      <c r="Q2" s="204"/>
      <c r="R2" s="204"/>
      <c r="S2" s="204"/>
      <c r="T2" s="204"/>
      <c r="U2" s="204"/>
      <c r="V2" s="204"/>
      <c r="W2" s="204"/>
      <c r="X2" s="294"/>
      <c r="Y2" s="294"/>
      <c r="Z2" s="294"/>
      <c r="AA2" s="294"/>
      <c r="AB2" s="294"/>
      <c r="AC2" s="294"/>
      <c r="AD2" s="294"/>
      <c r="AE2" s="294"/>
      <c r="AF2" s="294"/>
      <c r="AG2" s="294"/>
      <c r="AH2" s="294"/>
      <c r="AI2" s="294"/>
      <c r="AJ2" s="294"/>
      <c r="AK2" s="294"/>
      <c r="AL2" s="294"/>
      <c r="AM2" s="294"/>
      <c r="AN2" s="294"/>
      <c r="AO2" s="294"/>
      <c r="AP2" s="294"/>
      <c r="AQ2" s="294"/>
      <c r="AR2" s="294"/>
      <c r="AS2" s="294"/>
      <c r="AT2" s="294"/>
      <c r="AU2" s="294"/>
      <c r="AV2" s="374" t="str">
        <f ca="1">IF(TODAY()&gt;=DATE(IF($T$4&gt;3,$R$4+1,$R$4),IF($T$4&gt;3,$T$4-3,$T$4+9),$V$4),"다음해 대장도 함께 관리해야 함(기간 불일치)","")</f>
        <v/>
      </c>
      <c r="AW2" s="374"/>
      <c r="AX2" s="374"/>
      <c r="AY2" s="374"/>
      <c r="AZ2" s="374"/>
      <c r="BA2" s="374"/>
      <c r="BB2" s="374"/>
    </row>
    <row r="3" spans="1:54" ht="20.25" customHeight="1" thickBot="1">
      <c r="A3" s="165" t="s">
        <v>121</v>
      </c>
      <c r="B3" s="168" t="s">
        <v>125</v>
      </c>
      <c r="C3" s="102" t="s">
        <v>128</v>
      </c>
      <c r="D3" s="167" t="s">
        <v>127</v>
      </c>
      <c r="E3" s="217"/>
      <c r="F3" s="217"/>
      <c r="G3" s="220"/>
      <c r="H3" s="220"/>
      <c r="I3" s="217"/>
      <c r="J3" s="180"/>
      <c r="K3" s="180"/>
      <c r="L3" s="363"/>
      <c r="M3" s="388" t="s">
        <v>151</v>
      </c>
      <c r="N3" s="388"/>
      <c r="O3" s="372" t="s">
        <v>154</v>
      </c>
      <c r="P3" s="373"/>
      <c r="Q3" s="3"/>
      <c r="R3" s="367" t="s">
        <v>135</v>
      </c>
      <c r="S3" s="368"/>
      <c r="T3" s="369" t="s">
        <v>133</v>
      </c>
      <c r="U3" s="368"/>
      <c r="V3" s="367"/>
      <c r="W3" s="368"/>
      <c r="X3" s="386" t="s">
        <v>171</v>
      </c>
      <c r="Y3" s="386"/>
      <c r="Z3" s="386"/>
      <c r="AA3" s="386"/>
      <c r="AB3" s="386"/>
      <c r="AC3" s="386"/>
      <c r="AD3" s="386"/>
      <c r="AE3" s="386"/>
      <c r="AF3" s="386"/>
      <c r="AG3" s="386"/>
      <c r="AH3" s="386"/>
      <c r="AI3" s="386"/>
      <c r="AJ3" s="386"/>
      <c r="AK3" s="386"/>
      <c r="AL3" s="386"/>
      <c r="AM3" s="386"/>
      <c r="AN3" s="386"/>
      <c r="AO3" s="386"/>
      <c r="AP3" s="386"/>
      <c r="AQ3" s="386"/>
      <c r="AR3" s="386"/>
      <c r="AS3" s="386"/>
      <c r="AT3" s="386"/>
      <c r="AU3" s="387"/>
      <c r="AV3" s="210" t="s">
        <v>160</v>
      </c>
      <c r="AW3" s="302" t="s">
        <v>158</v>
      </c>
      <c r="AX3" s="303"/>
      <c r="AY3" s="303"/>
      <c r="AZ3" s="206"/>
      <c r="BA3" s="206"/>
      <c r="BB3" s="207"/>
    </row>
    <row r="4" spans="1:54" ht="20.25" customHeight="1" thickBot="1">
      <c r="A4" s="33">
        <f>DATE(R4,T4,V4)</f>
        <v>45658</v>
      </c>
      <c r="B4" s="42">
        <v>42885</v>
      </c>
      <c r="C4" s="42">
        <v>43556</v>
      </c>
      <c r="D4" s="42">
        <v>43921</v>
      </c>
      <c r="E4" s="218"/>
      <c r="F4" s="221"/>
      <c r="G4" s="222"/>
      <c r="H4" s="222"/>
      <c r="I4" s="221"/>
      <c r="J4" s="180"/>
      <c r="K4" s="180"/>
      <c r="L4" s="363"/>
      <c r="M4" s="389" t="s">
        <v>152</v>
      </c>
      <c r="N4" s="389"/>
      <c r="O4" s="390" t="s">
        <v>155</v>
      </c>
      <c r="P4" s="391"/>
      <c r="Q4" s="3"/>
      <c r="R4" s="15">
        <v>2025</v>
      </c>
      <c r="S4" s="202" t="s">
        <v>132</v>
      </c>
      <c r="T4" s="15">
        <v>1</v>
      </c>
      <c r="U4" s="202" t="s">
        <v>129</v>
      </c>
      <c r="V4" s="15">
        <v>1</v>
      </c>
      <c r="W4" s="239" t="s">
        <v>130</v>
      </c>
      <c r="X4" s="61"/>
      <c r="Y4" s="122"/>
      <c r="Z4" s="61"/>
      <c r="AA4" s="122"/>
      <c r="AB4" s="122"/>
      <c r="AC4" s="216" t="s">
        <v>149</v>
      </c>
      <c r="AD4" s="356" t="s">
        <v>134</v>
      </c>
      <c r="AE4" s="357"/>
      <c r="AF4" s="357"/>
      <c r="AG4" s="357"/>
      <c r="AH4" s="357"/>
      <c r="AI4" s="357"/>
      <c r="AJ4" s="357" t="s">
        <v>131</v>
      </c>
      <c r="AK4" s="357"/>
      <c r="AL4" s="357"/>
      <c r="AM4" s="357"/>
      <c r="AN4" s="357"/>
      <c r="AO4" s="358"/>
      <c r="AP4" s="122"/>
      <c r="AQ4" s="122"/>
      <c r="AR4" s="122"/>
      <c r="AS4" s="122"/>
      <c r="AT4" s="122"/>
      <c r="AU4" s="122"/>
      <c r="AV4" s="211" t="s">
        <v>161</v>
      </c>
      <c r="AW4" s="300" t="s">
        <v>159</v>
      </c>
      <c r="AX4" s="301"/>
      <c r="AY4" s="301"/>
      <c r="AZ4" s="208"/>
      <c r="BA4" s="208"/>
      <c r="BB4" s="209"/>
    </row>
    <row r="5" spans="1:54" ht="20.25" customHeight="1">
      <c r="A5" s="224"/>
      <c r="B5" s="224"/>
      <c r="C5" s="78"/>
      <c r="D5" s="223"/>
      <c r="E5" s="218"/>
      <c r="F5" s="218"/>
      <c r="G5" s="218"/>
      <c r="H5" s="218"/>
      <c r="I5" s="218"/>
      <c r="J5" s="218"/>
      <c r="K5" s="218"/>
      <c r="L5" s="225" t="s">
        <v>172</v>
      </c>
      <c r="M5" s="360">
        <v>1</v>
      </c>
      <c r="N5" s="360"/>
      <c r="O5" s="360">
        <v>1</v>
      </c>
      <c r="P5" s="364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spans="1:54" s="78" customFormat="1" ht="20.25" customHeight="1">
      <c r="A6" s="264" t="s">
        <v>41</v>
      </c>
      <c r="B6" s="264"/>
      <c r="C6" s="264"/>
      <c r="D6" s="264"/>
      <c r="E6" s="351" t="s">
        <v>174</v>
      </c>
      <c r="F6" s="264"/>
      <c r="G6" s="264"/>
      <c r="H6" s="351" t="s">
        <v>116</v>
      </c>
      <c r="I6" s="264"/>
      <c r="J6" s="264"/>
      <c r="K6" s="385"/>
      <c r="L6" s="355" t="s">
        <v>115</v>
      </c>
      <c r="M6" s="311"/>
      <c r="N6" s="311"/>
      <c r="O6" s="350"/>
      <c r="P6" s="190" t="s">
        <v>122</v>
      </c>
      <c r="Q6" s="384" t="s">
        <v>43</v>
      </c>
      <c r="R6" s="379" t="s">
        <v>1</v>
      </c>
      <c r="S6" s="330" t="s">
        <v>64</v>
      </c>
      <c r="T6" s="331"/>
      <c r="U6" s="379"/>
      <c r="V6" s="365" t="s">
        <v>60</v>
      </c>
      <c r="W6" s="380"/>
      <c r="X6" s="365" t="s">
        <v>59</v>
      </c>
      <c r="Y6" s="366"/>
      <c r="Z6" s="365" t="s">
        <v>107</v>
      </c>
      <c r="AA6" s="380"/>
      <c r="AB6" s="366"/>
      <c r="AC6" s="91" t="s">
        <v>62</v>
      </c>
      <c r="AD6" s="330" t="s">
        <v>110</v>
      </c>
      <c r="AE6" s="331"/>
      <c r="AF6" s="331"/>
      <c r="AG6" s="331"/>
      <c r="AH6" s="331"/>
      <c r="AI6" s="331"/>
      <c r="AJ6" s="331"/>
      <c r="AK6" s="331"/>
      <c r="AL6" s="331"/>
      <c r="AM6" s="331"/>
      <c r="AN6" s="331"/>
      <c r="AO6" s="379"/>
      <c r="AP6" s="375" t="s">
        <v>138</v>
      </c>
      <c r="AQ6" s="383"/>
      <c r="AR6" s="381" t="s">
        <v>136</v>
      </c>
      <c r="AS6" s="382"/>
      <c r="AT6" s="381" t="s">
        <v>137</v>
      </c>
      <c r="AU6" s="382"/>
      <c r="AV6" s="377" t="s">
        <v>70</v>
      </c>
      <c r="AW6" s="378"/>
      <c r="AX6" s="377" t="s">
        <v>71</v>
      </c>
      <c r="AY6" s="378"/>
      <c r="AZ6" s="375" t="s">
        <v>75</v>
      </c>
      <c r="BA6" s="376"/>
      <c r="BB6" s="160" t="s">
        <v>99</v>
      </c>
    </row>
    <row r="7" spans="1:54" s="78" customFormat="1" ht="20.25" customHeight="1" thickBot="1">
      <c r="A7" s="106" t="s">
        <v>33</v>
      </c>
      <c r="B7" s="110" t="s">
        <v>94</v>
      </c>
      <c r="C7" s="108" t="s">
        <v>82</v>
      </c>
      <c r="D7" s="109" t="s">
        <v>37</v>
      </c>
      <c r="E7" s="109" t="s">
        <v>117</v>
      </c>
      <c r="F7" s="185" t="s">
        <v>118</v>
      </c>
      <c r="G7" s="188" t="s">
        <v>119</v>
      </c>
      <c r="H7" s="188" t="s">
        <v>139</v>
      </c>
      <c r="I7" s="168" t="s">
        <v>106</v>
      </c>
      <c r="J7" s="168" t="s">
        <v>83</v>
      </c>
      <c r="K7" s="168" t="s">
        <v>84</v>
      </c>
      <c r="L7" s="168" t="s">
        <v>97</v>
      </c>
      <c r="M7" s="168" t="s">
        <v>106</v>
      </c>
      <c r="N7" s="168" t="s">
        <v>83</v>
      </c>
      <c r="O7" s="168" t="s">
        <v>84</v>
      </c>
      <c r="P7" s="167" t="s">
        <v>123</v>
      </c>
      <c r="Q7" s="392"/>
      <c r="R7" s="384"/>
      <c r="S7" s="92" t="s">
        <v>55</v>
      </c>
      <c r="T7" s="92" t="s">
        <v>56</v>
      </c>
      <c r="U7" s="92" t="s">
        <v>57</v>
      </c>
      <c r="V7" s="115" t="s">
        <v>58</v>
      </c>
      <c r="W7" s="93" t="s">
        <v>73</v>
      </c>
      <c r="X7" s="130" t="s">
        <v>58</v>
      </c>
      <c r="Y7" s="94" t="s">
        <v>74</v>
      </c>
      <c r="Z7" s="130" t="s">
        <v>65</v>
      </c>
      <c r="AA7" s="94" t="s">
        <v>72</v>
      </c>
      <c r="AB7" s="94" t="s">
        <v>61</v>
      </c>
      <c r="AC7" s="95" t="s">
        <v>63</v>
      </c>
      <c r="AD7" s="96" t="str">
        <f>IF($T$4&gt;12,$T$4-12,$T$4)&amp;"월"</f>
        <v>1월</v>
      </c>
      <c r="AE7" s="96" t="str">
        <f>IF($T$4&gt;11,$T$4-11,$T$4+1)&amp;"월"</f>
        <v>2월</v>
      </c>
      <c r="AF7" s="96" t="str">
        <f>IF($T$4&gt;10,$T$4-10,$T$4+2)&amp;"월"</f>
        <v>3월</v>
      </c>
      <c r="AG7" s="96" t="str">
        <f>IF($T$4&gt;9,$T$4-9,$T$4+3)&amp;"월"</f>
        <v>4월</v>
      </c>
      <c r="AH7" s="96" t="str">
        <f>IF($T$4&gt;8,$T$4-8,$T$4+4)&amp;"월"</f>
        <v>5월</v>
      </c>
      <c r="AI7" s="96" t="str">
        <f>IF($T$4&gt;7,$T$4-7,$T$4+5)&amp;"월"</f>
        <v>6월</v>
      </c>
      <c r="AJ7" s="96" t="str">
        <f>IF($T$4&gt;6,$T$4-6,$T$4+6)&amp;"월"</f>
        <v>7월</v>
      </c>
      <c r="AK7" s="96" t="str">
        <f>IF($T$4&gt;5,$T$4-5,$T$4+7)&amp;"월"</f>
        <v>8월</v>
      </c>
      <c r="AL7" s="96" t="str">
        <f>IF($T$4&gt;4,$T$4-4,$T$4+8)&amp;"월"</f>
        <v>9월</v>
      </c>
      <c r="AM7" s="96" t="str">
        <f>IF($T$4&gt;3,$T$4-3,$T$4+9)&amp;"월"</f>
        <v>10월</v>
      </c>
      <c r="AN7" s="96" t="str">
        <f>IF($T$4&gt;2,$T$4-2,$T$4+10)&amp;"월"</f>
        <v>11월</v>
      </c>
      <c r="AO7" s="96" t="str">
        <f>IF($T$4&gt;1,$T$4-1,$T$4+11)&amp;"월"</f>
        <v>12월</v>
      </c>
      <c r="AP7" s="97" t="s">
        <v>111</v>
      </c>
      <c r="AQ7" s="169" t="s">
        <v>112</v>
      </c>
      <c r="AR7" s="97" t="s">
        <v>113</v>
      </c>
      <c r="AS7" s="169" t="s">
        <v>114</v>
      </c>
      <c r="AT7" s="97" t="s">
        <v>113</v>
      </c>
      <c r="AU7" s="169" t="s">
        <v>114</v>
      </c>
      <c r="AV7" s="97" t="s">
        <v>66</v>
      </c>
      <c r="AW7" s="97" t="s">
        <v>67</v>
      </c>
      <c r="AX7" s="97" t="s">
        <v>66</v>
      </c>
      <c r="AY7" s="97" t="s">
        <v>67</v>
      </c>
      <c r="AZ7" s="97" t="s">
        <v>68</v>
      </c>
      <c r="BA7" s="159" t="s">
        <v>69</v>
      </c>
      <c r="BB7" s="161" t="s">
        <v>100</v>
      </c>
    </row>
    <row r="8" spans="1:54" s="78" customFormat="1" ht="20.25" customHeight="1">
      <c r="A8" s="19">
        <f t="shared" ref="A8:A27" si="0">IF(S8="",3,IF(T8*100+U8&gt;$T$4*100+$V$4,0,IF(T8*100+U8=$T$4*100+$V$4,1,2)))</f>
        <v>0</v>
      </c>
      <c r="B8" s="28">
        <f t="shared" ref="B8:B27" si="1">IF(A8&gt;2,"",DATE(S8,T8,U8))</f>
        <v>45047</v>
      </c>
      <c r="C8" s="23">
        <f t="shared" ref="C8:C11" si="2">IF(A8&gt;2,"",IF(B8&gt;=$A$4,0,DATEDIF(B8,$A$4,"y")))</f>
        <v>1</v>
      </c>
      <c r="D8" s="163">
        <f t="shared" ref="D8:D27" si="3">IF(A8&gt;2,"",IF(B8&lt;$A$4,DATEDIF(B8,$A$4,"m")-C8*12+IF(A8=1,1,0),DATEDIF(B8,DATE($R$4+1,$T$4,$V$4),"m"))-IF(U8=$V$4,1,0))</f>
        <v>7</v>
      </c>
      <c r="E8" s="163">
        <f t="shared" ref="E8:E9" si="4">IF(A8&gt;2,"",IF(OR(C8&gt;1,B8&lt;$C$4),0,IF(DATEDIF($C$4,B8,"m")&gt;11,11,DATEDIF($C$4,B8,"m"))))</f>
        <v>11</v>
      </c>
      <c r="F8" s="186">
        <f t="shared" ref="F8:F10" si="5">IF(A8&gt;2,"",IF(AND(C8=0,B8&lt;=$A$4),IF($A$4&lt;$D$4,0,IF(IF(AA8="",Z8,AA8)-AB8&lt;E8,IF(AA8="",Z8,AA8)-AB8,E8-G8)),0))</f>
        <v>0</v>
      </c>
      <c r="G8" s="163">
        <f t="shared" ref="G8:G9" si="6">IF(A8&gt;2,"",IF(AND(C8=0,B8&lt;=$A$4),IF($A$4&lt;$D$4,IF(IF(Y8="",X8,Y8)&lt;E8,IF(Y8="",X8,Y8),E8),IF(Y8="",X8,Y8)),0))</f>
        <v>0</v>
      </c>
      <c r="H8" s="163">
        <f t="shared" ref="H8:H10" si="7">IF(A8&gt;2,"",IF(IF(AA8="",Z8,AA8)-AB8-M8&gt;F8,F8,IF(AA8="",Z8,AA8)-AB8-M8)+IF(IF(Y8="",X8,Y8)-O8&gt;G8,G8,IF(Y8="",X8,Y8)-O8))</f>
        <v>0</v>
      </c>
      <c r="I8" s="175">
        <f t="shared" ref="I8:I10" si="8">IF(A8&gt;2,"",IF(AS8+AU8-IF(AU8&lt;G8,AU8,G8)&gt;F8,F8,AS8+AU8-IF(AU8&lt;G8,AU8,G8)))</f>
        <v>0</v>
      </c>
      <c r="J8" s="173">
        <f t="shared" ref="J8:J27" si="9">IF(A8&gt;2,"",IF(IF(W8="",V8,W8)&lt;AQ8,IF(W8="",V8,W8),AQ8))</f>
        <v>0</v>
      </c>
      <c r="K8" s="175">
        <f t="shared" ref="K8:K10" si="10">IF(A8&gt;2,"",IF(AS8+AU8-IF(AU8&lt;G8,AU8,G8)&gt;F8,AS8+AU8-F8,IF(AU8&lt;G8,AU8,G8)))</f>
        <v>0</v>
      </c>
      <c r="L8" s="177">
        <f t="shared" ref="L8:L27" si="11">IF(A8&gt;2,"",SUM(AD8:AO8))</f>
        <v>0</v>
      </c>
      <c r="M8" s="177">
        <f t="shared" ref="M8:M27" si="12">IF(A8&gt;2,"",IF(IF(AA8="",Z8,AA8)-AB8-I8&lt;L8,IF(AA8="",Z8,AA8)-AB8-I8,L8))</f>
        <v>0</v>
      </c>
      <c r="N8" s="177">
        <f t="shared" ref="N8:N27" si="13">IF(A8&gt;2,"",IF(IF(AA8="",Z8,AA8)-AB8+IF(W8="",V8,W8)-I8-J8&lt;L8,IF(AA8="",Z8,AA8)-AB8+IF(W8="",V8,W8)-I8-J8-M8,L8-M8))</f>
        <v>0</v>
      </c>
      <c r="O8" s="107">
        <f t="shared" ref="O8:O27" si="14">IF(A8&gt;2,"",IF(AC8-I8-J8-K8&lt;L8,AC8-I8-J8-K8-M8-N8,L8-M8-N8))</f>
        <v>0</v>
      </c>
      <c r="P8" s="199">
        <f t="shared" ref="P8:P27" si="15">IF(A8&gt;2,"",AC8-SUM(I8:L8))</f>
        <v>15</v>
      </c>
      <c r="Q8" s="79">
        <v>1</v>
      </c>
      <c r="R8" s="80" t="s">
        <v>218</v>
      </c>
      <c r="S8" s="81">
        <v>2023</v>
      </c>
      <c r="T8" s="81">
        <v>5</v>
      </c>
      <c r="U8" s="82">
        <v>1</v>
      </c>
      <c r="V8" s="138">
        <f t="shared" ref="V8:V9" si="16">IF(A8&gt;2,"",IF(C8&gt;0,IF(C8=1,15,IF(C8&gt;20,25,15+INT((C8+IF($O$5=1,0,1)-1)/2))),IF(B8&lt;$A$4,IF($O$5=3,15,IF($M$5=1,15*($A$4-B8)/365,IF($M$5=2,ROUNDUP(15*($A$4-B8)/365,0),ROUNDUP(15*($A$4-B8)/365*2,0)/2))),0)))</f>
        <v>15</v>
      </c>
      <c r="W8" s="137"/>
      <c r="X8" s="138">
        <f t="shared" ref="X8:X27" si="17">IF(A8&gt;2,"",IF(C8&gt;0,0,IF(B8&lt;$A$4,11-D8,D8)))</f>
        <v>0</v>
      </c>
      <c r="Y8" s="139"/>
      <c r="Z8" s="138">
        <f t="shared" ref="Z8:Z11" si="18">IF(A8&gt;2,"",IF(OR(B8&lt;$B$4,B8&gt;=$A$4),0,IF(C8=0,D8,IF(AND(C8=1,B8&lt;$D$4),IF(11-D8&gt;IF(B8&gt;=$C$4,E8,0),11-D8-IF(B8&gt;=$C$4,E8,0),0),0))))</f>
        <v>0</v>
      </c>
      <c r="AA8" s="139"/>
      <c r="AB8" s="140">
        <v>0</v>
      </c>
      <c r="AC8" s="141">
        <f t="shared" ref="AC8:AC10" si="19">IF(A8&gt;2,"",IF(W8="",V8,W8)+IF(Y8="",X8,Y8)+IF(AA8="",Z8,AA8)-AB8)</f>
        <v>15</v>
      </c>
      <c r="AD8" s="139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0"/>
      <c r="AP8" s="192">
        <f t="shared" ref="AP8:AP9" si="20">IF(A8&gt;2,"",IF(W8="",V8,W8)-N8)</f>
        <v>15</v>
      </c>
      <c r="AQ8" s="170"/>
      <c r="AR8" s="182">
        <f t="shared" ref="AR8:AR10" si="21">IF(A8&gt;2,"",IF(H8&gt;2,H8-2,0))</f>
        <v>0</v>
      </c>
      <c r="AS8" s="170"/>
      <c r="AT8" s="182">
        <f t="shared" ref="AT8:AT10" si="22">IF(A8&gt;2,"",IF(H8&gt;2,2,H8))</f>
        <v>0</v>
      </c>
      <c r="AU8" s="170"/>
      <c r="AV8" s="148">
        <f t="shared" ref="AV8:AV27" si="23">IF(A8&gt;2,"",J8+N8)</f>
        <v>0</v>
      </c>
      <c r="AW8" s="143">
        <f t="shared" ref="AW8:AW27" si="24">IF(A8&gt;2,"",I8+K8+M8+O8)</f>
        <v>0</v>
      </c>
      <c r="AX8" s="194">
        <f t="shared" ref="AX8:AX10" si="25">IF(A8&gt;2,"",IF(W8="",V8,W8)-AV8)</f>
        <v>15</v>
      </c>
      <c r="AY8" s="195">
        <f t="shared" ref="AY8:AY10" si="26">IF(A8&gt;2,"",IF(AND(C8&lt;2,B8&lt;=$A$4,B8&gt;=$B$4),IF(AA8="",Z8,AA8)-AB8-I8-M8+IF(B8&lt;$C$4,0,IF(AND(B8&lt;$D$4,O8&lt;IF(Y8="",X8,Y8)-G8),G8-K8,IF(Y8="",X8,Y8)-K8-O8)),0))</f>
        <v>0</v>
      </c>
      <c r="AZ8" s="143">
        <f t="shared" ref="AZ8:AZ10" si="27">IF(A8&gt;2,"",IF(B8&gt;=$B$4,IF(Y8="",X8,Y8)-IF(B8&lt;=$A$4,G8,0),0))</f>
        <v>0</v>
      </c>
      <c r="BA8" s="166">
        <f t="shared" ref="BA8:BA10" si="28">IF(A8&gt;2,"",IF(B8&gt;=$B$4,IF(K8+O8&gt;AZ8,AZ8,K8+O8),0))</f>
        <v>0</v>
      </c>
      <c r="BB8" s="149" t="str">
        <f>IF(A8&gt;2,"",IF(P8&gt;=0,"",-P8))</f>
        <v/>
      </c>
    </row>
    <row r="9" spans="1:54" s="78" customFormat="1" ht="20.25" customHeight="1">
      <c r="A9" s="21">
        <f t="shared" si="0"/>
        <v>0</v>
      </c>
      <c r="B9" s="29">
        <f t="shared" si="1"/>
        <v>45383</v>
      </c>
      <c r="C9" s="23">
        <f t="shared" si="2"/>
        <v>0</v>
      </c>
      <c r="D9" s="163">
        <f t="shared" si="3"/>
        <v>8</v>
      </c>
      <c r="E9" s="163">
        <f t="shared" si="4"/>
        <v>11</v>
      </c>
      <c r="F9" s="186">
        <f t="shared" si="5"/>
        <v>0</v>
      </c>
      <c r="G9" s="163">
        <f t="shared" si="6"/>
        <v>3</v>
      </c>
      <c r="H9" s="163">
        <f t="shared" si="7"/>
        <v>3</v>
      </c>
      <c r="I9" s="175">
        <f t="shared" si="8"/>
        <v>0</v>
      </c>
      <c r="J9" s="173">
        <f t="shared" si="9"/>
        <v>0</v>
      </c>
      <c r="K9" s="175">
        <f t="shared" si="10"/>
        <v>0</v>
      </c>
      <c r="L9" s="177">
        <f t="shared" si="11"/>
        <v>0</v>
      </c>
      <c r="M9" s="177">
        <f t="shared" si="12"/>
        <v>0</v>
      </c>
      <c r="N9" s="177">
        <f t="shared" si="13"/>
        <v>0</v>
      </c>
      <c r="O9" s="107">
        <f t="shared" si="14"/>
        <v>0</v>
      </c>
      <c r="P9" s="200">
        <f t="shared" si="15"/>
        <v>14.301369863013697</v>
      </c>
      <c r="Q9" s="83">
        <v>2</v>
      </c>
      <c r="R9" s="84" t="s">
        <v>221</v>
      </c>
      <c r="S9" s="85">
        <v>2024</v>
      </c>
      <c r="T9" s="85">
        <v>4</v>
      </c>
      <c r="U9" s="86">
        <v>1</v>
      </c>
      <c r="V9" s="138">
        <f t="shared" si="16"/>
        <v>11.301369863013699</v>
      </c>
      <c r="W9" s="144"/>
      <c r="X9" s="138">
        <f t="shared" si="17"/>
        <v>3</v>
      </c>
      <c r="Y9" s="145"/>
      <c r="Z9" s="138">
        <f t="shared" si="18"/>
        <v>8</v>
      </c>
      <c r="AA9" s="145"/>
      <c r="AB9" s="146">
        <v>8</v>
      </c>
      <c r="AC9" s="141">
        <f t="shared" si="19"/>
        <v>14.301369863013697</v>
      </c>
      <c r="AD9" s="145"/>
      <c r="AE9" s="147"/>
      <c r="AF9" s="147"/>
      <c r="AG9" s="147"/>
      <c r="AH9" s="147"/>
      <c r="AI9" s="147"/>
      <c r="AJ9" s="147"/>
      <c r="AK9" s="147"/>
      <c r="AL9" s="147"/>
      <c r="AM9" s="147"/>
      <c r="AN9" s="147"/>
      <c r="AO9" s="146"/>
      <c r="AP9" s="192">
        <f t="shared" si="20"/>
        <v>11.301369863013699</v>
      </c>
      <c r="AQ9" s="171"/>
      <c r="AR9" s="182">
        <f t="shared" si="21"/>
        <v>1</v>
      </c>
      <c r="AS9" s="171"/>
      <c r="AT9" s="182">
        <f t="shared" si="22"/>
        <v>2</v>
      </c>
      <c r="AU9" s="171"/>
      <c r="AV9" s="148">
        <f t="shared" si="23"/>
        <v>0</v>
      </c>
      <c r="AW9" s="143">
        <f t="shared" si="24"/>
        <v>0</v>
      </c>
      <c r="AX9" s="194">
        <f t="shared" si="25"/>
        <v>11.301369863013699</v>
      </c>
      <c r="AY9" s="195">
        <f t="shared" si="26"/>
        <v>3</v>
      </c>
      <c r="AZ9" s="143">
        <f t="shared" si="27"/>
        <v>0</v>
      </c>
      <c r="BA9" s="166">
        <f t="shared" si="28"/>
        <v>0</v>
      </c>
      <c r="BB9" s="149" t="str">
        <f>IF(A9&gt;2,"",IF(P9&gt;=0,"",-P9))</f>
        <v/>
      </c>
    </row>
    <row r="10" spans="1:54" s="78" customFormat="1" ht="20.25" customHeight="1">
      <c r="A10" s="21">
        <f t="shared" si="0"/>
        <v>0</v>
      </c>
      <c r="B10" s="29">
        <f t="shared" si="1"/>
        <v>45383</v>
      </c>
      <c r="C10" s="23">
        <f t="shared" si="2"/>
        <v>0</v>
      </c>
      <c r="D10" s="163">
        <f t="shared" si="3"/>
        <v>8</v>
      </c>
      <c r="E10" s="163">
        <f>IF(A10&gt;2,"",IF(OR(C10&gt;1,B10&lt;$C$4),0,IF(DATEDIF($C$4,B10,"m")&gt;11,11,DATEDIF($C$4,B10,"m"))))</f>
        <v>11</v>
      </c>
      <c r="F10" s="186">
        <f t="shared" si="5"/>
        <v>0</v>
      </c>
      <c r="G10" s="163">
        <f>IF(A10&gt;2,"",IF(AND(C10=0,B10&lt;=$A$4),IF($A$4&lt;$D$4,IF(IF(Y10="",X10,Y10)&lt;E10,IF(Y10="",X10,Y10),E10),IF(Y10="",X10,Y10)),0))</f>
        <v>3</v>
      </c>
      <c r="H10" s="163">
        <f t="shared" si="7"/>
        <v>3</v>
      </c>
      <c r="I10" s="175">
        <f t="shared" si="8"/>
        <v>0</v>
      </c>
      <c r="J10" s="173">
        <f>IF(A10&gt;2,"",IF(IF(W10="",V10,W10)&lt;AQ10,IF(W10="",V10,W10),AQ10))</f>
        <v>0</v>
      </c>
      <c r="K10" s="175">
        <f t="shared" si="10"/>
        <v>0</v>
      </c>
      <c r="L10" s="177">
        <f t="shared" si="11"/>
        <v>1</v>
      </c>
      <c r="M10" s="177">
        <f>IF(A10&gt;2,"",IF(IF(AA10="",Z10,AA10)-AB10-I10&lt;L10,IF(AA10="",Z10,AA10)-AB10-I10,L10))</f>
        <v>0</v>
      </c>
      <c r="N10" s="177">
        <f t="shared" si="13"/>
        <v>1</v>
      </c>
      <c r="O10" s="107">
        <f>IF(A10&gt;2,"",IF(AC10-I10-J10-K10&lt;L10,AC10-I10-J10-K10-M10-N10,L10-M10-N10))</f>
        <v>0</v>
      </c>
      <c r="P10" s="200">
        <f>IF(A10&gt;2,"",AC10-SUM(I10:L10))</f>
        <v>13.301369863013697</v>
      </c>
      <c r="Q10" s="83">
        <v>3</v>
      </c>
      <c r="R10" s="84" t="s">
        <v>219</v>
      </c>
      <c r="S10" s="85">
        <v>2024</v>
      </c>
      <c r="T10" s="85">
        <v>4</v>
      </c>
      <c r="U10" s="86">
        <v>1</v>
      </c>
      <c r="V10" s="138">
        <f>IF(A10&gt;2,"",IF(C10&gt;0,IF(C10=1,15,IF(C10&gt;20,25,15+INT((C10+IF($O$5=1,0,1)-1)/2))),IF(B10&lt;$A$4,IF($O$5=3,15,IF($M$5=1,15*($A$4-B10)/365,IF($M$5=2,ROUNDUP(15*($A$4-B10)/365,0),ROUNDUP(15*($A$4-B10)/365*2,0)/2))),0)))</f>
        <v>11.301369863013699</v>
      </c>
      <c r="W10" s="144"/>
      <c r="X10" s="138">
        <f t="shared" si="17"/>
        <v>3</v>
      </c>
      <c r="Y10" s="145"/>
      <c r="Z10" s="138">
        <f>IF(A10&gt;2,"",IF(OR(B10&lt;$B$4,B10&gt;=$A$4),0,IF(C10=0,D10,IF(AND(C10=1,B10&lt;$D$4),IF(11-D10&gt;IF(B10&gt;=$C$4,E10,0),11-D10-IF(B10&gt;=$C$4,E10,0),0),0))))</f>
        <v>8</v>
      </c>
      <c r="AA10" s="145"/>
      <c r="AB10" s="146">
        <v>8</v>
      </c>
      <c r="AC10" s="141">
        <f t="shared" si="19"/>
        <v>14.301369863013697</v>
      </c>
      <c r="AD10" s="145">
        <v>1</v>
      </c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6"/>
      <c r="AP10" s="192">
        <f>IF(A10&gt;2,"",IF(W10="",V10,W10)-N10)</f>
        <v>10.301369863013699</v>
      </c>
      <c r="AQ10" s="171"/>
      <c r="AR10" s="182">
        <f t="shared" si="21"/>
        <v>1</v>
      </c>
      <c r="AS10" s="171"/>
      <c r="AT10" s="182">
        <f t="shared" si="22"/>
        <v>2</v>
      </c>
      <c r="AU10" s="171"/>
      <c r="AV10" s="148">
        <f t="shared" si="23"/>
        <v>1</v>
      </c>
      <c r="AW10" s="143">
        <f t="shared" si="24"/>
        <v>0</v>
      </c>
      <c r="AX10" s="194">
        <f t="shared" si="25"/>
        <v>10.301369863013699</v>
      </c>
      <c r="AY10" s="195">
        <f t="shared" si="26"/>
        <v>3</v>
      </c>
      <c r="AZ10" s="143">
        <f t="shared" si="27"/>
        <v>0</v>
      </c>
      <c r="BA10" s="166">
        <f t="shared" si="28"/>
        <v>0</v>
      </c>
      <c r="BB10" s="149" t="str">
        <f>IF(A10&gt;2,"",IF(P10&gt;=0,"",-P10))</f>
        <v/>
      </c>
    </row>
    <row r="11" spans="1:54" s="78" customFormat="1" ht="20.25" customHeight="1">
      <c r="A11" s="21">
        <f t="shared" si="0"/>
        <v>0</v>
      </c>
      <c r="B11" s="29">
        <f t="shared" si="1"/>
        <v>45444</v>
      </c>
      <c r="C11" s="23">
        <f t="shared" si="2"/>
        <v>0</v>
      </c>
      <c r="D11" s="163">
        <f t="shared" si="3"/>
        <v>6</v>
      </c>
      <c r="E11" s="163">
        <f>IF(A11&gt;2,"",IF(OR(C11&gt;1,B11&lt;$C$4),0,IF(DATEDIF($C$4,B11,"m")&gt;11,11,DATEDIF($C$4,B11,"m"))))</f>
        <v>11</v>
      </c>
      <c r="F11" s="163">
        <f>IF(A11&gt;2,"",IF(AND(C11=0,B11&lt;=$A$4),IF($A$4&lt;$D$4,0,IF(IF(AA11="",Z11,AA11)-AB11&lt;E11,IF(AA11="",Z11,AA11)-AB11,E11-G11)),0))</f>
        <v>0</v>
      </c>
      <c r="G11" s="163">
        <f>IF(A11&gt;2,"",IF(AND(C11=0,B11&lt;=$A$4),IF($A$4&lt;$D$4,IF(IF(Y11="",X11,Y11)&lt;E11,IF(Y11="",X11,Y11),E11),IF(Y11="",X11,Y11)),0))</f>
        <v>5</v>
      </c>
      <c r="H11" s="163">
        <f>IF(A11&gt;2,"",IF(IF(AA11="",Z11,AA11)-AB11-M11&gt;F11,F11,IF(AA11="",Z11,AA11)-AB11-M11)+IF(IF(Y11="",X11,Y11)-O11&gt;G11,G11,IF(Y11="",X11,Y11)-O11))</f>
        <v>1.7763568394002505E-15</v>
      </c>
      <c r="I11" s="175">
        <f>IF(A11&gt;2,"",IF(AS11+AU11-IF(AU11&lt;G11,AU11,G11)&gt;F11,F11,AS11+AU11-IF(AU11&lt;G11,AU11,G11)))</f>
        <v>0</v>
      </c>
      <c r="J11" s="174">
        <f t="shared" si="9"/>
        <v>0</v>
      </c>
      <c r="K11" s="175">
        <f>IF(A11&gt;2,"",IF(AS11+AU11-IF(AU11&lt;G11,AU11,G11)&gt;F11,AS11+AU11-F11,IF(AU11&lt;G11,AU11,G11)))</f>
        <v>0</v>
      </c>
      <c r="L11" s="177">
        <f t="shared" si="11"/>
        <v>14</v>
      </c>
      <c r="M11" s="177">
        <f>IF(A11&gt;2,"",IF(IF(AA11="",Z11,AA11)-AB11-I11&lt;L11,IF(AA11="",Z11,AA11)-AB11-I11,L11))</f>
        <v>0</v>
      </c>
      <c r="N11" s="177">
        <f t="shared" si="13"/>
        <v>8.794520547945206</v>
      </c>
      <c r="O11" s="177">
        <f t="shared" si="14"/>
        <v>4.9999999999999982</v>
      </c>
      <c r="P11" s="200">
        <f t="shared" si="15"/>
        <v>-0.20547945205479579</v>
      </c>
      <c r="Q11" s="83">
        <v>4</v>
      </c>
      <c r="R11" s="84" t="s">
        <v>220</v>
      </c>
      <c r="S11" s="85">
        <v>2024</v>
      </c>
      <c r="T11" s="85">
        <v>6</v>
      </c>
      <c r="U11" s="86">
        <v>1</v>
      </c>
      <c r="V11" s="138">
        <f t="shared" ref="V11:V27" si="29">IF(A11&gt;2,"",IF(C11&gt;0,IF(C11=1,15,IF(C11&gt;20,25,15+INT((C11+IF($O$5=1,0,1)-1)/2))),IF(B11&lt;$A$4,IF($O$5=3,15,IF($M$5=1,15*($A$4-B11)/365,IF($M$5=2,ROUNDUP(15*($A$4-B11)/365,0),ROUNDUP(15*($A$4-B11)/365*2,0)/2))),0)))</f>
        <v>8.794520547945206</v>
      </c>
      <c r="W11" s="144"/>
      <c r="X11" s="138">
        <f t="shared" si="17"/>
        <v>5</v>
      </c>
      <c r="Y11" s="145"/>
      <c r="Z11" s="138">
        <f t="shared" si="18"/>
        <v>6</v>
      </c>
      <c r="AA11" s="145"/>
      <c r="AB11" s="146">
        <v>6</v>
      </c>
      <c r="AC11" s="182">
        <f>IF(A11&gt;2,"",IF(W11="",V11,W11)+IF(Y11="",X11,Y11)+IF(AA11="",Z11,AA11)-AB11)</f>
        <v>13.794520547945204</v>
      </c>
      <c r="AD11" s="145">
        <v>1</v>
      </c>
      <c r="AE11" s="147">
        <v>1</v>
      </c>
      <c r="AF11" s="147">
        <v>11</v>
      </c>
      <c r="AG11" s="147">
        <v>1</v>
      </c>
      <c r="AH11" s="147"/>
      <c r="AI11" s="147"/>
      <c r="AJ11" s="147"/>
      <c r="AK11" s="147"/>
      <c r="AL11" s="147"/>
      <c r="AM11" s="147"/>
      <c r="AN11" s="147"/>
      <c r="AO11" s="146"/>
      <c r="AP11" s="192">
        <f t="shared" ref="AP11:AP27" si="30">IF(A11&gt;2,"",IF(W11="",V11,W11)-N11)</f>
        <v>0</v>
      </c>
      <c r="AQ11" s="171"/>
      <c r="AR11" s="182">
        <f>IF(A11&gt;2,"",IF(H11&gt;2,H11-2,0))</f>
        <v>0</v>
      </c>
      <c r="AS11" s="171"/>
      <c r="AT11" s="182">
        <f>IF(A11&gt;2,"",IF(H11&gt;2,2,H11))</f>
        <v>1.7763568394002505E-15</v>
      </c>
      <c r="AU11" s="171"/>
      <c r="AV11" s="148">
        <f t="shared" si="23"/>
        <v>8.794520547945206</v>
      </c>
      <c r="AW11" s="143">
        <f t="shared" si="24"/>
        <v>4.9999999999999982</v>
      </c>
      <c r="AX11" s="194">
        <f>IF(A11&gt;2,"",IF(W11="",V11,W11)-AV11)</f>
        <v>0</v>
      </c>
      <c r="AY11" s="195">
        <f>IF(A11&gt;2,"",IF(AND(C11&lt;2,B11&lt;=$A$4,B11&gt;=$B$4),IF(AA11="",Z11,AA11)-AB11-I11-M11+IF(B11&lt;$C$4,0,IF(AND(B11&lt;$D$4,O11&lt;IF(Y11="",X11,Y11)-G11),G11-K11,IF(Y11="",X11,Y11)-K11-O11)),0))</f>
        <v>1.7763568394002505E-15</v>
      </c>
      <c r="AZ11" s="143">
        <f>IF(A11&gt;2,"",IF(B11&gt;=$B$4,IF(Y11="",X11,Y11)-IF(B11&lt;=$A$4,G11,0),0))</f>
        <v>0</v>
      </c>
      <c r="BA11" s="166">
        <f>IF(A11&gt;2,"",IF(B11&gt;=$B$4,IF(K11+O11&gt;AZ11,AZ11,K11+O11),0))</f>
        <v>0</v>
      </c>
      <c r="BB11" s="149">
        <f>IF(A11&gt;2,"",IF(P11&gt;=0,"",-P11))</f>
        <v>0.20547945205479579</v>
      </c>
    </row>
    <row r="12" spans="1:54" s="78" customFormat="1" ht="20.25" customHeight="1">
      <c r="A12" s="21">
        <f t="shared" si="0"/>
        <v>3</v>
      </c>
      <c r="B12" s="29" t="str">
        <f t="shared" si="1"/>
        <v/>
      </c>
      <c r="C12" s="198" t="str">
        <f>IF(A12&gt;2,"",IF(B12&gt;=$A$4,0,DATEDIF(B12,$A$4,"y")))</f>
        <v/>
      </c>
      <c r="D12" s="163" t="str">
        <f t="shared" si="3"/>
        <v/>
      </c>
      <c r="E12" s="163" t="str">
        <f>IF(A12&gt;2,"",IF(OR(C12&gt;1,B12&lt;$C$4),0,IF(DATEDIF($C$4,B12,"m")&gt;11,11,DATEDIF($C$4,B12,"m"))))</f>
        <v/>
      </c>
      <c r="F12" s="163" t="str">
        <f t="shared" ref="F12:F27" si="31">IF(A12&gt;2,"",IF(AND(C12=0,B12&lt;=$A$4),IF($A$4&lt;$D$4,0,IF(IF(AA12="",Z12,AA12)-AB12&lt;E12,IF(AA12="",Z12,AA12)-AB12,E12-G12)),0))</f>
        <v/>
      </c>
      <c r="G12" s="163" t="str">
        <f t="shared" ref="G12:G27" si="32">IF(A12&gt;2,"",IF(AND(C12=0,B12&lt;=$A$4),IF($A$4&lt;$D$4,IF(IF(Y12="",X12,Y12)&lt;E12,IF(Y12="",X12,Y12),E12),IF(Y12="",X12,Y12)),0))</f>
        <v/>
      </c>
      <c r="H12" s="163" t="str">
        <f t="shared" ref="H12:H27" si="33">IF(A12&gt;2,"",IF(IF(AA12="",Z12,AA12)-AB12-M12&gt;F12,F12,IF(AA12="",Z12,AA12)-AB12-M12)+IF(IF(Y12="",X12,Y12)-O12&gt;G12,G12,IF(Y12="",X12,Y12)-O12))</f>
        <v/>
      </c>
      <c r="I12" s="175" t="str">
        <f t="shared" ref="I12:I27" si="34">IF(A12&gt;2,"",IF(AS12+AU12-IF(AU12&lt;G12,AU12,G12)&gt;F12,F12,AS12+AU12-IF(AU12&lt;G12,AU12,G12)))</f>
        <v/>
      </c>
      <c r="J12" s="173" t="str">
        <f t="shared" si="9"/>
        <v/>
      </c>
      <c r="K12" s="175" t="str">
        <f t="shared" ref="K12:K27" si="35">IF(A12&gt;2,"",IF(AS12+AU12-IF(AU12&lt;G12,AU12,G12)&gt;F12,AS12+AU12-F12,IF(AU12&lt;G12,AU12,G12)))</f>
        <v/>
      </c>
      <c r="L12" s="177" t="str">
        <f t="shared" si="11"/>
        <v/>
      </c>
      <c r="M12" s="177" t="str">
        <f t="shared" si="12"/>
        <v/>
      </c>
      <c r="N12" s="177" t="str">
        <f t="shared" si="13"/>
        <v/>
      </c>
      <c r="O12" s="178" t="str">
        <f t="shared" si="14"/>
        <v/>
      </c>
      <c r="P12" s="200" t="str">
        <f t="shared" si="15"/>
        <v/>
      </c>
      <c r="Q12" s="83">
        <v>5</v>
      </c>
      <c r="R12" s="84"/>
      <c r="S12" s="85"/>
      <c r="T12" s="85"/>
      <c r="U12" s="86"/>
      <c r="V12" s="138" t="str">
        <f t="shared" si="29"/>
        <v/>
      </c>
      <c r="W12" s="144"/>
      <c r="X12" s="138" t="str">
        <f t="shared" si="17"/>
        <v/>
      </c>
      <c r="Y12" s="145"/>
      <c r="Z12" s="138" t="str">
        <f>IF(A12&gt;2,"",IF(OR(B12&lt;$B$4,B12&gt;=$A$4),0,IF(C12=0,D12,IF(AND(C12=1,B12&lt;$D$4),IF(11-D12&gt;IF(B12&gt;=$C$4,E12,0),11-D12-IF(B12&gt;=$C$4,E12,0),0),0))))</f>
        <v/>
      </c>
      <c r="AA12" s="145"/>
      <c r="AB12" s="146"/>
      <c r="AC12" s="182" t="str">
        <f t="shared" ref="AC12:AC27" si="36">IF(A12&gt;2,"",IF(W12="",V12,W12)+IF(Y12="",X12,Y12)+IF(AA12="",Z12,AA12)-AB12)</f>
        <v/>
      </c>
      <c r="AD12" s="145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6"/>
      <c r="AP12" s="192" t="str">
        <f t="shared" si="30"/>
        <v/>
      </c>
      <c r="AQ12" s="171"/>
      <c r="AR12" s="182" t="str">
        <f t="shared" ref="AR12:AR27" si="37">IF(A12&gt;2,"",IF(H12&gt;2,H12-2,0))</f>
        <v/>
      </c>
      <c r="AS12" s="171"/>
      <c r="AT12" s="182" t="str">
        <f t="shared" ref="AT12:AT27" si="38">IF(A12&gt;2,"",IF(H12&gt;2,2,H12))</f>
        <v/>
      </c>
      <c r="AU12" s="171"/>
      <c r="AV12" s="148" t="str">
        <f t="shared" si="23"/>
        <v/>
      </c>
      <c r="AW12" s="143" t="str">
        <f t="shared" si="24"/>
        <v/>
      </c>
      <c r="AX12" s="194" t="str">
        <f>IF(A12&gt;2,"",IF(W12="",V12,W12)-AV12)</f>
        <v/>
      </c>
      <c r="AY12" s="195" t="str">
        <f t="shared" ref="AY12:AY27" si="39">IF(A12&gt;2,"",IF(AND(C12&lt;2,B12&lt;=$A$4,B12&gt;=$B$4),IF(AA12="",Z12,AA12)-AB12-I12-M12+IF(B12&lt;$C$4,0,IF(AND(B12&lt;$D$4,O12&lt;IF(Y12="",X12,Y12)-G12),G12-K12,IF(Y12="",X12,Y12)-K12-O12)),0))</f>
        <v/>
      </c>
      <c r="AZ12" s="143" t="str">
        <f t="shared" ref="AZ12:AZ27" si="40">IF(A12&gt;2,"",IF(B12&gt;=$B$4,IF(Y12="",X12,Y12)-IF(B12&lt;=$A$4,G12,0),0))</f>
        <v/>
      </c>
      <c r="BA12" s="166" t="str">
        <f t="shared" ref="BA12:BA27" si="41">IF(A12&gt;2,"",IF(B12&gt;=$B$4,IF(K12+O12&gt;AZ12,AZ12,K12+O12),0))</f>
        <v/>
      </c>
      <c r="BB12" s="149" t="str">
        <f t="shared" ref="BB12:BB27" si="42">IF(A12&gt;2,"",IF(P12&gt;=0,"",-P12))</f>
        <v/>
      </c>
    </row>
    <row r="13" spans="1:54" s="78" customFormat="1" ht="20.25" customHeight="1">
      <c r="A13" s="21">
        <f t="shared" si="0"/>
        <v>3</v>
      </c>
      <c r="B13" s="29" t="str">
        <f t="shared" si="1"/>
        <v/>
      </c>
      <c r="C13" s="23" t="str">
        <f t="shared" ref="C13:C27" si="43">IF(A13&gt;2,"",IF(B13&gt;=$A$4,0,DATEDIF(B13,$A$4,"y")))</f>
        <v/>
      </c>
      <c r="D13" s="163" t="str">
        <f t="shared" si="3"/>
        <v/>
      </c>
      <c r="E13" s="163" t="str">
        <f>IF(A13&gt;2,"",IF(OR(C13&gt;1,B13&lt;$C$4),0,IF(DATEDIF($C$4,B13,"m")&gt;11,11,DATEDIF($C$4,B13,"m"))))</f>
        <v/>
      </c>
      <c r="F13" s="163" t="str">
        <f t="shared" si="31"/>
        <v/>
      </c>
      <c r="G13" s="163" t="str">
        <f t="shared" si="32"/>
        <v/>
      </c>
      <c r="H13" s="163" t="str">
        <f t="shared" si="33"/>
        <v/>
      </c>
      <c r="I13" s="175" t="str">
        <f t="shared" si="34"/>
        <v/>
      </c>
      <c r="J13" s="173" t="str">
        <f t="shared" si="9"/>
        <v/>
      </c>
      <c r="K13" s="175" t="str">
        <f t="shared" si="35"/>
        <v/>
      </c>
      <c r="L13" s="177" t="str">
        <f t="shared" si="11"/>
        <v/>
      </c>
      <c r="M13" s="177" t="str">
        <f t="shared" si="12"/>
        <v/>
      </c>
      <c r="N13" s="177" t="str">
        <f t="shared" si="13"/>
        <v/>
      </c>
      <c r="O13" s="178" t="str">
        <f t="shared" si="14"/>
        <v/>
      </c>
      <c r="P13" s="200" t="str">
        <f t="shared" si="15"/>
        <v/>
      </c>
      <c r="Q13" s="83">
        <v>6</v>
      </c>
      <c r="R13" s="84"/>
      <c r="S13" s="85"/>
      <c r="T13" s="85"/>
      <c r="U13" s="86"/>
      <c r="V13" s="138" t="str">
        <f t="shared" si="29"/>
        <v/>
      </c>
      <c r="W13" s="144"/>
      <c r="X13" s="138" t="str">
        <f t="shared" si="17"/>
        <v/>
      </c>
      <c r="Y13" s="145"/>
      <c r="Z13" s="138" t="str">
        <f t="shared" ref="Z13:Z27" si="44">IF(A13&gt;2,"",IF(OR(B13&lt;$B$4,B13&gt;=$A$4),0,IF(C13=0,D13,IF(AND(C13=1,B13&lt;$D$4),IF(11-D13&gt;IF(B13&gt;=$C$4,E13,0),11-D13-IF(B13&gt;=$C$4,E13,0),0),0))))</f>
        <v/>
      </c>
      <c r="AA13" s="145"/>
      <c r="AB13" s="146"/>
      <c r="AC13" s="182" t="str">
        <f t="shared" si="36"/>
        <v/>
      </c>
      <c r="AD13" s="145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6"/>
      <c r="AP13" s="192" t="str">
        <f t="shared" si="30"/>
        <v/>
      </c>
      <c r="AQ13" s="171"/>
      <c r="AR13" s="182" t="str">
        <f t="shared" si="37"/>
        <v/>
      </c>
      <c r="AS13" s="171"/>
      <c r="AT13" s="182" t="str">
        <f t="shared" si="38"/>
        <v/>
      </c>
      <c r="AU13" s="171"/>
      <c r="AV13" s="148" t="str">
        <f t="shared" si="23"/>
        <v/>
      </c>
      <c r="AW13" s="143" t="str">
        <f t="shared" si="24"/>
        <v/>
      </c>
      <c r="AX13" s="194" t="str">
        <f t="shared" ref="AX13:AX27" si="45">IF(A13&gt;2,"",IF(W13="",V13,W13)-AV13)</f>
        <v/>
      </c>
      <c r="AY13" s="195" t="str">
        <f t="shared" si="39"/>
        <v/>
      </c>
      <c r="AZ13" s="143" t="str">
        <f t="shared" si="40"/>
        <v/>
      </c>
      <c r="BA13" s="166" t="str">
        <f t="shared" si="41"/>
        <v/>
      </c>
      <c r="BB13" s="149" t="str">
        <f t="shared" si="42"/>
        <v/>
      </c>
    </row>
    <row r="14" spans="1:54" s="78" customFormat="1" ht="20.25" customHeight="1">
      <c r="A14" s="21">
        <f t="shared" si="0"/>
        <v>3</v>
      </c>
      <c r="B14" s="29" t="str">
        <f t="shared" si="1"/>
        <v/>
      </c>
      <c r="C14" s="23" t="str">
        <f t="shared" si="43"/>
        <v/>
      </c>
      <c r="D14" s="163" t="str">
        <f t="shared" si="3"/>
        <v/>
      </c>
      <c r="E14" s="163" t="str">
        <f>IF(A14&gt;2,"",IF(OR(C14&gt;1,B14&lt;$C$4),0,IF(DATEDIF($C$4,B14,"m")&gt;11,11,DATEDIF($C$4,B14,"m"))))</f>
        <v/>
      </c>
      <c r="F14" s="163" t="str">
        <f t="shared" si="31"/>
        <v/>
      </c>
      <c r="G14" s="163" t="str">
        <f t="shared" si="32"/>
        <v/>
      </c>
      <c r="H14" s="163" t="str">
        <f t="shared" si="33"/>
        <v/>
      </c>
      <c r="I14" s="175" t="str">
        <f t="shared" si="34"/>
        <v/>
      </c>
      <c r="J14" s="173" t="str">
        <f t="shared" si="9"/>
        <v/>
      </c>
      <c r="K14" s="175" t="str">
        <f t="shared" si="35"/>
        <v/>
      </c>
      <c r="L14" s="177" t="str">
        <f t="shared" si="11"/>
        <v/>
      </c>
      <c r="M14" s="177" t="str">
        <f t="shared" si="12"/>
        <v/>
      </c>
      <c r="N14" s="177" t="str">
        <f t="shared" si="13"/>
        <v/>
      </c>
      <c r="O14" s="178" t="str">
        <f t="shared" si="14"/>
        <v/>
      </c>
      <c r="P14" s="200" t="str">
        <f t="shared" si="15"/>
        <v/>
      </c>
      <c r="Q14" s="83">
        <v>7</v>
      </c>
      <c r="R14" s="84"/>
      <c r="S14" s="85"/>
      <c r="T14" s="85"/>
      <c r="U14" s="86"/>
      <c r="V14" s="138" t="str">
        <f t="shared" si="29"/>
        <v/>
      </c>
      <c r="W14" s="144"/>
      <c r="X14" s="138" t="str">
        <f t="shared" si="17"/>
        <v/>
      </c>
      <c r="Y14" s="145"/>
      <c r="Z14" s="138" t="str">
        <f t="shared" si="44"/>
        <v/>
      </c>
      <c r="AA14" s="145"/>
      <c r="AB14" s="146"/>
      <c r="AC14" s="182" t="str">
        <f t="shared" si="36"/>
        <v/>
      </c>
      <c r="AD14" s="145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6"/>
      <c r="AP14" s="192" t="str">
        <f t="shared" si="30"/>
        <v/>
      </c>
      <c r="AQ14" s="171"/>
      <c r="AR14" s="182" t="str">
        <f t="shared" si="37"/>
        <v/>
      </c>
      <c r="AS14" s="171"/>
      <c r="AT14" s="182" t="str">
        <f t="shared" si="38"/>
        <v/>
      </c>
      <c r="AU14" s="171"/>
      <c r="AV14" s="148" t="str">
        <f t="shared" si="23"/>
        <v/>
      </c>
      <c r="AW14" s="143" t="str">
        <f t="shared" si="24"/>
        <v/>
      </c>
      <c r="AX14" s="194" t="str">
        <f t="shared" si="45"/>
        <v/>
      </c>
      <c r="AY14" s="195" t="str">
        <f t="shared" si="39"/>
        <v/>
      </c>
      <c r="AZ14" s="143" t="str">
        <f t="shared" si="40"/>
        <v/>
      </c>
      <c r="BA14" s="166" t="str">
        <f t="shared" si="41"/>
        <v/>
      </c>
      <c r="BB14" s="149" t="str">
        <f t="shared" si="42"/>
        <v/>
      </c>
    </row>
    <row r="15" spans="1:54" s="78" customFormat="1" ht="20.25" customHeight="1">
      <c r="A15" s="21">
        <f t="shared" si="0"/>
        <v>3</v>
      </c>
      <c r="B15" s="29" t="str">
        <f t="shared" si="1"/>
        <v/>
      </c>
      <c r="C15" s="23" t="str">
        <f t="shared" si="43"/>
        <v/>
      </c>
      <c r="D15" s="163" t="str">
        <f t="shared" si="3"/>
        <v/>
      </c>
      <c r="E15" s="163" t="str">
        <f t="shared" ref="E15:E27" si="46">IF(A15&gt;2,"",IF(OR(C15&gt;1,B15&lt;$C$4),0,IF(DATEDIF($C$4,B15,"m")&gt;11,11,DATEDIF($C$4,B15,"m"))))</f>
        <v/>
      </c>
      <c r="F15" s="163" t="str">
        <f t="shared" si="31"/>
        <v/>
      </c>
      <c r="G15" s="163" t="str">
        <f t="shared" si="32"/>
        <v/>
      </c>
      <c r="H15" s="163" t="str">
        <f t="shared" si="33"/>
        <v/>
      </c>
      <c r="I15" s="175" t="str">
        <f t="shared" si="34"/>
        <v/>
      </c>
      <c r="J15" s="173" t="str">
        <f t="shared" si="9"/>
        <v/>
      </c>
      <c r="K15" s="175" t="str">
        <f t="shared" si="35"/>
        <v/>
      </c>
      <c r="L15" s="177" t="str">
        <f t="shared" si="11"/>
        <v/>
      </c>
      <c r="M15" s="177" t="str">
        <f t="shared" si="12"/>
        <v/>
      </c>
      <c r="N15" s="177" t="str">
        <f t="shared" si="13"/>
        <v/>
      </c>
      <c r="O15" s="178" t="str">
        <f t="shared" si="14"/>
        <v/>
      </c>
      <c r="P15" s="200" t="str">
        <f t="shared" si="15"/>
        <v/>
      </c>
      <c r="Q15" s="83">
        <v>8</v>
      </c>
      <c r="R15" s="84"/>
      <c r="S15" s="85"/>
      <c r="T15" s="85"/>
      <c r="U15" s="86"/>
      <c r="V15" s="138" t="str">
        <f t="shared" si="29"/>
        <v/>
      </c>
      <c r="W15" s="144"/>
      <c r="X15" s="138" t="str">
        <f t="shared" si="17"/>
        <v/>
      </c>
      <c r="Y15" s="145"/>
      <c r="Z15" s="138" t="str">
        <f t="shared" si="44"/>
        <v/>
      </c>
      <c r="AA15" s="145"/>
      <c r="AB15" s="146"/>
      <c r="AC15" s="182" t="str">
        <f t="shared" si="36"/>
        <v/>
      </c>
      <c r="AD15" s="145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6"/>
      <c r="AP15" s="192" t="str">
        <f t="shared" si="30"/>
        <v/>
      </c>
      <c r="AQ15" s="171"/>
      <c r="AR15" s="182" t="str">
        <f t="shared" si="37"/>
        <v/>
      </c>
      <c r="AS15" s="171"/>
      <c r="AT15" s="182" t="str">
        <f t="shared" si="38"/>
        <v/>
      </c>
      <c r="AU15" s="171"/>
      <c r="AV15" s="148" t="str">
        <f t="shared" si="23"/>
        <v/>
      </c>
      <c r="AW15" s="143" t="str">
        <f t="shared" si="24"/>
        <v/>
      </c>
      <c r="AX15" s="194" t="str">
        <f t="shared" si="45"/>
        <v/>
      </c>
      <c r="AY15" s="195" t="str">
        <f t="shared" si="39"/>
        <v/>
      </c>
      <c r="AZ15" s="143" t="str">
        <f t="shared" si="40"/>
        <v/>
      </c>
      <c r="BA15" s="166" t="str">
        <f t="shared" si="41"/>
        <v/>
      </c>
      <c r="BB15" s="149" t="str">
        <f t="shared" si="42"/>
        <v/>
      </c>
    </row>
    <row r="16" spans="1:54" s="78" customFormat="1" ht="20.25" customHeight="1">
      <c r="A16" s="21">
        <f t="shared" si="0"/>
        <v>3</v>
      </c>
      <c r="B16" s="29" t="str">
        <f t="shared" si="1"/>
        <v/>
      </c>
      <c r="C16" s="23" t="str">
        <f t="shared" si="43"/>
        <v/>
      </c>
      <c r="D16" s="163" t="str">
        <f t="shared" si="3"/>
        <v/>
      </c>
      <c r="E16" s="163" t="str">
        <f t="shared" si="46"/>
        <v/>
      </c>
      <c r="F16" s="163" t="str">
        <f t="shared" si="31"/>
        <v/>
      </c>
      <c r="G16" s="163" t="str">
        <f t="shared" si="32"/>
        <v/>
      </c>
      <c r="H16" s="163" t="str">
        <f t="shared" si="33"/>
        <v/>
      </c>
      <c r="I16" s="175" t="str">
        <f t="shared" si="34"/>
        <v/>
      </c>
      <c r="J16" s="173" t="str">
        <f t="shared" si="9"/>
        <v/>
      </c>
      <c r="K16" s="175" t="str">
        <f t="shared" si="35"/>
        <v/>
      </c>
      <c r="L16" s="177" t="str">
        <f t="shared" si="11"/>
        <v/>
      </c>
      <c r="M16" s="177" t="str">
        <f t="shared" si="12"/>
        <v/>
      </c>
      <c r="N16" s="177" t="str">
        <f t="shared" si="13"/>
        <v/>
      </c>
      <c r="O16" s="178" t="str">
        <f t="shared" si="14"/>
        <v/>
      </c>
      <c r="P16" s="200" t="str">
        <f t="shared" si="15"/>
        <v/>
      </c>
      <c r="Q16" s="83">
        <v>9</v>
      </c>
      <c r="R16" s="84"/>
      <c r="S16" s="85"/>
      <c r="T16" s="85"/>
      <c r="U16" s="86"/>
      <c r="V16" s="138" t="str">
        <f t="shared" si="29"/>
        <v/>
      </c>
      <c r="W16" s="144"/>
      <c r="X16" s="138" t="str">
        <f t="shared" si="17"/>
        <v/>
      </c>
      <c r="Y16" s="145"/>
      <c r="Z16" s="138" t="str">
        <f t="shared" si="44"/>
        <v/>
      </c>
      <c r="AA16" s="145"/>
      <c r="AB16" s="146"/>
      <c r="AC16" s="182" t="str">
        <f t="shared" si="36"/>
        <v/>
      </c>
      <c r="AD16" s="145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6"/>
      <c r="AP16" s="192" t="str">
        <f t="shared" si="30"/>
        <v/>
      </c>
      <c r="AQ16" s="171"/>
      <c r="AR16" s="182" t="str">
        <f t="shared" si="37"/>
        <v/>
      </c>
      <c r="AS16" s="171"/>
      <c r="AT16" s="182" t="str">
        <f t="shared" si="38"/>
        <v/>
      </c>
      <c r="AU16" s="171"/>
      <c r="AV16" s="148" t="str">
        <f t="shared" si="23"/>
        <v/>
      </c>
      <c r="AW16" s="143" t="str">
        <f t="shared" si="24"/>
        <v/>
      </c>
      <c r="AX16" s="194" t="str">
        <f t="shared" si="45"/>
        <v/>
      </c>
      <c r="AY16" s="195" t="str">
        <f t="shared" si="39"/>
        <v/>
      </c>
      <c r="AZ16" s="143" t="str">
        <f t="shared" si="40"/>
        <v/>
      </c>
      <c r="BA16" s="166" t="str">
        <f t="shared" si="41"/>
        <v/>
      </c>
      <c r="BB16" s="149" t="str">
        <f t="shared" si="42"/>
        <v/>
      </c>
    </row>
    <row r="17" spans="1:54" s="78" customFormat="1" ht="20.25" customHeight="1">
      <c r="A17" s="21">
        <f t="shared" si="0"/>
        <v>3</v>
      </c>
      <c r="B17" s="29" t="str">
        <f t="shared" si="1"/>
        <v/>
      </c>
      <c r="C17" s="23" t="str">
        <f t="shared" si="43"/>
        <v/>
      </c>
      <c r="D17" s="163" t="str">
        <f t="shared" si="3"/>
        <v/>
      </c>
      <c r="E17" s="163" t="str">
        <f t="shared" si="46"/>
        <v/>
      </c>
      <c r="F17" s="163" t="str">
        <f t="shared" si="31"/>
        <v/>
      </c>
      <c r="G17" s="163" t="str">
        <f t="shared" si="32"/>
        <v/>
      </c>
      <c r="H17" s="163" t="str">
        <f t="shared" si="33"/>
        <v/>
      </c>
      <c r="I17" s="175" t="str">
        <f t="shared" si="34"/>
        <v/>
      </c>
      <c r="J17" s="173" t="str">
        <f t="shared" si="9"/>
        <v/>
      </c>
      <c r="K17" s="175" t="str">
        <f t="shared" si="35"/>
        <v/>
      </c>
      <c r="L17" s="177" t="str">
        <f t="shared" si="11"/>
        <v/>
      </c>
      <c r="M17" s="177" t="str">
        <f t="shared" si="12"/>
        <v/>
      </c>
      <c r="N17" s="177" t="str">
        <f t="shared" si="13"/>
        <v/>
      </c>
      <c r="O17" s="178" t="str">
        <f t="shared" si="14"/>
        <v/>
      </c>
      <c r="P17" s="200" t="str">
        <f t="shared" si="15"/>
        <v/>
      </c>
      <c r="Q17" s="83">
        <v>10</v>
      </c>
      <c r="R17" s="84"/>
      <c r="S17" s="85"/>
      <c r="T17" s="85"/>
      <c r="U17" s="86"/>
      <c r="V17" s="138" t="str">
        <f t="shared" si="29"/>
        <v/>
      </c>
      <c r="W17" s="144"/>
      <c r="X17" s="138" t="str">
        <f t="shared" si="17"/>
        <v/>
      </c>
      <c r="Y17" s="145"/>
      <c r="Z17" s="138" t="str">
        <f t="shared" si="44"/>
        <v/>
      </c>
      <c r="AA17" s="145"/>
      <c r="AB17" s="146"/>
      <c r="AC17" s="182" t="str">
        <f t="shared" si="36"/>
        <v/>
      </c>
      <c r="AD17" s="145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6"/>
      <c r="AP17" s="192" t="str">
        <f t="shared" si="30"/>
        <v/>
      </c>
      <c r="AQ17" s="171"/>
      <c r="AR17" s="182" t="str">
        <f t="shared" si="37"/>
        <v/>
      </c>
      <c r="AS17" s="171"/>
      <c r="AT17" s="182" t="str">
        <f t="shared" si="38"/>
        <v/>
      </c>
      <c r="AU17" s="171"/>
      <c r="AV17" s="148" t="str">
        <f t="shared" si="23"/>
        <v/>
      </c>
      <c r="AW17" s="143" t="str">
        <f t="shared" si="24"/>
        <v/>
      </c>
      <c r="AX17" s="194" t="str">
        <f t="shared" si="45"/>
        <v/>
      </c>
      <c r="AY17" s="195" t="str">
        <f t="shared" si="39"/>
        <v/>
      </c>
      <c r="AZ17" s="143" t="str">
        <f t="shared" si="40"/>
        <v/>
      </c>
      <c r="BA17" s="166" t="str">
        <f t="shared" si="41"/>
        <v/>
      </c>
      <c r="BB17" s="149" t="str">
        <f t="shared" si="42"/>
        <v/>
      </c>
    </row>
    <row r="18" spans="1:54" s="78" customFormat="1" ht="20.25" customHeight="1">
      <c r="A18" s="21">
        <f t="shared" si="0"/>
        <v>3</v>
      </c>
      <c r="B18" s="29" t="str">
        <f t="shared" si="1"/>
        <v/>
      </c>
      <c r="C18" s="23" t="str">
        <f t="shared" si="43"/>
        <v/>
      </c>
      <c r="D18" s="163" t="str">
        <f t="shared" si="3"/>
        <v/>
      </c>
      <c r="E18" s="163" t="str">
        <f t="shared" si="46"/>
        <v/>
      </c>
      <c r="F18" s="163" t="str">
        <f t="shared" si="31"/>
        <v/>
      </c>
      <c r="G18" s="163" t="str">
        <f t="shared" si="32"/>
        <v/>
      </c>
      <c r="H18" s="163" t="str">
        <f t="shared" si="33"/>
        <v/>
      </c>
      <c r="I18" s="175" t="str">
        <f t="shared" si="34"/>
        <v/>
      </c>
      <c r="J18" s="173" t="str">
        <f t="shared" si="9"/>
        <v/>
      </c>
      <c r="K18" s="175" t="str">
        <f t="shared" si="35"/>
        <v/>
      </c>
      <c r="L18" s="177" t="str">
        <f t="shared" si="11"/>
        <v/>
      </c>
      <c r="M18" s="177" t="str">
        <f t="shared" si="12"/>
        <v/>
      </c>
      <c r="N18" s="177" t="str">
        <f t="shared" si="13"/>
        <v/>
      </c>
      <c r="O18" s="178" t="str">
        <f t="shared" si="14"/>
        <v/>
      </c>
      <c r="P18" s="200" t="str">
        <f t="shared" si="15"/>
        <v/>
      </c>
      <c r="Q18" s="83">
        <v>11</v>
      </c>
      <c r="R18" s="84"/>
      <c r="S18" s="85"/>
      <c r="T18" s="85"/>
      <c r="U18" s="86"/>
      <c r="V18" s="138" t="str">
        <f t="shared" si="29"/>
        <v/>
      </c>
      <c r="W18" s="144"/>
      <c r="X18" s="138" t="str">
        <f t="shared" si="17"/>
        <v/>
      </c>
      <c r="Y18" s="145"/>
      <c r="Z18" s="138" t="str">
        <f t="shared" si="44"/>
        <v/>
      </c>
      <c r="AA18" s="145"/>
      <c r="AB18" s="146"/>
      <c r="AC18" s="182" t="str">
        <f t="shared" si="36"/>
        <v/>
      </c>
      <c r="AD18" s="145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6"/>
      <c r="AP18" s="192" t="str">
        <f t="shared" si="30"/>
        <v/>
      </c>
      <c r="AQ18" s="171"/>
      <c r="AR18" s="182" t="str">
        <f t="shared" si="37"/>
        <v/>
      </c>
      <c r="AS18" s="171"/>
      <c r="AT18" s="182" t="str">
        <f t="shared" si="38"/>
        <v/>
      </c>
      <c r="AU18" s="171"/>
      <c r="AV18" s="148" t="str">
        <f t="shared" si="23"/>
        <v/>
      </c>
      <c r="AW18" s="143" t="str">
        <f t="shared" si="24"/>
        <v/>
      </c>
      <c r="AX18" s="194" t="str">
        <f t="shared" si="45"/>
        <v/>
      </c>
      <c r="AY18" s="195" t="str">
        <f t="shared" si="39"/>
        <v/>
      </c>
      <c r="AZ18" s="143" t="str">
        <f t="shared" si="40"/>
        <v/>
      </c>
      <c r="BA18" s="166" t="str">
        <f t="shared" si="41"/>
        <v/>
      </c>
      <c r="BB18" s="149" t="str">
        <f t="shared" si="42"/>
        <v/>
      </c>
    </row>
    <row r="19" spans="1:54" s="78" customFormat="1" ht="20.25" customHeight="1">
      <c r="A19" s="21">
        <f t="shared" si="0"/>
        <v>3</v>
      </c>
      <c r="B19" s="29" t="str">
        <f t="shared" si="1"/>
        <v/>
      </c>
      <c r="C19" s="23" t="str">
        <f t="shared" si="43"/>
        <v/>
      </c>
      <c r="D19" s="163" t="str">
        <f t="shared" si="3"/>
        <v/>
      </c>
      <c r="E19" s="163" t="str">
        <f t="shared" si="46"/>
        <v/>
      </c>
      <c r="F19" s="163" t="str">
        <f t="shared" si="31"/>
        <v/>
      </c>
      <c r="G19" s="163" t="str">
        <f t="shared" si="32"/>
        <v/>
      </c>
      <c r="H19" s="163" t="str">
        <f t="shared" si="33"/>
        <v/>
      </c>
      <c r="I19" s="175" t="str">
        <f t="shared" si="34"/>
        <v/>
      </c>
      <c r="J19" s="173" t="str">
        <f t="shared" si="9"/>
        <v/>
      </c>
      <c r="K19" s="175" t="str">
        <f t="shared" si="35"/>
        <v/>
      </c>
      <c r="L19" s="177" t="str">
        <f t="shared" si="11"/>
        <v/>
      </c>
      <c r="M19" s="177" t="str">
        <f t="shared" si="12"/>
        <v/>
      </c>
      <c r="N19" s="177" t="str">
        <f t="shared" si="13"/>
        <v/>
      </c>
      <c r="O19" s="178" t="str">
        <f t="shared" si="14"/>
        <v/>
      </c>
      <c r="P19" s="200" t="str">
        <f t="shared" si="15"/>
        <v/>
      </c>
      <c r="Q19" s="83">
        <v>12</v>
      </c>
      <c r="R19" s="84"/>
      <c r="S19" s="85"/>
      <c r="T19" s="85"/>
      <c r="U19" s="86"/>
      <c r="V19" s="138" t="str">
        <f t="shared" si="29"/>
        <v/>
      </c>
      <c r="W19" s="144"/>
      <c r="X19" s="138" t="str">
        <f t="shared" si="17"/>
        <v/>
      </c>
      <c r="Y19" s="145"/>
      <c r="Z19" s="138" t="str">
        <f t="shared" si="44"/>
        <v/>
      </c>
      <c r="AA19" s="145"/>
      <c r="AB19" s="146"/>
      <c r="AC19" s="182" t="str">
        <f t="shared" si="36"/>
        <v/>
      </c>
      <c r="AD19" s="145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6"/>
      <c r="AP19" s="192" t="str">
        <f t="shared" si="30"/>
        <v/>
      </c>
      <c r="AQ19" s="171"/>
      <c r="AR19" s="182" t="str">
        <f t="shared" si="37"/>
        <v/>
      </c>
      <c r="AS19" s="171"/>
      <c r="AT19" s="182" t="str">
        <f t="shared" si="38"/>
        <v/>
      </c>
      <c r="AU19" s="171"/>
      <c r="AV19" s="148" t="str">
        <f t="shared" si="23"/>
        <v/>
      </c>
      <c r="AW19" s="143" t="str">
        <f t="shared" si="24"/>
        <v/>
      </c>
      <c r="AX19" s="194" t="str">
        <f t="shared" si="45"/>
        <v/>
      </c>
      <c r="AY19" s="195" t="str">
        <f t="shared" si="39"/>
        <v/>
      </c>
      <c r="AZ19" s="143" t="str">
        <f t="shared" si="40"/>
        <v/>
      </c>
      <c r="BA19" s="166" t="str">
        <f t="shared" si="41"/>
        <v/>
      </c>
      <c r="BB19" s="149" t="str">
        <f t="shared" si="42"/>
        <v/>
      </c>
    </row>
    <row r="20" spans="1:54" s="78" customFormat="1" ht="20.25" customHeight="1">
      <c r="A20" s="21">
        <f t="shared" si="0"/>
        <v>3</v>
      </c>
      <c r="B20" s="29" t="str">
        <f t="shared" si="1"/>
        <v/>
      </c>
      <c r="C20" s="23" t="str">
        <f t="shared" si="43"/>
        <v/>
      </c>
      <c r="D20" s="163" t="str">
        <f t="shared" si="3"/>
        <v/>
      </c>
      <c r="E20" s="163" t="str">
        <f t="shared" si="46"/>
        <v/>
      </c>
      <c r="F20" s="163" t="str">
        <f t="shared" si="31"/>
        <v/>
      </c>
      <c r="G20" s="163" t="str">
        <f t="shared" si="32"/>
        <v/>
      </c>
      <c r="H20" s="163" t="str">
        <f t="shared" si="33"/>
        <v/>
      </c>
      <c r="I20" s="175" t="str">
        <f t="shared" si="34"/>
        <v/>
      </c>
      <c r="J20" s="173" t="str">
        <f t="shared" si="9"/>
        <v/>
      </c>
      <c r="K20" s="175" t="str">
        <f t="shared" si="35"/>
        <v/>
      </c>
      <c r="L20" s="177" t="str">
        <f t="shared" si="11"/>
        <v/>
      </c>
      <c r="M20" s="177" t="str">
        <f t="shared" si="12"/>
        <v/>
      </c>
      <c r="N20" s="177" t="str">
        <f t="shared" si="13"/>
        <v/>
      </c>
      <c r="O20" s="178" t="str">
        <f t="shared" si="14"/>
        <v/>
      </c>
      <c r="P20" s="200" t="str">
        <f t="shared" si="15"/>
        <v/>
      </c>
      <c r="Q20" s="83">
        <v>13</v>
      </c>
      <c r="R20" s="84"/>
      <c r="S20" s="85"/>
      <c r="T20" s="85"/>
      <c r="U20" s="86"/>
      <c r="V20" s="138" t="str">
        <f t="shared" si="29"/>
        <v/>
      </c>
      <c r="W20" s="144"/>
      <c r="X20" s="138" t="str">
        <f t="shared" si="17"/>
        <v/>
      </c>
      <c r="Y20" s="145"/>
      <c r="Z20" s="138" t="str">
        <f t="shared" si="44"/>
        <v/>
      </c>
      <c r="AA20" s="145"/>
      <c r="AB20" s="146"/>
      <c r="AC20" s="182" t="str">
        <f t="shared" si="36"/>
        <v/>
      </c>
      <c r="AD20" s="145"/>
      <c r="AE20" s="147"/>
      <c r="AF20" s="147"/>
      <c r="AG20" s="147"/>
      <c r="AH20" s="147"/>
      <c r="AI20" s="147"/>
      <c r="AJ20" s="147"/>
      <c r="AK20" s="147"/>
      <c r="AL20" s="147"/>
      <c r="AM20" s="147"/>
      <c r="AN20" s="147"/>
      <c r="AO20" s="146"/>
      <c r="AP20" s="192" t="str">
        <f t="shared" si="30"/>
        <v/>
      </c>
      <c r="AQ20" s="171"/>
      <c r="AR20" s="182" t="str">
        <f t="shared" si="37"/>
        <v/>
      </c>
      <c r="AS20" s="171"/>
      <c r="AT20" s="182" t="str">
        <f t="shared" si="38"/>
        <v/>
      </c>
      <c r="AU20" s="171"/>
      <c r="AV20" s="148" t="str">
        <f t="shared" si="23"/>
        <v/>
      </c>
      <c r="AW20" s="143" t="str">
        <f t="shared" si="24"/>
        <v/>
      </c>
      <c r="AX20" s="194" t="str">
        <f t="shared" si="45"/>
        <v/>
      </c>
      <c r="AY20" s="195" t="str">
        <f t="shared" si="39"/>
        <v/>
      </c>
      <c r="AZ20" s="143" t="str">
        <f t="shared" si="40"/>
        <v/>
      </c>
      <c r="BA20" s="166" t="str">
        <f t="shared" si="41"/>
        <v/>
      </c>
      <c r="BB20" s="149" t="str">
        <f t="shared" si="42"/>
        <v/>
      </c>
    </row>
    <row r="21" spans="1:54" s="78" customFormat="1" ht="20.25" customHeight="1">
      <c r="A21" s="21">
        <f t="shared" si="0"/>
        <v>3</v>
      </c>
      <c r="B21" s="29" t="str">
        <f t="shared" si="1"/>
        <v/>
      </c>
      <c r="C21" s="23" t="str">
        <f t="shared" si="43"/>
        <v/>
      </c>
      <c r="D21" s="163" t="str">
        <f t="shared" si="3"/>
        <v/>
      </c>
      <c r="E21" s="163" t="str">
        <f t="shared" si="46"/>
        <v/>
      </c>
      <c r="F21" s="163" t="str">
        <f t="shared" si="31"/>
        <v/>
      </c>
      <c r="G21" s="163" t="str">
        <f t="shared" si="32"/>
        <v/>
      </c>
      <c r="H21" s="163" t="str">
        <f t="shared" si="33"/>
        <v/>
      </c>
      <c r="I21" s="175" t="str">
        <f t="shared" si="34"/>
        <v/>
      </c>
      <c r="J21" s="173" t="str">
        <f t="shared" si="9"/>
        <v/>
      </c>
      <c r="K21" s="175" t="str">
        <f t="shared" si="35"/>
        <v/>
      </c>
      <c r="L21" s="177" t="str">
        <f t="shared" si="11"/>
        <v/>
      </c>
      <c r="M21" s="177" t="str">
        <f t="shared" si="12"/>
        <v/>
      </c>
      <c r="N21" s="177" t="str">
        <f t="shared" si="13"/>
        <v/>
      </c>
      <c r="O21" s="178" t="str">
        <f t="shared" si="14"/>
        <v/>
      </c>
      <c r="P21" s="200" t="str">
        <f t="shared" si="15"/>
        <v/>
      </c>
      <c r="Q21" s="83">
        <v>14</v>
      </c>
      <c r="R21" s="84"/>
      <c r="S21" s="85"/>
      <c r="T21" s="85"/>
      <c r="U21" s="86"/>
      <c r="V21" s="138" t="str">
        <f t="shared" si="29"/>
        <v/>
      </c>
      <c r="W21" s="144"/>
      <c r="X21" s="138" t="str">
        <f t="shared" si="17"/>
        <v/>
      </c>
      <c r="Y21" s="145"/>
      <c r="Z21" s="138" t="str">
        <f t="shared" si="44"/>
        <v/>
      </c>
      <c r="AA21" s="145"/>
      <c r="AB21" s="146"/>
      <c r="AC21" s="182" t="str">
        <f t="shared" si="36"/>
        <v/>
      </c>
      <c r="AD21" s="145"/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6"/>
      <c r="AP21" s="192" t="str">
        <f t="shared" si="30"/>
        <v/>
      </c>
      <c r="AQ21" s="171"/>
      <c r="AR21" s="182" t="str">
        <f t="shared" si="37"/>
        <v/>
      </c>
      <c r="AS21" s="171"/>
      <c r="AT21" s="182" t="str">
        <f t="shared" si="38"/>
        <v/>
      </c>
      <c r="AU21" s="171"/>
      <c r="AV21" s="148" t="str">
        <f t="shared" si="23"/>
        <v/>
      </c>
      <c r="AW21" s="143" t="str">
        <f t="shared" si="24"/>
        <v/>
      </c>
      <c r="AX21" s="194" t="str">
        <f t="shared" si="45"/>
        <v/>
      </c>
      <c r="AY21" s="195" t="str">
        <f t="shared" si="39"/>
        <v/>
      </c>
      <c r="AZ21" s="143" t="str">
        <f t="shared" si="40"/>
        <v/>
      </c>
      <c r="BA21" s="166" t="str">
        <f t="shared" si="41"/>
        <v/>
      </c>
      <c r="BB21" s="149" t="str">
        <f t="shared" si="42"/>
        <v/>
      </c>
    </row>
    <row r="22" spans="1:54" s="78" customFormat="1" ht="20.25" customHeight="1">
      <c r="A22" s="21">
        <f t="shared" si="0"/>
        <v>3</v>
      </c>
      <c r="B22" s="29" t="str">
        <f t="shared" si="1"/>
        <v/>
      </c>
      <c r="C22" s="23" t="str">
        <f t="shared" si="43"/>
        <v/>
      </c>
      <c r="D22" s="163" t="str">
        <f t="shared" si="3"/>
        <v/>
      </c>
      <c r="E22" s="163" t="str">
        <f t="shared" si="46"/>
        <v/>
      </c>
      <c r="F22" s="163" t="str">
        <f t="shared" si="31"/>
        <v/>
      </c>
      <c r="G22" s="163" t="str">
        <f t="shared" si="32"/>
        <v/>
      </c>
      <c r="H22" s="163" t="str">
        <f t="shared" si="33"/>
        <v/>
      </c>
      <c r="I22" s="175" t="str">
        <f t="shared" si="34"/>
        <v/>
      </c>
      <c r="J22" s="173" t="str">
        <f t="shared" si="9"/>
        <v/>
      </c>
      <c r="K22" s="175" t="str">
        <f t="shared" si="35"/>
        <v/>
      </c>
      <c r="L22" s="177" t="str">
        <f t="shared" si="11"/>
        <v/>
      </c>
      <c r="M22" s="177" t="str">
        <f t="shared" si="12"/>
        <v/>
      </c>
      <c r="N22" s="177" t="str">
        <f t="shared" si="13"/>
        <v/>
      </c>
      <c r="O22" s="178" t="str">
        <f t="shared" si="14"/>
        <v/>
      </c>
      <c r="P22" s="200" t="str">
        <f t="shared" si="15"/>
        <v/>
      </c>
      <c r="Q22" s="83">
        <v>15</v>
      </c>
      <c r="R22" s="84"/>
      <c r="S22" s="85"/>
      <c r="T22" s="85"/>
      <c r="U22" s="86"/>
      <c r="V22" s="138" t="str">
        <f t="shared" si="29"/>
        <v/>
      </c>
      <c r="W22" s="144"/>
      <c r="X22" s="138" t="str">
        <f t="shared" si="17"/>
        <v/>
      </c>
      <c r="Y22" s="145"/>
      <c r="Z22" s="138" t="str">
        <f t="shared" si="44"/>
        <v/>
      </c>
      <c r="AA22" s="145"/>
      <c r="AB22" s="146"/>
      <c r="AC22" s="182" t="str">
        <f t="shared" si="36"/>
        <v/>
      </c>
      <c r="AD22" s="145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6"/>
      <c r="AP22" s="192" t="str">
        <f t="shared" si="30"/>
        <v/>
      </c>
      <c r="AQ22" s="171"/>
      <c r="AR22" s="182" t="str">
        <f t="shared" si="37"/>
        <v/>
      </c>
      <c r="AS22" s="171"/>
      <c r="AT22" s="182" t="str">
        <f t="shared" si="38"/>
        <v/>
      </c>
      <c r="AU22" s="171"/>
      <c r="AV22" s="148" t="str">
        <f t="shared" si="23"/>
        <v/>
      </c>
      <c r="AW22" s="143" t="str">
        <f t="shared" si="24"/>
        <v/>
      </c>
      <c r="AX22" s="194" t="str">
        <f t="shared" si="45"/>
        <v/>
      </c>
      <c r="AY22" s="195" t="str">
        <f t="shared" si="39"/>
        <v/>
      </c>
      <c r="AZ22" s="143" t="str">
        <f t="shared" si="40"/>
        <v/>
      </c>
      <c r="BA22" s="166" t="str">
        <f t="shared" si="41"/>
        <v/>
      </c>
      <c r="BB22" s="149" t="str">
        <f t="shared" si="42"/>
        <v/>
      </c>
    </row>
    <row r="23" spans="1:54" s="78" customFormat="1" ht="20.25" customHeight="1">
      <c r="A23" s="21">
        <f t="shared" si="0"/>
        <v>3</v>
      </c>
      <c r="B23" s="29" t="str">
        <f t="shared" si="1"/>
        <v/>
      </c>
      <c r="C23" s="23" t="str">
        <f t="shared" si="43"/>
        <v/>
      </c>
      <c r="D23" s="163" t="str">
        <f t="shared" si="3"/>
        <v/>
      </c>
      <c r="E23" s="163" t="str">
        <f t="shared" si="46"/>
        <v/>
      </c>
      <c r="F23" s="163" t="str">
        <f t="shared" si="31"/>
        <v/>
      </c>
      <c r="G23" s="163" t="str">
        <f t="shared" si="32"/>
        <v/>
      </c>
      <c r="H23" s="163" t="str">
        <f t="shared" si="33"/>
        <v/>
      </c>
      <c r="I23" s="175" t="str">
        <f t="shared" si="34"/>
        <v/>
      </c>
      <c r="J23" s="173" t="str">
        <f t="shared" si="9"/>
        <v/>
      </c>
      <c r="K23" s="175" t="str">
        <f t="shared" si="35"/>
        <v/>
      </c>
      <c r="L23" s="177" t="str">
        <f t="shared" si="11"/>
        <v/>
      </c>
      <c r="M23" s="177" t="str">
        <f t="shared" si="12"/>
        <v/>
      </c>
      <c r="N23" s="177" t="str">
        <f t="shared" si="13"/>
        <v/>
      </c>
      <c r="O23" s="178" t="str">
        <f t="shared" si="14"/>
        <v/>
      </c>
      <c r="P23" s="200" t="str">
        <f t="shared" si="15"/>
        <v/>
      </c>
      <c r="Q23" s="83">
        <v>16</v>
      </c>
      <c r="R23" s="84"/>
      <c r="S23" s="85"/>
      <c r="T23" s="85"/>
      <c r="U23" s="86"/>
      <c r="V23" s="138" t="str">
        <f t="shared" si="29"/>
        <v/>
      </c>
      <c r="W23" s="144"/>
      <c r="X23" s="138" t="str">
        <f t="shared" si="17"/>
        <v/>
      </c>
      <c r="Y23" s="145"/>
      <c r="Z23" s="138" t="str">
        <f t="shared" si="44"/>
        <v/>
      </c>
      <c r="AA23" s="145"/>
      <c r="AB23" s="146"/>
      <c r="AC23" s="182" t="str">
        <f t="shared" si="36"/>
        <v/>
      </c>
      <c r="AD23" s="145"/>
      <c r="AE23" s="147"/>
      <c r="AF23" s="147"/>
      <c r="AG23" s="147"/>
      <c r="AH23" s="147"/>
      <c r="AI23" s="147"/>
      <c r="AJ23" s="147"/>
      <c r="AK23" s="147"/>
      <c r="AL23" s="147"/>
      <c r="AM23" s="147"/>
      <c r="AN23" s="147"/>
      <c r="AO23" s="146"/>
      <c r="AP23" s="192" t="str">
        <f t="shared" si="30"/>
        <v/>
      </c>
      <c r="AQ23" s="171"/>
      <c r="AR23" s="182" t="str">
        <f t="shared" si="37"/>
        <v/>
      </c>
      <c r="AS23" s="171"/>
      <c r="AT23" s="182" t="str">
        <f t="shared" si="38"/>
        <v/>
      </c>
      <c r="AU23" s="171"/>
      <c r="AV23" s="148" t="str">
        <f t="shared" si="23"/>
        <v/>
      </c>
      <c r="AW23" s="143" t="str">
        <f t="shared" si="24"/>
        <v/>
      </c>
      <c r="AX23" s="194" t="str">
        <f t="shared" si="45"/>
        <v/>
      </c>
      <c r="AY23" s="195" t="str">
        <f t="shared" si="39"/>
        <v/>
      </c>
      <c r="AZ23" s="143" t="str">
        <f t="shared" si="40"/>
        <v/>
      </c>
      <c r="BA23" s="166" t="str">
        <f t="shared" si="41"/>
        <v/>
      </c>
      <c r="BB23" s="149" t="str">
        <f t="shared" si="42"/>
        <v/>
      </c>
    </row>
    <row r="24" spans="1:54" s="78" customFormat="1" ht="20.25" customHeight="1">
      <c r="A24" s="21">
        <f t="shared" si="0"/>
        <v>3</v>
      </c>
      <c r="B24" s="29" t="str">
        <f t="shared" si="1"/>
        <v/>
      </c>
      <c r="C24" s="23" t="str">
        <f t="shared" si="43"/>
        <v/>
      </c>
      <c r="D24" s="163" t="str">
        <f t="shared" si="3"/>
        <v/>
      </c>
      <c r="E24" s="163" t="str">
        <f t="shared" si="46"/>
        <v/>
      </c>
      <c r="F24" s="163" t="str">
        <f t="shared" si="31"/>
        <v/>
      </c>
      <c r="G24" s="163" t="str">
        <f t="shared" si="32"/>
        <v/>
      </c>
      <c r="H24" s="163" t="str">
        <f t="shared" si="33"/>
        <v/>
      </c>
      <c r="I24" s="175" t="str">
        <f t="shared" si="34"/>
        <v/>
      </c>
      <c r="J24" s="173" t="str">
        <f t="shared" si="9"/>
        <v/>
      </c>
      <c r="K24" s="175" t="str">
        <f t="shared" si="35"/>
        <v/>
      </c>
      <c r="L24" s="177" t="str">
        <f t="shared" si="11"/>
        <v/>
      </c>
      <c r="M24" s="177" t="str">
        <f t="shared" si="12"/>
        <v/>
      </c>
      <c r="N24" s="177" t="str">
        <f t="shared" si="13"/>
        <v/>
      </c>
      <c r="O24" s="178" t="str">
        <f t="shared" si="14"/>
        <v/>
      </c>
      <c r="P24" s="200" t="str">
        <f t="shared" si="15"/>
        <v/>
      </c>
      <c r="Q24" s="83">
        <v>17</v>
      </c>
      <c r="R24" s="84"/>
      <c r="S24" s="85"/>
      <c r="T24" s="85"/>
      <c r="U24" s="86"/>
      <c r="V24" s="138" t="str">
        <f t="shared" si="29"/>
        <v/>
      </c>
      <c r="W24" s="144"/>
      <c r="X24" s="138" t="str">
        <f t="shared" si="17"/>
        <v/>
      </c>
      <c r="Y24" s="145"/>
      <c r="Z24" s="138" t="str">
        <f t="shared" si="44"/>
        <v/>
      </c>
      <c r="AA24" s="145"/>
      <c r="AB24" s="146"/>
      <c r="AC24" s="182" t="str">
        <f t="shared" si="36"/>
        <v/>
      </c>
      <c r="AD24" s="145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6"/>
      <c r="AP24" s="192" t="str">
        <f t="shared" si="30"/>
        <v/>
      </c>
      <c r="AQ24" s="171"/>
      <c r="AR24" s="182" t="str">
        <f t="shared" si="37"/>
        <v/>
      </c>
      <c r="AS24" s="171"/>
      <c r="AT24" s="182" t="str">
        <f t="shared" si="38"/>
        <v/>
      </c>
      <c r="AU24" s="171"/>
      <c r="AV24" s="148" t="str">
        <f t="shared" si="23"/>
        <v/>
      </c>
      <c r="AW24" s="143" t="str">
        <f t="shared" si="24"/>
        <v/>
      </c>
      <c r="AX24" s="194" t="str">
        <f t="shared" si="45"/>
        <v/>
      </c>
      <c r="AY24" s="195" t="str">
        <f t="shared" si="39"/>
        <v/>
      </c>
      <c r="AZ24" s="143" t="str">
        <f t="shared" si="40"/>
        <v/>
      </c>
      <c r="BA24" s="166" t="str">
        <f t="shared" si="41"/>
        <v/>
      </c>
      <c r="BB24" s="149" t="str">
        <f t="shared" si="42"/>
        <v/>
      </c>
    </row>
    <row r="25" spans="1:54" s="78" customFormat="1" ht="20.25" customHeight="1">
      <c r="A25" s="21">
        <f t="shared" si="0"/>
        <v>3</v>
      </c>
      <c r="B25" s="29" t="str">
        <f t="shared" si="1"/>
        <v/>
      </c>
      <c r="C25" s="23" t="str">
        <f t="shared" si="43"/>
        <v/>
      </c>
      <c r="D25" s="163" t="str">
        <f t="shared" si="3"/>
        <v/>
      </c>
      <c r="E25" s="163" t="str">
        <f t="shared" si="46"/>
        <v/>
      </c>
      <c r="F25" s="163" t="str">
        <f t="shared" si="31"/>
        <v/>
      </c>
      <c r="G25" s="163" t="str">
        <f t="shared" si="32"/>
        <v/>
      </c>
      <c r="H25" s="163" t="str">
        <f t="shared" si="33"/>
        <v/>
      </c>
      <c r="I25" s="175" t="str">
        <f t="shared" si="34"/>
        <v/>
      </c>
      <c r="J25" s="173" t="str">
        <f t="shared" si="9"/>
        <v/>
      </c>
      <c r="K25" s="175" t="str">
        <f t="shared" si="35"/>
        <v/>
      </c>
      <c r="L25" s="177" t="str">
        <f t="shared" si="11"/>
        <v/>
      </c>
      <c r="M25" s="177" t="str">
        <f t="shared" si="12"/>
        <v/>
      </c>
      <c r="N25" s="177" t="str">
        <f t="shared" si="13"/>
        <v/>
      </c>
      <c r="O25" s="178" t="str">
        <f t="shared" si="14"/>
        <v/>
      </c>
      <c r="P25" s="200" t="str">
        <f t="shared" si="15"/>
        <v/>
      </c>
      <c r="Q25" s="83">
        <v>18</v>
      </c>
      <c r="R25" s="84"/>
      <c r="S25" s="85"/>
      <c r="T25" s="85"/>
      <c r="U25" s="86"/>
      <c r="V25" s="138" t="str">
        <f t="shared" si="29"/>
        <v/>
      </c>
      <c r="W25" s="144"/>
      <c r="X25" s="138" t="str">
        <f t="shared" si="17"/>
        <v/>
      </c>
      <c r="Y25" s="145"/>
      <c r="Z25" s="138" t="str">
        <f t="shared" si="44"/>
        <v/>
      </c>
      <c r="AA25" s="145"/>
      <c r="AB25" s="146"/>
      <c r="AC25" s="182" t="str">
        <f t="shared" si="36"/>
        <v/>
      </c>
      <c r="AD25" s="145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6"/>
      <c r="AP25" s="192" t="str">
        <f t="shared" si="30"/>
        <v/>
      </c>
      <c r="AQ25" s="171"/>
      <c r="AR25" s="182" t="str">
        <f t="shared" si="37"/>
        <v/>
      </c>
      <c r="AS25" s="171"/>
      <c r="AT25" s="182" t="str">
        <f t="shared" si="38"/>
        <v/>
      </c>
      <c r="AU25" s="171"/>
      <c r="AV25" s="148" t="str">
        <f t="shared" si="23"/>
        <v/>
      </c>
      <c r="AW25" s="143" t="str">
        <f t="shared" si="24"/>
        <v/>
      </c>
      <c r="AX25" s="194" t="str">
        <f t="shared" si="45"/>
        <v/>
      </c>
      <c r="AY25" s="195" t="str">
        <f t="shared" si="39"/>
        <v/>
      </c>
      <c r="AZ25" s="143" t="str">
        <f t="shared" si="40"/>
        <v/>
      </c>
      <c r="BA25" s="166" t="str">
        <f t="shared" si="41"/>
        <v/>
      </c>
      <c r="BB25" s="149" t="str">
        <f t="shared" si="42"/>
        <v/>
      </c>
    </row>
    <row r="26" spans="1:54" s="78" customFormat="1" ht="20.25" customHeight="1">
      <c r="A26" s="21">
        <f t="shared" si="0"/>
        <v>3</v>
      </c>
      <c r="B26" s="29" t="str">
        <f t="shared" si="1"/>
        <v/>
      </c>
      <c r="C26" s="23" t="str">
        <f t="shared" si="43"/>
        <v/>
      </c>
      <c r="D26" s="163" t="str">
        <f t="shared" si="3"/>
        <v/>
      </c>
      <c r="E26" s="163" t="str">
        <f t="shared" si="46"/>
        <v/>
      </c>
      <c r="F26" s="163" t="str">
        <f t="shared" si="31"/>
        <v/>
      </c>
      <c r="G26" s="163" t="str">
        <f t="shared" si="32"/>
        <v/>
      </c>
      <c r="H26" s="163" t="str">
        <f t="shared" si="33"/>
        <v/>
      </c>
      <c r="I26" s="175" t="str">
        <f t="shared" si="34"/>
        <v/>
      </c>
      <c r="J26" s="173" t="str">
        <f t="shared" si="9"/>
        <v/>
      </c>
      <c r="K26" s="175" t="str">
        <f t="shared" si="35"/>
        <v/>
      </c>
      <c r="L26" s="177" t="str">
        <f t="shared" si="11"/>
        <v/>
      </c>
      <c r="M26" s="177" t="str">
        <f t="shared" si="12"/>
        <v/>
      </c>
      <c r="N26" s="177" t="str">
        <f t="shared" si="13"/>
        <v/>
      </c>
      <c r="O26" s="178" t="str">
        <f t="shared" si="14"/>
        <v/>
      </c>
      <c r="P26" s="200" t="str">
        <f t="shared" si="15"/>
        <v/>
      </c>
      <c r="Q26" s="83">
        <v>19</v>
      </c>
      <c r="R26" s="84"/>
      <c r="S26" s="85"/>
      <c r="T26" s="85"/>
      <c r="U26" s="86"/>
      <c r="V26" s="138" t="str">
        <f t="shared" si="29"/>
        <v/>
      </c>
      <c r="W26" s="144"/>
      <c r="X26" s="138" t="str">
        <f t="shared" si="17"/>
        <v/>
      </c>
      <c r="Y26" s="145"/>
      <c r="Z26" s="138" t="str">
        <f t="shared" si="44"/>
        <v/>
      </c>
      <c r="AA26" s="145"/>
      <c r="AB26" s="146"/>
      <c r="AC26" s="182" t="str">
        <f t="shared" si="36"/>
        <v/>
      </c>
      <c r="AD26" s="145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  <c r="AO26" s="146"/>
      <c r="AP26" s="192" t="str">
        <f t="shared" si="30"/>
        <v/>
      </c>
      <c r="AQ26" s="171"/>
      <c r="AR26" s="182" t="str">
        <f t="shared" si="37"/>
        <v/>
      </c>
      <c r="AS26" s="171"/>
      <c r="AT26" s="182" t="str">
        <f t="shared" si="38"/>
        <v/>
      </c>
      <c r="AU26" s="171"/>
      <c r="AV26" s="148" t="str">
        <f t="shared" si="23"/>
        <v/>
      </c>
      <c r="AW26" s="143" t="str">
        <f t="shared" si="24"/>
        <v/>
      </c>
      <c r="AX26" s="194" t="str">
        <f t="shared" si="45"/>
        <v/>
      </c>
      <c r="AY26" s="195" t="str">
        <f t="shared" si="39"/>
        <v/>
      </c>
      <c r="AZ26" s="143" t="str">
        <f t="shared" si="40"/>
        <v/>
      </c>
      <c r="BA26" s="166" t="str">
        <f t="shared" si="41"/>
        <v/>
      </c>
      <c r="BB26" s="149" t="str">
        <f t="shared" si="42"/>
        <v/>
      </c>
    </row>
    <row r="27" spans="1:54" s="78" customFormat="1" ht="20.25" customHeight="1" thickBot="1">
      <c r="A27" s="111">
        <f t="shared" si="0"/>
        <v>3</v>
      </c>
      <c r="B27" s="30" t="str">
        <f t="shared" si="1"/>
        <v/>
      </c>
      <c r="C27" s="112" t="str">
        <f t="shared" si="43"/>
        <v/>
      </c>
      <c r="D27" s="184" t="str">
        <f t="shared" si="3"/>
        <v/>
      </c>
      <c r="E27" s="184" t="str">
        <f t="shared" si="46"/>
        <v/>
      </c>
      <c r="F27" s="184" t="str">
        <f t="shared" si="31"/>
        <v/>
      </c>
      <c r="G27" s="184" t="str">
        <f t="shared" si="32"/>
        <v/>
      </c>
      <c r="H27" s="184" t="str">
        <f t="shared" si="33"/>
        <v/>
      </c>
      <c r="I27" s="191" t="str">
        <f t="shared" si="34"/>
        <v/>
      </c>
      <c r="J27" s="176" t="str">
        <f t="shared" si="9"/>
        <v/>
      </c>
      <c r="K27" s="191" t="str">
        <f t="shared" si="35"/>
        <v/>
      </c>
      <c r="L27" s="181" t="str">
        <f t="shared" si="11"/>
        <v/>
      </c>
      <c r="M27" s="181" t="str">
        <f t="shared" si="12"/>
        <v/>
      </c>
      <c r="N27" s="181" t="str">
        <f t="shared" si="13"/>
        <v/>
      </c>
      <c r="O27" s="179" t="str">
        <f t="shared" si="14"/>
        <v/>
      </c>
      <c r="P27" s="201" t="str">
        <f t="shared" si="15"/>
        <v/>
      </c>
      <c r="Q27" s="87">
        <v>20</v>
      </c>
      <c r="R27" s="88"/>
      <c r="S27" s="89"/>
      <c r="T27" s="89"/>
      <c r="U27" s="90"/>
      <c r="V27" s="150" t="str">
        <f t="shared" si="29"/>
        <v/>
      </c>
      <c r="W27" s="151"/>
      <c r="X27" s="150" t="str">
        <f t="shared" si="17"/>
        <v/>
      </c>
      <c r="Y27" s="152"/>
      <c r="Z27" s="150" t="str">
        <f t="shared" si="44"/>
        <v/>
      </c>
      <c r="AA27" s="152"/>
      <c r="AB27" s="153"/>
      <c r="AC27" s="183" t="str">
        <f t="shared" si="36"/>
        <v/>
      </c>
      <c r="AD27" s="152"/>
      <c r="AE27" s="154"/>
      <c r="AF27" s="154"/>
      <c r="AG27" s="154"/>
      <c r="AH27" s="154"/>
      <c r="AI27" s="154"/>
      <c r="AJ27" s="154"/>
      <c r="AK27" s="154"/>
      <c r="AL27" s="154"/>
      <c r="AM27" s="154"/>
      <c r="AN27" s="154"/>
      <c r="AO27" s="153"/>
      <c r="AP27" s="193" t="str">
        <f t="shared" si="30"/>
        <v/>
      </c>
      <c r="AQ27" s="172"/>
      <c r="AR27" s="182" t="str">
        <f t="shared" si="37"/>
        <v/>
      </c>
      <c r="AS27" s="172"/>
      <c r="AT27" s="183" t="str">
        <f t="shared" si="38"/>
        <v/>
      </c>
      <c r="AU27" s="172"/>
      <c r="AV27" s="155" t="str">
        <f t="shared" si="23"/>
        <v/>
      </c>
      <c r="AW27" s="156" t="str">
        <f t="shared" si="24"/>
        <v/>
      </c>
      <c r="AX27" s="196" t="str">
        <f t="shared" si="45"/>
        <v/>
      </c>
      <c r="AY27" s="197" t="str">
        <f t="shared" si="39"/>
        <v/>
      </c>
      <c r="AZ27" s="156" t="str">
        <f t="shared" si="40"/>
        <v/>
      </c>
      <c r="BA27" s="162" t="str">
        <f t="shared" si="41"/>
        <v/>
      </c>
      <c r="BB27" s="157" t="str">
        <f t="shared" si="42"/>
        <v/>
      </c>
    </row>
    <row r="28" spans="1:54" ht="20.25" customHeight="1">
      <c r="G28" s="187"/>
      <c r="H28" s="187"/>
      <c r="L28" s="180"/>
      <c r="M28" s="180"/>
      <c r="N28" s="180"/>
      <c r="O28" s="180"/>
      <c r="P28" s="180"/>
      <c r="Q28" s="354" t="s">
        <v>222</v>
      </c>
      <c r="R28" s="354"/>
      <c r="S28" s="354"/>
      <c r="T28" s="354"/>
      <c r="U28" s="354"/>
      <c r="V28" s="354"/>
      <c r="W28" s="354"/>
      <c r="X28" s="354"/>
      <c r="Y28" s="354"/>
      <c r="Z28" s="354"/>
      <c r="AA28" s="354"/>
      <c r="AB28" s="354"/>
      <c r="AC28" s="354"/>
      <c r="AD28" s="354"/>
      <c r="AE28" s="354"/>
      <c r="AF28" s="203"/>
      <c r="AG28" s="105"/>
      <c r="AH28" s="105"/>
      <c r="AI28" s="105"/>
      <c r="AJ28" s="105"/>
      <c r="AK28" s="105"/>
      <c r="AL28" s="105"/>
      <c r="AM28" s="105"/>
      <c r="AN28" s="205"/>
      <c r="AO28" s="205"/>
      <c r="AP28" s="205"/>
      <c r="AQ28" s="205"/>
      <c r="AR28" s="205"/>
      <c r="AS28" s="205"/>
      <c r="AT28" s="205"/>
      <c r="AU28" s="205"/>
      <c r="AV28" s="205"/>
      <c r="AW28" s="205"/>
      <c r="AX28" s="205"/>
      <c r="AY28" s="205"/>
      <c r="AZ28" s="205"/>
      <c r="BA28" s="205"/>
      <c r="BB28" s="205"/>
    </row>
    <row r="29" spans="1:54" ht="20.25" customHeight="1">
      <c r="Q29" s="354"/>
      <c r="R29" s="354"/>
      <c r="S29" s="354"/>
      <c r="T29" s="354"/>
      <c r="U29" s="354"/>
      <c r="V29" s="354"/>
      <c r="W29" s="354"/>
      <c r="X29" s="354"/>
      <c r="Y29" s="354"/>
      <c r="Z29" s="354"/>
      <c r="AA29" s="354"/>
      <c r="AB29" s="354"/>
      <c r="AC29" s="354"/>
      <c r="AD29" s="354"/>
      <c r="AE29" s="354"/>
      <c r="AF29" s="3"/>
      <c r="AG29" s="3"/>
      <c r="AH29" s="3"/>
      <c r="AI29" s="158"/>
      <c r="AJ29" s="158"/>
      <c r="AK29" s="158"/>
      <c r="AL29" s="158"/>
      <c r="AM29" s="158"/>
      <c r="AN29" s="158"/>
      <c r="AO29" s="158"/>
      <c r="AP29" s="3"/>
      <c r="AQ29" s="3"/>
      <c r="AR29" s="3"/>
      <c r="AS29" s="3"/>
      <c r="AT29" s="3"/>
      <c r="AU29" s="3"/>
      <c r="AV29" s="158"/>
      <c r="AW29" s="158"/>
      <c r="AX29" s="158"/>
      <c r="AY29" s="158"/>
      <c r="AZ29" s="158"/>
      <c r="BA29" s="158"/>
      <c r="BB29" s="3"/>
    </row>
    <row r="30" spans="1:54" ht="20.25" customHeight="1"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</row>
  </sheetData>
  <sheetProtection sheet="1" objects="1" scenarios="1"/>
  <mergeCells count="41">
    <mergeCell ref="M2:N2"/>
    <mergeCell ref="M3:N3"/>
    <mergeCell ref="M4:N4"/>
    <mergeCell ref="O4:P4"/>
    <mergeCell ref="Q6:Q7"/>
    <mergeCell ref="E6:G6"/>
    <mergeCell ref="H6:K6"/>
    <mergeCell ref="AW3:AY3"/>
    <mergeCell ref="AW4:AY4"/>
    <mergeCell ref="X3:AU3"/>
    <mergeCell ref="O3:P3"/>
    <mergeCell ref="Q28:AE28"/>
    <mergeCell ref="AV1:BB1"/>
    <mergeCell ref="AV2:BB2"/>
    <mergeCell ref="AZ6:BA6"/>
    <mergeCell ref="AV6:AW6"/>
    <mergeCell ref="AX6:AY6"/>
    <mergeCell ref="AD6:AO6"/>
    <mergeCell ref="Z6:AB6"/>
    <mergeCell ref="AR6:AS6"/>
    <mergeCell ref="AP6:AQ6"/>
    <mergeCell ref="AT6:AU6"/>
    <mergeCell ref="S6:U6"/>
    <mergeCell ref="V6:W6"/>
    <mergeCell ref="R6:R7"/>
    <mergeCell ref="Q29:AE29"/>
    <mergeCell ref="A6:D6"/>
    <mergeCell ref="L6:O6"/>
    <mergeCell ref="C2:D2"/>
    <mergeCell ref="X1:AU2"/>
    <mergeCell ref="AD4:AI4"/>
    <mergeCell ref="AJ4:AO4"/>
    <mergeCell ref="M1:N1"/>
    <mergeCell ref="M5:N5"/>
    <mergeCell ref="O1:P1"/>
    <mergeCell ref="L2:L4"/>
    <mergeCell ref="O5:P5"/>
    <mergeCell ref="X6:Y6"/>
    <mergeCell ref="R3:S3"/>
    <mergeCell ref="T3:W3"/>
    <mergeCell ref="O2:P2"/>
  </mergeCells>
  <phoneticPr fontId="1" type="noConversion"/>
  <conditionalFormatting sqref="AQ8:AQ27">
    <cfRule type="expression" dxfId="6" priority="7">
      <formula>AND(IF($AQ8="",$AP8,$AQ8)&gt;0,NOT($AP8=""),TODAY()&lt;DATE(IF($T$4&gt;2,$R$4+1,$R$4),IF($T$4&gt;2,$T$4-2,$T$4+10),$V$4),TODAY()&gt;=DATE(IF($T$4&gt;2,$R$4+1,$R$4),IF($T$4&gt;2,$T$4-2,$T$4+10),$V$4)-10)</formula>
    </cfRule>
    <cfRule type="expression" dxfId="5" priority="8">
      <formula>AND(IF($AQ8="",$AP8,$AQ8)&gt;0,NOT($AP8=""),TODAY()&gt;=DATE(IF($T$4&gt;6,$R$4+1,$R$4),IF($T$4&gt;6,$T$4-6,$T$4+6),$V$4),TODAY()&lt;DATE(IF($T$4&gt;6,$R$4+1,$R$4),IF($T$4&gt;6,$T$4-6,$T$4+6),$V$4)+10)</formula>
    </cfRule>
  </conditionalFormatting>
  <conditionalFormatting sqref="AS8:AS27">
    <cfRule type="expression" dxfId="4" priority="5">
      <formula>AND(NOT($AR8=""),IF($AS8="",$AR8,$AS8)&gt;0,TODAY()&lt;DATE(IF($T8&gt;1,$S8+1,$S8),IF($T8&gt;1,$T8-1,$T8+11),$U8),TODAY()&gt;=DATE(IF($T8&gt;1,$S8+1,$S8),IF($T8&gt;1,$T8-1,$T8+11),$U8)-10)</formula>
    </cfRule>
    <cfRule type="expression" dxfId="3" priority="6">
      <formula>AND(NOT($AR8=""),IF($AS8="",$AR8,$AS8)&gt;0,TODAY()&gt;=DATE(IF($T8&gt;3,$S8+1,$S8),IF($T8&gt;3,$T8-3,$T8+9),$U8),TODAY()&lt;DATE(IF($T8&gt;3,$S8+1,$S8),IF($T8&gt;3,$T8-3,$T8+9),$U8)+10)</formula>
    </cfRule>
  </conditionalFormatting>
  <conditionalFormatting sqref="AU8:AU27">
    <cfRule type="expression" dxfId="2" priority="3">
      <formula>AND(NOT($AT8=""),IF($AU8="",$AT8,$AU8)&gt;0,TODAY()&lt;DATE($S8+1,$T8,$U8)-10,TODAY()&gt;=DATE($S8+1,$T8,$U8)-15)</formula>
    </cfRule>
    <cfRule type="expression" dxfId="1" priority="4">
      <formula>AND(NOT($AT8=""),IF($AU8="",$AT8,$AU8)&gt;0,TODAY()&gt;=DATE(IF($T8&gt;1,$S8+1,$S8),IF($T8&gt;1,$T8-1,$T8+11),$U8),TODAY()&lt;DATE(IF($T8&gt;1,$S8+1,$S8),IF($T8&gt;1,$T8-1,$T8+11),$U8)+5)</formula>
    </cfRule>
  </conditionalFormatting>
  <conditionalFormatting sqref="AV1:BB2">
    <cfRule type="expression" dxfId="0" priority="1">
      <formula>TODAY()&gt;=DATE(IF($T$4&gt;3,$R$4+1,$R$4),IF($T$4&gt;3,$T$4-3,$T$4+9),$V$4)</formula>
    </cfRule>
  </conditionalFormatting>
  <pageMargins left="0.25" right="0.25" top="0.75" bottom="0.75" header="0.3" footer="0.3"/>
  <pageSetup paperSize="9" scale="67" orientation="landscape" horizontalDpi="4294967292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22" r:id="rId4" name="Drop Down 26">
              <controlPr defaultSize="0" autoLine="0" autoPict="0">
                <anchor moveWithCells="1">
                  <from>
                    <xdr:col>50</xdr:col>
                    <xdr:colOff>330200</xdr:colOff>
                    <xdr:row>2</xdr:row>
                    <xdr:rowOff>63500</xdr:rowOff>
                  </from>
                  <to>
                    <xdr:col>53</xdr:col>
                    <xdr:colOff>342900</xdr:colOff>
                    <xdr:row>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5" name="Drop Down 27">
              <controlPr defaultSize="0" autoLine="0" autoPict="0">
                <anchor moveWithCells="1">
                  <from>
                    <xdr:col>50</xdr:col>
                    <xdr:colOff>330200</xdr:colOff>
                    <xdr:row>3</xdr:row>
                    <xdr:rowOff>25400</xdr:rowOff>
                  </from>
                  <to>
                    <xdr:col>53</xdr:col>
                    <xdr:colOff>342900</xdr:colOff>
                    <xdr:row>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"/>
  <sheetViews>
    <sheetView showGridLines="0" workbookViewId="0">
      <pane ySplit="7" topLeftCell="A8" activePane="bottomLeft" state="frozen"/>
      <selection activeCell="D1" sqref="D1:M2"/>
      <selection pane="bottomLeft" activeCell="A2" sqref="A2:K3"/>
    </sheetView>
  </sheetViews>
  <sheetFormatPr baseColWidth="10" defaultColWidth="9" defaultRowHeight="21.75" customHeight="1"/>
  <cols>
    <col min="1" max="1" width="3.6640625" style="1" bestFit="1" customWidth="1"/>
    <col min="2" max="2" width="9.5" style="1" customWidth="1"/>
    <col min="3" max="3" width="9.83203125" style="1" bestFit="1" customWidth="1"/>
    <col min="4" max="4" width="9.5" style="1" customWidth="1"/>
    <col min="5" max="6" width="4.6640625" style="1" customWidth="1"/>
    <col min="7" max="9" width="9.5" style="1" customWidth="1"/>
    <col min="10" max="11" width="4.6640625" style="1" customWidth="1"/>
    <col min="12" max="16384" width="9" style="1"/>
  </cols>
  <sheetData>
    <row r="1" spans="1:12" s="63" customFormat="1" ht="21.75" customHeight="1" thickBot="1">
      <c r="A1" s="412" t="s">
        <v>98</v>
      </c>
      <c r="B1" s="412"/>
      <c r="C1" s="412"/>
      <c r="D1" s="412"/>
      <c r="E1" s="412"/>
      <c r="F1" s="412"/>
      <c r="G1" s="412"/>
      <c r="H1" s="412"/>
      <c r="I1" s="412"/>
      <c r="J1" s="413"/>
      <c r="K1" s="64">
        <v>1</v>
      </c>
      <c r="L1" s="62"/>
    </row>
    <row r="2" spans="1:12" ht="21.75" customHeight="1">
      <c r="A2" s="294" t="s">
        <v>44</v>
      </c>
      <c r="B2" s="294"/>
      <c r="C2" s="294"/>
      <c r="D2" s="294"/>
      <c r="E2" s="294"/>
      <c r="F2" s="294"/>
      <c r="G2" s="294"/>
      <c r="H2" s="294"/>
      <c r="I2" s="294"/>
      <c r="J2" s="294"/>
      <c r="K2" s="294"/>
      <c r="L2" s="2"/>
    </row>
    <row r="3" spans="1:12" ht="21.75" customHeight="1">
      <c r="A3" s="294"/>
      <c r="B3" s="294"/>
      <c r="C3" s="294"/>
      <c r="D3" s="294"/>
      <c r="E3" s="294"/>
      <c r="F3" s="294"/>
      <c r="G3" s="294"/>
      <c r="H3" s="294"/>
      <c r="I3" s="294"/>
      <c r="J3" s="294"/>
      <c r="K3" s="294"/>
      <c r="L3" s="2"/>
    </row>
    <row r="4" spans="1:12" ht="21.75" customHeight="1">
      <c r="A4" s="414" t="s">
        <v>85</v>
      </c>
      <c r="B4" s="414"/>
      <c r="C4" s="414"/>
      <c r="D4" s="414"/>
      <c r="E4" s="414"/>
      <c r="F4" s="414"/>
      <c r="G4" s="414"/>
      <c r="H4" s="414"/>
      <c r="I4" s="414"/>
      <c r="J4" s="414"/>
      <c r="K4" s="414"/>
      <c r="L4" s="2"/>
    </row>
    <row r="5" spans="1:12" s="63" customFormat="1" ht="21.75" customHeight="1">
      <c r="A5" s="411" t="str">
        <f>"※ "&amp;IF(K1&lt;3,"연","월")&amp;"차수당 산정 기준일자 : "&amp;IF(K1=1,"매년 "&amp;MONTH(연차일수!B3-1)&amp;"월 "&amp;IF(AND(연차일수!M7=3,연차일수!N7=1),"말",DAY(연차일수!B3-1))&amp;"일 (월차수당은 [입사일 or 발생일]로부터 1년 뒤)",IF(K1=2,MONTH(휴가대장!A4-1)&amp;"월 "&amp;IF(AND(휴가대장!T4=3,휴가대장!V4=1),"말",DAY(휴가대장!A4-1))&amp;"일","(입사일 or 발생일)로부터 1년 뒤. 단, 노사합의시 일괄 정산 가능"))</f>
        <v>※ 연차수당 산정 기준일자 : 매년 12월 31일 (월차수당은 [입사일 or 발생일]로부터 1년 뒤)</v>
      </c>
      <c r="B5" s="411"/>
      <c r="C5" s="411"/>
      <c r="D5" s="411"/>
      <c r="E5" s="411"/>
      <c r="F5" s="411"/>
      <c r="G5" s="411"/>
      <c r="H5" s="411"/>
      <c r="I5" s="411"/>
      <c r="J5" s="411"/>
      <c r="K5" s="411"/>
      <c r="L5" s="62"/>
    </row>
    <row r="6" spans="1:12" ht="21.75" customHeight="1">
      <c r="A6" s="419" t="s">
        <v>45</v>
      </c>
      <c r="B6" s="421" t="str">
        <f>IF(K1=1,"근무년차","성   명")</f>
        <v>근무년차</v>
      </c>
      <c r="C6" s="422" t="s">
        <v>46</v>
      </c>
      <c r="D6" s="423"/>
      <c r="E6" s="424" t="s">
        <v>108</v>
      </c>
      <c r="F6" s="425"/>
      <c r="G6" s="426"/>
      <c r="H6" s="409" t="str">
        <f>IF(K1&lt;3,"연","월")&amp;"차수당 발생일수"</f>
        <v>연차수당 발생일수</v>
      </c>
      <c r="I6" s="410"/>
      <c r="J6" s="409" t="str">
        <f>IF(K1&lt;3,"연","월")&amp;"차수당"</f>
        <v>연차수당</v>
      </c>
      <c r="K6" s="410"/>
    </row>
    <row r="7" spans="1:12" ht="21.75" customHeight="1" thickBot="1">
      <c r="A7" s="420"/>
      <c r="B7" s="417"/>
      <c r="C7" s="125" t="s">
        <v>47</v>
      </c>
      <c r="D7" s="113" t="s">
        <v>48</v>
      </c>
      <c r="E7" s="415" t="s">
        <v>49</v>
      </c>
      <c r="F7" s="416"/>
      <c r="G7" s="93" t="s">
        <v>50</v>
      </c>
      <c r="H7" s="115"/>
      <c r="I7" s="114" t="s">
        <v>51</v>
      </c>
      <c r="J7" s="417" t="s">
        <v>52</v>
      </c>
      <c r="K7" s="418"/>
    </row>
    <row r="8" spans="1:12" ht="21.75" customHeight="1">
      <c r="A8" s="65">
        <v>1</v>
      </c>
      <c r="B8" s="116" t="str">
        <f>IF($K$1=1,연차일수!$D11,IF(휴가대장!$R8="","",휴가대장!$R8))</f>
        <v>1년차(월차)</v>
      </c>
      <c r="C8" s="66"/>
      <c r="D8" s="67"/>
      <c r="E8" s="393" t="str">
        <f>IF(OR(C8="",D8=""),"",C8/D8)</f>
        <v/>
      </c>
      <c r="F8" s="394"/>
      <c r="G8" s="164" t="str">
        <f>IF(E8="","",D8*8/209)</f>
        <v/>
      </c>
      <c r="H8" s="68">
        <f>IF(B8="","",IF($K$1=1,연차일수!$M11,IF($K$1=2,휴가대장!AX8,휴가대장!AY8)))</f>
        <v>7</v>
      </c>
      <c r="I8" s="132"/>
      <c r="J8" s="395" t="str">
        <f>IF(OR(E8="",G8=""),"",IF(H8="-","-",$E8*$G8*IF($I8="",$H8,$I8)))</f>
        <v/>
      </c>
      <c r="K8" s="396"/>
    </row>
    <row r="9" spans="1:12" ht="21.75" customHeight="1">
      <c r="A9" s="6">
        <v>2</v>
      </c>
      <c r="B9" s="117" t="str">
        <f>IF($K$1=1,연차일수!$D12,IF(휴가대장!$R9="","",휴가대장!$R9))</f>
        <v>2년차</v>
      </c>
      <c r="C9" s="69"/>
      <c r="D9" s="70"/>
      <c r="E9" s="393" t="str">
        <f>IF(OR(C9="",D9=""),"",C9/D9)</f>
        <v/>
      </c>
      <c r="F9" s="394"/>
      <c r="G9" s="71" t="str">
        <f>IF(E9="","",D9*8/209)</f>
        <v/>
      </c>
      <c r="H9" s="68">
        <f>IF(B9="","",IF($K$1=1,연차일수!$M12,IF($K$1=2,휴가대장!AX9,휴가대장!AY9)))</f>
        <v>10.027397260273972</v>
      </c>
      <c r="I9" s="133"/>
      <c r="J9" s="395" t="str">
        <f>IF(OR(E9="",G9=""),"",IF(H9="-","-",$E9*$G9*IF($I9="",$H9,$I9)))</f>
        <v/>
      </c>
      <c r="K9" s="396"/>
    </row>
    <row r="10" spans="1:12" ht="21.75" customHeight="1">
      <c r="A10" s="6">
        <v>3</v>
      </c>
      <c r="B10" s="117" t="str">
        <f>IF($K$1=1,연차일수!$D13,IF(휴가대장!$R10="","",휴가대장!$R10))</f>
        <v>2년차(월차)</v>
      </c>
      <c r="C10" s="69"/>
      <c r="D10" s="70"/>
      <c r="E10" s="393" t="str">
        <f t="shared" ref="E10:E27" si="0">IF(OR(C10="",D10=""),"",C10/D10)</f>
        <v/>
      </c>
      <c r="F10" s="394"/>
      <c r="G10" s="71" t="str">
        <f t="shared" ref="G10:G27" si="1">IF(E10="","",D10*8/209)</f>
        <v/>
      </c>
      <c r="H10" s="68">
        <f>IF(B10="","",IF($K$1=1,연차일수!$M13,IF($K$1=2,휴가대장!AX10,휴가대장!AY10)))</f>
        <v>4</v>
      </c>
      <c r="I10" s="133"/>
      <c r="J10" s="395" t="str">
        <f t="shared" ref="J10:J27" si="2">IF(OR(E10="",G10=""),"",IF(H10="-","-",$E10*$G10*IF($I10="",$H10,$I10)))</f>
        <v/>
      </c>
      <c r="K10" s="396"/>
    </row>
    <row r="11" spans="1:12" ht="21.75" customHeight="1">
      <c r="A11" s="6">
        <v>4</v>
      </c>
      <c r="B11" s="117" t="str">
        <f>IF($K$1=1,연차일수!$D14,IF(휴가대장!$R11="","",휴가대장!$R11))</f>
        <v>3년차</v>
      </c>
      <c r="C11" s="69"/>
      <c r="D11" s="70"/>
      <c r="E11" s="393" t="str">
        <f t="shared" si="0"/>
        <v/>
      </c>
      <c r="F11" s="394"/>
      <c r="G11" s="71" t="str">
        <f t="shared" si="1"/>
        <v/>
      </c>
      <c r="H11" s="68">
        <f>IF(B11="","",IF($K$1=1,연차일수!$M14,IF($K$1=2,휴가대장!AX11,휴가대장!AY11)))</f>
        <v>15</v>
      </c>
      <c r="I11" s="133"/>
      <c r="J11" s="395" t="str">
        <f t="shared" si="2"/>
        <v/>
      </c>
      <c r="K11" s="396"/>
    </row>
    <row r="12" spans="1:12" ht="21.75" customHeight="1">
      <c r="A12" s="6">
        <v>5</v>
      </c>
      <c r="B12" s="117" t="str">
        <f>IF($K$1=1,연차일수!$D15,IF(휴가대장!$R12="","",휴가대장!$R12))</f>
        <v>4년차</v>
      </c>
      <c r="C12" s="69"/>
      <c r="D12" s="70"/>
      <c r="E12" s="393" t="str">
        <f t="shared" si="0"/>
        <v/>
      </c>
      <c r="F12" s="394"/>
      <c r="G12" s="71" t="str">
        <f t="shared" si="1"/>
        <v/>
      </c>
      <c r="H12" s="68">
        <f>IF(B12="","",IF($K$1=1,연차일수!$M15,IF($K$1=2,휴가대장!AX12,휴가대장!AY12)))</f>
        <v>15</v>
      </c>
      <c r="I12" s="133"/>
      <c r="J12" s="395" t="str">
        <f t="shared" si="2"/>
        <v/>
      </c>
      <c r="K12" s="396"/>
    </row>
    <row r="13" spans="1:12" ht="21.75" customHeight="1">
      <c r="A13" s="6">
        <v>6</v>
      </c>
      <c r="B13" s="117" t="str">
        <f>IF($K$1=1,연차일수!$D16,IF(휴가대장!$R13="","",휴가대장!$R13))</f>
        <v>5년차</v>
      </c>
      <c r="C13" s="69"/>
      <c r="D13" s="70"/>
      <c r="E13" s="393" t="str">
        <f t="shared" si="0"/>
        <v/>
      </c>
      <c r="F13" s="394"/>
      <c r="G13" s="71" t="str">
        <f t="shared" si="1"/>
        <v/>
      </c>
      <c r="H13" s="68">
        <f>IF(B13="","",IF($K$1=1,연차일수!$M16,IF($K$1=2,휴가대장!AX13,휴가대장!AY13)))</f>
        <v>16</v>
      </c>
      <c r="I13" s="133"/>
      <c r="J13" s="395" t="str">
        <f t="shared" si="2"/>
        <v/>
      </c>
      <c r="K13" s="396"/>
    </row>
    <row r="14" spans="1:12" ht="21.75" customHeight="1">
      <c r="A14" s="6">
        <v>7</v>
      </c>
      <c r="B14" s="117" t="str">
        <f>IF($K$1=1,연차일수!$D17,IF(휴가대장!$R14="","",휴가대장!$R14))</f>
        <v>6년차</v>
      </c>
      <c r="C14" s="69"/>
      <c r="D14" s="70"/>
      <c r="E14" s="393" t="str">
        <f t="shared" si="0"/>
        <v/>
      </c>
      <c r="F14" s="394"/>
      <c r="G14" s="71" t="str">
        <f t="shared" si="1"/>
        <v/>
      </c>
      <c r="H14" s="68">
        <f>IF(B14="","",IF($K$1=1,연차일수!$M17,IF($K$1=2,휴가대장!AX14,휴가대장!AY14)))</f>
        <v>16</v>
      </c>
      <c r="I14" s="133"/>
      <c r="J14" s="395" t="str">
        <f t="shared" si="2"/>
        <v/>
      </c>
      <c r="K14" s="396"/>
    </row>
    <row r="15" spans="1:12" ht="21.75" customHeight="1">
      <c r="A15" s="6">
        <v>8</v>
      </c>
      <c r="B15" s="117" t="str">
        <f>IF($K$1=1,연차일수!$D18,IF(휴가대장!$R15="","",휴가대장!$R15))</f>
        <v>7년차</v>
      </c>
      <c r="C15" s="69"/>
      <c r="D15" s="70"/>
      <c r="E15" s="393" t="str">
        <f t="shared" si="0"/>
        <v/>
      </c>
      <c r="F15" s="394"/>
      <c r="G15" s="71" t="str">
        <f t="shared" si="1"/>
        <v/>
      </c>
      <c r="H15" s="68">
        <f>IF(B15="","",IF($K$1=1,연차일수!$M18,IF($K$1=2,휴가대장!AX15,휴가대장!AY15)))</f>
        <v>17</v>
      </c>
      <c r="I15" s="133"/>
      <c r="J15" s="395" t="str">
        <f t="shared" si="2"/>
        <v/>
      </c>
      <c r="K15" s="396"/>
    </row>
    <row r="16" spans="1:12" ht="21.75" customHeight="1">
      <c r="A16" s="6">
        <v>9</v>
      </c>
      <c r="B16" s="117" t="str">
        <f>IF($K$1=1,연차일수!$D19,IF(휴가대장!$R16="","",휴가대장!$R16))</f>
        <v>8년차</v>
      </c>
      <c r="C16" s="69"/>
      <c r="D16" s="70"/>
      <c r="E16" s="393" t="str">
        <f t="shared" si="0"/>
        <v/>
      </c>
      <c r="F16" s="394"/>
      <c r="G16" s="71" t="str">
        <f t="shared" si="1"/>
        <v/>
      </c>
      <c r="H16" s="68">
        <f>IF(B16="","",IF($K$1=1,연차일수!$M19,IF($K$1=2,휴가대장!AX16,휴가대장!AY16)))</f>
        <v>17</v>
      </c>
      <c r="I16" s="133"/>
      <c r="J16" s="395" t="str">
        <f t="shared" si="2"/>
        <v/>
      </c>
      <c r="K16" s="396"/>
    </row>
    <row r="17" spans="1:11" ht="21.75" customHeight="1">
      <c r="A17" s="6">
        <v>10</v>
      </c>
      <c r="B17" s="117" t="str">
        <f>IF($K$1=1,연차일수!$D20,IF(휴가대장!$R17="","",휴가대장!$R17))</f>
        <v>9년차</v>
      </c>
      <c r="C17" s="69"/>
      <c r="D17" s="70"/>
      <c r="E17" s="393" t="str">
        <f t="shared" si="0"/>
        <v/>
      </c>
      <c r="F17" s="394"/>
      <c r="G17" s="71" t="str">
        <f t="shared" si="1"/>
        <v/>
      </c>
      <c r="H17" s="68">
        <f>IF(B17="","",IF($K$1=1,연차일수!$M20,IF($K$1=2,휴가대장!AX17,휴가대장!AY17)))</f>
        <v>18</v>
      </c>
      <c r="I17" s="133"/>
      <c r="J17" s="395" t="str">
        <f t="shared" si="2"/>
        <v/>
      </c>
      <c r="K17" s="396"/>
    </row>
    <row r="18" spans="1:11" ht="21.75" customHeight="1">
      <c r="A18" s="6">
        <v>11</v>
      </c>
      <c r="B18" s="117" t="str">
        <f>IF($K$1=1,연차일수!$D21,IF(휴가대장!$R18="","",휴가대장!$R18))</f>
        <v>10년차</v>
      </c>
      <c r="C18" s="69"/>
      <c r="D18" s="70"/>
      <c r="E18" s="393" t="str">
        <f t="shared" si="0"/>
        <v/>
      </c>
      <c r="F18" s="394"/>
      <c r="G18" s="71" t="str">
        <f t="shared" si="1"/>
        <v/>
      </c>
      <c r="H18" s="68">
        <f>IF(B18="","",IF($K$1=1,연차일수!$M21,IF($K$1=2,휴가대장!AX18,휴가대장!AY18)))</f>
        <v>18</v>
      </c>
      <c r="I18" s="133"/>
      <c r="J18" s="395" t="str">
        <f t="shared" si="2"/>
        <v/>
      </c>
      <c r="K18" s="396"/>
    </row>
    <row r="19" spans="1:11" ht="21.75" customHeight="1">
      <c r="A19" s="6">
        <v>12</v>
      </c>
      <c r="B19" s="117" t="str">
        <f>IF($K$1=1,연차일수!$D22,IF(휴가대장!$R19="","",휴가대장!$R19))</f>
        <v>11년차</v>
      </c>
      <c r="C19" s="69"/>
      <c r="D19" s="70"/>
      <c r="E19" s="393" t="str">
        <f t="shared" si="0"/>
        <v/>
      </c>
      <c r="F19" s="394"/>
      <c r="G19" s="71" t="str">
        <f t="shared" si="1"/>
        <v/>
      </c>
      <c r="H19" s="68">
        <f>IF(B19="","",IF($K$1=1,연차일수!$M22,IF($K$1=2,휴가대장!AX19,휴가대장!AY19)))</f>
        <v>19</v>
      </c>
      <c r="I19" s="133"/>
      <c r="J19" s="395" t="str">
        <f t="shared" si="2"/>
        <v/>
      </c>
      <c r="K19" s="396"/>
    </row>
    <row r="20" spans="1:11" ht="21.75" customHeight="1">
      <c r="A20" s="6">
        <v>13</v>
      </c>
      <c r="B20" s="117" t="str">
        <f>IF($K$1=1,연차일수!$D23,IF(휴가대장!$R20="","",휴가대장!$R20))</f>
        <v>12년차</v>
      </c>
      <c r="C20" s="69"/>
      <c r="D20" s="70"/>
      <c r="E20" s="393" t="str">
        <f t="shared" si="0"/>
        <v/>
      </c>
      <c r="F20" s="394"/>
      <c r="G20" s="71" t="str">
        <f t="shared" si="1"/>
        <v/>
      </c>
      <c r="H20" s="68">
        <f>IF(B20="","",IF($K$1=1,연차일수!$M23,IF($K$1=2,휴가대장!AX20,휴가대장!AY20)))</f>
        <v>19</v>
      </c>
      <c r="I20" s="133"/>
      <c r="J20" s="395" t="str">
        <f t="shared" si="2"/>
        <v/>
      </c>
      <c r="K20" s="396"/>
    </row>
    <row r="21" spans="1:11" ht="21.75" customHeight="1">
      <c r="A21" s="6">
        <v>14</v>
      </c>
      <c r="B21" s="117" t="str">
        <f>IF($K$1=1,연차일수!$D24,IF(휴가대장!$R21="","",휴가대장!$R21))</f>
        <v>13년차</v>
      </c>
      <c r="C21" s="69"/>
      <c r="D21" s="70"/>
      <c r="E21" s="393" t="str">
        <f t="shared" si="0"/>
        <v/>
      </c>
      <c r="F21" s="394"/>
      <c r="G21" s="71" t="str">
        <f t="shared" si="1"/>
        <v/>
      </c>
      <c r="H21" s="68">
        <f>IF(B21="","",IF($K$1=1,연차일수!$M24,IF($K$1=2,휴가대장!AX21,휴가대장!AY21)))</f>
        <v>20</v>
      </c>
      <c r="I21" s="133"/>
      <c r="J21" s="395" t="str">
        <f t="shared" si="2"/>
        <v/>
      </c>
      <c r="K21" s="396"/>
    </row>
    <row r="22" spans="1:11" ht="21.75" customHeight="1">
      <c r="A22" s="6">
        <v>15</v>
      </c>
      <c r="B22" s="117" t="str">
        <f>IF($K$1=1,연차일수!$D25,IF(휴가대장!$R22="","",휴가대장!$R22))</f>
        <v>14년차</v>
      </c>
      <c r="C22" s="69"/>
      <c r="D22" s="70"/>
      <c r="E22" s="393" t="str">
        <f t="shared" si="0"/>
        <v/>
      </c>
      <c r="F22" s="394"/>
      <c r="G22" s="71" t="str">
        <f t="shared" si="1"/>
        <v/>
      </c>
      <c r="H22" s="68">
        <f>IF(B22="","",IF($K$1=1,연차일수!$M25,IF($K$1=2,휴가대장!AX22,휴가대장!AY22)))</f>
        <v>20</v>
      </c>
      <c r="I22" s="133"/>
      <c r="J22" s="395" t="str">
        <f t="shared" si="2"/>
        <v/>
      </c>
      <c r="K22" s="396"/>
    </row>
    <row r="23" spans="1:11" ht="21.75" customHeight="1">
      <c r="A23" s="6">
        <v>16</v>
      </c>
      <c r="B23" s="117" t="str">
        <f>IF($K$1=1,연차일수!$D26,IF(휴가대장!$R23="","",휴가대장!$R23))</f>
        <v>15년차</v>
      </c>
      <c r="C23" s="69"/>
      <c r="D23" s="70"/>
      <c r="E23" s="393" t="str">
        <f t="shared" si="0"/>
        <v/>
      </c>
      <c r="F23" s="394"/>
      <c r="G23" s="71" t="str">
        <f t="shared" si="1"/>
        <v/>
      </c>
      <c r="H23" s="68">
        <f>IF(B23="","",IF($K$1=1,연차일수!$M26,IF($K$1=2,휴가대장!AX23,휴가대장!AY23)))</f>
        <v>21</v>
      </c>
      <c r="I23" s="133"/>
      <c r="J23" s="395" t="str">
        <f t="shared" si="2"/>
        <v/>
      </c>
      <c r="K23" s="396"/>
    </row>
    <row r="24" spans="1:11" ht="21.75" customHeight="1">
      <c r="A24" s="6">
        <v>17</v>
      </c>
      <c r="B24" s="117" t="str">
        <f>IF($K$1=1,연차일수!$D27,IF(휴가대장!$R24="","",휴가대장!$R24))</f>
        <v>16년차</v>
      </c>
      <c r="C24" s="69"/>
      <c r="D24" s="70"/>
      <c r="E24" s="393" t="str">
        <f t="shared" si="0"/>
        <v/>
      </c>
      <c r="F24" s="394"/>
      <c r="G24" s="71" t="str">
        <f t="shared" si="1"/>
        <v/>
      </c>
      <c r="H24" s="68">
        <f>IF(B24="","",IF($K$1=1,연차일수!$M27,IF($K$1=2,휴가대장!AX24,휴가대장!AY24)))</f>
        <v>21</v>
      </c>
      <c r="I24" s="133"/>
      <c r="J24" s="395" t="str">
        <f t="shared" si="2"/>
        <v/>
      </c>
      <c r="K24" s="396"/>
    </row>
    <row r="25" spans="1:11" ht="21.75" customHeight="1">
      <c r="A25" s="6">
        <v>18</v>
      </c>
      <c r="B25" s="117" t="str">
        <f>IF($K$1=1,연차일수!$D28,IF(휴가대장!$R25="","",휴가대장!$R25))</f>
        <v>17년차</v>
      </c>
      <c r="C25" s="69"/>
      <c r="D25" s="70"/>
      <c r="E25" s="393" t="str">
        <f t="shared" si="0"/>
        <v/>
      </c>
      <c r="F25" s="394"/>
      <c r="G25" s="71" t="str">
        <f t="shared" si="1"/>
        <v/>
      </c>
      <c r="H25" s="68">
        <f>IF(B25="","",IF($K$1=1,연차일수!$M28,IF($K$1=2,휴가대장!AX25,휴가대장!AY25)))</f>
        <v>22</v>
      </c>
      <c r="I25" s="133"/>
      <c r="J25" s="395" t="str">
        <f t="shared" si="2"/>
        <v/>
      </c>
      <c r="K25" s="396"/>
    </row>
    <row r="26" spans="1:11" ht="21.75" customHeight="1">
      <c r="A26" s="6">
        <v>19</v>
      </c>
      <c r="B26" s="117" t="str">
        <f>IF($K$1=1,연차일수!$D29,IF(휴가대장!$R26="","",휴가대장!$R26))</f>
        <v>18년차</v>
      </c>
      <c r="C26" s="69"/>
      <c r="D26" s="70"/>
      <c r="E26" s="393" t="str">
        <f t="shared" si="0"/>
        <v/>
      </c>
      <c r="F26" s="394"/>
      <c r="G26" s="71" t="str">
        <f t="shared" si="1"/>
        <v/>
      </c>
      <c r="H26" s="68">
        <f>IF(B26="","",IF($K$1=1,연차일수!$M29,IF($K$1=2,휴가대장!AX26,휴가대장!AY26)))</f>
        <v>22</v>
      </c>
      <c r="I26" s="133"/>
      <c r="J26" s="395" t="str">
        <f t="shared" si="2"/>
        <v/>
      </c>
      <c r="K26" s="396"/>
    </row>
    <row r="27" spans="1:11" ht="21.75" customHeight="1" thickBot="1">
      <c r="A27" s="72">
        <v>20</v>
      </c>
      <c r="B27" s="118" t="str">
        <f>IF($K$1=1,연차일수!$D30,IF(휴가대장!$R27="","",휴가대장!$R27))</f>
        <v>19년차</v>
      </c>
      <c r="C27" s="73"/>
      <c r="D27" s="74"/>
      <c r="E27" s="398" t="str">
        <f t="shared" si="0"/>
        <v/>
      </c>
      <c r="F27" s="399"/>
      <c r="G27" s="75" t="str">
        <f t="shared" si="1"/>
        <v/>
      </c>
      <c r="H27" s="76">
        <f>IF(B27="","",IF($K$1=1,연차일수!$M30,IF($K$1=2,휴가대장!AX27,휴가대장!AY27)))</f>
        <v>23</v>
      </c>
      <c r="I27" s="134"/>
      <c r="J27" s="400" t="str">
        <f t="shared" si="2"/>
        <v/>
      </c>
      <c r="K27" s="401"/>
    </row>
    <row r="28" spans="1:11" ht="21.75" customHeight="1">
      <c r="A28" s="291" t="s">
        <v>53</v>
      </c>
      <c r="B28" s="291"/>
      <c r="C28" s="291"/>
      <c r="D28" s="291"/>
      <c r="E28" s="291"/>
      <c r="F28" s="291"/>
      <c r="G28" s="291"/>
      <c r="H28" s="291"/>
      <c r="I28" s="291"/>
      <c r="J28" s="402" t="str">
        <f>IF(SUM(J8:K27)&gt;0,SUM(J8:K27),"")</f>
        <v/>
      </c>
      <c r="K28" s="403"/>
    </row>
    <row r="29" spans="1:11" ht="21.75" customHeight="1" thickBot="1">
      <c r="A29" s="404" t="s">
        <v>88</v>
      </c>
      <c r="B29" s="404"/>
      <c r="C29" s="404"/>
      <c r="D29" s="404"/>
      <c r="E29" s="404"/>
      <c r="F29" s="404"/>
      <c r="G29" s="404"/>
      <c r="H29" s="404"/>
      <c r="I29" s="404"/>
      <c r="J29" s="404"/>
      <c r="K29" s="404"/>
    </row>
    <row r="30" spans="1:11" ht="21.75" customHeight="1" thickBot="1">
      <c r="A30" s="405" t="s">
        <v>109</v>
      </c>
      <c r="B30" s="405"/>
      <c r="C30" s="405"/>
      <c r="D30" s="405"/>
      <c r="E30" s="405"/>
      <c r="F30" s="405"/>
      <c r="G30" s="405"/>
      <c r="H30" s="405"/>
      <c r="I30" s="406"/>
      <c r="J30" s="407" t="s">
        <v>54</v>
      </c>
      <c r="K30" s="408"/>
    </row>
    <row r="31" spans="1:11" ht="21.75" customHeight="1">
      <c r="A31" s="397" t="s">
        <v>87</v>
      </c>
      <c r="B31" s="397"/>
      <c r="C31" s="397"/>
      <c r="D31" s="397"/>
      <c r="E31" s="397"/>
      <c r="F31" s="397"/>
      <c r="G31" s="397"/>
      <c r="H31" s="397"/>
      <c r="I31" s="397"/>
      <c r="J31" s="397"/>
      <c r="K31" s="397"/>
    </row>
    <row r="32" spans="1:11" ht="21.75" customHeight="1">
      <c r="A32" s="124"/>
      <c r="B32" s="124"/>
      <c r="C32" s="124"/>
      <c r="D32" s="124"/>
      <c r="E32" s="124"/>
      <c r="F32" s="124"/>
      <c r="G32" s="124"/>
      <c r="H32" s="124"/>
      <c r="I32" s="124"/>
      <c r="J32" s="124"/>
      <c r="K32" s="124"/>
    </row>
    <row r="33" spans="1:11" ht="21.75" customHeight="1">
      <c r="A33" s="124"/>
      <c r="B33" s="124"/>
      <c r="C33" s="124"/>
      <c r="D33" s="124"/>
      <c r="E33" s="124"/>
      <c r="F33" s="124"/>
      <c r="G33" s="124"/>
      <c r="H33" s="124"/>
      <c r="I33" s="124"/>
      <c r="J33" s="124"/>
      <c r="K33" s="124"/>
    </row>
  </sheetData>
  <sheetProtection sheet="1" objects="1" scenarios="1"/>
  <mergeCells count="58">
    <mergeCell ref="A5:K5"/>
    <mergeCell ref="A1:J1"/>
    <mergeCell ref="E8:F8"/>
    <mergeCell ref="J8:K8"/>
    <mergeCell ref="E9:F9"/>
    <mergeCell ref="J9:K9"/>
    <mergeCell ref="A4:K4"/>
    <mergeCell ref="J6:K6"/>
    <mergeCell ref="E7:F7"/>
    <mergeCell ref="J7:K7"/>
    <mergeCell ref="A2:K3"/>
    <mergeCell ref="A6:A7"/>
    <mergeCell ref="B6:B7"/>
    <mergeCell ref="C6:D6"/>
    <mergeCell ref="E6:G6"/>
    <mergeCell ref="E10:F10"/>
    <mergeCell ref="J10:K10"/>
    <mergeCell ref="E11:F11"/>
    <mergeCell ref="J11:K11"/>
    <mergeCell ref="H6:I6"/>
    <mergeCell ref="E12:F12"/>
    <mergeCell ref="J12:K12"/>
    <mergeCell ref="E13:F13"/>
    <mergeCell ref="J13:K13"/>
    <mergeCell ref="E14:F14"/>
    <mergeCell ref="J14:K14"/>
    <mergeCell ref="E15:F15"/>
    <mergeCell ref="J15:K15"/>
    <mergeCell ref="E16:F16"/>
    <mergeCell ref="J16:K16"/>
    <mergeCell ref="J22:K22"/>
    <mergeCell ref="E17:F17"/>
    <mergeCell ref="J17:K17"/>
    <mergeCell ref="E18:F18"/>
    <mergeCell ref="J18:K18"/>
    <mergeCell ref="E19:F19"/>
    <mergeCell ref="J19:K19"/>
    <mergeCell ref="E20:F20"/>
    <mergeCell ref="J20:K20"/>
    <mergeCell ref="E21:F21"/>
    <mergeCell ref="J21:K21"/>
    <mergeCell ref="E22:F22"/>
    <mergeCell ref="A31:K31"/>
    <mergeCell ref="E26:F26"/>
    <mergeCell ref="J26:K26"/>
    <mergeCell ref="E27:F27"/>
    <mergeCell ref="J27:K27"/>
    <mergeCell ref="A28:I28"/>
    <mergeCell ref="J28:K28"/>
    <mergeCell ref="A29:K29"/>
    <mergeCell ref="A30:I30"/>
    <mergeCell ref="J30:K30"/>
    <mergeCell ref="E23:F23"/>
    <mergeCell ref="J23:K23"/>
    <mergeCell ref="E24:F24"/>
    <mergeCell ref="J24:K24"/>
    <mergeCell ref="E25:F25"/>
    <mergeCell ref="J25:K25"/>
  </mergeCells>
  <phoneticPr fontId="1" type="noConversion"/>
  <hyperlinks>
    <hyperlink ref="J30" r:id="rId1" xr:uid="{00000000-0004-0000-0300-000000000000}"/>
    <hyperlink ref="J30:K30" r:id="rId2" display="급여계산기" xr:uid="{00000000-0004-0000-0300-000001000000}"/>
  </hyperlinks>
  <pageMargins left="0.7" right="0.7" top="0.75" bottom="0.75" header="0.3" footer="0.3"/>
  <pageSetup paperSize="9" orientation="portrait" horizontalDpi="4294967292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showGridLines="0" zoomScale="130" zoomScaleNormal="130" workbookViewId="0">
      <selection activeCell="E3" sqref="E3"/>
    </sheetView>
  </sheetViews>
  <sheetFormatPr baseColWidth="10" defaultColWidth="9" defaultRowHeight="18"/>
  <cols>
    <col min="1" max="1" width="5.6640625" style="243" customWidth="1"/>
    <col min="2" max="2" width="4.33203125" style="243" customWidth="1"/>
    <col min="3" max="3" width="12.5" style="243" customWidth="1"/>
    <col min="4" max="4" width="20.6640625" style="243" bestFit="1" customWidth="1"/>
    <col min="5" max="6" width="20.6640625" style="243" customWidth="1"/>
    <col min="7" max="16384" width="9" style="243"/>
  </cols>
  <sheetData>
    <row r="1" spans="1:6" ht="30">
      <c r="A1" s="430" t="s">
        <v>175</v>
      </c>
      <c r="B1" s="431"/>
      <c r="C1" s="431"/>
      <c r="D1" s="431"/>
      <c r="E1" s="431"/>
      <c r="F1" s="431"/>
    </row>
    <row r="2" spans="1:6" ht="33" customHeight="1">
      <c r="A2" s="438" t="s">
        <v>176</v>
      </c>
      <c r="B2" s="438"/>
      <c r="C2" s="439"/>
      <c r="D2" s="244" t="s">
        <v>177</v>
      </c>
      <c r="E2" s="244" t="s">
        <v>178</v>
      </c>
      <c r="F2" s="245" t="s">
        <v>179</v>
      </c>
    </row>
    <row r="3" spans="1:6" ht="36">
      <c r="A3" s="434" t="s">
        <v>180</v>
      </c>
      <c r="B3" s="436" t="s">
        <v>203</v>
      </c>
      <c r="C3" s="432"/>
      <c r="D3" s="248" t="s">
        <v>181</v>
      </c>
      <c r="E3" s="248" t="s">
        <v>182</v>
      </c>
      <c r="F3" s="249" t="s">
        <v>183</v>
      </c>
    </row>
    <row r="4" spans="1:6" ht="36">
      <c r="A4" s="440"/>
      <c r="B4" s="437" t="s">
        <v>204</v>
      </c>
      <c r="C4" s="432"/>
      <c r="D4" s="250" t="s">
        <v>184</v>
      </c>
      <c r="E4" s="251" t="s">
        <v>183</v>
      </c>
      <c r="F4" s="252" t="s">
        <v>183</v>
      </c>
    </row>
    <row r="5" spans="1:6" ht="22.5" customHeight="1">
      <c r="A5" s="440"/>
      <c r="B5" s="441"/>
      <c r="C5" s="246" t="s">
        <v>205</v>
      </c>
      <c r="D5" s="251" t="s">
        <v>185</v>
      </c>
      <c r="E5" s="251" t="s">
        <v>183</v>
      </c>
      <c r="F5" s="252" t="s">
        <v>183</v>
      </c>
    </row>
    <row r="6" spans="1:6" ht="22.5" customHeight="1">
      <c r="A6" s="440"/>
      <c r="B6" s="441"/>
      <c r="C6" s="246" t="s">
        <v>206</v>
      </c>
      <c r="D6" s="251" t="s">
        <v>186</v>
      </c>
      <c r="E6" s="251" t="s">
        <v>183</v>
      </c>
      <c r="F6" s="252" t="s">
        <v>183</v>
      </c>
    </row>
    <row r="7" spans="1:6" ht="22.5" customHeight="1">
      <c r="A7" s="435"/>
      <c r="B7" s="442"/>
      <c r="C7" s="246" t="s">
        <v>208</v>
      </c>
      <c r="D7" s="250" t="s">
        <v>207</v>
      </c>
      <c r="E7" s="251"/>
      <c r="F7" s="252"/>
    </row>
    <row r="8" spans="1:6" ht="22.5" customHeight="1">
      <c r="A8" s="432" t="s">
        <v>197</v>
      </c>
      <c r="B8" s="427" t="s">
        <v>187</v>
      </c>
      <c r="C8" s="428"/>
      <c r="D8" s="251" t="s">
        <v>188</v>
      </c>
      <c r="E8" s="251" t="s">
        <v>183</v>
      </c>
      <c r="F8" s="252" t="s">
        <v>189</v>
      </c>
    </row>
    <row r="9" spans="1:6" ht="22.5" customHeight="1">
      <c r="A9" s="428"/>
      <c r="B9" s="427" t="s">
        <v>190</v>
      </c>
      <c r="C9" s="428"/>
      <c r="D9" s="251" t="s">
        <v>191</v>
      </c>
      <c r="E9" s="251" t="s">
        <v>183</v>
      </c>
      <c r="F9" s="252" t="s">
        <v>192</v>
      </c>
    </row>
    <row r="10" spans="1:6" ht="22.5" customHeight="1">
      <c r="A10" s="428"/>
      <c r="B10" s="427" t="s">
        <v>193</v>
      </c>
      <c r="C10" s="428"/>
      <c r="D10" s="251" t="s">
        <v>188</v>
      </c>
      <c r="E10" s="251" t="s">
        <v>183</v>
      </c>
      <c r="F10" s="252" t="s">
        <v>183</v>
      </c>
    </row>
    <row r="11" spans="1:6" ht="22.5" customHeight="1">
      <c r="A11" s="428"/>
      <c r="B11" s="427" t="s">
        <v>194</v>
      </c>
      <c r="C11" s="428"/>
      <c r="D11" s="251" t="s">
        <v>192</v>
      </c>
      <c r="E11" s="251" t="s">
        <v>183</v>
      </c>
      <c r="F11" s="252" t="s">
        <v>183</v>
      </c>
    </row>
    <row r="12" spans="1:6" ht="22.5" customHeight="1">
      <c r="A12" s="434" t="s">
        <v>201</v>
      </c>
      <c r="B12" s="427" t="s">
        <v>202</v>
      </c>
      <c r="C12" s="428"/>
      <c r="D12" s="251" t="s">
        <v>200</v>
      </c>
      <c r="E12" s="251" t="s">
        <v>183</v>
      </c>
      <c r="F12" s="252" t="s">
        <v>183</v>
      </c>
    </row>
    <row r="13" spans="1:6" ht="22.5" customHeight="1">
      <c r="A13" s="435"/>
      <c r="B13" s="427" t="s">
        <v>198</v>
      </c>
      <c r="C13" s="428"/>
      <c r="D13" s="251" t="s">
        <v>199</v>
      </c>
      <c r="E13" s="251" t="s">
        <v>183</v>
      </c>
      <c r="F13" s="252" t="s">
        <v>183</v>
      </c>
    </row>
    <row r="14" spans="1:6">
      <c r="A14" s="433" t="s">
        <v>195</v>
      </c>
      <c r="B14" s="404"/>
      <c r="C14" s="404"/>
      <c r="D14" s="404"/>
      <c r="E14" s="404"/>
      <c r="F14" s="404"/>
    </row>
    <row r="15" spans="1:6">
      <c r="A15" s="429" t="s">
        <v>196</v>
      </c>
      <c r="B15" s="429"/>
      <c r="C15" s="429"/>
      <c r="D15" s="429"/>
      <c r="E15" s="429"/>
      <c r="F15" s="429"/>
    </row>
  </sheetData>
  <sheetProtection sheet="1" objects="1" scenarios="1"/>
  <mergeCells count="16">
    <mergeCell ref="B12:C12"/>
    <mergeCell ref="B13:C13"/>
    <mergeCell ref="A15:F15"/>
    <mergeCell ref="A1:F1"/>
    <mergeCell ref="A8:A11"/>
    <mergeCell ref="A14:F14"/>
    <mergeCell ref="A12:A13"/>
    <mergeCell ref="B3:C3"/>
    <mergeCell ref="B4:C4"/>
    <mergeCell ref="A2:C2"/>
    <mergeCell ref="A3:A7"/>
    <mergeCell ref="B5:B7"/>
    <mergeCell ref="B8:C8"/>
    <mergeCell ref="B9:C9"/>
    <mergeCell ref="B10:C10"/>
    <mergeCell ref="B11:C11"/>
  </mergeCells>
  <phoneticPr fontId="1" type="noConversion"/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연차일수</vt:lpstr>
      <vt:lpstr>퇴직정산</vt:lpstr>
      <vt:lpstr>휴가대장</vt:lpstr>
      <vt:lpstr>연차수당</vt:lpstr>
      <vt:lpstr>개정이력</vt:lpstr>
      <vt:lpstr>연차수당!Print_Area</vt:lpstr>
      <vt:lpstr>연차일수!Print_Area</vt:lpstr>
      <vt:lpstr>퇴직정산!Print_Area</vt:lpstr>
      <vt:lpstr>휴가대장!Print_Area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XP</dc:creator>
  <cp:lastModifiedBy>김 현기</cp:lastModifiedBy>
  <cp:lastPrinted>2020-09-20T09:17:22Z</cp:lastPrinted>
  <dcterms:created xsi:type="dcterms:W3CDTF">2013-08-02T07:48:18Z</dcterms:created>
  <dcterms:modified xsi:type="dcterms:W3CDTF">2025-01-13T03:26:28Z</dcterms:modified>
</cp:coreProperties>
</file>