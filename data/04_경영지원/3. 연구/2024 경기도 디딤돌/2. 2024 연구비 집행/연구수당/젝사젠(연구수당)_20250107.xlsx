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ght\OneDrive\바탕 화면\젝사젠 주식회사\3. 연구\2024 경기도 디딤돌\2. 연구비 집행\연구수당\"/>
    </mc:Choice>
  </mc:AlternateContent>
  <xr:revisionPtr revIDLastSave="0" documentId="13_ncr:1_{7B8F839F-DA53-4C30-A8E7-86CBDB944C2A}" xr6:coauthVersionLast="47" xr6:coauthVersionMax="47" xr10:uidLastSave="{00000000-0000-0000-0000-000000000000}"/>
  <bookViews>
    <workbookView xWindow="-28920" yWindow="-120" windowWidth="29040" windowHeight="15720" xr2:uid="{160C6187-8FAC-4837-8103-8B96FC0A1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1" l="1"/>
  <c r="P14" i="1"/>
  <c r="P15" i="1"/>
  <c r="D16" i="1"/>
  <c r="F16" i="1"/>
  <c r="G16" i="1"/>
  <c r="H16" i="1"/>
  <c r="I16" i="1"/>
  <c r="J16" i="1"/>
  <c r="K16" i="1"/>
  <c r="C16" i="1"/>
  <c r="D8" i="1"/>
  <c r="E8" i="1"/>
  <c r="F8" i="1"/>
  <c r="G8" i="1"/>
  <c r="H8" i="1"/>
  <c r="I8" i="1"/>
  <c r="C8" i="1"/>
  <c r="L14" i="1"/>
  <c r="L15" i="1"/>
  <c r="F13" i="1"/>
  <c r="L13" i="1" s="1"/>
  <c r="E14" i="1"/>
  <c r="E15" i="1"/>
  <c r="E13" i="1"/>
  <c r="E16" i="1" s="1"/>
  <c r="J7" i="1"/>
  <c r="K7" i="1" s="1"/>
  <c r="N15" i="1" s="1"/>
  <c r="J6" i="1"/>
  <c r="K6" i="1" s="1"/>
  <c r="N14" i="1" s="1"/>
  <c r="J5" i="1"/>
  <c r="K5" i="1" s="1"/>
  <c r="K8" i="1" s="1"/>
  <c r="N13" i="1" l="1"/>
  <c r="N16" i="1" s="1"/>
  <c r="M13" i="1"/>
  <c r="L16" i="1"/>
  <c r="M15" i="1"/>
  <c r="O15" i="1" s="1"/>
  <c r="J8" i="1"/>
  <c r="M14" i="1"/>
  <c r="O14" i="1" s="1"/>
  <c r="O13" i="1" l="1"/>
  <c r="O16" i="1" s="1"/>
  <c r="M16" i="1"/>
</calcChain>
</file>

<file path=xl/sharedStrings.xml><?xml version="1.0" encoding="utf-8"?>
<sst xmlns="http://schemas.openxmlformats.org/spreadsheetml/2006/main" count="41" uniqueCount="26">
  <si>
    <t>당초</t>
    <phoneticPr fontId="2" type="noConversion"/>
  </si>
  <si>
    <t>성명</t>
    <phoneticPr fontId="2" type="noConversion"/>
  </si>
  <si>
    <t>박문식대표</t>
    <phoneticPr fontId="2" type="noConversion"/>
  </si>
  <si>
    <t>장길석 수석</t>
    <phoneticPr fontId="2" type="noConversion"/>
  </si>
  <si>
    <t>김현기 수석</t>
    <phoneticPr fontId="2" type="noConversion"/>
  </si>
  <si>
    <t>합계</t>
    <phoneticPr fontId="2" type="noConversion"/>
  </si>
  <si>
    <t>급여</t>
    <phoneticPr fontId="2" type="noConversion"/>
  </si>
  <si>
    <t>공제액</t>
    <phoneticPr fontId="2" type="noConversion"/>
  </si>
  <si>
    <t>소득세</t>
    <phoneticPr fontId="2" type="noConversion"/>
  </si>
  <si>
    <t>지방소득세등</t>
    <phoneticPr fontId="2" type="noConversion"/>
  </si>
  <si>
    <t>공제액계</t>
    <phoneticPr fontId="2" type="noConversion"/>
  </si>
  <si>
    <t>실지급액</t>
    <phoneticPr fontId="2" type="noConversion"/>
  </si>
  <si>
    <t>국민연금(4.5%)</t>
    <phoneticPr fontId="2" type="noConversion"/>
  </si>
  <si>
    <t>건강보험(3.545%)</t>
    <phoneticPr fontId="2" type="noConversion"/>
  </si>
  <si>
    <t>장기요양보험(0.9182%)</t>
    <phoneticPr fontId="2" type="noConversion"/>
  </si>
  <si>
    <t>고용보험(0.9%)</t>
    <phoneticPr fontId="2" type="noConversion"/>
  </si>
  <si>
    <t>연구수당(상여)</t>
    <phoneticPr fontId="2" type="noConversion"/>
  </si>
  <si>
    <t>급여(수당가산후)</t>
    <phoneticPr fontId="2" type="noConversion"/>
  </si>
  <si>
    <t>당초지급액</t>
    <phoneticPr fontId="2" type="noConversion"/>
  </si>
  <si>
    <t>차액</t>
    <phoneticPr fontId="2" type="noConversion"/>
  </si>
  <si>
    <t>연구수당 1회성으로 상여성격으로 판단하여 과세처리</t>
    <phoneticPr fontId="2" type="noConversion"/>
  </si>
  <si>
    <t>공제액은 건강보험(장기요양보험)은 보수총액신고에 따라 수령액에 대한 요율만큼 추가적으로 부담(회사부담분도 동일하게 증가함)</t>
    <phoneticPr fontId="2" type="noConversion"/>
  </si>
  <si>
    <t>공제액중 소득세와 지방소득세는 누진세율구조에 따라 각각의 적용세율만큼 증가함(연말정산에 따라 환급또는 추가납부도 발생할 수 있음)</t>
    <phoneticPr fontId="2" type="noConversion"/>
  </si>
  <si>
    <t>급여(후)</t>
    <phoneticPr fontId="2" type="noConversion"/>
  </si>
  <si>
    <t xml:space="preserve">건강보험고지시기에 따라 시기상의 차이는 있을 수 있습니다. </t>
    <phoneticPr fontId="2" type="noConversion"/>
  </si>
  <si>
    <t>연구수당 상여지급후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</si>
</sst>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5" xfId="1" applyFont="1" applyBorder="1">
      <alignment vertical="center"/>
    </xf>
    <xf numFmtId="41" fontId="0" fillId="0" borderId="6" xfId="1" applyFont="1" applyBorder="1">
      <alignment vertical="center"/>
    </xf>
    <xf numFmtId="41" fontId="0" fillId="0" borderId="8" xfId="1" applyFont="1" applyBorder="1">
      <alignment vertical="center"/>
    </xf>
    <xf numFmtId="41" fontId="0" fillId="0" borderId="9" xfId="1" applyFont="1" applyBorder="1">
      <alignment vertical="center"/>
    </xf>
    <xf numFmtId="0" fontId="0" fillId="0" borderId="5" xfId="0" applyBorder="1" applyAlignment="1">
      <alignment horizontal="center" vertical="center"/>
    </xf>
    <xf numFmtId="41" fontId="0" fillId="0" borderId="5" xfId="0" applyNumberFormat="1" applyBorder="1">
      <alignment vertical="center"/>
    </xf>
    <xf numFmtId="41" fontId="4" fillId="3" borderId="6" xfId="0" applyNumberFormat="1" applyFont="1" applyFill="1" applyBorder="1">
      <alignment vertical="center"/>
    </xf>
    <xf numFmtId="41" fontId="4" fillId="3" borderId="9" xfId="1" applyFont="1" applyFill="1" applyBorder="1">
      <alignment vertical="center"/>
    </xf>
    <xf numFmtId="41" fontId="4" fillId="2" borderId="5" xfId="1" applyFont="1" applyFill="1" applyBorder="1">
      <alignment vertical="center"/>
    </xf>
    <xf numFmtId="41" fontId="4" fillId="2" borderId="8" xfId="1" applyFont="1" applyFill="1" applyBorder="1">
      <alignment vertical="center"/>
    </xf>
    <xf numFmtId="41" fontId="0" fillId="0" borderId="0" xfId="1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7AEF-8573-4920-A558-FF77B9368E24}">
  <sheetPr>
    <pageSetUpPr fitToPage="1"/>
  </sheetPr>
  <dimension ref="B2:Q22"/>
  <sheetViews>
    <sheetView tabSelected="1" workbookViewId="0">
      <selection activeCell="M24" sqref="M24"/>
    </sheetView>
  </sheetViews>
  <sheetFormatPr defaultRowHeight="16.5" x14ac:dyDescent="0.3"/>
  <cols>
    <col min="2" max="2" width="13.125" customWidth="1"/>
    <col min="3" max="3" width="11.875" style="1" bestFit="1" customWidth="1"/>
    <col min="4" max="4" width="16.875" bestFit="1" customWidth="1"/>
    <col min="5" max="5" width="22.25" bestFit="1" customWidth="1"/>
    <col min="6" max="9" width="14.75" bestFit="1" customWidth="1"/>
    <col min="10" max="10" width="10.875" bestFit="1" customWidth="1"/>
    <col min="11" max="11" width="13" bestFit="1" customWidth="1"/>
    <col min="12" max="12" width="10.875" bestFit="1" customWidth="1"/>
    <col min="13" max="13" width="14.375" bestFit="1" customWidth="1"/>
    <col min="14" max="14" width="11.875" bestFit="1" customWidth="1"/>
    <col min="15" max="15" width="13.875" bestFit="1" customWidth="1"/>
    <col min="16" max="16" width="10.875" bestFit="1" customWidth="1"/>
  </cols>
  <sheetData>
    <row r="2" spans="2:17" ht="27" thickBot="1" x14ac:dyDescent="0.35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</row>
    <row r="3" spans="2:17" x14ac:dyDescent="0.3">
      <c r="B3" s="21" t="s">
        <v>1</v>
      </c>
      <c r="C3" s="23" t="s">
        <v>6</v>
      </c>
      <c r="D3" s="24" t="s">
        <v>7</v>
      </c>
      <c r="E3" s="24"/>
      <c r="F3" s="24"/>
      <c r="G3" s="24"/>
      <c r="H3" s="24"/>
      <c r="I3" s="24"/>
      <c r="J3" s="24"/>
      <c r="K3" s="27" t="s">
        <v>11</v>
      </c>
    </row>
    <row r="4" spans="2:17" x14ac:dyDescent="0.3">
      <c r="B4" s="22"/>
      <c r="C4" s="26"/>
      <c r="D4" s="9" t="s">
        <v>13</v>
      </c>
      <c r="E4" s="9" t="s">
        <v>14</v>
      </c>
      <c r="F4" s="9" t="s">
        <v>12</v>
      </c>
      <c r="G4" s="9" t="s">
        <v>15</v>
      </c>
      <c r="H4" s="9" t="s">
        <v>8</v>
      </c>
      <c r="I4" s="9" t="s">
        <v>9</v>
      </c>
      <c r="J4" s="9" t="s">
        <v>10</v>
      </c>
      <c r="K4" s="28"/>
    </row>
    <row r="5" spans="2:17" x14ac:dyDescent="0.3">
      <c r="B5" s="3" t="s">
        <v>2</v>
      </c>
      <c r="C5" s="5">
        <v>10000000</v>
      </c>
      <c r="D5" s="5">
        <v>354500</v>
      </c>
      <c r="E5" s="5">
        <v>45900</v>
      </c>
      <c r="F5" s="5">
        <v>277650</v>
      </c>
      <c r="G5" s="5">
        <v>0</v>
      </c>
      <c r="H5" s="5">
        <v>1141680</v>
      </c>
      <c r="I5" s="5">
        <v>114160</v>
      </c>
      <c r="J5" s="5">
        <f>SUM(D5:I5)</f>
        <v>1933890</v>
      </c>
      <c r="K5" s="6">
        <f>C5-J5</f>
        <v>8066110</v>
      </c>
      <c r="L5" s="1"/>
    </row>
    <row r="6" spans="2:17" x14ac:dyDescent="0.3">
      <c r="B6" s="3" t="s">
        <v>3</v>
      </c>
      <c r="C6" s="5">
        <v>7500000</v>
      </c>
      <c r="D6" s="5">
        <v>265870</v>
      </c>
      <c r="E6" s="5">
        <v>34430</v>
      </c>
      <c r="F6" s="5">
        <v>277650</v>
      </c>
      <c r="G6" s="5">
        <v>67500</v>
      </c>
      <c r="H6" s="5">
        <v>846100</v>
      </c>
      <c r="I6" s="5">
        <v>84610</v>
      </c>
      <c r="J6" s="5">
        <f>SUM(D6:I6)</f>
        <v>1576160</v>
      </c>
      <c r="K6" s="6">
        <f>C6-J6</f>
        <v>5923840</v>
      </c>
      <c r="L6" s="1"/>
    </row>
    <row r="7" spans="2:17" x14ac:dyDescent="0.3">
      <c r="B7" s="3" t="s">
        <v>4</v>
      </c>
      <c r="C7" s="5">
        <v>6666666</v>
      </c>
      <c r="D7" s="5">
        <v>236330</v>
      </c>
      <c r="E7" s="5">
        <v>30600</v>
      </c>
      <c r="F7" s="5">
        <v>277650</v>
      </c>
      <c r="G7" s="5">
        <v>59990</v>
      </c>
      <c r="H7" s="5">
        <v>655590</v>
      </c>
      <c r="I7" s="5">
        <v>65550</v>
      </c>
      <c r="J7" s="5">
        <f>SUM(D7:I7)</f>
        <v>1325710</v>
      </c>
      <c r="K7" s="6">
        <f>C7-J7</f>
        <v>5340956</v>
      </c>
      <c r="L7" s="1"/>
    </row>
    <row r="8" spans="2:17" ht="17.25" thickBot="1" x14ac:dyDescent="0.35">
      <c r="B8" s="17" t="s">
        <v>5</v>
      </c>
      <c r="C8" s="7">
        <f>SUM(C5:C7)</f>
        <v>24166666</v>
      </c>
      <c r="D8" s="7">
        <f t="shared" ref="D8:K8" si="0">SUM(D5:D7)</f>
        <v>856700</v>
      </c>
      <c r="E8" s="7">
        <f t="shared" si="0"/>
        <v>110930</v>
      </c>
      <c r="F8" s="7">
        <f t="shared" si="0"/>
        <v>832950</v>
      </c>
      <c r="G8" s="7">
        <f t="shared" si="0"/>
        <v>127490</v>
      </c>
      <c r="H8" s="7">
        <f t="shared" si="0"/>
        <v>2643370</v>
      </c>
      <c r="I8" s="7">
        <f t="shared" si="0"/>
        <v>264320</v>
      </c>
      <c r="J8" s="7">
        <f t="shared" si="0"/>
        <v>4835760</v>
      </c>
      <c r="K8" s="8">
        <f t="shared" si="0"/>
        <v>19330906</v>
      </c>
      <c r="L8" s="1"/>
    </row>
    <row r="9" spans="2:17" x14ac:dyDescent="0.3">
      <c r="C9" s="15"/>
      <c r="D9" s="15"/>
      <c r="E9" s="15"/>
      <c r="F9" s="15"/>
      <c r="G9" s="15"/>
      <c r="H9" s="15"/>
      <c r="I9" s="15"/>
      <c r="J9" s="15"/>
      <c r="K9" s="15"/>
      <c r="L9" s="1"/>
    </row>
    <row r="10" spans="2:17" ht="27" thickBot="1" x14ac:dyDescent="0.35">
      <c r="B10" s="20" t="s">
        <v>25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2:17" x14ac:dyDescent="0.3">
      <c r="B11" s="2"/>
      <c r="C11" s="23" t="s">
        <v>23</v>
      </c>
      <c r="D11" s="23"/>
      <c r="E11" s="23"/>
      <c r="F11" s="24" t="s">
        <v>7</v>
      </c>
      <c r="G11" s="24"/>
      <c r="H11" s="24"/>
      <c r="I11" s="24"/>
      <c r="J11" s="24"/>
      <c r="K11" s="24"/>
      <c r="L11" s="24"/>
      <c r="M11" s="24" t="s">
        <v>11</v>
      </c>
      <c r="N11" s="24" t="s">
        <v>18</v>
      </c>
      <c r="O11" s="18" t="s">
        <v>19</v>
      </c>
    </row>
    <row r="12" spans="2:17" ht="20.25" x14ac:dyDescent="0.3">
      <c r="B12" s="3" t="s">
        <v>1</v>
      </c>
      <c r="C12" s="4" t="s">
        <v>6</v>
      </c>
      <c r="D12" s="16" t="s">
        <v>16</v>
      </c>
      <c r="E12" s="9" t="s">
        <v>17</v>
      </c>
      <c r="F12" s="9" t="s">
        <v>13</v>
      </c>
      <c r="G12" s="9" t="s">
        <v>14</v>
      </c>
      <c r="H12" s="9" t="s">
        <v>12</v>
      </c>
      <c r="I12" s="9" t="s">
        <v>15</v>
      </c>
      <c r="J12" s="9" t="s">
        <v>8</v>
      </c>
      <c r="K12" s="9" t="s">
        <v>9</v>
      </c>
      <c r="L12" s="9" t="s">
        <v>10</v>
      </c>
      <c r="M12" s="25"/>
      <c r="N12" s="25"/>
      <c r="O12" s="19"/>
    </row>
    <row r="13" spans="2:17" ht="20.25" x14ac:dyDescent="0.3">
      <c r="B13" s="3" t="s">
        <v>2</v>
      </c>
      <c r="C13" s="5">
        <v>10000000</v>
      </c>
      <c r="D13" s="13">
        <v>1800000</v>
      </c>
      <c r="E13" s="10">
        <f>C13+D13</f>
        <v>11800000</v>
      </c>
      <c r="F13" s="5">
        <f>11800000*0.03545</f>
        <v>418310</v>
      </c>
      <c r="G13" s="5">
        <v>54170</v>
      </c>
      <c r="H13" s="5">
        <v>277650</v>
      </c>
      <c r="I13" s="5">
        <v>0</v>
      </c>
      <c r="J13" s="5">
        <v>1715480</v>
      </c>
      <c r="K13" s="5">
        <v>171540</v>
      </c>
      <c r="L13" s="5">
        <f>SUM(F13:K13)</f>
        <v>2637150</v>
      </c>
      <c r="M13" s="5">
        <f>E13-L13</f>
        <v>9162850</v>
      </c>
      <c r="N13" s="10">
        <f>K5</f>
        <v>8066110</v>
      </c>
      <c r="O13" s="11">
        <f>M13-N13</f>
        <v>1096740</v>
      </c>
      <c r="P13" s="1">
        <f>Q13-O13</f>
        <v>8062720</v>
      </c>
      <c r="Q13">
        <v>9159460</v>
      </c>
    </row>
    <row r="14" spans="2:17" ht="20.25" x14ac:dyDescent="0.3">
      <c r="B14" s="3" t="s">
        <v>3</v>
      </c>
      <c r="C14" s="5">
        <v>7500000</v>
      </c>
      <c r="D14" s="13">
        <v>1350000</v>
      </c>
      <c r="E14" s="10">
        <f t="shared" ref="E14:E15" si="1">C14+D14</f>
        <v>8850000</v>
      </c>
      <c r="F14" s="5">
        <v>313730</v>
      </c>
      <c r="G14" s="5">
        <v>40620</v>
      </c>
      <c r="H14" s="5">
        <v>277650</v>
      </c>
      <c r="I14" s="5">
        <v>79650</v>
      </c>
      <c r="J14" s="5">
        <v>1109640</v>
      </c>
      <c r="K14" s="5">
        <v>110960</v>
      </c>
      <c r="L14" s="5">
        <f t="shared" ref="L14:L15" si="2">SUM(F14:K14)</f>
        <v>1932250</v>
      </c>
      <c r="M14" s="5">
        <f t="shared" ref="M14:M15" si="3">E14-L14</f>
        <v>6917750</v>
      </c>
      <c r="N14" s="10">
        <f>K6</f>
        <v>5923840</v>
      </c>
      <c r="O14" s="11">
        <f t="shared" ref="O14:O15" si="4">M14-N14</f>
        <v>993910</v>
      </c>
      <c r="P14" s="1">
        <f t="shared" ref="P14:P15" si="5">Q14-O14</f>
        <v>5929380</v>
      </c>
      <c r="Q14">
        <v>6923290</v>
      </c>
    </row>
    <row r="15" spans="2:17" ht="20.25" x14ac:dyDescent="0.3">
      <c r="B15" s="3" t="s">
        <v>4</v>
      </c>
      <c r="C15" s="5">
        <v>6666666</v>
      </c>
      <c r="D15" s="13">
        <v>1350000</v>
      </c>
      <c r="E15" s="10">
        <f t="shared" si="1"/>
        <v>8016666</v>
      </c>
      <c r="F15" s="5">
        <v>284190</v>
      </c>
      <c r="G15" s="5">
        <v>36800</v>
      </c>
      <c r="H15" s="5">
        <v>277650</v>
      </c>
      <c r="I15" s="5">
        <v>72140</v>
      </c>
      <c r="J15" s="5">
        <v>914140</v>
      </c>
      <c r="K15" s="5">
        <v>91410</v>
      </c>
      <c r="L15" s="5">
        <f t="shared" si="2"/>
        <v>1676330</v>
      </c>
      <c r="M15" s="5">
        <f t="shared" si="3"/>
        <v>6340336</v>
      </c>
      <c r="N15" s="10">
        <f>K7</f>
        <v>5340956</v>
      </c>
      <c r="O15" s="11">
        <f t="shared" si="4"/>
        <v>999380</v>
      </c>
      <c r="P15" s="1">
        <f t="shared" si="5"/>
        <v>5345116</v>
      </c>
      <c r="Q15">
        <v>6344496</v>
      </c>
    </row>
    <row r="16" spans="2:17" ht="21" thickBot="1" x14ac:dyDescent="0.35">
      <c r="B16" s="17" t="s">
        <v>5</v>
      </c>
      <c r="C16" s="7">
        <f>SUM(C13:C15)</f>
        <v>24166666</v>
      </c>
      <c r="D16" s="14">
        <f t="shared" ref="D16:O16" si="6">SUM(D13:D15)</f>
        <v>4500000</v>
      </c>
      <c r="E16" s="7">
        <f t="shared" si="6"/>
        <v>28666666</v>
      </c>
      <c r="F16" s="7">
        <f t="shared" si="6"/>
        <v>1016230</v>
      </c>
      <c r="G16" s="7">
        <f t="shared" si="6"/>
        <v>131590</v>
      </c>
      <c r="H16" s="7">
        <f t="shared" si="6"/>
        <v>832950</v>
      </c>
      <c r="I16" s="7">
        <f t="shared" si="6"/>
        <v>151790</v>
      </c>
      <c r="J16" s="7">
        <f t="shared" si="6"/>
        <v>3739260</v>
      </c>
      <c r="K16" s="7">
        <f t="shared" si="6"/>
        <v>373910</v>
      </c>
      <c r="L16" s="7">
        <f t="shared" si="6"/>
        <v>6245730</v>
      </c>
      <c r="M16" s="7">
        <f t="shared" si="6"/>
        <v>22420936</v>
      </c>
      <c r="N16" s="7">
        <f t="shared" si="6"/>
        <v>19330906</v>
      </c>
      <c r="O16" s="12">
        <f t="shared" si="6"/>
        <v>3090030</v>
      </c>
    </row>
    <row r="18" spans="2:2" x14ac:dyDescent="0.3">
      <c r="B18" t="s">
        <v>20</v>
      </c>
    </row>
    <row r="19" spans="2:2" x14ac:dyDescent="0.3">
      <c r="B19" t="s">
        <v>21</v>
      </c>
    </row>
    <row r="20" spans="2:2" x14ac:dyDescent="0.3">
      <c r="B20" t="s">
        <v>22</v>
      </c>
    </row>
    <row r="22" spans="2:2" x14ac:dyDescent="0.3">
      <c r="B22" t="s">
        <v>24</v>
      </c>
    </row>
  </sheetData>
  <mergeCells count="11">
    <mergeCell ref="O11:O12"/>
    <mergeCell ref="B2:K2"/>
    <mergeCell ref="B3:B4"/>
    <mergeCell ref="B10:N10"/>
    <mergeCell ref="C11:E11"/>
    <mergeCell ref="F11:L11"/>
    <mergeCell ref="M11:M12"/>
    <mergeCell ref="N11:N12"/>
    <mergeCell ref="D3:J3"/>
    <mergeCell ref="C3:C4"/>
    <mergeCell ref="K3:K4"/>
  </mergeCells>
  <phoneticPr fontId="2" type="noConversion"/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 승희</cp:lastModifiedBy>
  <cp:lastPrinted>2025-01-07T01:03:24Z</cp:lastPrinted>
  <dcterms:created xsi:type="dcterms:W3CDTF">2025-01-07T00:10:26Z</dcterms:created>
  <dcterms:modified xsi:type="dcterms:W3CDTF">2025-01-17T05:34:29Z</dcterms:modified>
</cp:coreProperties>
</file>