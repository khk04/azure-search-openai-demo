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_회사관리/인수인계_김승희/3. 연구/2024 경기도 디딤돌/"/>
    </mc:Choice>
  </mc:AlternateContent>
  <xr:revisionPtr revIDLastSave="25" documentId="13_ncr:1_{3F8CCB67-619A-4A9E-8379-8BBDE4E70EBC}" xr6:coauthVersionLast="47" xr6:coauthVersionMax="47" xr10:uidLastSave="{E9B686D6-A135-5940-B0B8-E730E4ACFDAC}"/>
  <bookViews>
    <workbookView xWindow="-10460" yWindow="-20900" windowWidth="27200" windowHeight="20340" tabRatio="891" activeTab="4" xr2:uid="{00000000-000D-0000-FFFF-FFFF00000000}"/>
  </bookViews>
  <sheets>
    <sheet name="보고서(참여)" sheetId="32" state="hidden" r:id="rId1"/>
    <sheet name="작성방법" sheetId="33" r:id="rId2"/>
    <sheet name="Sheet1" sheetId="35" state="hidden" r:id="rId3"/>
    <sheet name="인건비소요명세서 변경비교표" sheetId="38" r:id="rId4"/>
    <sheet name="2025-참여연구자현황표(일반)" sheetId="39" r:id="rId5"/>
    <sheet name="2024-참여연구자현황표(일반)" sheetId="19" r:id="rId6"/>
    <sheet name="참여연구자현황표_4대보험 포함" sheetId="37" r:id="rId7"/>
  </sheets>
  <definedNames>
    <definedName name="_xlnm._FilterDatabase" localSheetId="5" hidden="1">'2024-참여연구자현황표(일반)'!$B$8:$R$8</definedName>
    <definedName name="_xlnm._FilterDatabase" localSheetId="4" hidden="1">'2025-참여연구자현황표(일반)'!$B$8:$R$8</definedName>
    <definedName name="_xlnm._FilterDatabase" localSheetId="6" hidden="1">'참여연구자현황표_4대보험 포함'!$B$7:$R$7</definedName>
    <definedName name="감사보고서일" localSheetId="6">#REF!</definedName>
    <definedName name="감사보고서일">#REF!</definedName>
    <definedName name="당해시작일" localSheetId="6">#REF!</definedName>
    <definedName name="당해시작일">#REF!</definedName>
    <definedName name="_xlnm.Print_Area" localSheetId="5">'2024-참여연구자현황표(일반)'!$A$1:$T$44</definedName>
    <definedName name="_xlnm.Print_Area" localSheetId="4">'2025-참여연구자현황표(일반)'!$A$1:$T$44</definedName>
    <definedName name="_xlnm.Print_Area" localSheetId="0">'보고서(참여)'!$A$1:$I$29</definedName>
    <definedName name="_xlnm.Print_Area" localSheetId="3">'인건비소요명세서 변경비교표'!$A$2:$U$57</definedName>
    <definedName name="_xlnm.Print_Area" localSheetId="1">작성방법!$A$1:$M$97</definedName>
    <definedName name="_xlnm.Print_Area" localSheetId="6">'참여연구자현황표_4대보험 포함'!$B$1:$T$45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39" l="1"/>
  <c r="I32" i="39"/>
  <c r="J32" i="39"/>
  <c r="K32" i="39"/>
  <c r="L32" i="39"/>
  <c r="M32" i="39"/>
  <c r="G32" i="39"/>
  <c r="G26" i="39"/>
  <c r="G38" i="39"/>
  <c r="H38" i="39"/>
  <c r="I38" i="39"/>
  <c r="J38" i="39"/>
  <c r="K38" i="39"/>
  <c r="L38" i="39"/>
  <c r="M38" i="39"/>
  <c r="S38" i="39" s="1"/>
  <c r="T37" i="39" s="1"/>
  <c r="N38" i="39"/>
  <c r="O38" i="39"/>
  <c r="P38" i="39"/>
  <c r="Q38" i="39"/>
  <c r="R38" i="39"/>
  <c r="S40" i="39"/>
  <c r="T39" i="39" s="1"/>
  <c r="L42" i="39"/>
  <c r="K42" i="39"/>
  <c r="J42" i="39"/>
  <c r="I42" i="39"/>
  <c r="H42" i="39"/>
  <c r="G42" i="39"/>
  <c r="D42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D41" i="39"/>
  <c r="S34" i="39"/>
  <c r="T33" i="39" s="1"/>
  <c r="R32" i="39"/>
  <c r="Q32" i="39"/>
  <c r="P32" i="39"/>
  <c r="O32" i="39"/>
  <c r="N32" i="39"/>
  <c r="R26" i="39"/>
  <c r="Q26" i="39"/>
  <c r="P26" i="39"/>
  <c r="O26" i="39"/>
  <c r="N26" i="39"/>
  <c r="M26" i="39"/>
  <c r="L26" i="39"/>
  <c r="K26" i="39"/>
  <c r="J26" i="39"/>
  <c r="I26" i="39"/>
  <c r="H26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D22" i="39"/>
  <c r="R21" i="39"/>
  <c r="Q21" i="39"/>
  <c r="P21" i="39"/>
  <c r="O21" i="39"/>
  <c r="N21" i="39"/>
  <c r="M21" i="39"/>
  <c r="M43" i="39" s="1"/>
  <c r="L21" i="39"/>
  <c r="L43" i="39" s="1"/>
  <c r="K21" i="39"/>
  <c r="J21" i="39"/>
  <c r="J43" i="39" s="1"/>
  <c r="I21" i="39"/>
  <c r="I43" i="39" s="1"/>
  <c r="H21" i="39"/>
  <c r="G21" i="39"/>
  <c r="D21" i="39"/>
  <c r="S20" i="39"/>
  <c r="T19" i="39" s="1"/>
  <c r="S19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S16" i="39"/>
  <c r="S15" i="39"/>
  <c r="S14" i="39"/>
  <c r="T13" i="39" s="1"/>
  <c r="S13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S10" i="39"/>
  <c r="S9" i="39"/>
  <c r="U52" i="38"/>
  <c r="T52" i="38"/>
  <c r="L52" i="38"/>
  <c r="K52" i="38"/>
  <c r="S52" i="38"/>
  <c r="S57" i="38" s="1"/>
  <c r="J52" i="38"/>
  <c r="H44" i="39" l="1"/>
  <c r="L44" i="39"/>
  <c r="J44" i="39"/>
  <c r="G44" i="39"/>
  <c r="K43" i="39"/>
  <c r="D44" i="39"/>
  <c r="S41" i="39"/>
  <c r="H43" i="39"/>
  <c r="K44" i="39"/>
  <c r="S26" i="39"/>
  <c r="S18" i="39"/>
  <c r="T17" i="39" s="1"/>
  <c r="S12" i="39"/>
  <c r="T11" i="39" s="1"/>
  <c r="D43" i="39"/>
  <c r="I44" i="39"/>
  <c r="R43" i="39"/>
  <c r="Q43" i="39"/>
  <c r="S32" i="39"/>
  <c r="T31" i="39" s="1"/>
  <c r="O43" i="39"/>
  <c r="N43" i="39"/>
  <c r="P43" i="39"/>
  <c r="S21" i="39"/>
  <c r="S22" i="39"/>
  <c r="N28" i="39"/>
  <c r="M42" i="39"/>
  <c r="M44" i="39" s="1"/>
  <c r="G43" i="39"/>
  <c r="L46" i="38"/>
  <c r="S43" i="39" l="1"/>
  <c r="N42" i="39"/>
  <c r="N44" i="39" s="1"/>
  <c r="O28" i="39"/>
  <c r="O42" i="39" l="1"/>
  <c r="O44" i="39" s="1"/>
  <c r="P28" i="39"/>
  <c r="Q28" i="39" l="1"/>
  <c r="P42" i="39"/>
  <c r="P44" i="39" s="1"/>
  <c r="R28" i="39" l="1"/>
  <c r="R42" i="39" s="1"/>
  <c r="Q42" i="39"/>
  <c r="Q44" i="39" s="1"/>
  <c r="R44" i="39" l="1"/>
  <c r="S44" i="39" s="1"/>
  <c r="S42" i="39"/>
  <c r="S28" i="39"/>
  <c r="T27" i="39" l="1"/>
  <c r="T25" i="39"/>
  <c r="S37" i="19" l="1"/>
  <c r="U18" i="38"/>
  <c r="U17" i="38"/>
  <c r="U16" i="38"/>
  <c r="U15" i="38"/>
  <c r="U9" i="38"/>
  <c r="U8" i="38"/>
  <c r="L17" i="38"/>
  <c r="S10" i="19"/>
  <c r="S9" i="19"/>
  <c r="S15" i="19"/>
  <c r="S16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9" i="19"/>
  <c r="S20" i="19"/>
  <c r="T19" i="19" s="1"/>
  <c r="D21" i="19"/>
  <c r="S25" i="37"/>
  <c r="S24" i="37"/>
  <c r="S45" i="37"/>
  <c r="S44" i="37"/>
  <c r="S43" i="37"/>
  <c r="S42" i="37"/>
  <c r="D43" i="37"/>
  <c r="D42" i="37"/>
  <c r="D25" i="37"/>
  <c r="D24" i="37"/>
  <c r="D44" i="37" s="1"/>
  <c r="H41" i="19"/>
  <c r="I41" i="19"/>
  <c r="J41" i="19"/>
  <c r="K41" i="19"/>
  <c r="L41" i="19"/>
  <c r="M41" i="19"/>
  <c r="N41" i="19"/>
  <c r="O41" i="19"/>
  <c r="P41" i="19"/>
  <c r="Q41" i="19"/>
  <c r="R41" i="19"/>
  <c r="H42" i="19"/>
  <c r="I42" i="19"/>
  <c r="J42" i="19"/>
  <c r="K42" i="19"/>
  <c r="L42" i="19"/>
  <c r="G42" i="19"/>
  <c r="G41" i="19"/>
  <c r="H21" i="19"/>
  <c r="I21" i="19"/>
  <c r="J21" i="19"/>
  <c r="K21" i="19"/>
  <c r="L21" i="19"/>
  <c r="M21" i="19"/>
  <c r="N21" i="19"/>
  <c r="O21" i="19"/>
  <c r="P21" i="19"/>
  <c r="Q21" i="19"/>
  <c r="R21" i="19"/>
  <c r="H22" i="19"/>
  <c r="I22" i="19"/>
  <c r="J22" i="19"/>
  <c r="K22" i="19"/>
  <c r="L22" i="19"/>
  <c r="M22" i="19"/>
  <c r="N22" i="19"/>
  <c r="O22" i="19"/>
  <c r="P22" i="19"/>
  <c r="Q22" i="19"/>
  <c r="R22" i="19"/>
  <c r="G22" i="19"/>
  <c r="G21" i="19"/>
  <c r="G43" i="19" s="1"/>
  <c r="D42" i="19"/>
  <c r="D41" i="19"/>
  <c r="D22" i="19"/>
  <c r="R43" i="37"/>
  <c r="R45" i="37" s="1"/>
  <c r="Q43" i="37"/>
  <c r="Q45" i="37" s="1"/>
  <c r="P43" i="37"/>
  <c r="P45" i="37" s="1"/>
  <c r="O43" i="37"/>
  <c r="O45" i="37" s="1"/>
  <c r="N43" i="37"/>
  <c r="N45" i="37" s="1"/>
  <c r="M43" i="37"/>
  <c r="M45" i="37" s="1"/>
  <c r="L43" i="37"/>
  <c r="L45" i="37" s="1"/>
  <c r="K43" i="37"/>
  <c r="K45" i="37" s="1"/>
  <c r="J43" i="37"/>
  <c r="J45" i="37" s="1"/>
  <c r="I43" i="37"/>
  <c r="I45" i="37" s="1"/>
  <c r="H43" i="37"/>
  <c r="H45" i="37" s="1"/>
  <c r="G43" i="37"/>
  <c r="R42" i="37"/>
  <c r="R44" i="37" s="1"/>
  <c r="Q42" i="37"/>
  <c r="Q44" i="37" s="1"/>
  <c r="P42" i="37"/>
  <c r="P44" i="37" s="1"/>
  <c r="O42" i="37"/>
  <c r="O44" i="37" s="1"/>
  <c r="N42" i="37"/>
  <c r="N44" i="37" s="1"/>
  <c r="M42" i="37"/>
  <c r="M44" i="37" s="1"/>
  <c r="L42" i="37"/>
  <c r="L44" i="37" s="1"/>
  <c r="K42" i="37"/>
  <c r="K44" i="37" s="1"/>
  <c r="J42" i="37"/>
  <c r="J44" i="37" s="1"/>
  <c r="I42" i="37"/>
  <c r="I44" i="37" s="1"/>
  <c r="H42" i="37"/>
  <c r="H44" i="37" s="1"/>
  <c r="G42" i="37"/>
  <c r="H24" i="37"/>
  <c r="I24" i="37"/>
  <c r="J24" i="37"/>
  <c r="K24" i="37"/>
  <c r="L24" i="37"/>
  <c r="M24" i="37"/>
  <c r="N24" i="37"/>
  <c r="O24" i="37"/>
  <c r="P24" i="37"/>
  <c r="Q24" i="37"/>
  <c r="R24" i="37"/>
  <c r="H25" i="37"/>
  <c r="I25" i="37"/>
  <c r="J25" i="37"/>
  <c r="K25" i="37"/>
  <c r="L25" i="37"/>
  <c r="M25" i="37"/>
  <c r="N25" i="37"/>
  <c r="O25" i="37"/>
  <c r="P25" i="37"/>
  <c r="Q25" i="37"/>
  <c r="R25" i="37"/>
  <c r="G25" i="37"/>
  <c r="G24" i="37"/>
  <c r="R19" i="37"/>
  <c r="Q19" i="37"/>
  <c r="P19" i="37"/>
  <c r="O19" i="37"/>
  <c r="N19" i="37"/>
  <c r="N21" i="37" s="1"/>
  <c r="M19" i="37"/>
  <c r="M21" i="37" s="1"/>
  <c r="L19" i="37"/>
  <c r="L21" i="37" s="1"/>
  <c r="K19" i="37"/>
  <c r="J19" i="37"/>
  <c r="I19" i="37"/>
  <c r="H19" i="37"/>
  <c r="G19" i="37"/>
  <c r="S23" i="37"/>
  <c r="T21" i="37" s="1"/>
  <c r="S22" i="37"/>
  <c r="R21" i="37"/>
  <c r="Q21" i="37"/>
  <c r="P21" i="37"/>
  <c r="O21" i="37"/>
  <c r="K21" i="37"/>
  <c r="J21" i="37"/>
  <c r="G21" i="37"/>
  <c r="H21" i="37"/>
  <c r="S18" i="37"/>
  <c r="S17" i="37"/>
  <c r="S16" i="37"/>
  <c r="S33" i="37"/>
  <c r="T31" i="37" s="1"/>
  <c r="S32" i="37"/>
  <c r="H29" i="37"/>
  <c r="S28" i="37"/>
  <c r="S27" i="37"/>
  <c r="S26" i="37"/>
  <c r="T57" i="38"/>
  <c r="K57" i="38"/>
  <c r="J57" i="38"/>
  <c r="U45" i="38"/>
  <c r="L45" i="38"/>
  <c r="U44" i="38"/>
  <c r="L44" i="38"/>
  <c r="T43" i="38"/>
  <c r="S43" i="38"/>
  <c r="K43" i="38"/>
  <c r="J43" i="38"/>
  <c r="U39" i="38"/>
  <c r="U38" i="38"/>
  <c r="U37" i="38"/>
  <c r="O37" i="38"/>
  <c r="N37" i="38"/>
  <c r="L37" i="38"/>
  <c r="T23" i="38"/>
  <c r="S23" i="38"/>
  <c r="K23" i="38"/>
  <c r="J23" i="38"/>
  <c r="L16" i="38"/>
  <c r="L15" i="38"/>
  <c r="T14" i="38"/>
  <c r="S14" i="38"/>
  <c r="K14" i="38"/>
  <c r="K24" i="38" s="1"/>
  <c r="K29" i="38" s="1"/>
  <c r="J14" i="38"/>
  <c r="L10" i="38"/>
  <c r="L9" i="38"/>
  <c r="L8" i="38"/>
  <c r="U57" i="38" l="1"/>
  <c r="L57" i="38"/>
  <c r="U43" i="38"/>
  <c r="S18" i="19"/>
  <c r="T17" i="19" s="1"/>
  <c r="J43" i="19"/>
  <c r="L23" i="38"/>
  <c r="L24" i="38" s="1"/>
  <c r="L29" i="38" s="1"/>
  <c r="O43" i="19"/>
  <c r="R43" i="19"/>
  <c r="L44" i="19"/>
  <c r="K44" i="19"/>
  <c r="N43" i="19"/>
  <c r="J44" i="19"/>
  <c r="M43" i="19"/>
  <c r="L43" i="19"/>
  <c r="K43" i="19"/>
  <c r="G44" i="19"/>
  <c r="I44" i="19"/>
  <c r="H44" i="19"/>
  <c r="D43" i="19"/>
  <c r="D44" i="19"/>
  <c r="Q43" i="19"/>
  <c r="I43" i="19"/>
  <c r="P43" i="19"/>
  <c r="H43" i="19"/>
  <c r="S21" i="19"/>
  <c r="S22" i="19"/>
  <c r="D45" i="37"/>
  <c r="G44" i="37"/>
  <c r="G45" i="37"/>
  <c r="I21" i="37"/>
  <c r="S21" i="37" s="1"/>
  <c r="T19" i="37" s="1"/>
  <c r="G31" i="37"/>
  <c r="I29" i="37"/>
  <c r="H31" i="37"/>
  <c r="U14" i="38"/>
  <c r="L43" i="38"/>
  <c r="U23" i="38"/>
  <c r="U24" i="38" s="1"/>
  <c r="U29" i="38" s="1"/>
  <c r="J24" i="38"/>
  <c r="J29" i="38" s="1"/>
  <c r="S24" i="38"/>
  <c r="S29" i="38" s="1"/>
  <c r="T24" i="38"/>
  <c r="T29" i="38" s="1"/>
  <c r="L14" i="38"/>
  <c r="G38" i="19"/>
  <c r="H38" i="19"/>
  <c r="I38" i="19"/>
  <c r="J38" i="19"/>
  <c r="K38" i="19"/>
  <c r="L38" i="19"/>
  <c r="M38" i="19"/>
  <c r="N38" i="19"/>
  <c r="M32" i="19"/>
  <c r="R32" i="19"/>
  <c r="H26" i="19"/>
  <c r="M28" i="19"/>
  <c r="R26" i="19"/>
  <c r="Q26" i="19"/>
  <c r="P26" i="19"/>
  <c r="O26" i="19"/>
  <c r="N26" i="19"/>
  <c r="M26" i="19"/>
  <c r="L26" i="19"/>
  <c r="K26" i="19"/>
  <c r="J26" i="19"/>
  <c r="I26" i="19"/>
  <c r="G26" i="19"/>
  <c r="S24" i="19"/>
  <c r="S23" i="19"/>
  <c r="J13" i="37"/>
  <c r="K13" i="37"/>
  <c r="L13" i="37"/>
  <c r="M13" i="37"/>
  <c r="N13" i="37"/>
  <c r="O13" i="37"/>
  <c r="P13" i="37"/>
  <c r="Q13" i="37"/>
  <c r="R13" i="37"/>
  <c r="S41" i="37"/>
  <c r="T39" i="37" s="1"/>
  <c r="S40" i="37"/>
  <c r="G37" i="37"/>
  <c r="G39" i="37" s="1"/>
  <c r="S36" i="37"/>
  <c r="S35" i="37"/>
  <c r="S34" i="37"/>
  <c r="S15" i="37"/>
  <c r="T13" i="37" s="1"/>
  <c r="S14" i="37"/>
  <c r="G11" i="37"/>
  <c r="G13" i="37" s="1"/>
  <c r="S10" i="37"/>
  <c r="S9" i="37"/>
  <c r="S8" i="37"/>
  <c r="S43" i="19" l="1"/>
  <c r="N28" i="19"/>
  <c r="M42" i="19"/>
  <c r="M44" i="19" s="1"/>
  <c r="S19" i="37"/>
  <c r="J29" i="37"/>
  <c r="I31" i="37"/>
  <c r="O32" i="19"/>
  <c r="S36" i="19"/>
  <c r="P32" i="19"/>
  <c r="Q32" i="19"/>
  <c r="N32" i="19"/>
  <c r="S26" i="19"/>
  <c r="S27" i="19"/>
  <c r="H11" i="37"/>
  <c r="H13" i="37" s="1"/>
  <c r="H37" i="37"/>
  <c r="H39" i="37" s="1"/>
  <c r="O28" i="19" l="1"/>
  <c r="N42" i="19"/>
  <c r="N44" i="19" s="1"/>
  <c r="K29" i="37"/>
  <c r="J31" i="37"/>
  <c r="O38" i="19"/>
  <c r="I11" i="37"/>
  <c r="I13" i="37" s="1"/>
  <c r="I37" i="37"/>
  <c r="I39" i="37" s="1"/>
  <c r="P28" i="19" l="1"/>
  <c r="O42" i="19"/>
  <c r="O44" i="19" s="1"/>
  <c r="L29" i="37"/>
  <c r="K31" i="37"/>
  <c r="P38" i="19"/>
  <c r="J37" i="37"/>
  <c r="J39" i="37" s="1"/>
  <c r="Q28" i="19" l="1"/>
  <c r="P42" i="19"/>
  <c r="P44" i="19" s="1"/>
  <c r="L31" i="37"/>
  <c r="M29" i="37"/>
  <c r="Q38" i="19"/>
  <c r="K37" i="37"/>
  <c r="K39" i="37" s="1"/>
  <c r="R28" i="19" l="1"/>
  <c r="R42" i="19" s="1"/>
  <c r="R44" i="19" s="1"/>
  <c r="Q42" i="19"/>
  <c r="Q44" i="19" s="1"/>
  <c r="M31" i="37"/>
  <c r="N29" i="37"/>
  <c r="R38" i="19"/>
  <c r="S38" i="19" s="1"/>
  <c r="S35" i="19"/>
  <c r="L37" i="37"/>
  <c r="L39" i="37" s="1"/>
  <c r="S44" i="19" l="1"/>
  <c r="S28" i="19"/>
  <c r="T25" i="19" s="1"/>
  <c r="N31" i="37"/>
  <c r="O29" i="37"/>
  <c r="M37" i="37"/>
  <c r="M39" i="37" s="1"/>
  <c r="T27" i="19" l="1"/>
  <c r="P29" i="37"/>
  <c r="O31" i="37"/>
  <c r="S40" i="19"/>
  <c r="N37" i="37"/>
  <c r="N39" i="37" s="1"/>
  <c r="Q29" i="37" l="1"/>
  <c r="P31" i="37"/>
  <c r="T39" i="19"/>
  <c r="O37" i="37"/>
  <c r="O39" i="37" s="1"/>
  <c r="R29" i="37" l="1"/>
  <c r="Q31" i="37"/>
  <c r="S39" i="19"/>
  <c r="T37" i="19" s="1"/>
  <c r="P37" i="37"/>
  <c r="P39" i="37" s="1"/>
  <c r="R31" i="37" l="1"/>
  <c r="S31" i="37" s="1"/>
  <c r="T29" i="37" s="1"/>
  <c r="S29" i="37"/>
  <c r="Q37" i="37"/>
  <c r="Q39" i="37" s="1"/>
  <c r="R37" i="37" l="1"/>
  <c r="R39" i="37" s="1"/>
  <c r="S13" i="37" l="1"/>
  <c r="S11" i="37"/>
  <c r="S39" i="37"/>
  <c r="T37" i="37" s="1"/>
  <c r="S37" i="37"/>
  <c r="T11" i="37" l="1"/>
  <c r="I49" i="33" l="1"/>
  <c r="J49" i="33"/>
  <c r="K49" i="33"/>
  <c r="L49" i="33"/>
  <c r="K9" i="35"/>
  <c r="J9" i="35"/>
  <c r="L6" i="35"/>
  <c r="L9" i="35" s="1"/>
  <c r="G51" i="33"/>
  <c r="G50" i="33"/>
  <c r="H50" i="33" s="1"/>
  <c r="I50" i="33" s="1"/>
  <c r="J50" i="33" s="1"/>
  <c r="K50" i="33" s="1"/>
  <c r="L50" i="33" s="1"/>
  <c r="G61" i="33" l="1"/>
  <c r="F61" i="33"/>
  <c r="S29" i="19" l="1"/>
  <c r="S30" i="19"/>
  <c r="S32" i="19"/>
  <c r="S33" i="19"/>
  <c r="S34" i="19"/>
  <c r="T33" i="19" s="1"/>
  <c r="T31" i="19" l="1"/>
  <c r="P12" i="19"/>
  <c r="Q12" i="19"/>
  <c r="R12" i="19"/>
  <c r="H49" i="33" l="1"/>
  <c r="G49" i="33"/>
  <c r="O12" i="19" l="1"/>
  <c r="N12" i="19"/>
  <c r="M12" i="19"/>
  <c r="L12" i="19"/>
  <c r="K12" i="19"/>
  <c r="J12" i="19"/>
  <c r="I12" i="19"/>
  <c r="H12" i="19"/>
  <c r="G12" i="19"/>
  <c r="S13" i="19"/>
  <c r="S14" i="19" l="1"/>
  <c r="S41" i="19"/>
  <c r="S42" i="19"/>
  <c r="S12" i="19"/>
  <c r="T11" i="19" s="1"/>
  <c r="T13" i="19" l="1"/>
  <c r="C21" i="32"/>
  <c r="I9" i="32"/>
  <c r="I8" i="32"/>
  <c r="G10" i="32"/>
  <c r="B24" i="32" s="1"/>
  <c r="A24" i="32" s="1"/>
  <c r="E10" i="32"/>
  <c r="C10" i="32"/>
  <c r="I6" i="32"/>
  <c r="I5" i="32"/>
  <c r="L10" i="32" l="1"/>
  <c r="K10" i="32"/>
  <c r="H20" i="32"/>
  <c r="I7" i="32"/>
  <c r="I10" i="32" s="1"/>
  <c r="G24" i="32" l="1"/>
  <c r="H21" i="32"/>
  <c r="K20" i="32"/>
  <c r="C24" i="32"/>
  <c r="E24" i="32" l="1"/>
  <c r="D24" i="32"/>
</calcChain>
</file>

<file path=xl/sharedStrings.xml><?xml version="1.0" encoding="utf-8"?>
<sst xmlns="http://schemas.openxmlformats.org/spreadsheetml/2006/main" count="691" uniqueCount="254">
  <si>
    <t>(단위: 원)</t>
    <phoneticPr fontId="4" type="noConversion"/>
  </si>
  <si>
    <t>현물</t>
    <phoneticPr fontId="3" type="noConversion"/>
  </si>
  <si>
    <t>당초계획</t>
    <phoneticPr fontId="3" type="noConversion"/>
  </si>
  <si>
    <t>포인트한도</t>
    <phoneticPr fontId="3" type="noConversion"/>
  </si>
  <si>
    <t>집행금액</t>
    <phoneticPr fontId="3" type="noConversion"/>
  </si>
  <si>
    <t>잔액</t>
    <phoneticPr fontId="3" type="noConversion"/>
  </si>
  <si>
    <t xml:space="preserve">개발사업비    
사용내역        </t>
    <phoneticPr fontId="3" type="noConversion"/>
  </si>
  <si>
    <t>위탁연구개발비</t>
    <phoneticPr fontId="3" type="noConversion"/>
  </si>
  <si>
    <t>계</t>
    <phoneticPr fontId="3" type="noConversion"/>
  </si>
  <si>
    <t>규격·수량</t>
    <phoneticPr fontId="3" type="noConversion"/>
  </si>
  <si>
    <t>구입                     연월일</t>
    <phoneticPr fontId="3" type="noConversion"/>
  </si>
  <si>
    <t>구입처                    (전화번호)</t>
    <phoneticPr fontId="3" type="noConversion"/>
  </si>
  <si>
    <t>설치장소</t>
    <phoneticPr fontId="3" type="noConversion"/>
  </si>
  <si>
    <t>NTIS  등록번호</t>
    <phoneticPr fontId="3" type="noConversion"/>
  </si>
  <si>
    <t>SMTECH              등록여부</t>
    <phoneticPr fontId="3" type="noConversion"/>
  </si>
  <si>
    <t>해당사항 없음</t>
    <phoneticPr fontId="3" type="noConversion"/>
  </si>
  <si>
    <t>정부출연비율
(X=A/A+B)</t>
    <phoneticPr fontId="3" type="noConversion"/>
  </si>
  <si>
    <t>민간출연비율
(Y=1-X)</t>
    <phoneticPr fontId="3" type="noConversion"/>
  </si>
  <si>
    <t>집행잔액(포인트수탁계좌잔고)</t>
    <phoneticPr fontId="3" type="noConversion"/>
  </si>
  <si>
    <t>불인정금액</t>
    <phoneticPr fontId="3" type="noConversion"/>
  </si>
  <si>
    <t>전체집행
(F1)</t>
    <phoneticPr fontId="3" type="noConversion"/>
  </si>
  <si>
    <t>잔액합계
(G=E-F)</t>
    <phoneticPr fontId="3" type="noConversion"/>
  </si>
  <si>
    <t>현금불인정합계(H)</t>
    <phoneticPr fontId="3" type="noConversion"/>
  </si>
  <si>
    <t>현물                 불인정(I)</t>
    <phoneticPr fontId="3" type="noConversion"/>
  </si>
  <si>
    <t>개발사업비 종합검토의견  및 
불인정사유</t>
    <phoneticPr fontId="3" type="noConversion"/>
  </si>
  <si>
    <t>학생인건비</t>
    <phoneticPr fontId="3" type="noConversion"/>
  </si>
  <si>
    <r>
      <t>연구시설</t>
    </r>
    <r>
      <rPr>
        <b/>
        <sz val="11"/>
        <color theme="1"/>
        <rFont val="맑은 고딕"/>
        <family val="3"/>
        <charset val="129"/>
      </rPr>
      <t>∙</t>
    </r>
    <r>
      <rPr>
        <b/>
        <sz val="11"/>
        <color theme="1"/>
        <rFont val="맑은 고딕"/>
        <family val="3"/>
        <charset val="129"/>
        <scheme val="minor"/>
      </rPr>
      <t xml:space="preserve"> 장비 구입현황</t>
    </r>
    <phoneticPr fontId="3" type="noConversion"/>
  </si>
  <si>
    <r>
      <t xml:space="preserve">※ </t>
    </r>
    <r>
      <rPr>
        <u/>
        <sz val="10"/>
        <color theme="1"/>
        <rFont val="맑은 고딕"/>
        <family val="3"/>
        <charset val="129"/>
      </rPr>
      <t>실제 회수금액은 포인트잔액 및 민간지분에 따라 달라질 수 있음. 정확한 반납금액은 추후 관리기관 및 전문기관의 정산 이후 안내할 예정</t>
    </r>
    <phoneticPr fontId="3" type="noConversion"/>
  </si>
  <si>
    <t>[붙임] 1. 인건비 집행∙정산 내역 정리표</t>
    <phoneticPr fontId="22" type="noConversion"/>
  </si>
  <si>
    <t>구분</t>
    <phoneticPr fontId="22" type="noConversion"/>
  </si>
  <si>
    <t>합계</t>
    <phoneticPr fontId="22" type="noConversion"/>
  </si>
  <si>
    <t>인건비</t>
  </si>
  <si>
    <t>비목</t>
  </si>
  <si>
    <t>직접비</t>
  </si>
  <si>
    <t>간접비</t>
  </si>
  <si>
    <t xml:space="preserve"> 나. 연구시설·장비 구입현황</t>
    <phoneticPr fontId="3" type="noConversion"/>
  </si>
  <si>
    <t>ㅇ 전반적으로 협약당시 관리지침에 따라 적정하게 집행되었음</t>
    <phoneticPr fontId="3" type="noConversion"/>
  </si>
  <si>
    <t xml:space="preserve"> 가. 총 개발사업비 현황</t>
    <phoneticPr fontId="3" type="noConversion"/>
  </si>
  <si>
    <t xml:space="preserve"> 다. 회계기관 정산결과</t>
    <phoneticPr fontId="3" type="noConversion"/>
  </si>
  <si>
    <t>품명</t>
    <phoneticPr fontId="3" type="noConversion"/>
  </si>
  <si>
    <t>구입가격(천원)</t>
    <phoneticPr fontId="3" type="noConversion"/>
  </si>
  <si>
    <t>구분</t>
  </si>
  <si>
    <t>현금부문</t>
  </si>
  <si>
    <t>정부출연금 (A)</t>
    <phoneticPr fontId="3" type="noConversion"/>
  </si>
  <si>
    <t>기업부담현금 (B)</t>
    <phoneticPr fontId="3" type="noConversion"/>
  </si>
  <si>
    <t>민간이자 (C)</t>
    <phoneticPr fontId="3" type="noConversion"/>
  </si>
  <si>
    <t>포인트충전 (D)*</t>
    <phoneticPr fontId="3" type="noConversion"/>
  </si>
  <si>
    <t>현금합계 (E=A+B)</t>
    <phoneticPr fontId="3" type="noConversion"/>
  </si>
  <si>
    <t>일반집행
(F=F1)</t>
    <phoneticPr fontId="3" type="noConversion"/>
  </si>
  <si>
    <r>
      <t>정부지분
(G1=G</t>
    </r>
    <r>
      <rPr>
        <b/>
        <sz val="10"/>
        <color theme="1"/>
        <rFont val="맑은 고딕"/>
        <family val="3"/>
        <charset val="129"/>
      </rPr>
      <t>〈0:0, G*X)</t>
    </r>
    <phoneticPr fontId="3" type="noConversion"/>
  </si>
  <si>
    <r>
      <t>민간지분
(G2=G</t>
    </r>
    <r>
      <rPr>
        <b/>
        <sz val="10"/>
        <color theme="1"/>
        <rFont val="맑은 고딕"/>
        <family val="3"/>
        <charset val="129"/>
      </rPr>
      <t>〈0:G, G*Y)</t>
    </r>
    <phoneticPr fontId="3" type="noConversion"/>
  </si>
  <si>
    <t>정부지분
(H1=X*H)</t>
    <phoneticPr fontId="3" type="noConversion"/>
  </si>
  <si>
    <t>2. 개발사업비 사용현황 - 참여기업</t>
    <phoneticPr fontId="3" type="noConversion"/>
  </si>
  <si>
    <t>성명</t>
    <phoneticPr fontId="22" type="noConversion"/>
  </si>
  <si>
    <t>불인정액</t>
    <phoneticPr fontId="22" type="noConversion"/>
  </si>
  <si>
    <t>현금/현물</t>
    <phoneticPr fontId="22" type="noConversion"/>
  </si>
  <si>
    <t>협약변경내용</t>
    <phoneticPr fontId="22" type="noConversion"/>
  </si>
  <si>
    <t>월 인건비(차감지급액)</t>
    <phoneticPr fontId="3" type="noConversion"/>
  </si>
  <si>
    <t>월 인건비(총급여) (1)</t>
    <phoneticPr fontId="3" type="noConversion"/>
  </si>
  <si>
    <t>한도액 (3)=(1)x(2)</t>
    <phoneticPr fontId="3" type="noConversion"/>
  </si>
  <si>
    <t>(단위 : 원)</t>
    <phoneticPr fontId="3" type="noConversion"/>
  </si>
  <si>
    <t>n/a</t>
    <phoneticPr fontId="3" type="noConversion"/>
  </si>
  <si>
    <t>1차년도</t>
    <phoneticPr fontId="22" type="noConversion"/>
  </si>
  <si>
    <t>합계</t>
    <phoneticPr fontId="3" type="noConversion"/>
  </si>
  <si>
    <t>Smtech 등록 참여율 (2)</t>
    <phoneticPr fontId="3" type="noConversion"/>
  </si>
  <si>
    <t>Smtech 등록 인건비(현금)</t>
    <phoneticPr fontId="3" type="noConversion"/>
  </si>
  <si>
    <t>Smtech 등록 인건비(현물)</t>
    <phoneticPr fontId="3" type="noConversion"/>
  </si>
  <si>
    <t>비고</t>
    <phoneticPr fontId="22" type="noConversion"/>
  </si>
  <si>
    <t xml:space="preserve">해당월 급여명세서상 총급여액 기재 (소득세 공제전, 4대보험 개인부담분 공제전) </t>
    <phoneticPr fontId="3" type="noConversion"/>
  </si>
  <si>
    <t xml:space="preserve">해당월 급여명세서의 실제 지급액 기재 (소득세 공제후, 4대보험 개인부담금 공제후) </t>
    <phoneticPr fontId="3" type="noConversion"/>
  </si>
  <si>
    <t>17년 7월</t>
    <phoneticPr fontId="3" type="noConversion"/>
  </si>
  <si>
    <t>17년 8월</t>
    <phoneticPr fontId="3" type="noConversion"/>
  </si>
  <si>
    <t>김기술</t>
    <phoneticPr fontId="3" type="noConversion"/>
  </si>
  <si>
    <t>2. 참여인원별로 작성합니다.</t>
    <phoneticPr fontId="3" type="noConversion"/>
  </si>
  <si>
    <t>3. 현물/현금 : 현금인건비 대상인 경우 "현금", 현물인건비 대상 인원이 경우 "현물"</t>
    <phoneticPr fontId="3" type="noConversion"/>
  </si>
  <si>
    <t>4. 협약변경 내용 : 당초 협약대비 참여기간의 변동이 있거나, 참여율의 변동이 있는 경우 기재.(ex. 3월 참여 / 4월 종료)</t>
    <phoneticPr fontId="3" type="noConversion"/>
  </si>
  <si>
    <t>8월부터 참여율 33.5%→20.0%</t>
    <phoneticPr fontId="3" type="noConversion"/>
  </si>
  <si>
    <t>Smtech에 등록된 해당인원의 해당월 참여율</t>
    <phoneticPr fontId="3" type="noConversion"/>
  </si>
  <si>
    <t>Smtech에 등록된 해당인원의 해당월 인건비(현금) 집행액</t>
    <phoneticPr fontId="3" type="noConversion"/>
  </si>
  <si>
    <t>Smtech에 등록된 해당인원의 해당월 인건비(현물) 집행액</t>
    <phoneticPr fontId="3" type="noConversion"/>
  </si>
  <si>
    <t>김xx</t>
    <phoneticPr fontId="3" type="noConversion"/>
  </si>
  <si>
    <t>박xx</t>
    <phoneticPr fontId="3" type="noConversion"/>
  </si>
  <si>
    <t>4대보험 사업자부담분(2)</t>
    <phoneticPr fontId="3" type="noConversion"/>
  </si>
  <si>
    <t>Smtech 등록 참여율 (4)</t>
    <phoneticPr fontId="3" type="noConversion"/>
  </si>
  <si>
    <t>한도액 (5)={(1)+(2)+(3)}x(4)</t>
    <phoneticPr fontId="3" type="noConversion"/>
  </si>
  <si>
    <t>퇴직급여/12 (3)</t>
    <phoneticPr fontId="3" type="noConversion"/>
  </si>
  <si>
    <t>&lt;4대보험 사업자분 및 퇴직급여포함&gt;</t>
    <phoneticPr fontId="3" type="noConversion"/>
  </si>
  <si>
    <t>현금/현물</t>
    <phoneticPr fontId="22" type="noConversion"/>
  </si>
  <si>
    <t xml:space="preserve">해당월 급여명세서의 실제 4대보험 사업자 부담분 </t>
    <phoneticPr fontId="3" type="noConversion"/>
  </si>
  <si>
    <t>예상 퇴직금의 1개월치(1개월 미만인 경우 일할계산)</t>
    <phoneticPr fontId="3" type="noConversion"/>
  </si>
  <si>
    <t xml:space="preserve">1. 매달 작성하여야 하나요? </t>
    <phoneticPr fontId="3" type="noConversion"/>
  </si>
  <si>
    <t>질문</t>
    <phoneticPr fontId="3" type="noConversion"/>
  </si>
  <si>
    <t>답변</t>
    <phoneticPr fontId="3" type="noConversion"/>
  </si>
  <si>
    <t>2. RCMS 업로드는 어떻게 하나요?</t>
    <phoneticPr fontId="3" type="noConversion"/>
  </si>
  <si>
    <t xml:space="preserve">인건비 변동으로 인한 불인정금액이 발생할 가능성이 있으므로, 불인정금액 관리차원에서라도 </t>
    <phoneticPr fontId="3" type="noConversion"/>
  </si>
  <si>
    <t>매달 작성하시는것을 추천드립니다.</t>
    <phoneticPr fontId="3" type="noConversion"/>
  </si>
  <si>
    <t xml:space="preserve">=&gt; 인건비 지급 시(보통 매달) 작성하시는것이 좋습니다. 종료 시 한꺼번에 작성하실 경우 </t>
    <phoneticPr fontId="3" type="noConversion"/>
  </si>
  <si>
    <t>RCMS 지출 인건비(현금)</t>
  </si>
  <si>
    <t>RCMS 지출 인건비(현금)</t>
    <phoneticPr fontId="3" type="noConversion"/>
  </si>
  <si>
    <t>RCMS 등록 인건비(현물)</t>
  </si>
  <si>
    <t>RCMS 등록 인건비(현물)</t>
    <phoneticPr fontId="3" type="noConversion"/>
  </si>
  <si>
    <t>현금</t>
    <phoneticPr fontId="3" type="noConversion"/>
  </si>
  <si>
    <t>현물</t>
    <phoneticPr fontId="3" type="noConversion"/>
  </si>
  <si>
    <t>사업비소요명세서상 인건비 금액</t>
  </si>
  <si>
    <t>RCMS 등록 인건비(현금)</t>
    <phoneticPr fontId="3" type="noConversion"/>
  </si>
  <si>
    <t>현금</t>
    <phoneticPr fontId="3" type="noConversion"/>
  </si>
  <si>
    <t>현물</t>
    <phoneticPr fontId="3" type="noConversion"/>
  </si>
  <si>
    <t>1. 주관기관, 참여기업, 위탁기관 등 인건비 집행액(현금 및 현물 포함)이 있는 경우 모두 작성 대상입니다. - 학생통합인건비관리시스템을 사용하는 기관은 제외</t>
    <phoneticPr fontId="3" type="noConversion"/>
  </si>
  <si>
    <t>[작성 주의사항]</t>
    <phoneticPr fontId="3" type="noConversion"/>
  </si>
  <si>
    <t>[작성 방법]</t>
    <phoneticPr fontId="3" type="noConversion"/>
  </si>
  <si>
    <t>구분</t>
    <phoneticPr fontId="3" type="noConversion"/>
  </si>
  <si>
    <t>구분</t>
    <phoneticPr fontId="3" type="noConversion"/>
  </si>
  <si>
    <t>주관기관</t>
    <phoneticPr fontId="3" type="noConversion"/>
  </si>
  <si>
    <t>인력구분</t>
    <phoneticPr fontId="3" type="noConversion"/>
  </si>
  <si>
    <t>기존인력</t>
    <phoneticPr fontId="3" type="noConversion"/>
  </si>
  <si>
    <t>신규인력</t>
    <phoneticPr fontId="3" type="noConversion"/>
  </si>
  <si>
    <t>성명</t>
    <phoneticPr fontId="3" type="noConversion"/>
  </si>
  <si>
    <t>직위</t>
    <phoneticPr fontId="3" type="noConversion"/>
  </si>
  <si>
    <t>과장</t>
    <phoneticPr fontId="3" type="noConversion"/>
  </si>
  <si>
    <t>채용예정</t>
    <phoneticPr fontId="3" type="noConversion"/>
  </si>
  <si>
    <t>대리</t>
    <phoneticPr fontId="3" type="noConversion"/>
  </si>
  <si>
    <r>
      <t xml:space="preserve">실지급액
(연봉/12)
</t>
    </r>
    <r>
      <rPr>
        <b/>
        <sz val="11"/>
        <color theme="1"/>
        <rFont val="HY신명조"/>
        <family val="1"/>
        <charset val="129"/>
      </rPr>
      <t>(A)</t>
    </r>
    <phoneticPr fontId="3" type="noConversion"/>
  </si>
  <si>
    <r>
      <t xml:space="preserve">참여율
(%)
</t>
    </r>
    <r>
      <rPr>
        <b/>
        <sz val="11"/>
        <color theme="1"/>
        <rFont val="HY신명조"/>
        <family val="1"/>
        <charset val="129"/>
      </rPr>
      <t>(B)</t>
    </r>
    <phoneticPr fontId="3" type="noConversion"/>
  </si>
  <si>
    <r>
      <t xml:space="preserve">참여기간
(월)
</t>
    </r>
    <r>
      <rPr>
        <b/>
        <sz val="11"/>
        <color theme="1"/>
        <rFont val="HY신명조"/>
        <family val="1"/>
        <charset val="129"/>
      </rPr>
      <t>(C)</t>
    </r>
    <phoneticPr fontId="3" type="noConversion"/>
  </si>
  <si>
    <r>
      <t>합계</t>
    </r>
    <r>
      <rPr>
        <b/>
        <sz val="11"/>
        <color theme="1"/>
        <rFont val="HY신명조"/>
        <family val="1"/>
        <charset val="129"/>
      </rPr>
      <t>(AxBxC/100)</t>
    </r>
    <phoneticPr fontId="3" type="noConversion"/>
  </si>
  <si>
    <t>내부
인건비</t>
    <phoneticPr fontId="3" type="noConversion"/>
  </si>
  <si>
    <t>인건비 소요명세</t>
    <phoneticPr fontId="3" type="noConversion"/>
  </si>
  <si>
    <t>(단위: 천원)</t>
    <phoneticPr fontId="3" type="noConversion"/>
  </si>
  <si>
    <t>(참고 2) 급여대장</t>
    <phoneticPr fontId="3" type="noConversion"/>
  </si>
  <si>
    <t>(참고1)  인건비 소요명세서</t>
    <phoneticPr fontId="3" type="noConversion"/>
  </si>
  <si>
    <t>(참고 3) 이체증명</t>
    <phoneticPr fontId="3" type="noConversion"/>
  </si>
  <si>
    <t>(작성예시)</t>
    <phoneticPr fontId="3" type="noConversion"/>
  </si>
  <si>
    <t>2. 최종 정산보고서에 포함되는 서식입니다.</t>
    <phoneticPr fontId="3" type="noConversion"/>
  </si>
  <si>
    <t>작성방법</t>
    <phoneticPr fontId="3" type="noConversion"/>
  </si>
  <si>
    <t>참고</t>
    <phoneticPr fontId="3" type="noConversion"/>
  </si>
  <si>
    <t>성명</t>
    <phoneticPr fontId="3" type="noConversion"/>
  </si>
  <si>
    <t>현금/현물</t>
    <phoneticPr fontId="3" type="noConversion"/>
  </si>
  <si>
    <t>현금, 현물, 현금/현물로 구분하여 기재</t>
    <phoneticPr fontId="3" type="noConversion"/>
  </si>
  <si>
    <t>사업비소요명세서 
상 인건비 금액</t>
    <phoneticPr fontId="3" type="noConversion"/>
  </si>
  <si>
    <t>참고 1</t>
    <phoneticPr fontId="3" type="noConversion"/>
  </si>
  <si>
    <t>협약변경내용</t>
    <phoneticPr fontId="3" type="noConversion"/>
  </si>
  <si>
    <t>월 인건비(총급여)</t>
    <phoneticPr fontId="3" type="noConversion"/>
  </si>
  <si>
    <t>해당월 급여명세서 상 총 급여액을 기재(소득세 공제전, 4대보험 개인부담분 공제전)</t>
    <phoneticPr fontId="3" type="noConversion"/>
  </si>
  <si>
    <t>참고 2</t>
    <phoneticPr fontId="3" type="noConversion"/>
  </si>
  <si>
    <t>참고 3</t>
    <phoneticPr fontId="3" type="noConversion"/>
  </si>
  <si>
    <t>월 인건비(차감지급액)</t>
    <phoneticPr fontId="3" type="noConversion"/>
  </si>
  <si>
    <t>한도액</t>
    <phoneticPr fontId="3" type="noConversion"/>
  </si>
  <si>
    <t>RCMS 등록 인건비(현금)</t>
    <phoneticPr fontId="3" type="noConversion"/>
  </si>
  <si>
    <t>RCMS 등록 인건비(현물)</t>
    <phoneticPr fontId="3" type="noConversion"/>
  </si>
  <si>
    <t>8월부터 참여율 30%(현금 10%, 현물20%)→20.0%(현물 20%)</t>
    <phoneticPr fontId="3" type="noConversion"/>
  </si>
  <si>
    <t>현물 미출자</t>
    <phoneticPr fontId="4" type="noConversion"/>
  </si>
  <si>
    <t>참여연구자현황표</t>
  </si>
  <si>
    <t>[참여연구자현황표 작성이유]</t>
  </si>
  <si>
    <t>1. 연구기간 전체에 대한 참여연구자에게 대한 지급 인건비를 검토하고 확인하는 목적으로 사용합니다.</t>
  </si>
  <si>
    <t>[참여연구자현황표에 대하여 자주 하는 질문]</t>
  </si>
  <si>
    <t>=&gt; 수행기관에서 RCMS로 참여연구자현황표를 엑셀형태로 업로드 해주세요.</t>
  </si>
  <si>
    <t>참여연구자 성명 기재</t>
  </si>
  <si>
    <t>참여연구자 현황표</t>
    <phoneticPr fontId="3" type="noConversion"/>
  </si>
  <si>
    <t>인건비 계상률 (2)</t>
  </si>
  <si>
    <t>참여자별 인건비 사용 예산금액</t>
    <phoneticPr fontId="22" type="noConversion"/>
  </si>
  <si>
    <t>인건비 계상률 (4)</t>
  </si>
  <si>
    <t>인건비 계상률 (2)</t>
    <phoneticPr fontId="3" type="noConversion"/>
  </si>
  <si>
    <t>붙임. 사업비 소요명세서 상 금액 기재(인력변동이 있는 경우 변경후 금액 기재) / 연구개발비검증양식 상 인별 금액 / 수행기관에서 인별로 배분예상 금액</t>
    <phoneticPr fontId="3" type="noConversion"/>
  </si>
  <si>
    <t>&lt;= "참여연구자현황표(일반)"으로 한도초과가 발생하지 않는 경우 작성하지 않아도됨. 두가지 버전중에 선택하여 작성</t>
    <phoneticPr fontId="3" type="noConversion"/>
  </si>
  <si>
    <t xml:space="preserve">5. 협약시 사용자부담분 등을 포함한 수행기관 :  "참여연구자현황표(4대보험 포함)"를 작성  </t>
    <phoneticPr fontId="3" type="noConversion"/>
  </si>
  <si>
    <t>협약 등</t>
    <phoneticPr fontId="22" type="noConversion"/>
  </si>
  <si>
    <r>
      <t>해당월 급여명세서의 실제 지급액 기재 (소득세 공제후, 4대보험 개인부담금 공제후)/</t>
    </r>
    <r>
      <rPr>
        <b/>
        <sz val="11"/>
        <color rgb="FFFF0000"/>
        <rFont val="맑은 고딕"/>
        <family val="3"/>
        <charset val="129"/>
        <scheme val="minor"/>
      </rPr>
      <t xml:space="preserve"> 실제 이체금액 합계와 일치하여야 함.</t>
    </r>
    <phoneticPr fontId="3" type="noConversion"/>
  </si>
  <si>
    <t>SMTECH 등록 인건비 계상률</t>
    <phoneticPr fontId="3" type="noConversion"/>
  </si>
  <si>
    <t>SMTECH 상 등록된 인건비계상률로, 변경된 경우 반드시 SMTECH도 수정</t>
    <phoneticPr fontId="3" type="noConversion"/>
  </si>
  <si>
    <t>월 인건비 * 인건비계상률로 자동계산</t>
    <phoneticPr fontId="3" type="noConversion"/>
  </si>
  <si>
    <r>
      <t>RCMS에서 실제 집행한 현금 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</si>
  <si>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r>
      <t>RCMS상 입력된 현물인건비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</si>
  <si>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t>한도초과</t>
  </si>
  <si>
    <t>한도초과</t>
    <phoneticPr fontId="3" type="noConversion"/>
  </si>
  <si>
    <t xml:space="preserve"> O  ㈜XX 인건비 소요명세 변경비교표</t>
    <phoneticPr fontId="3" type="noConversion"/>
  </si>
  <si>
    <t>구  분</t>
    <phoneticPr fontId="3" type="noConversion"/>
  </si>
  <si>
    <t>변경 전</t>
    <phoneticPr fontId="3" type="noConversion"/>
  </si>
  <si>
    <t>변경 후</t>
    <phoneticPr fontId="3" type="noConversion"/>
  </si>
  <si>
    <t>인력
구분</t>
    <phoneticPr fontId="3" type="noConversion"/>
  </si>
  <si>
    <t>실지급액</t>
    <phoneticPr fontId="3" type="noConversion"/>
  </si>
  <si>
    <t>참여율</t>
    <phoneticPr fontId="3" type="noConversion"/>
  </si>
  <si>
    <t>참여기간</t>
    <phoneticPr fontId="3" type="noConversion"/>
  </si>
  <si>
    <t>합 계 (AxBxC/100)</t>
    <phoneticPr fontId="3" type="noConversion"/>
  </si>
  <si>
    <t>(연봉/12)</t>
    <phoneticPr fontId="3" type="noConversion"/>
  </si>
  <si>
    <t>(%)</t>
    <phoneticPr fontId="3" type="noConversion"/>
  </si>
  <si>
    <t>(월)</t>
    <phoneticPr fontId="3" type="noConversion"/>
  </si>
  <si>
    <t>(A)</t>
    <phoneticPr fontId="3" type="noConversion"/>
  </si>
  <si>
    <t>(B)</t>
    <phoneticPr fontId="3" type="noConversion"/>
  </si>
  <si>
    <t>(C)</t>
    <phoneticPr fontId="3" type="noConversion"/>
  </si>
  <si>
    <t>1차연도</t>
    <phoneticPr fontId="3" type="noConversion"/>
  </si>
  <si>
    <t>내부인건비</t>
    <phoneticPr fontId="3" type="noConversion"/>
  </si>
  <si>
    <t xml:space="preserve">대표 </t>
  </si>
  <si>
    <t>소  계</t>
    <phoneticPr fontId="3" type="noConversion"/>
  </si>
  <si>
    <t>외부
인건비</t>
    <phoneticPr fontId="3" type="noConversion"/>
  </si>
  <si>
    <t>-</t>
    <phoneticPr fontId="3" type="noConversion"/>
  </si>
  <si>
    <t>연구지원인력 인건비
(비영리만 해당)</t>
    <phoneticPr fontId="3" type="noConversion"/>
  </si>
  <si>
    <t>합  계</t>
    <phoneticPr fontId="3" type="noConversion"/>
  </si>
  <si>
    <t>합  계</t>
  </si>
  <si>
    <t>2차
년도</t>
    <phoneticPr fontId="3" type="noConversion"/>
  </si>
  <si>
    <t xml:space="preserve">6. 신규인력 인건비로 편성된 예산은 사용에 주의가 필요함. 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</si>
  <si>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청년의무고용/의무채용/ 민간부담금 현물대체은 표기</t>
    </r>
    <r>
      <rPr>
        <sz val="11"/>
        <color theme="1"/>
        <rFont val="맑은 고딕"/>
        <family val="3"/>
        <charset val="129"/>
        <scheme val="minor"/>
      </rPr>
      <t xml:space="preserve"> / 과제 진행 중 변경된 내용을 누적적으로 기재 (참여율, 기간, 인원변경 등)</t>
    </r>
    <phoneticPr fontId="3" type="noConversion"/>
  </si>
  <si>
    <t>소계</t>
    <phoneticPr fontId="3" type="noConversion"/>
  </si>
  <si>
    <t xml:space="preserve">   '- 신규인력(의무채용이 아닌 신규인건비)  : 신규인건비로 사용하여야 하며, 신규인력에 대한 현금 계상인건비를 감액하는 경우 전문기관 승인을 반드시 득하여야 함. </t>
    <phoneticPr fontId="3" type="noConversion"/>
  </si>
  <si>
    <t>24년 7월</t>
  </si>
  <si>
    <t>24년 7월</t>
    <phoneticPr fontId="3" type="noConversion"/>
  </si>
  <si>
    <t>24년 8월</t>
  </si>
  <si>
    <t>24년 9월</t>
  </si>
  <si>
    <t>24년 10월</t>
  </si>
  <si>
    <t>24년 11월</t>
  </si>
  <si>
    <t>24년 12월</t>
  </si>
  <si>
    <t xml:space="preserve">   '- 신규인력(의무채용) : 의무채용 조건이 충족되는 인력에게만 사용하여야 하며, 타 비용으로는 사용 불가</t>
    <phoneticPr fontId="3" type="noConversion"/>
  </si>
  <si>
    <t>작성일자 : 2024. 06. 17.</t>
    <phoneticPr fontId="3" type="noConversion"/>
  </si>
  <si>
    <t>24년 1월</t>
    <phoneticPr fontId="3" type="noConversion"/>
  </si>
  <si>
    <t>24년 2월</t>
  </si>
  <si>
    <t>24년 3월</t>
  </si>
  <si>
    <t>24년 4월</t>
  </si>
  <si>
    <t>24년 5월</t>
  </si>
  <si>
    <t>24년 6월</t>
  </si>
  <si>
    <t>* 개인사업자대표로 월평균상용근로자임금을 적용하는 경우 표하단에 해당 내용을 기재해주세요.</t>
    <phoneticPr fontId="3" type="noConversion"/>
  </si>
  <si>
    <t>기존</t>
    <phoneticPr fontId="3" type="noConversion"/>
  </si>
  <si>
    <t>신규(청년의무)</t>
    <phoneticPr fontId="3" type="noConversion"/>
  </si>
  <si>
    <t>신규</t>
    <phoneticPr fontId="3" type="noConversion"/>
  </si>
  <si>
    <t>1. 주관기관 : ABCDE (1차연도)</t>
    <phoneticPr fontId="3" type="noConversion"/>
  </si>
  <si>
    <t xml:space="preserve">* 주의사항 : 신규인력인건비는 변경 시 전문기관의 승인이 필요합니다. 기존인력인건비와 구분하여 신규인력에게만 사용해주세요. </t>
    <phoneticPr fontId="3" type="noConversion"/>
  </si>
  <si>
    <t>신규
인력/
신규(청년)</t>
    <phoneticPr fontId="3" type="noConversion"/>
  </si>
  <si>
    <t>1. 주관기관 : 젝사젠 주식회사 (1차연도)</t>
    <phoneticPr fontId="3" type="noConversion"/>
  </si>
  <si>
    <t>장길석</t>
    <phoneticPr fontId="3" type="noConversion"/>
  </si>
  <si>
    <t>김현기</t>
    <phoneticPr fontId="3" type="noConversion"/>
  </si>
  <si>
    <t>한태현</t>
    <phoneticPr fontId="3" type="noConversion"/>
  </si>
  <si>
    <t>박문식</t>
    <phoneticPr fontId="3" type="noConversion"/>
  </si>
  <si>
    <t>수석</t>
    <phoneticPr fontId="3" type="noConversion"/>
  </si>
  <si>
    <t>선임</t>
    <phoneticPr fontId="3" type="noConversion"/>
  </si>
  <si>
    <t>박문식</t>
    <phoneticPr fontId="3" type="noConversion"/>
  </si>
  <si>
    <t>대표</t>
    <phoneticPr fontId="3" type="noConversion"/>
  </si>
  <si>
    <t>장길석</t>
    <phoneticPr fontId="3" type="noConversion"/>
  </si>
  <si>
    <t>수석</t>
    <phoneticPr fontId="3" type="noConversion"/>
  </si>
  <si>
    <t>김현기</t>
    <phoneticPr fontId="3" type="noConversion"/>
  </si>
  <si>
    <t>한태현</t>
    <phoneticPr fontId="3" type="noConversion"/>
  </si>
  <si>
    <t>선임</t>
    <phoneticPr fontId="3" type="noConversion"/>
  </si>
  <si>
    <t>계산이 딱 떨어지지않아, 50,895,000원까지만 집행할 예정입니다.</t>
    <phoneticPr fontId="3" type="noConversion"/>
  </si>
  <si>
    <t>작성일자 : 2025. 02. 13</t>
    <phoneticPr fontId="3" type="noConversion"/>
  </si>
  <si>
    <t>1. 주관기관 : 젝사젠 주식회사 (2차연도)</t>
    <phoneticPr fontId="3" type="noConversion"/>
  </si>
  <si>
    <t>25년 1월</t>
    <phoneticPr fontId="3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</si>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</sst>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&quot;₩&quot;* #,##0_-;\-&quot;₩&quot;* #,##0_-;_-&quot;₩&quot;* &quot;-&quot;_-;_-@_-"/>
    <numFmt numFmtId="177" formatCode="_-* #,##0_-;\-* #,##0_-;_-* &quot;-&quot;_-;_-@_-"/>
    <numFmt numFmtId="178" formatCode="0.0000_ "/>
    <numFmt numFmtId="179" formatCode="_-* #,##0_-;\-* #,##0_-;_-* &quot;-&quot;??_-;_-@_-"/>
    <numFmt numFmtId="180" formatCode="#,##0;[Red]\-#,##0;\-"/>
    <numFmt numFmtId="181" formatCode="yyyy&quot;년&quot;\ m&quot;월&quot;;@"/>
    <numFmt numFmtId="182" formatCode="0.0%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한양중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바탕체"/>
      <family val="1"/>
      <charset val="129"/>
    </font>
    <font>
      <sz val="9"/>
      <color indexed="8"/>
      <name val="굴림체"/>
      <family val="3"/>
      <charset val="129"/>
    </font>
    <font>
      <u/>
      <sz val="11"/>
      <color theme="10"/>
      <name val="돋움"/>
      <family val="3"/>
      <charset val="129"/>
    </font>
    <font>
      <sz val="10"/>
      <color theme="1"/>
      <name val="함초롬바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i/>
      <sz val="12"/>
      <name val="맑은 고딕"/>
      <family val="3"/>
      <charset val="129"/>
    </font>
    <font>
      <i/>
      <sz val="11"/>
      <name val="맑은 고딕"/>
      <family val="3"/>
      <charset val="129"/>
    </font>
    <font>
      <sz val="1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4622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2" fillId="0" borderId="0" applyNumberFormat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2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2" fillId="0" borderId="0" applyNumberFormat="0" applyFont="0" applyFill="0" applyBorder="0" applyAlignment="0" applyProtection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433">
    <xf numFmtId="0" fontId="0" fillId="0" borderId="0" xfId="0">
      <alignment vertical="center"/>
    </xf>
    <xf numFmtId="0" fontId="5" fillId="0" borderId="0" xfId="2" applyFont="1">
      <alignment vertical="center"/>
    </xf>
    <xf numFmtId="0" fontId="6" fillId="0" borderId="0" xfId="2" quotePrefix="1" applyFont="1">
      <alignment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77" fontId="8" fillId="0" borderId="0" xfId="3" applyFont="1">
      <alignment vertical="center"/>
    </xf>
    <xf numFmtId="0" fontId="7" fillId="0" borderId="0" xfId="2" applyFont="1" applyAlignment="1">
      <alignment horizontal="left" vertical="center"/>
    </xf>
    <xf numFmtId="177" fontId="5" fillId="0" borderId="0" xfId="2" applyNumberFormat="1" applyFont="1">
      <alignment vertical="center"/>
    </xf>
    <xf numFmtId="177" fontId="8" fillId="0" borderId="0" xfId="3" applyFont="1" applyAlignment="1">
      <alignment horizontal="center" vertical="center"/>
    </xf>
    <xf numFmtId="0" fontId="7" fillId="0" borderId="0" xfId="2" applyFont="1" applyAlignment="1">
      <alignment vertical="center" wrapText="1"/>
    </xf>
    <xf numFmtId="177" fontId="5" fillId="0" borderId="0" xfId="3" applyFont="1">
      <alignment vertical="center"/>
    </xf>
    <xf numFmtId="177" fontId="5" fillId="0" borderId="0" xfId="4" applyFont="1">
      <alignment vertical="center"/>
    </xf>
    <xf numFmtId="179" fontId="5" fillId="0" borderId="0" xfId="2" applyNumberFormat="1" applyFont="1">
      <alignment vertical="center"/>
    </xf>
    <xf numFmtId="0" fontId="5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8" fillId="0" borderId="0" xfId="2" applyFont="1">
      <alignment vertical="center"/>
    </xf>
    <xf numFmtId="0" fontId="19" fillId="0" borderId="0" xfId="3380" applyFont="1">
      <alignment vertical="center"/>
    </xf>
    <xf numFmtId="0" fontId="20" fillId="0" borderId="0" xfId="3380" applyFont="1">
      <alignment vertical="center"/>
    </xf>
    <xf numFmtId="0" fontId="24" fillId="0" borderId="0" xfId="3380" applyFont="1" applyAlignment="1">
      <alignment vertical="center" wrapText="1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 wrapText="1"/>
    </xf>
    <xf numFmtId="0" fontId="5" fillId="0" borderId="0" xfId="2" applyFont="1" applyAlignment="1">
      <alignment horizontal="right"/>
    </xf>
    <xf numFmtId="177" fontId="7" fillId="2" borderId="1" xfId="3" applyFont="1" applyFill="1" applyBorder="1" applyAlignment="1">
      <alignment horizontal="center" vertical="center"/>
    </xf>
    <xf numFmtId="177" fontId="10" fillId="5" borderId="1" xfId="2" applyNumberFormat="1" applyFont="1" applyFill="1" applyBorder="1" applyAlignment="1">
      <alignment horizontal="center" vertical="center"/>
    </xf>
    <xf numFmtId="0" fontId="25" fillId="0" borderId="0" xfId="3380" applyFont="1">
      <alignment vertical="center"/>
    </xf>
    <xf numFmtId="0" fontId="20" fillId="0" borderId="1" xfId="3380" applyFont="1" applyBorder="1">
      <alignment vertical="center"/>
    </xf>
    <xf numFmtId="180" fontId="20" fillId="0" borderId="1" xfId="3380" applyNumberFormat="1" applyFont="1" applyBorder="1" applyAlignment="1">
      <alignment horizontal="right" vertical="center"/>
    </xf>
    <xf numFmtId="0" fontId="20" fillId="4" borderId="1" xfId="3380" applyFont="1" applyFill="1" applyBorder="1">
      <alignment vertical="center"/>
    </xf>
    <xf numFmtId="180" fontId="20" fillId="4" borderId="1" xfId="3380" applyNumberFormat="1" applyFont="1" applyFill="1" applyBorder="1" applyAlignment="1">
      <alignment horizontal="right" vertical="center"/>
    </xf>
    <xf numFmtId="0" fontId="20" fillId="0" borderId="0" xfId="3380" applyFont="1" applyAlignment="1">
      <alignment horizontal="right" vertical="center"/>
    </xf>
    <xf numFmtId="0" fontId="26" fillId="0" borderId="1" xfId="0" applyFont="1" applyBorder="1">
      <alignment vertical="center"/>
    </xf>
    <xf numFmtId="0" fontId="7" fillId="0" borderId="0" xfId="0" applyFont="1">
      <alignment vertical="center"/>
    </xf>
    <xf numFmtId="0" fontId="30" fillId="0" borderId="0" xfId="3380" applyFont="1">
      <alignment vertical="center"/>
    </xf>
    <xf numFmtId="180" fontId="32" fillId="0" borderId="1" xfId="3380" applyNumberFormat="1" applyFont="1" applyBorder="1" applyAlignment="1">
      <alignment horizontal="right" vertical="center"/>
    </xf>
    <xf numFmtId="182" fontId="32" fillId="0" borderId="1" xfId="4620" applyNumberFormat="1" applyFont="1" applyBorder="1" applyAlignment="1">
      <alignment horizontal="right" vertical="center"/>
    </xf>
    <xf numFmtId="180" fontId="33" fillId="4" borderId="1" xfId="338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177" fontId="29" fillId="0" borderId="9" xfId="4621" applyFont="1" applyBorder="1" applyAlignment="1">
      <alignment vertical="center"/>
    </xf>
    <xf numFmtId="177" fontId="29" fillId="0" borderId="12" xfId="4621" applyFont="1" applyBorder="1" applyAlignment="1">
      <alignment vertical="center"/>
    </xf>
    <xf numFmtId="177" fontId="29" fillId="0" borderId="11" xfId="4621" applyFont="1" applyBorder="1" applyAlignment="1">
      <alignment vertical="center"/>
    </xf>
    <xf numFmtId="0" fontId="37" fillId="0" borderId="0" xfId="0" applyFont="1">
      <alignment vertical="center"/>
    </xf>
    <xf numFmtId="177" fontId="37" fillId="0" borderId="0" xfId="0" applyNumberFormat="1" applyFont="1">
      <alignment vertical="center"/>
    </xf>
    <xf numFmtId="0" fontId="37" fillId="0" borderId="1" xfId="0" applyFont="1" applyBorder="1">
      <alignment vertical="center"/>
    </xf>
    <xf numFmtId="0" fontId="37" fillId="0" borderId="11" xfId="0" applyFont="1" applyBorder="1">
      <alignment vertical="center"/>
    </xf>
    <xf numFmtId="177" fontId="37" fillId="0" borderId="11" xfId="4621" applyFont="1" applyBorder="1">
      <alignment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177" fontId="37" fillId="0" borderId="11" xfId="4621" applyFont="1" applyBorder="1" applyAlignment="1">
      <alignment horizontal="right" vertical="center"/>
    </xf>
    <xf numFmtId="177" fontId="37" fillId="0" borderId="22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177" fontId="37" fillId="0" borderId="19" xfId="0" applyNumberFormat="1" applyFont="1" applyBorder="1" applyAlignment="1">
      <alignment horizontal="right" vertical="center"/>
    </xf>
    <xf numFmtId="177" fontId="37" fillId="0" borderId="20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quotePrefix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181" fontId="6" fillId="2" borderId="1" xfId="3380" applyNumberFormat="1" applyFont="1" applyFill="1" applyBorder="1" applyAlignment="1">
      <alignment horizontal="center" vertical="center"/>
    </xf>
    <xf numFmtId="0" fontId="8" fillId="0" borderId="1" xfId="3380" applyBorder="1">
      <alignment vertical="center"/>
    </xf>
    <xf numFmtId="181" fontId="40" fillId="2" borderId="1" xfId="3380" applyNumberFormat="1" applyFont="1" applyFill="1" applyBorder="1" applyAlignment="1">
      <alignment horizontal="center" vertical="center"/>
    </xf>
    <xf numFmtId="180" fontId="26" fillId="6" borderId="1" xfId="3380" applyNumberFormat="1" applyFont="1" applyFill="1" applyBorder="1" applyAlignment="1">
      <alignment horizontal="right" vertical="center"/>
    </xf>
    <xf numFmtId="182" fontId="26" fillId="6" borderId="1" xfId="4620" applyNumberFormat="1" applyFont="1" applyFill="1" applyBorder="1" applyAlignment="1">
      <alignment horizontal="right" vertical="center"/>
    </xf>
    <xf numFmtId="0" fontId="8" fillId="4" borderId="1" xfId="3380" applyFill="1" applyBorder="1">
      <alignment vertical="center"/>
    </xf>
    <xf numFmtId="180" fontId="8" fillId="4" borderId="1" xfId="3380" applyNumberFormat="1" applyFill="1" applyBorder="1" applyAlignment="1">
      <alignment horizontal="right" vertical="center"/>
    </xf>
    <xf numFmtId="0" fontId="41" fillId="0" borderId="0" xfId="3380" applyFont="1">
      <alignment vertical="center"/>
    </xf>
    <xf numFmtId="180" fontId="20" fillId="0" borderId="9" xfId="3381" applyNumberFormat="1" applyFont="1" applyBorder="1" applyAlignment="1">
      <alignment vertical="center"/>
    </xf>
    <xf numFmtId="180" fontId="43" fillId="0" borderId="12" xfId="0" applyNumberFormat="1" applyFont="1" applyBorder="1">
      <alignment vertical="center"/>
    </xf>
    <xf numFmtId="180" fontId="43" fillId="0" borderId="11" xfId="0" applyNumberFormat="1" applyFont="1" applyBorder="1">
      <alignment vertical="center"/>
    </xf>
    <xf numFmtId="180" fontId="20" fillId="0" borderId="9" xfId="3380" applyNumberFormat="1" applyFont="1" applyBorder="1">
      <alignment vertical="center"/>
    </xf>
    <xf numFmtId="180" fontId="0" fillId="0" borderId="12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35" fillId="0" borderId="0" xfId="0" quotePrefix="1" applyFont="1">
      <alignment vertical="center"/>
    </xf>
    <xf numFmtId="180" fontId="27" fillId="2" borderId="1" xfId="3380" applyNumberFormat="1" applyFont="1" applyFill="1" applyBorder="1" applyAlignment="1">
      <alignment horizontal="right" vertical="center"/>
    </xf>
    <xf numFmtId="182" fontId="27" fillId="2" borderId="1" xfId="4620" applyNumberFormat="1" applyFont="1" applyFill="1" applyBorder="1" applyAlignment="1">
      <alignment horizontal="right" vertical="center"/>
    </xf>
    <xf numFmtId="180" fontId="20" fillId="2" borderId="1" xfId="3380" applyNumberFormat="1" applyFont="1" applyFill="1" applyBorder="1" applyAlignment="1">
      <alignment horizontal="right" vertical="center"/>
    </xf>
    <xf numFmtId="180" fontId="33" fillId="2" borderId="1" xfId="338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0" fontId="20" fillId="0" borderId="0" xfId="3380" applyNumberFormat="1" applyFont="1">
      <alignment vertical="center"/>
    </xf>
    <xf numFmtId="0" fontId="3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77" fontId="0" fillId="0" borderId="1" xfId="4621" applyFont="1" applyBorder="1" applyAlignment="1">
      <alignment horizontal="center" vertical="center"/>
    </xf>
    <xf numFmtId="9" fontId="0" fillId="0" borderId="1" xfId="4620" applyFont="1" applyBorder="1" applyAlignment="1">
      <alignment horizontal="center" vertical="center"/>
    </xf>
    <xf numFmtId="177" fontId="0" fillId="0" borderId="1" xfId="4621" applyFont="1" applyBorder="1">
      <alignment vertical="center"/>
    </xf>
    <xf numFmtId="177" fontId="0" fillId="0" borderId="2" xfId="4621" applyFon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177" fontId="0" fillId="0" borderId="17" xfId="4621" applyFont="1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9" xfId="4621" applyFont="1" applyBorder="1" applyAlignment="1">
      <alignment horizontal="center" vertical="center"/>
    </xf>
    <xf numFmtId="177" fontId="7" fillId="0" borderId="60" xfId="4621" applyFont="1" applyBorder="1">
      <alignment vertical="center"/>
    </xf>
    <xf numFmtId="177" fontId="7" fillId="0" borderId="61" xfId="4621" applyFont="1" applyBorder="1">
      <alignment vertical="center"/>
    </xf>
    <xf numFmtId="177" fontId="7" fillId="0" borderId="63" xfId="4621" applyFont="1" applyBorder="1">
      <alignment vertical="center"/>
    </xf>
    <xf numFmtId="177" fontId="0" fillId="0" borderId="7" xfId="4621" applyFont="1" applyBorder="1" applyAlignment="1">
      <alignment horizontal="center" vertical="center"/>
    </xf>
    <xf numFmtId="177" fontId="0" fillId="0" borderId="56" xfId="4621" applyFont="1" applyBorder="1" applyAlignment="1">
      <alignment horizontal="center" vertical="center"/>
    </xf>
    <xf numFmtId="177" fontId="0" fillId="0" borderId="2" xfId="4621" applyFont="1" applyBorder="1" applyAlignment="1">
      <alignment horizontal="center" vertical="center"/>
    </xf>
    <xf numFmtId="177" fontId="0" fillId="0" borderId="17" xfId="4621" applyFont="1" applyBorder="1" applyAlignment="1">
      <alignment horizontal="center" vertical="center"/>
    </xf>
    <xf numFmtId="177" fontId="7" fillId="0" borderId="79" xfId="4621" applyFont="1" applyBorder="1">
      <alignment vertical="center"/>
    </xf>
    <xf numFmtId="177" fontId="0" fillId="0" borderId="77" xfId="4621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34" fillId="0" borderId="9" xfId="3380" applyFont="1" applyBorder="1" applyAlignment="1">
      <alignment horizontal="center" vertical="center"/>
    </xf>
    <xf numFmtId="180" fontId="8" fillId="0" borderId="1" xfId="3380" applyNumberFormat="1" applyBorder="1" applyAlignment="1">
      <alignment horizontal="right" vertical="center"/>
    </xf>
    <xf numFmtId="0" fontId="34" fillId="0" borderId="12" xfId="0" applyFont="1" applyBorder="1" applyAlignment="1">
      <alignment horizontal="left" vertical="center"/>
    </xf>
    <xf numFmtId="177" fontId="34" fillId="0" borderId="12" xfId="4621" applyFont="1" applyFill="1" applyBorder="1" applyAlignment="1">
      <alignment horizontal="center" vertical="center"/>
    </xf>
    <xf numFmtId="182" fontId="8" fillId="0" borderId="1" xfId="4620" applyNumberFormat="1" applyFont="1" applyFill="1" applyBorder="1" applyAlignment="1">
      <alignment horizontal="right" vertical="center"/>
    </xf>
    <xf numFmtId="0" fontId="8" fillId="2" borderId="1" xfId="3380" applyFill="1" applyBorder="1">
      <alignment vertical="center"/>
    </xf>
    <xf numFmtId="180" fontId="8" fillId="2" borderId="1" xfId="3380" applyNumberFormat="1" applyFill="1" applyBorder="1" applyAlignment="1">
      <alignment horizontal="right" vertical="center"/>
    </xf>
    <xf numFmtId="0" fontId="46" fillId="7" borderId="0" xfId="0" applyFont="1" applyFill="1">
      <alignment vertical="center"/>
    </xf>
    <xf numFmtId="0" fontId="47" fillId="7" borderId="0" xfId="0" applyFont="1" applyFill="1">
      <alignment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8" borderId="50" xfId="0" quotePrefix="1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77" fontId="7" fillId="8" borderId="54" xfId="4621" applyFont="1" applyFill="1" applyBorder="1">
      <alignment vertical="center"/>
    </xf>
    <xf numFmtId="177" fontId="7" fillId="8" borderId="55" xfId="4621" applyFont="1" applyFill="1" applyBorder="1">
      <alignment vertical="center"/>
    </xf>
    <xf numFmtId="177" fontId="7" fillId="8" borderId="19" xfId="4621" applyFont="1" applyFill="1" applyBorder="1">
      <alignment vertical="center"/>
    </xf>
    <xf numFmtId="177" fontId="7" fillId="8" borderId="20" xfId="4621" applyFont="1" applyFill="1" applyBorder="1">
      <alignment vertical="center"/>
    </xf>
    <xf numFmtId="0" fontId="7" fillId="8" borderId="76" xfId="0" applyFont="1" applyFill="1" applyBorder="1" applyAlignment="1">
      <alignment horizontal="center" vertical="center"/>
    </xf>
    <xf numFmtId="177" fontId="7" fillId="8" borderId="78" xfId="4621" applyFont="1" applyFill="1" applyBorder="1">
      <alignment vertical="center"/>
    </xf>
    <xf numFmtId="177" fontId="0" fillId="0" borderId="1" xfId="462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4621" applyFont="1" applyBorder="1" applyAlignment="1">
      <alignment horizontal="center" vertical="center"/>
    </xf>
    <xf numFmtId="177" fontId="0" fillId="9" borderId="9" xfId="4621" applyFont="1" applyFill="1" applyBorder="1">
      <alignment vertical="center"/>
    </xf>
    <xf numFmtId="177" fontId="0" fillId="9" borderId="7" xfId="4621" applyFont="1" applyFill="1" applyBorder="1">
      <alignment vertical="center"/>
    </xf>
    <xf numFmtId="177" fontId="0" fillId="9" borderId="56" xfId="4621" applyFont="1" applyFill="1" applyBorder="1">
      <alignment vertical="center"/>
    </xf>
    <xf numFmtId="177" fontId="7" fillId="0" borderId="11" xfId="4621" applyFont="1" applyBorder="1">
      <alignment vertical="center"/>
    </xf>
    <xf numFmtId="177" fontId="7" fillId="0" borderId="30" xfId="4621" applyFont="1" applyBorder="1">
      <alignment vertical="center"/>
    </xf>
    <xf numFmtId="177" fontId="7" fillId="0" borderId="22" xfId="4621" applyFont="1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4" xfId="4621" applyFont="1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177" fontId="0" fillId="0" borderId="14" xfId="4621" applyFont="1" applyBorder="1">
      <alignment vertical="center"/>
    </xf>
    <xf numFmtId="177" fontId="0" fillId="0" borderId="85" xfId="4621" applyFont="1" applyBorder="1">
      <alignment vertical="center"/>
    </xf>
    <xf numFmtId="177" fontId="0" fillId="0" borderId="15" xfId="4621" applyFont="1" applyBorder="1">
      <alignment vertical="center"/>
    </xf>
    <xf numFmtId="177" fontId="0" fillId="10" borderId="19" xfId="4621" applyFont="1" applyFill="1" applyBorder="1">
      <alignment vertical="center"/>
    </xf>
    <xf numFmtId="177" fontId="0" fillId="10" borderId="87" xfId="4621" applyFont="1" applyFill="1" applyBorder="1">
      <alignment vertical="center"/>
    </xf>
    <xf numFmtId="177" fontId="0" fillId="10" borderId="20" xfId="4621" applyFont="1" applyFill="1" applyBorder="1">
      <alignment vertical="center"/>
    </xf>
    <xf numFmtId="177" fontId="0" fillId="0" borderId="81" xfId="4621" applyFont="1" applyBorder="1" applyAlignment="1">
      <alignment horizontal="center" vertical="center"/>
    </xf>
    <xf numFmtId="0" fontId="35" fillId="0" borderId="30" xfId="0" quotePrefix="1" applyFont="1" applyBorder="1">
      <alignment vertical="center"/>
    </xf>
    <xf numFmtId="0" fontId="35" fillId="6" borderId="7" xfId="0" applyFont="1" applyFill="1" applyBorder="1">
      <alignment vertical="center"/>
    </xf>
    <xf numFmtId="0" fontId="35" fillId="6" borderId="5" xfId="0" quotePrefix="1" applyFont="1" applyFill="1" applyBorder="1">
      <alignment vertical="center"/>
    </xf>
    <xf numFmtId="0" fontId="35" fillId="6" borderId="5" xfId="0" applyFont="1" applyFill="1" applyBorder="1">
      <alignment vertical="center"/>
    </xf>
    <xf numFmtId="0" fontId="8" fillId="6" borderId="5" xfId="0" applyFont="1" applyFill="1" applyBorder="1">
      <alignment vertical="center"/>
    </xf>
    <xf numFmtId="0" fontId="8" fillId="6" borderId="6" xfId="0" applyFont="1" applyFill="1" applyBorder="1">
      <alignment vertical="center"/>
    </xf>
    <xf numFmtId="0" fontId="35" fillId="6" borderId="10" xfId="0" applyFont="1" applyFill="1" applyBorder="1">
      <alignment vertical="center"/>
    </xf>
    <xf numFmtId="0" fontId="35" fillId="6" borderId="0" xfId="0" quotePrefix="1" applyFont="1" applyFill="1">
      <alignment vertical="center"/>
    </xf>
    <xf numFmtId="0" fontId="35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6" borderId="8" xfId="0" applyFont="1" applyFill="1" applyBorder="1">
      <alignment vertical="center"/>
    </xf>
    <xf numFmtId="0" fontId="35" fillId="6" borderId="30" xfId="0" applyFont="1" applyFill="1" applyBorder="1">
      <alignment vertical="center"/>
    </xf>
    <xf numFmtId="0" fontId="35" fillId="6" borderId="31" xfId="0" quotePrefix="1" applyFont="1" applyFill="1" applyBorder="1">
      <alignment vertical="center"/>
    </xf>
    <xf numFmtId="0" fontId="35" fillId="6" borderId="31" xfId="0" applyFont="1" applyFill="1" applyBorder="1">
      <alignment vertical="center"/>
    </xf>
    <xf numFmtId="0" fontId="8" fillId="6" borderId="31" xfId="0" applyFont="1" applyFill="1" applyBorder="1">
      <alignment vertical="center"/>
    </xf>
    <xf numFmtId="0" fontId="8" fillId="6" borderId="32" xfId="0" applyFont="1" applyFill="1" applyBorder="1">
      <alignment vertical="center"/>
    </xf>
    <xf numFmtId="0" fontId="7" fillId="0" borderId="94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77" fontId="29" fillId="11" borderId="1" xfId="4621" applyFont="1" applyFill="1" applyBorder="1" applyAlignment="1">
      <alignment vertical="center"/>
    </xf>
    <xf numFmtId="0" fontId="34" fillId="11" borderId="1" xfId="0" applyFont="1" applyFill="1" applyBorder="1" applyAlignment="1">
      <alignment horizontal="center" vertical="center"/>
    </xf>
    <xf numFmtId="0" fontId="20" fillId="11" borderId="1" xfId="3380" applyFont="1" applyFill="1" applyBorder="1">
      <alignment vertical="center"/>
    </xf>
    <xf numFmtId="180" fontId="32" fillId="11" borderId="1" xfId="3380" applyNumberFormat="1" applyFont="1" applyFill="1" applyBorder="1" applyAlignment="1">
      <alignment horizontal="right" vertical="center"/>
    </xf>
    <xf numFmtId="180" fontId="20" fillId="11" borderId="1" xfId="3380" applyNumberFormat="1" applyFont="1" applyFill="1" applyBorder="1" applyAlignment="1">
      <alignment horizontal="right" vertical="center"/>
    </xf>
    <xf numFmtId="180" fontId="43" fillId="11" borderId="12" xfId="0" applyNumberFormat="1" applyFont="1" applyFill="1" applyBorder="1">
      <alignment vertical="center"/>
    </xf>
    <xf numFmtId="177" fontId="29" fillId="12" borderId="1" xfId="4621" applyFont="1" applyFill="1" applyBorder="1" applyAlignment="1">
      <alignment vertical="center"/>
    </xf>
    <xf numFmtId="0" fontId="34" fillId="12" borderId="1" xfId="0" applyFont="1" applyFill="1" applyBorder="1" applyAlignment="1">
      <alignment horizontal="center" vertical="center"/>
    </xf>
    <xf numFmtId="0" fontId="20" fillId="12" borderId="1" xfId="3380" applyFont="1" applyFill="1" applyBorder="1">
      <alignment vertical="center"/>
    </xf>
    <xf numFmtId="180" fontId="32" fillId="12" borderId="1" xfId="3380" applyNumberFormat="1" applyFont="1" applyFill="1" applyBorder="1" applyAlignment="1">
      <alignment horizontal="right" vertical="center"/>
    </xf>
    <xf numFmtId="180" fontId="20" fillId="12" borderId="1" xfId="3380" applyNumberFormat="1" applyFont="1" applyFill="1" applyBorder="1" applyAlignment="1">
      <alignment horizontal="right" vertical="center"/>
    </xf>
    <xf numFmtId="180" fontId="0" fillId="12" borderId="12" xfId="0" applyNumberFormat="1" applyFill="1" applyBorder="1">
      <alignment vertical="center"/>
    </xf>
    <xf numFmtId="180" fontId="0" fillId="11" borderId="12" xfId="0" applyNumberFormat="1" applyFill="1" applyBorder="1">
      <alignment vertical="center"/>
    </xf>
    <xf numFmtId="177" fontId="29" fillId="11" borderId="9" xfId="4621" applyFont="1" applyFill="1" applyBorder="1" applyAlignment="1">
      <alignment vertical="center"/>
    </xf>
    <xf numFmtId="0" fontId="34" fillId="11" borderId="9" xfId="0" applyFont="1" applyFill="1" applyBorder="1" applyAlignment="1">
      <alignment horizontal="center" vertical="center"/>
    </xf>
    <xf numFmtId="0" fontId="20" fillId="11" borderId="9" xfId="3380" applyFont="1" applyFill="1" applyBorder="1">
      <alignment vertical="center"/>
    </xf>
    <xf numFmtId="180" fontId="32" fillId="11" borderId="9" xfId="3380" applyNumberFormat="1" applyFont="1" applyFill="1" applyBorder="1" applyAlignment="1">
      <alignment horizontal="right" vertical="center"/>
    </xf>
    <xf numFmtId="180" fontId="20" fillId="11" borderId="9" xfId="3380" applyNumberFormat="1" applyFont="1" applyFill="1" applyBorder="1" applyAlignment="1">
      <alignment horizontal="right" vertical="center"/>
    </xf>
    <xf numFmtId="180" fontId="0" fillId="12" borderId="9" xfId="0" applyNumberFormat="1" applyFill="1" applyBorder="1">
      <alignment vertical="center"/>
    </xf>
    <xf numFmtId="180" fontId="0" fillId="12" borderId="11" xfId="0" applyNumberFormat="1" applyFill="1" applyBorder="1">
      <alignment vertical="center"/>
    </xf>
    <xf numFmtId="180" fontId="45" fillId="0" borderId="96" xfId="0" applyNumberFormat="1" applyFont="1" applyBorder="1">
      <alignment vertical="center"/>
    </xf>
    <xf numFmtId="0" fontId="20" fillId="0" borderId="8" xfId="3380" applyFont="1" applyBorder="1">
      <alignment vertical="center"/>
    </xf>
    <xf numFmtId="181" fontId="31" fillId="8" borderId="1" xfId="3380" quotePrefix="1" applyNumberFormat="1" applyFont="1" applyFill="1" applyBorder="1" applyAlignment="1">
      <alignment horizontal="center" vertical="center"/>
    </xf>
    <xf numFmtId="180" fontId="27" fillId="13" borderId="1" xfId="3380" applyNumberFormat="1" applyFont="1" applyFill="1" applyBorder="1" applyAlignment="1">
      <alignment horizontal="right" vertical="center"/>
    </xf>
    <xf numFmtId="182" fontId="27" fillId="13" borderId="1" xfId="4620" applyNumberFormat="1" applyFont="1" applyFill="1" applyBorder="1" applyAlignment="1">
      <alignment horizontal="right" vertical="center"/>
    </xf>
    <xf numFmtId="180" fontId="20" fillId="13" borderId="1" xfId="3380" applyNumberFormat="1" applyFont="1" applyFill="1" applyBorder="1" applyAlignment="1">
      <alignment horizontal="right" vertical="center"/>
    </xf>
    <xf numFmtId="180" fontId="32" fillId="13" borderId="1" xfId="3380" applyNumberFormat="1" applyFont="1" applyFill="1" applyBorder="1" applyAlignment="1">
      <alignment horizontal="right" vertical="center"/>
    </xf>
    <xf numFmtId="182" fontId="32" fillId="13" borderId="1" xfId="4620" applyNumberFormat="1" applyFont="1" applyFill="1" applyBorder="1" applyAlignment="1">
      <alignment horizontal="right" vertical="center"/>
    </xf>
    <xf numFmtId="180" fontId="33" fillId="13" borderId="1" xfId="3380" applyNumberFormat="1" applyFont="1" applyFill="1" applyBorder="1" applyAlignment="1">
      <alignment horizontal="right" vertical="center"/>
    </xf>
    <xf numFmtId="177" fontId="20" fillId="2" borderId="9" xfId="4621" applyFont="1" applyFill="1" applyBorder="1" applyAlignment="1">
      <alignment vertical="center"/>
    </xf>
    <xf numFmtId="0" fontId="20" fillId="2" borderId="1" xfId="3380" applyFont="1" applyFill="1" applyBorder="1">
      <alignment vertical="center"/>
    </xf>
    <xf numFmtId="180" fontId="20" fillId="2" borderId="9" xfId="3381" applyNumberFormat="1" applyFont="1" applyFill="1" applyBorder="1" applyAlignment="1">
      <alignment vertical="center"/>
    </xf>
    <xf numFmtId="177" fontId="20" fillId="2" borderId="12" xfId="4621" applyFont="1" applyFill="1" applyBorder="1" applyAlignment="1">
      <alignment vertical="center"/>
    </xf>
    <xf numFmtId="0" fontId="20" fillId="2" borderId="8" xfId="3380" applyFont="1" applyFill="1" applyBorder="1">
      <alignment vertical="center"/>
    </xf>
    <xf numFmtId="182" fontId="33" fillId="2" borderId="1" xfId="4620" applyNumberFormat="1" applyFont="1" applyFill="1" applyBorder="1" applyAlignment="1">
      <alignment horizontal="right" vertical="center"/>
    </xf>
    <xf numFmtId="180" fontId="43" fillId="2" borderId="12" xfId="0" applyNumberFormat="1" applyFont="1" applyFill="1" applyBorder="1">
      <alignment vertical="center"/>
    </xf>
    <xf numFmtId="180" fontId="45" fillId="2" borderId="96" xfId="0" applyNumberFormat="1" applyFont="1" applyFill="1" applyBorder="1">
      <alignment vertical="center"/>
    </xf>
    <xf numFmtId="177" fontId="20" fillId="2" borderId="11" xfId="4621" applyFont="1" applyFill="1" applyBorder="1" applyAlignment="1">
      <alignment vertical="center"/>
    </xf>
    <xf numFmtId="180" fontId="43" fillId="2" borderId="11" xfId="0" applyNumberFormat="1" applyFont="1" applyFill="1" applyBorder="1">
      <alignment vertical="center"/>
    </xf>
    <xf numFmtId="180" fontId="32" fillId="8" borderId="1" xfId="3380" applyNumberFormat="1" applyFont="1" applyFill="1" applyBorder="1" applyAlignment="1">
      <alignment horizontal="right" vertical="center"/>
    </xf>
    <xf numFmtId="182" fontId="32" fillId="8" borderId="1" xfId="4620" applyNumberFormat="1" applyFont="1" applyFill="1" applyBorder="1" applyAlignment="1">
      <alignment horizontal="right" vertical="center"/>
    </xf>
    <xf numFmtId="180" fontId="33" fillId="8" borderId="1" xfId="3380" applyNumberFormat="1" applyFont="1" applyFill="1" applyBorder="1" applyAlignment="1">
      <alignment horizontal="right" vertical="center"/>
    </xf>
    <xf numFmtId="177" fontId="35" fillId="0" borderId="12" xfId="4621" applyFont="1" applyFill="1" applyBorder="1" applyAlignment="1">
      <alignment horizontal="center" vertical="center"/>
    </xf>
    <xf numFmtId="177" fontId="29" fillId="2" borderId="9" xfId="4621" applyFont="1" applyFill="1" applyBorder="1" applyAlignment="1">
      <alignment vertical="center"/>
    </xf>
    <xf numFmtId="180" fontId="32" fillId="2" borderId="1" xfId="3380" applyNumberFormat="1" applyFont="1" applyFill="1" applyBorder="1" applyAlignment="1">
      <alignment horizontal="right" vertical="center"/>
    </xf>
    <xf numFmtId="177" fontId="29" fillId="2" borderId="12" xfId="4621" applyFont="1" applyFill="1" applyBorder="1" applyAlignment="1">
      <alignment vertical="center"/>
    </xf>
    <xf numFmtId="182" fontId="32" fillId="2" borderId="1" xfId="4620" applyNumberFormat="1" applyFont="1" applyFill="1" applyBorder="1" applyAlignment="1">
      <alignment horizontal="right" vertical="center"/>
    </xf>
    <xf numFmtId="177" fontId="29" fillId="2" borderId="11" xfId="4621" applyFont="1" applyFill="1" applyBorder="1" applyAlignment="1">
      <alignment vertical="center"/>
    </xf>
    <xf numFmtId="180" fontId="48" fillId="0" borderId="1" xfId="3380" applyNumberFormat="1" applyFont="1" applyBorder="1" applyAlignment="1">
      <alignment horizontal="right" vertical="center"/>
    </xf>
    <xf numFmtId="182" fontId="48" fillId="0" borderId="1" xfId="4620" applyNumberFormat="1" applyFont="1" applyBorder="1" applyAlignment="1">
      <alignment horizontal="right" vertical="center"/>
    </xf>
    <xf numFmtId="180" fontId="49" fillId="4" borderId="1" xfId="3380" applyNumberFormat="1" applyFont="1" applyFill="1" applyBorder="1" applyAlignment="1">
      <alignment horizontal="right" vertical="center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177" fontId="7" fillId="2" borderId="1" xfId="3" applyFont="1" applyFill="1" applyBorder="1" applyAlignment="1">
      <alignment horizontal="center" vertical="center"/>
    </xf>
    <xf numFmtId="177" fontId="8" fillId="5" borderId="1" xfId="3" applyFont="1" applyFill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0" borderId="2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2" borderId="1" xfId="2" applyFont="1" applyFill="1" applyBorder="1" applyAlignment="1">
      <alignment horizontal="center" vertical="center"/>
    </xf>
    <xf numFmtId="177" fontId="10" fillId="5" borderId="1" xfId="3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7" fontId="10" fillId="5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9" fillId="0" borderId="2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8" fontId="10" fillId="0" borderId="1" xfId="2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7" xfId="2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2" borderId="1" xfId="3380" applyFont="1" applyFill="1" applyBorder="1" applyAlignment="1">
      <alignment horizontal="center" vertical="center" wrapText="1"/>
    </xf>
    <xf numFmtId="0" fontId="28" fillId="6" borderId="9" xfId="338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" xfId="338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6" fillId="2" borderId="2" xfId="338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4" fillId="0" borderId="9" xfId="338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" xfId="338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6" fillId="2" borderId="9" xfId="3380" applyFont="1" applyFill="1" applyBorder="1" applyAlignment="1">
      <alignment horizontal="center" vertical="center" wrapText="1"/>
    </xf>
    <xf numFmtId="0" fontId="6" fillId="2" borderId="11" xfId="338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2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7" fillId="0" borderId="8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48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7" fillId="8" borderId="44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87" xfId="0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7" fillId="8" borderId="55" xfId="0" applyFont="1" applyFill="1" applyBorder="1" applyAlignment="1">
      <alignment horizontal="center" vertical="center" wrapText="1"/>
    </xf>
    <xf numFmtId="0" fontId="7" fillId="8" borderId="68" xfId="0" applyFont="1" applyFill="1" applyBorder="1" applyAlignment="1">
      <alignment horizontal="center" vertical="center" wrapText="1"/>
    </xf>
    <xf numFmtId="0" fontId="7" fillId="8" borderId="69" xfId="0" applyFont="1" applyFill="1" applyBorder="1" applyAlignment="1">
      <alignment horizontal="center" vertical="center" wrapText="1"/>
    </xf>
    <xf numFmtId="177" fontId="7" fillId="8" borderId="70" xfId="4621" applyFont="1" applyFill="1" applyBorder="1" applyAlignment="1">
      <alignment horizontal="center" vertical="center"/>
    </xf>
    <xf numFmtId="177" fontId="7" fillId="8" borderId="71" xfId="4621" applyFont="1" applyFill="1" applyBorder="1" applyAlignment="1">
      <alignment horizontal="center" vertical="center"/>
    </xf>
    <xf numFmtId="177" fontId="7" fillId="8" borderId="72" xfId="4621" applyFont="1" applyFill="1" applyBorder="1" applyAlignment="1">
      <alignment horizontal="center" vertical="center"/>
    </xf>
    <xf numFmtId="0" fontId="7" fillId="8" borderId="73" xfId="0" applyFont="1" applyFill="1" applyBorder="1" applyAlignment="1">
      <alignment horizontal="center" vertical="center"/>
    </xf>
    <xf numFmtId="0" fontId="7" fillId="8" borderId="74" xfId="0" applyFont="1" applyFill="1" applyBorder="1" applyAlignment="1">
      <alignment horizontal="center" vertical="center"/>
    </xf>
    <xf numFmtId="0" fontId="7" fillId="8" borderId="75" xfId="0" applyFont="1" applyFill="1" applyBorder="1" applyAlignment="1">
      <alignment horizontal="center" vertical="center"/>
    </xf>
    <xf numFmtId="0" fontId="35" fillId="8" borderId="44" xfId="0" applyFont="1" applyFill="1" applyBorder="1" applyAlignment="1">
      <alignment horizontal="center" vertical="center" wrapText="1"/>
    </xf>
    <xf numFmtId="0" fontId="35" fillId="8" borderId="5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10" borderId="84" xfId="0" applyFont="1" applyFill="1" applyBorder="1" applyAlignment="1">
      <alignment horizontal="center" vertical="center" wrapText="1"/>
    </xf>
    <xf numFmtId="0" fontId="7" fillId="10" borderId="45" xfId="0" applyFont="1" applyFill="1" applyBorder="1" applyAlignment="1">
      <alignment horizontal="center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7" fontId="7" fillId="8" borderId="80" xfId="4621" applyFont="1" applyFill="1" applyBorder="1" applyAlignment="1">
      <alignment horizontal="center" vertical="center"/>
    </xf>
    <xf numFmtId="177" fontId="7" fillId="8" borderId="68" xfId="4621" applyFont="1" applyFill="1" applyBorder="1" applyAlignment="1">
      <alignment horizontal="center" vertical="center"/>
    </xf>
    <xf numFmtId="177" fontId="7" fillId="8" borderId="69" xfId="4621" applyFont="1" applyFill="1" applyBorder="1" applyAlignment="1">
      <alignment horizontal="center" vertical="center"/>
    </xf>
    <xf numFmtId="0" fontId="29" fillId="2" borderId="9" xfId="3380" applyFont="1" applyFill="1" applyBorder="1" applyAlignment="1">
      <alignment horizontal="center" vertical="center" wrapText="1"/>
    </xf>
    <xf numFmtId="0" fontId="29" fillId="2" borderId="12" xfId="3380" applyFont="1" applyFill="1" applyBorder="1" applyAlignment="1">
      <alignment horizontal="center" vertical="center" wrapText="1"/>
    </xf>
    <xf numFmtId="0" fontId="29" fillId="2" borderId="11" xfId="3380" applyFont="1" applyFill="1" applyBorder="1" applyAlignment="1">
      <alignment horizontal="center" vertical="center" wrapText="1"/>
    </xf>
    <xf numFmtId="0" fontId="29" fillId="2" borderId="9" xfId="3380" applyFont="1" applyFill="1" applyBorder="1" applyAlignment="1">
      <alignment horizontal="center" vertical="center"/>
    </xf>
    <xf numFmtId="0" fontId="29" fillId="2" borderId="12" xfId="3380" applyFont="1" applyFill="1" applyBorder="1" applyAlignment="1">
      <alignment horizontal="center" vertical="center"/>
    </xf>
    <xf numFmtId="0" fontId="29" fillId="2" borderId="11" xfId="338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34" fillId="11" borderId="30" xfId="0" applyFont="1" applyFill="1" applyBorder="1" applyAlignment="1">
      <alignment horizontal="center" vertical="center"/>
    </xf>
    <xf numFmtId="0" fontId="34" fillId="11" borderId="32" xfId="0" applyFont="1" applyFill="1" applyBorder="1" applyAlignment="1">
      <alignment horizontal="center" vertical="center"/>
    </xf>
    <xf numFmtId="0" fontId="34" fillId="12" borderId="7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2" xfId="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9" xfId="338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0" fillId="2" borderId="9" xfId="3380" applyFont="1" applyFill="1" applyBorder="1" applyAlignment="1">
      <alignment horizontal="center" vertical="center"/>
    </xf>
    <xf numFmtId="0" fontId="20" fillId="2" borderId="12" xfId="3380" applyFont="1" applyFill="1" applyBorder="1" applyAlignment="1">
      <alignment horizontal="center" vertical="center"/>
    </xf>
    <xf numFmtId="0" fontId="20" fillId="2" borderId="11" xfId="338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44" fillId="0" borderId="0" xfId="3380" applyFont="1" applyAlignment="1">
      <alignment horizontal="left" vertical="center"/>
    </xf>
    <xf numFmtId="0" fontId="41" fillId="0" borderId="0" xfId="3380" applyFont="1" applyAlignment="1">
      <alignment horizontal="center" vertical="center"/>
    </xf>
    <xf numFmtId="0" fontId="42" fillId="0" borderId="0" xfId="0" applyFont="1">
      <alignment vertical="center"/>
    </xf>
    <xf numFmtId="0" fontId="23" fillId="8" borderId="1" xfId="3380" applyFont="1" applyFill="1" applyBorder="1" applyAlignment="1">
      <alignment horizontal="center" vertical="center" wrapText="1"/>
    </xf>
    <xf numFmtId="0" fontId="23" fillId="8" borderId="9" xfId="3380" applyFont="1" applyFill="1" applyBorder="1" applyAlignment="1">
      <alignment horizontal="center" vertical="center" wrapText="1"/>
    </xf>
    <xf numFmtId="0" fontId="23" fillId="8" borderId="11" xfId="3380" applyFont="1" applyFill="1" applyBorder="1" applyAlignment="1">
      <alignment horizontal="center" vertical="center" wrapText="1"/>
    </xf>
    <xf numFmtId="0" fontId="23" fillId="8" borderId="1" xfId="3380" applyFont="1" applyFill="1" applyBorder="1" applyAlignment="1">
      <alignment horizontal="center" vertical="center"/>
    </xf>
    <xf numFmtId="0" fontId="19" fillId="8" borderId="1" xfId="3380" applyFont="1" applyFill="1" applyBorder="1" applyAlignment="1">
      <alignment horizontal="center" vertical="center" wrapText="1"/>
    </xf>
    <xf numFmtId="0" fontId="19" fillId="8" borderId="1" xfId="3380" applyFont="1" applyFill="1" applyBorder="1" applyAlignment="1">
      <alignment horizontal="center" vertical="center"/>
    </xf>
    <xf numFmtId="0" fontId="29" fillId="0" borderId="1" xfId="338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11" borderId="10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</cellXfs>
  <cellStyles count="4622">
    <cellStyle name="백분율" xfId="4620" builtinId="5"/>
    <cellStyle name="백분율 2" xfId="5" xr:uid="{00000000-0005-0000-0000-000001000000}"/>
    <cellStyle name="백분율 2 2" xfId="6" xr:uid="{00000000-0005-0000-0000-000002000000}"/>
    <cellStyle name="백분율 2 3" xfId="7" xr:uid="{00000000-0005-0000-0000-000003000000}"/>
    <cellStyle name="백분율 2 4" xfId="8" xr:uid="{00000000-0005-0000-0000-000004000000}"/>
    <cellStyle name="백분율 2 5" xfId="9" xr:uid="{00000000-0005-0000-0000-000005000000}"/>
    <cellStyle name="백분율 2 6" xfId="10" xr:uid="{00000000-0005-0000-0000-000006000000}"/>
    <cellStyle name="백분율 3" xfId="11" xr:uid="{00000000-0005-0000-0000-000007000000}"/>
    <cellStyle name="쉼표 [0]" xfId="4621" builtinId="6"/>
    <cellStyle name="쉼표 [0] 10" xfId="12" xr:uid="{00000000-0005-0000-0000-000009000000}"/>
    <cellStyle name="쉼표 [0] 10 10" xfId="13" xr:uid="{00000000-0005-0000-0000-00000A000000}"/>
    <cellStyle name="쉼표 [0] 10 10 2" xfId="14" xr:uid="{00000000-0005-0000-0000-00000B000000}"/>
    <cellStyle name="쉼표 [0] 10 11" xfId="15" xr:uid="{00000000-0005-0000-0000-00000C000000}"/>
    <cellStyle name="쉼표 [0] 10 11 2" xfId="16" xr:uid="{00000000-0005-0000-0000-00000D000000}"/>
    <cellStyle name="쉼표 [0] 10 12" xfId="17" xr:uid="{00000000-0005-0000-0000-00000E000000}"/>
    <cellStyle name="쉼표 [0] 10 12 2" xfId="18" xr:uid="{00000000-0005-0000-0000-00000F000000}"/>
    <cellStyle name="쉼표 [0] 10 13" xfId="19" xr:uid="{00000000-0005-0000-0000-000010000000}"/>
    <cellStyle name="쉼표 [0] 10 14" xfId="20" xr:uid="{00000000-0005-0000-0000-000011000000}"/>
    <cellStyle name="쉼표 [0] 10 2" xfId="21" xr:uid="{00000000-0005-0000-0000-000012000000}"/>
    <cellStyle name="쉼표 [0] 10 2 10" xfId="22" xr:uid="{00000000-0005-0000-0000-000013000000}"/>
    <cellStyle name="쉼표 [0] 10 2 10 2" xfId="23" xr:uid="{00000000-0005-0000-0000-000014000000}"/>
    <cellStyle name="쉼표 [0] 10 2 11" xfId="24" xr:uid="{00000000-0005-0000-0000-000015000000}"/>
    <cellStyle name="쉼표 [0] 10 2 2" xfId="25" xr:uid="{00000000-0005-0000-0000-000016000000}"/>
    <cellStyle name="쉼표 [0] 10 2 2 2" xfId="26" xr:uid="{00000000-0005-0000-0000-000017000000}"/>
    <cellStyle name="쉼표 [0] 10 2 2 3" xfId="27" xr:uid="{00000000-0005-0000-0000-000018000000}"/>
    <cellStyle name="쉼표 [0] 10 2 2 3 2" xfId="28" xr:uid="{00000000-0005-0000-0000-000019000000}"/>
    <cellStyle name="쉼표 [0] 10 2 3" xfId="29" xr:uid="{00000000-0005-0000-0000-00001A000000}"/>
    <cellStyle name="쉼표 [0] 10 2 3 2" xfId="30" xr:uid="{00000000-0005-0000-0000-00001B000000}"/>
    <cellStyle name="쉼표 [0] 10 2 4" xfId="31" xr:uid="{00000000-0005-0000-0000-00001C000000}"/>
    <cellStyle name="쉼표 [0] 10 2 4 2" xfId="32" xr:uid="{00000000-0005-0000-0000-00001D000000}"/>
    <cellStyle name="쉼표 [0] 10 2 5" xfId="33" xr:uid="{00000000-0005-0000-0000-00001E000000}"/>
    <cellStyle name="쉼표 [0] 10 2 5 2" xfId="34" xr:uid="{00000000-0005-0000-0000-00001F000000}"/>
    <cellStyle name="쉼표 [0] 10 2 6" xfId="35" xr:uid="{00000000-0005-0000-0000-000020000000}"/>
    <cellStyle name="쉼표 [0] 10 2 6 2" xfId="36" xr:uid="{00000000-0005-0000-0000-000021000000}"/>
    <cellStyle name="쉼표 [0] 10 2 7" xfId="37" xr:uid="{00000000-0005-0000-0000-000022000000}"/>
    <cellStyle name="쉼표 [0] 10 2 7 2" xfId="38" xr:uid="{00000000-0005-0000-0000-000023000000}"/>
    <cellStyle name="쉼표 [0] 10 2 8" xfId="39" xr:uid="{00000000-0005-0000-0000-000024000000}"/>
    <cellStyle name="쉼표 [0] 10 2 8 2" xfId="40" xr:uid="{00000000-0005-0000-0000-000025000000}"/>
    <cellStyle name="쉼표 [0] 10 2 9" xfId="41" xr:uid="{00000000-0005-0000-0000-000026000000}"/>
    <cellStyle name="쉼표 [0] 10 2 9 2" xfId="42" xr:uid="{00000000-0005-0000-0000-000027000000}"/>
    <cellStyle name="쉼표 [0] 10 3" xfId="43" xr:uid="{00000000-0005-0000-0000-000028000000}"/>
    <cellStyle name="쉼표 [0] 10 3 2" xfId="44" xr:uid="{00000000-0005-0000-0000-000029000000}"/>
    <cellStyle name="쉼표 [0] 10 3 2 2" xfId="45" xr:uid="{00000000-0005-0000-0000-00002A000000}"/>
    <cellStyle name="쉼표 [0] 10 3 3" xfId="46" xr:uid="{00000000-0005-0000-0000-00002B000000}"/>
    <cellStyle name="쉼표 [0] 10 3 3 2" xfId="47" xr:uid="{00000000-0005-0000-0000-00002C000000}"/>
    <cellStyle name="쉼표 [0] 10 3 4" xfId="48" xr:uid="{00000000-0005-0000-0000-00002D000000}"/>
    <cellStyle name="쉼표 [0] 10 3 4 2" xfId="49" xr:uid="{00000000-0005-0000-0000-00002E000000}"/>
    <cellStyle name="쉼표 [0] 10 3 5" xfId="50" xr:uid="{00000000-0005-0000-0000-00002F000000}"/>
    <cellStyle name="쉼표 [0] 10 3 6" xfId="51" xr:uid="{00000000-0005-0000-0000-000030000000}"/>
    <cellStyle name="쉼표 [0] 10 3 6 2" xfId="52" xr:uid="{00000000-0005-0000-0000-000031000000}"/>
    <cellStyle name="쉼표 [0] 10 4" xfId="53" xr:uid="{00000000-0005-0000-0000-000032000000}"/>
    <cellStyle name="쉼표 [0] 10 4 2" xfId="54" xr:uid="{00000000-0005-0000-0000-000033000000}"/>
    <cellStyle name="쉼표 [0] 10 4 2 2" xfId="55" xr:uid="{00000000-0005-0000-0000-000034000000}"/>
    <cellStyle name="쉼표 [0] 10 4 3" xfId="56" xr:uid="{00000000-0005-0000-0000-000035000000}"/>
    <cellStyle name="쉼표 [0] 10 4 3 2" xfId="57" xr:uid="{00000000-0005-0000-0000-000036000000}"/>
    <cellStyle name="쉼표 [0] 10 4 4" xfId="58" xr:uid="{00000000-0005-0000-0000-000037000000}"/>
    <cellStyle name="쉼표 [0] 10 5" xfId="59" xr:uid="{00000000-0005-0000-0000-000038000000}"/>
    <cellStyle name="쉼표 [0] 10 5 2" xfId="60" xr:uid="{00000000-0005-0000-0000-000039000000}"/>
    <cellStyle name="쉼표 [0] 10 6" xfId="61" xr:uid="{00000000-0005-0000-0000-00003A000000}"/>
    <cellStyle name="쉼표 [0] 10 6 2" xfId="62" xr:uid="{00000000-0005-0000-0000-00003B000000}"/>
    <cellStyle name="쉼표 [0] 10 7" xfId="63" xr:uid="{00000000-0005-0000-0000-00003C000000}"/>
    <cellStyle name="쉼표 [0] 10 7 2" xfId="64" xr:uid="{00000000-0005-0000-0000-00003D000000}"/>
    <cellStyle name="쉼표 [0] 10 8" xfId="65" xr:uid="{00000000-0005-0000-0000-00003E000000}"/>
    <cellStyle name="쉼표 [0] 10 8 2" xfId="66" xr:uid="{00000000-0005-0000-0000-00003F000000}"/>
    <cellStyle name="쉼표 [0] 10 9" xfId="67" xr:uid="{00000000-0005-0000-0000-000040000000}"/>
    <cellStyle name="쉼표 [0] 10 9 2" xfId="68" xr:uid="{00000000-0005-0000-0000-000041000000}"/>
    <cellStyle name="쉼표 [0] 11" xfId="69" xr:uid="{00000000-0005-0000-0000-000042000000}"/>
    <cellStyle name="쉼표 [0] 11 10" xfId="70" xr:uid="{00000000-0005-0000-0000-000043000000}"/>
    <cellStyle name="쉼표 [0] 11 10 2" xfId="71" xr:uid="{00000000-0005-0000-0000-000044000000}"/>
    <cellStyle name="쉼표 [0] 11 11" xfId="72" xr:uid="{00000000-0005-0000-0000-000045000000}"/>
    <cellStyle name="쉼표 [0] 11 11 2" xfId="73" xr:uid="{00000000-0005-0000-0000-000046000000}"/>
    <cellStyle name="쉼표 [0] 11 12" xfId="74" xr:uid="{00000000-0005-0000-0000-000047000000}"/>
    <cellStyle name="쉼표 [0] 11 12 2" xfId="75" xr:uid="{00000000-0005-0000-0000-000048000000}"/>
    <cellStyle name="쉼표 [0] 11 13" xfId="76" xr:uid="{00000000-0005-0000-0000-000049000000}"/>
    <cellStyle name="쉼표 [0] 11 14" xfId="77" xr:uid="{00000000-0005-0000-0000-00004A000000}"/>
    <cellStyle name="쉼표 [0] 11 2" xfId="78" xr:uid="{00000000-0005-0000-0000-00004B000000}"/>
    <cellStyle name="쉼표 [0] 11 2 10" xfId="79" xr:uid="{00000000-0005-0000-0000-00004C000000}"/>
    <cellStyle name="쉼표 [0] 11 2 10 2" xfId="80" xr:uid="{00000000-0005-0000-0000-00004D000000}"/>
    <cellStyle name="쉼표 [0] 11 2 11" xfId="81" xr:uid="{00000000-0005-0000-0000-00004E000000}"/>
    <cellStyle name="쉼표 [0] 11 2 2" xfId="82" xr:uid="{00000000-0005-0000-0000-00004F000000}"/>
    <cellStyle name="쉼표 [0] 11 2 2 2" xfId="83" xr:uid="{00000000-0005-0000-0000-000050000000}"/>
    <cellStyle name="쉼표 [0] 11 2 2 3" xfId="84" xr:uid="{00000000-0005-0000-0000-000051000000}"/>
    <cellStyle name="쉼표 [0] 11 2 2 3 2" xfId="85" xr:uid="{00000000-0005-0000-0000-000052000000}"/>
    <cellStyle name="쉼표 [0] 11 2 3" xfId="86" xr:uid="{00000000-0005-0000-0000-000053000000}"/>
    <cellStyle name="쉼표 [0] 11 2 3 2" xfId="87" xr:uid="{00000000-0005-0000-0000-000054000000}"/>
    <cellStyle name="쉼표 [0] 11 2 4" xfId="88" xr:uid="{00000000-0005-0000-0000-000055000000}"/>
    <cellStyle name="쉼표 [0] 11 2 4 2" xfId="89" xr:uid="{00000000-0005-0000-0000-000056000000}"/>
    <cellStyle name="쉼표 [0] 11 2 5" xfId="90" xr:uid="{00000000-0005-0000-0000-000057000000}"/>
    <cellStyle name="쉼표 [0] 11 2 5 2" xfId="91" xr:uid="{00000000-0005-0000-0000-000058000000}"/>
    <cellStyle name="쉼표 [0] 11 2 6" xfId="92" xr:uid="{00000000-0005-0000-0000-000059000000}"/>
    <cellStyle name="쉼표 [0] 11 2 6 2" xfId="93" xr:uid="{00000000-0005-0000-0000-00005A000000}"/>
    <cellStyle name="쉼표 [0] 11 2 7" xfId="94" xr:uid="{00000000-0005-0000-0000-00005B000000}"/>
    <cellStyle name="쉼표 [0] 11 2 7 2" xfId="95" xr:uid="{00000000-0005-0000-0000-00005C000000}"/>
    <cellStyle name="쉼표 [0] 11 2 8" xfId="96" xr:uid="{00000000-0005-0000-0000-00005D000000}"/>
    <cellStyle name="쉼표 [0] 11 2 8 2" xfId="97" xr:uid="{00000000-0005-0000-0000-00005E000000}"/>
    <cellStyle name="쉼표 [0] 11 2 9" xfId="98" xr:uid="{00000000-0005-0000-0000-00005F000000}"/>
    <cellStyle name="쉼표 [0] 11 2 9 2" xfId="99" xr:uid="{00000000-0005-0000-0000-000060000000}"/>
    <cellStyle name="쉼표 [0] 11 3" xfId="100" xr:uid="{00000000-0005-0000-0000-000061000000}"/>
    <cellStyle name="쉼표 [0] 11 3 2" xfId="101" xr:uid="{00000000-0005-0000-0000-000062000000}"/>
    <cellStyle name="쉼표 [0] 11 3 2 2" xfId="102" xr:uid="{00000000-0005-0000-0000-000063000000}"/>
    <cellStyle name="쉼표 [0] 11 3 3" xfId="103" xr:uid="{00000000-0005-0000-0000-000064000000}"/>
    <cellStyle name="쉼표 [0] 11 3 3 2" xfId="104" xr:uid="{00000000-0005-0000-0000-000065000000}"/>
    <cellStyle name="쉼표 [0] 11 3 4" xfId="105" xr:uid="{00000000-0005-0000-0000-000066000000}"/>
    <cellStyle name="쉼표 [0] 11 3 4 2" xfId="106" xr:uid="{00000000-0005-0000-0000-000067000000}"/>
    <cellStyle name="쉼표 [0] 11 3 5" xfId="107" xr:uid="{00000000-0005-0000-0000-000068000000}"/>
    <cellStyle name="쉼표 [0] 11 3 6" xfId="108" xr:uid="{00000000-0005-0000-0000-000069000000}"/>
    <cellStyle name="쉼표 [0] 11 3 6 2" xfId="109" xr:uid="{00000000-0005-0000-0000-00006A000000}"/>
    <cellStyle name="쉼표 [0] 11 4" xfId="110" xr:uid="{00000000-0005-0000-0000-00006B000000}"/>
    <cellStyle name="쉼표 [0] 11 4 2" xfId="111" xr:uid="{00000000-0005-0000-0000-00006C000000}"/>
    <cellStyle name="쉼표 [0] 11 4 2 2" xfId="112" xr:uid="{00000000-0005-0000-0000-00006D000000}"/>
    <cellStyle name="쉼표 [0] 11 4 3" xfId="113" xr:uid="{00000000-0005-0000-0000-00006E000000}"/>
    <cellStyle name="쉼표 [0] 11 4 3 2" xfId="114" xr:uid="{00000000-0005-0000-0000-00006F000000}"/>
    <cellStyle name="쉼표 [0] 11 4 4" xfId="115" xr:uid="{00000000-0005-0000-0000-000070000000}"/>
    <cellStyle name="쉼표 [0] 11 5" xfId="116" xr:uid="{00000000-0005-0000-0000-000071000000}"/>
    <cellStyle name="쉼표 [0] 11 5 2" xfId="117" xr:uid="{00000000-0005-0000-0000-000072000000}"/>
    <cellStyle name="쉼표 [0] 11 6" xfId="118" xr:uid="{00000000-0005-0000-0000-000073000000}"/>
    <cellStyle name="쉼표 [0] 11 6 2" xfId="119" xr:uid="{00000000-0005-0000-0000-000074000000}"/>
    <cellStyle name="쉼표 [0] 11 7" xfId="120" xr:uid="{00000000-0005-0000-0000-000075000000}"/>
    <cellStyle name="쉼표 [0] 11 7 2" xfId="121" xr:uid="{00000000-0005-0000-0000-000076000000}"/>
    <cellStyle name="쉼표 [0] 11 8" xfId="122" xr:uid="{00000000-0005-0000-0000-000077000000}"/>
    <cellStyle name="쉼표 [0] 11 8 2" xfId="123" xr:uid="{00000000-0005-0000-0000-000078000000}"/>
    <cellStyle name="쉼표 [0] 11 9" xfId="124" xr:uid="{00000000-0005-0000-0000-000079000000}"/>
    <cellStyle name="쉼표 [0] 11 9 2" xfId="125" xr:uid="{00000000-0005-0000-0000-00007A000000}"/>
    <cellStyle name="쉼표 [0] 12" xfId="126" xr:uid="{00000000-0005-0000-0000-00007B000000}"/>
    <cellStyle name="쉼표 [0] 12 10" xfId="127" xr:uid="{00000000-0005-0000-0000-00007C000000}"/>
    <cellStyle name="쉼표 [0] 12 10 2" xfId="128" xr:uid="{00000000-0005-0000-0000-00007D000000}"/>
    <cellStyle name="쉼표 [0] 12 11" xfId="129" xr:uid="{00000000-0005-0000-0000-00007E000000}"/>
    <cellStyle name="쉼표 [0] 12 11 2" xfId="130" xr:uid="{00000000-0005-0000-0000-00007F000000}"/>
    <cellStyle name="쉼표 [0] 12 12" xfId="131" xr:uid="{00000000-0005-0000-0000-000080000000}"/>
    <cellStyle name="쉼표 [0] 12 12 2" xfId="132" xr:uid="{00000000-0005-0000-0000-000081000000}"/>
    <cellStyle name="쉼표 [0] 12 13" xfId="133" xr:uid="{00000000-0005-0000-0000-000082000000}"/>
    <cellStyle name="쉼표 [0] 12 14" xfId="134" xr:uid="{00000000-0005-0000-0000-000083000000}"/>
    <cellStyle name="쉼표 [0] 12 2" xfId="135" xr:uid="{00000000-0005-0000-0000-000084000000}"/>
    <cellStyle name="쉼표 [0] 12 2 10" xfId="136" xr:uid="{00000000-0005-0000-0000-000085000000}"/>
    <cellStyle name="쉼표 [0] 12 2 10 2" xfId="137" xr:uid="{00000000-0005-0000-0000-000086000000}"/>
    <cellStyle name="쉼표 [0] 12 2 11" xfId="138" xr:uid="{00000000-0005-0000-0000-000087000000}"/>
    <cellStyle name="쉼표 [0] 12 2 2" xfId="139" xr:uid="{00000000-0005-0000-0000-000088000000}"/>
    <cellStyle name="쉼표 [0] 12 2 2 2" xfId="140" xr:uid="{00000000-0005-0000-0000-000089000000}"/>
    <cellStyle name="쉼표 [0] 12 2 2 3" xfId="141" xr:uid="{00000000-0005-0000-0000-00008A000000}"/>
    <cellStyle name="쉼표 [0] 12 2 2 3 2" xfId="142" xr:uid="{00000000-0005-0000-0000-00008B000000}"/>
    <cellStyle name="쉼표 [0] 12 2 3" xfId="143" xr:uid="{00000000-0005-0000-0000-00008C000000}"/>
    <cellStyle name="쉼표 [0] 12 2 3 2" xfId="144" xr:uid="{00000000-0005-0000-0000-00008D000000}"/>
    <cellStyle name="쉼표 [0] 12 2 4" xfId="145" xr:uid="{00000000-0005-0000-0000-00008E000000}"/>
    <cellStyle name="쉼표 [0] 12 2 4 2" xfId="146" xr:uid="{00000000-0005-0000-0000-00008F000000}"/>
    <cellStyle name="쉼표 [0] 12 2 5" xfId="147" xr:uid="{00000000-0005-0000-0000-000090000000}"/>
    <cellStyle name="쉼표 [0] 12 2 5 2" xfId="148" xr:uid="{00000000-0005-0000-0000-000091000000}"/>
    <cellStyle name="쉼표 [0] 12 2 6" xfId="149" xr:uid="{00000000-0005-0000-0000-000092000000}"/>
    <cellStyle name="쉼표 [0] 12 2 6 2" xfId="150" xr:uid="{00000000-0005-0000-0000-000093000000}"/>
    <cellStyle name="쉼표 [0] 12 2 7" xfId="151" xr:uid="{00000000-0005-0000-0000-000094000000}"/>
    <cellStyle name="쉼표 [0] 12 2 7 2" xfId="152" xr:uid="{00000000-0005-0000-0000-000095000000}"/>
    <cellStyle name="쉼표 [0] 12 2 8" xfId="153" xr:uid="{00000000-0005-0000-0000-000096000000}"/>
    <cellStyle name="쉼표 [0] 12 2 8 2" xfId="154" xr:uid="{00000000-0005-0000-0000-000097000000}"/>
    <cellStyle name="쉼표 [0] 12 2 9" xfId="155" xr:uid="{00000000-0005-0000-0000-000098000000}"/>
    <cellStyle name="쉼표 [0] 12 2 9 2" xfId="156" xr:uid="{00000000-0005-0000-0000-000099000000}"/>
    <cellStyle name="쉼표 [0] 12 3" xfId="157" xr:uid="{00000000-0005-0000-0000-00009A000000}"/>
    <cellStyle name="쉼표 [0] 12 3 2" xfId="158" xr:uid="{00000000-0005-0000-0000-00009B000000}"/>
    <cellStyle name="쉼표 [0] 12 3 2 2" xfId="159" xr:uid="{00000000-0005-0000-0000-00009C000000}"/>
    <cellStyle name="쉼표 [0] 12 3 3" xfId="160" xr:uid="{00000000-0005-0000-0000-00009D000000}"/>
    <cellStyle name="쉼표 [0] 12 3 3 2" xfId="161" xr:uid="{00000000-0005-0000-0000-00009E000000}"/>
    <cellStyle name="쉼표 [0] 12 3 4" xfId="162" xr:uid="{00000000-0005-0000-0000-00009F000000}"/>
    <cellStyle name="쉼표 [0] 12 3 4 2" xfId="163" xr:uid="{00000000-0005-0000-0000-0000A0000000}"/>
    <cellStyle name="쉼표 [0] 12 3 5" xfId="164" xr:uid="{00000000-0005-0000-0000-0000A1000000}"/>
    <cellStyle name="쉼표 [0] 12 3 6" xfId="165" xr:uid="{00000000-0005-0000-0000-0000A2000000}"/>
    <cellStyle name="쉼표 [0] 12 3 6 2" xfId="166" xr:uid="{00000000-0005-0000-0000-0000A3000000}"/>
    <cellStyle name="쉼표 [0] 12 4" xfId="167" xr:uid="{00000000-0005-0000-0000-0000A4000000}"/>
    <cellStyle name="쉼표 [0] 12 4 2" xfId="168" xr:uid="{00000000-0005-0000-0000-0000A5000000}"/>
    <cellStyle name="쉼표 [0] 12 4 2 2" xfId="169" xr:uid="{00000000-0005-0000-0000-0000A6000000}"/>
    <cellStyle name="쉼표 [0] 12 4 3" xfId="170" xr:uid="{00000000-0005-0000-0000-0000A7000000}"/>
    <cellStyle name="쉼표 [0] 12 4 3 2" xfId="171" xr:uid="{00000000-0005-0000-0000-0000A8000000}"/>
    <cellStyle name="쉼표 [0] 12 4 4" xfId="172" xr:uid="{00000000-0005-0000-0000-0000A9000000}"/>
    <cellStyle name="쉼표 [0] 12 5" xfId="173" xr:uid="{00000000-0005-0000-0000-0000AA000000}"/>
    <cellStyle name="쉼표 [0] 12 5 2" xfId="174" xr:uid="{00000000-0005-0000-0000-0000AB000000}"/>
    <cellStyle name="쉼표 [0] 12 6" xfId="175" xr:uid="{00000000-0005-0000-0000-0000AC000000}"/>
    <cellStyle name="쉼표 [0] 12 6 2" xfId="176" xr:uid="{00000000-0005-0000-0000-0000AD000000}"/>
    <cellStyle name="쉼표 [0] 12 7" xfId="177" xr:uid="{00000000-0005-0000-0000-0000AE000000}"/>
    <cellStyle name="쉼표 [0] 12 7 2" xfId="178" xr:uid="{00000000-0005-0000-0000-0000AF000000}"/>
    <cellStyle name="쉼표 [0] 12 8" xfId="179" xr:uid="{00000000-0005-0000-0000-0000B0000000}"/>
    <cellStyle name="쉼표 [0] 12 8 2" xfId="180" xr:uid="{00000000-0005-0000-0000-0000B1000000}"/>
    <cellStyle name="쉼표 [0] 12 9" xfId="181" xr:uid="{00000000-0005-0000-0000-0000B2000000}"/>
    <cellStyle name="쉼표 [0] 12 9 2" xfId="182" xr:uid="{00000000-0005-0000-0000-0000B3000000}"/>
    <cellStyle name="쉼표 [0] 13" xfId="183" xr:uid="{00000000-0005-0000-0000-0000B4000000}"/>
    <cellStyle name="쉼표 [0] 13 10" xfId="184" xr:uid="{00000000-0005-0000-0000-0000B5000000}"/>
    <cellStyle name="쉼표 [0] 13 10 2" xfId="185" xr:uid="{00000000-0005-0000-0000-0000B6000000}"/>
    <cellStyle name="쉼표 [0] 13 11" xfId="186" xr:uid="{00000000-0005-0000-0000-0000B7000000}"/>
    <cellStyle name="쉼표 [0] 13 11 2" xfId="187" xr:uid="{00000000-0005-0000-0000-0000B8000000}"/>
    <cellStyle name="쉼표 [0] 13 12" xfId="188" xr:uid="{00000000-0005-0000-0000-0000B9000000}"/>
    <cellStyle name="쉼표 [0] 13 12 2" xfId="189" xr:uid="{00000000-0005-0000-0000-0000BA000000}"/>
    <cellStyle name="쉼표 [0] 13 13" xfId="190" xr:uid="{00000000-0005-0000-0000-0000BB000000}"/>
    <cellStyle name="쉼표 [0] 13 14" xfId="191" xr:uid="{00000000-0005-0000-0000-0000BC000000}"/>
    <cellStyle name="쉼표 [0] 13 2" xfId="192" xr:uid="{00000000-0005-0000-0000-0000BD000000}"/>
    <cellStyle name="쉼표 [0] 13 2 10" xfId="193" xr:uid="{00000000-0005-0000-0000-0000BE000000}"/>
    <cellStyle name="쉼표 [0] 13 2 10 2" xfId="194" xr:uid="{00000000-0005-0000-0000-0000BF000000}"/>
    <cellStyle name="쉼표 [0] 13 2 11" xfId="195" xr:uid="{00000000-0005-0000-0000-0000C0000000}"/>
    <cellStyle name="쉼표 [0] 13 2 2" xfId="196" xr:uid="{00000000-0005-0000-0000-0000C1000000}"/>
    <cellStyle name="쉼표 [0] 13 2 2 2" xfId="197" xr:uid="{00000000-0005-0000-0000-0000C2000000}"/>
    <cellStyle name="쉼표 [0] 13 2 2 3" xfId="198" xr:uid="{00000000-0005-0000-0000-0000C3000000}"/>
    <cellStyle name="쉼표 [0] 13 2 2 3 2" xfId="199" xr:uid="{00000000-0005-0000-0000-0000C4000000}"/>
    <cellStyle name="쉼표 [0] 13 2 3" xfId="200" xr:uid="{00000000-0005-0000-0000-0000C5000000}"/>
    <cellStyle name="쉼표 [0] 13 2 3 2" xfId="201" xr:uid="{00000000-0005-0000-0000-0000C6000000}"/>
    <cellStyle name="쉼표 [0] 13 2 4" xfId="202" xr:uid="{00000000-0005-0000-0000-0000C7000000}"/>
    <cellStyle name="쉼표 [0] 13 2 4 2" xfId="203" xr:uid="{00000000-0005-0000-0000-0000C8000000}"/>
    <cellStyle name="쉼표 [0] 13 2 5" xfId="204" xr:uid="{00000000-0005-0000-0000-0000C9000000}"/>
    <cellStyle name="쉼표 [0] 13 2 5 2" xfId="205" xr:uid="{00000000-0005-0000-0000-0000CA000000}"/>
    <cellStyle name="쉼표 [0] 13 2 6" xfId="206" xr:uid="{00000000-0005-0000-0000-0000CB000000}"/>
    <cellStyle name="쉼표 [0] 13 2 6 2" xfId="207" xr:uid="{00000000-0005-0000-0000-0000CC000000}"/>
    <cellStyle name="쉼표 [0] 13 2 7" xfId="208" xr:uid="{00000000-0005-0000-0000-0000CD000000}"/>
    <cellStyle name="쉼표 [0] 13 2 7 2" xfId="209" xr:uid="{00000000-0005-0000-0000-0000CE000000}"/>
    <cellStyle name="쉼표 [0] 13 2 8" xfId="210" xr:uid="{00000000-0005-0000-0000-0000CF000000}"/>
    <cellStyle name="쉼표 [0] 13 2 8 2" xfId="211" xr:uid="{00000000-0005-0000-0000-0000D0000000}"/>
    <cellStyle name="쉼표 [0] 13 2 9" xfId="212" xr:uid="{00000000-0005-0000-0000-0000D1000000}"/>
    <cellStyle name="쉼표 [0] 13 2 9 2" xfId="213" xr:uid="{00000000-0005-0000-0000-0000D2000000}"/>
    <cellStyle name="쉼표 [0] 13 3" xfId="214" xr:uid="{00000000-0005-0000-0000-0000D3000000}"/>
    <cellStyle name="쉼표 [0] 13 3 2" xfId="215" xr:uid="{00000000-0005-0000-0000-0000D4000000}"/>
    <cellStyle name="쉼표 [0] 13 3 2 2" xfId="216" xr:uid="{00000000-0005-0000-0000-0000D5000000}"/>
    <cellStyle name="쉼표 [0] 13 3 3" xfId="217" xr:uid="{00000000-0005-0000-0000-0000D6000000}"/>
    <cellStyle name="쉼표 [0] 13 3 3 2" xfId="218" xr:uid="{00000000-0005-0000-0000-0000D7000000}"/>
    <cellStyle name="쉼표 [0] 13 3 4" xfId="219" xr:uid="{00000000-0005-0000-0000-0000D8000000}"/>
    <cellStyle name="쉼표 [0] 13 3 4 2" xfId="220" xr:uid="{00000000-0005-0000-0000-0000D9000000}"/>
    <cellStyle name="쉼표 [0] 13 3 5" xfId="221" xr:uid="{00000000-0005-0000-0000-0000DA000000}"/>
    <cellStyle name="쉼표 [0] 13 3 6" xfId="222" xr:uid="{00000000-0005-0000-0000-0000DB000000}"/>
    <cellStyle name="쉼표 [0] 13 3 6 2" xfId="223" xr:uid="{00000000-0005-0000-0000-0000DC000000}"/>
    <cellStyle name="쉼표 [0] 13 4" xfId="224" xr:uid="{00000000-0005-0000-0000-0000DD000000}"/>
    <cellStyle name="쉼표 [0] 13 4 2" xfId="225" xr:uid="{00000000-0005-0000-0000-0000DE000000}"/>
    <cellStyle name="쉼표 [0] 13 4 2 2" xfId="226" xr:uid="{00000000-0005-0000-0000-0000DF000000}"/>
    <cellStyle name="쉼표 [0] 13 4 3" xfId="227" xr:uid="{00000000-0005-0000-0000-0000E0000000}"/>
    <cellStyle name="쉼표 [0] 13 4 3 2" xfId="228" xr:uid="{00000000-0005-0000-0000-0000E1000000}"/>
    <cellStyle name="쉼표 [0] 13 4 4" xfId="229" xr:uid="{00000000-0005-0000-0000-0000E2000000}"/>
    <cellStyle name="쉼표 [0] 13 5" xfId="230" xr:uid="{00000000-0005-0000-0000-0000E3000000}"/>
    <cellStyle name="쉼표 [0] 13 5 2" xfId="231" xr:uid="{00000000-0005-0000-0000-0000E4000000}"/>
    <cellStyle name="쉼표 [0] 13 6" xfId="232" xr:uid="{00000000-0005-0000-0000-0000E5000000}"/>
    <cellStyle name="쉼표 [0] 13 6 2" xfId="233" xr:uid="{00000000-0005-0000-0000-0000E6000000}"/>
    <cellStyle name="쉼표 [0] 13 7" xfId="234" xr:uid="{00000000-0005-0000-0000-0000E7000000}"/>
    <cellStyle name="쉼표 [0] 13 7 2" xfId="235" xr:uid="{00000000-0005-0000-0000-0000E8000000}"/>
    <cellStyle name="쉼표 [0] 13 8" xfId="236" xr:uid="{00000000-0005-0000-0000-0000E9000000}"/>
    <cellStyle name="쉼표 [0] 13 8 2" xfId="237" xr:uid="{00000000-0005-0000-0000-0000EA000000}"/>
    <cellStyle name="쉼표 [0] 13 9" xfId="238" xr:uid="{00000000-0005-0000-0000-0000EB000000}"/>
    <cellStyle name="쉼표 [0] 13 9 2" xfId="239" xr:uid="{00000000-0005-0000-0000-0000EC000000}"/>
    <cellStyle name="쉼표 [0] 14" xfId="240" xr:uid="{00000000-0005-0000-0000-0000ED000000}"/>
    <cellStyle name="쉼표 [0] 14 10" xfId="241" xr:uid="{00000000-0005-0000-0000-0000EE000000}"/>
    <cellStyle name="쉼표 [0] 14 10 2" xfId="242" xr:uid="{00000000-0005-0000-0000-0000EF000000}"/>
    <cellStyle name="쉼표 [0] 14 11" xfId="243" xr:uid="{00000000-0005-0000-0000-0000F0000000}"/>
    <cellStyle name="쉼표 [0] 14 11 2" xfId="244" xr:uid="{00000000-0005-0000-0000-0000F1000000}"/>
    <cellStyle name="쉼표 [0] 14 12" xfId="245" xr:uid="{00000000-0005-0000-0000-0000F2000000}"/>
    <cellStyle name="쉼표 [0] 14 12 2" xfId="246" xr:uid="{00000000-0005-0000-0000-0000F3000000}"/>
    <cellStyle name="쉼표 [0] 14 13" xfId="247" xr:uid="{00000000-0005-0000-0000-0000F4000000}"/>
    <cellStyle name="쉼표 [0] 14 14" xfId="248" xr:uid="{00000000-0005-0000-0000-0000F5000000}"/>
    <cellStyle name="쉼표 [0] 14 2" xfId="249" xr:uid="{00000000-0005-0000-0000-0000F6000000}"/>
    <cellStyle name="쉼표 [0] 14 2 10" xfId="250" xr:uid="{00000000-0005-0000-0000-0000F7000000}"/>
    <cellStyle name="쉼표 [0] 14 2 10 2" xfId="251" xr:uid="{00000000-0005-0000-0000-0000F8000000}"/>
    <cellStyle name="쉼표 [0] 14 2 11" xfId="252" xr:uid="{00000000-0005-0000-0000-0000F9000000}"/>
    <cellStyle name="쉼표 [0] 14 2 2" xfId="253" xr:uid="{00000000-0005-0000-0000-0000FA000000}"/>
    <cellStyle name="쉼표 [0] 14 2 2 2" xfId="254" xr:uid="{00000000-0005-0000-0000-0000FB000000}"/>
    <cellStyle name="쉼표 [0] 14 2 2 3" xfId="255" xr:uid="{00000000-0005-0000-0000-0000FC000000}"/>
    <cellStyle name="쉼표 [0] 14 2 2 3 2" xfId="256" xr:uid="{00000000-0005-0000-0000-0000FD000000}"/>
    <cellStyle name="쉼표 [0] 14 2 3" xfId="257" xr:uid="{00000000-0005-0000-0000-0000FE000000}"/>
    <cellStyle name="쉼표 [0] 14 2 3 2" xfId="258" xr:uid="{00000000-0005-0000-0000-0000FF000000}"/>
    <cellStyle name="쉼표 [0] 14 2 4" xfId="259" xr:uid="{00000000-0005-0000-0000-000000010000}"/>
    <cellStyle name="쉼표 [0] 14 2 4 2" xfId="260" xr:uid="{00000000-0005-0000-0000-000001010000}"/>
    <cellStyle name="쉼표 [0] 14 2 5" xfId="261" xr:uid="{00000000-0005-0000-0000-000002010000}"/>
    <cellStyle name="쉼표 [0] 14 2 5 2" xfId="262" xr:uid="{00000000-0005-0000-0000-000003010000}"/>
    <cellStyle name="쉼표 [0] 14 2 6" xfId="263" xr:uid="{00000000-0005-0000-0000-000004010000}"/>
    <cellStyle name="쉼표 [0] 14 2 6 2" xfId="264" xr:uid="{00000000-0005-0000-0000-000005010000}"/>
    <cellStyle name="쉼표 [0] 14 2 7" xfId="265" xr:uid="{00000000-0005-0000-0000-000006010000}"/>
    <cellStyle name="쉼표 [0] 14 2 7 2" xfId="266" xr:uid="{00000000-0005-0000-0000-000007010000}"/>
    <cellStyle name="쉼표 [0] 14 2 8" xfId="267" xr:uid="{00000000-0005-0000-0000-000008010000}"/>
    <cellStyle name="쉼표 [0] 14 2 8 2" xfId="268" xr:uid="{00000000-0005-0000-0000-000009010000}"/>
    <cellStyle name="쉼표 [0] 14 2 9" xfId="269" xr:uid="{00000000-0005-0000-0000-00000A010000}"/>
    <cellStyle name="쉼표 [0] 14 2 9 2" xfId="270" xr:uid="{00000000-0005-0000-0000-00000B010000}"/>
    <cellStyle name="쉼표 [0] 14 3" xfId="271" xr:uid="{00000000-0005-0000-0000-00000C010000}"/>
    <cellStyle name="쉼표 [0] 14 3 2" xfId="272" xr:uid="{00000000-0005-0000-0000-00000D010000}"/>
    <cellStyle name="쉼표 [0] 14 3 2 2" xfId="273" xr:uid="{00000000-0005-0000-0000-00000E010000}"/>
    <cellStyle name="쉼표 [0] 14 3 3" xfId="274" xr:uid="{00000000-0005-0000-0000-00000F010000}"/>
    <cellStyle name="쉼표 [0] 14 3 3 2" xfId="275" xr:uid="{00000000-0005-0000-0000-000010010000}"/>
    <cellStyle name="쉼표 [0] 14 3 4" xfId="276" xr:uid="{00000000-0005-0000-0000-000011010000}"/>
    <cellStyle name="쉼표 [0] 14 3 4 2" xfId="277" xr:uid="{00000000-0005-0000-0000-000012010000}"/>
    <cellStyle name="쉼표 [0] 14 3 5" xfId="278" xr:uid="{00000000-0005-0000-0000-000013010000}"/>
    <cellStyle name="쉼표 [0] 14 3 6" xfId="279" xr:uid="{00000000-0005-0000-0000-000014010000}"/>
    <cellStyle name="쉼표 [0] 14 3 6 2" xfId="280" xr:uid="{00000000-0005-0000-0000-000015010000}"/>
    <cellStyle name="쉼표 [0] 14 4" xfId="281" xr:uid="{00000000-0005-0000-0000-000016010000}"/>
    <cellStyle name="쉼표 [0] 14 4 2" xfId="282" xr:uid="{00000000-0005-0000-0000-000017010000}"/>
    <cellStyle name="쉼표 [0] 14 4 2 2" xfId="283" xr:uid="{00000000-0005-0000-0000-000018010000}"/>
    <cellStyle name="쉼표 [0] 14 4 3" xfId="284" xr:uid="{00000000-0005-0000-0000-000019010000}"/>
    <cellStyle name="쉼표 [0] 14 4 3 2" xfId="285" xr:uid="{00000000-0005-0000-0000-00001A010000}"/>
    <cellStyle name="쉼표 [0] 14 4 4" xfId="286" xr:uid="{00000000-0005-0000-0000-00001B010000}"/>
    <cellStyle name="쉼표 [0] 14 5" xfId="287" xr:uid="{00000000-0005-0000-0000-00001C010000}"/>
    <cellStyle name="쉼표 [0] 14 5 2" xfId="288" xr:uid="{00000000-0005-0000-0000-00001D010000}"/>
    <cellStyle name="쉼표 [0] 14 6" xfId="289" xr:uid="{00000000-0005-0000-0000-00001E010000}"/>
    <cellStyle name="쉼표 [0] 14 6 2" xfId="290" xr:uid="{00000000-0005-0000-0000-00001F010000}"/>
    <cellStyle name="쉼표 [0] 14 7" xfId="291" xr:uid="{00000000-0005-0000-0000-000020010000}"/>
    <cellStyle name="쉼표 [0] 14 7 2" xfId="292" xr:uid="{00000000-0005-0000-0000-000021010000}"/>
    <cellStyle name="쉼표 [0] 14 8" xfId="293" xr:uid="{00000000-0005-0000-0000-000022010000}"/>
    <cellStyle name="쉼표 [0] 14 8 2" xfId="294" xr:uid="{00000000-0005-0000-0000-000023010000}"/>
    <cellStyle name="쉼표 [0] 14 9" xfId="295" xr:uid="{00000000-0005-0000-0000-000024010000}"/>
    <cellStyle name="쉼표 [0] 14 9 2" xfId="296" xr:uid="{00000000-0005-0000-0000-000025010000}"/>
    <cellStyle name="쉼표 [0] 15" xfId="297" xr:uid="{00000000-0005-0000-0000-000026010000}"/>
    <cellStyle name="쉼표 [0] 15 10" xfId="298" xr:uid="{00000000-0005-0000-0000-000027010000}"/>
    <cellStyle name="쉼표 [0] 15 10 2" xfId="299" xr:uid="{00000000-0005-0000-0000-000028010000}"/>
    <cellStyle name="쉼표 [0] 15 11" xfId="300" xr:uid="{00000000-0005-0000-0000-000029010000}"/>
    <cellStyle name="쉼표 [0] 15 11 2" xfId="301" xr:uid="{00000000-0005-0000-0000-00002A010000}"/>
    <cellStyle name="쉼표 [0] 15 12" xfId="302" xr:uid="{00000000-0005-0000-0000-00002B010000}"/>
    <cellStyle name="쉼표 [0] 15 12 2" xfId="303" xr:uid="{00000000-0005-0000-0000-00002C010000}"/>
    <cellStyle name="쉼표 [0] 15 13" xfId="304" xr:uid="{00000000-0005-0000-0000-00002D010000}"/>
    <cellStyle name="쉼표 [0] 15 14" xfId="305" xr:uid="{00000000-0005-0000-0000-00002E010000}"/>
    <cellStyle name="쉼표 [0] 15 2" xfId="306" xr:uid="{00000000-0005-0000-0000-00002F010000}"/>
    <cellStyle name="쉼표 [0] 15 2 10" xfId="307" xr:uid="{00000000-0005-0000-0000-000030010000}"/>
    <cellStyle name="쉼표 [0] 15 2 10 2" xfId="308" xr:uid="{00000000-0005-0000-0000-000031010000}"/>
    <cellStyle name="쉼표 [0] 15 2 11" xfId="309" xr:uid="{00000000-0005-0000-0000-000032010000}"/>
    <cellStyle name="쉼표 [0] 15 2 2" xfId="310" xr:uid="{00000000-0005-0000-0000-000033010000}"/>
    <cellStyle name="쉼표 [0] 15 2 2 2" xfId="311" xr:uid="{00000000-0005-0000-0000-000034010000}"/>
    <cellStyle name="쉼표 [0] 15 2 2 3" xfId="312" xr:uid="{00000000-0005-0000-0000-000035010000}"/>
    <cellStyle name="쉼표 [0] 15 2 2 3 2" xfId="313" xr:uid="{00000000-0005-0000-0000-000036010000}"/>
    <cellStyle name="쉼표 [0] 15 2 3" xfId="314" xr:uid="{00000000-0005-0000-0000-000037010000}"/>
    <cellStyle name="쉼표 [0] 15 2 3 2" xfId="315" xr:uid="{00000000-0005-0000-0000-000038010000}"/>
    <cellStyle name="쉼표 [0] 15 2 4" xfId="316" xr:uid="{00000000-0005-0000-0000-000039010000}"/>
    <cellStyle name="쉼표 [0] 15 2 4 2" xfId="317" xr:uid="{00000000-0005-0000-0000-00003A010000}"/>
    <cellStyle name="쉼표 [0] 15 2 5" xfId="318" xr:uid="{00000000-0005-0000-0000-00003B010000}"/>
    <cellStyle name="쉼표 [0] 15 2 5 2" xfId="319" xr:uid="{00000000-0005-0000-0000-00003C010000}"/>
    <cellStyle name="쉼표 [0] 15 2 6" xfId="320" xr:uid="{00000000-0005-0000-0000-00003D010000}"/>
    <cellStyle name="쉼표 [0] 15 2 6 2" xfId="321" xr:uid="{00000000-0005-0000-0000-00003E010000}"/>
    <cellStyle name="쉼표 [0] 15 2 7" xfId="322" xr:uid="{00000000-0005-0000-0000-00003F010000}"/>
    <cellStyle name="쉼표 [0] 15 2 7 2" xfId="323" xr:uid="{00000000-0005-0000-0000-000040010000}"/>
    <cellStyle name="쉼표 [0] 15 2 8" xfId="324" xr:uid="{00000000-0005-0000-0000-000041010000}"/>
    <cellStyle name="쉼표 [0] 15 2 8 2" xfId="325" xr:uid="{00000000-0005-0000-0000-000042010000}"/>
    <cellStyle name="쉼표 [0] 15 2 9" xfId="326" xr:uid="{00000000-0005-0000-0000-000043010000}"/>
    <cellStyle name="쉼표 [0] 15 2 9 2" xfId="327" xr:uid="{00000000-0005-0000-0000-000044010000}"/>
    <cellStyle name="쉼표 [0] 15 3" xfId="328" xr:uid="{00000000-0005-0000-0000-000045010000}"/>
    <cellStyle name="쉼표 [0] 15 3 2" xfId="329" xr:uid="{00000000-0005-0000-0000-000046010000}"/>
    <cellStyle name="쉼표 [0] 15 3 2 2" xfId="330" xr:uid="{00000000-0005-0000-0000-000047010000}"/>
    <cellStyle name="쉼표 [0] 15 3 3" xfId="331" xr:uid="{00000000-0005-0000-0000-000048010000}"/>
    <cellStyle name="쉼표 [0] 15 3 3 2" xfId="332" xr:uid="{00000000-0005-0000-0000-000049010000}"/>
    <cellStyle name="쉼표 [0] 15 3 4" xfId="333" xr:uid="{00000000-0005-0000-0000-00004A010000}"/>
    <cellStyle name="쉼표 [0] 15 3 4 2" xfId="334" xr:uid="{00000000-0005-0000-0000-00004B010000}"/>
    <cellStyle name="쉼표 [0] 15 3 5" xfId="335" xr:uid="{00000000-0005-0000-0000-00004C010000}"/>
    <cellStyle name="쉼표 [0] 15 3 6" xfId="336" xr:uid="{00000000-0005-0000-0000-00004D010000}"/>
    <cellStyle name="쉼표 [0] 15 3 6 2" xfId="337" xr:uid="{00000000-0005-0000-0000-00004E010000}"/>
    <cellStyle name="쉼표 [0] 15 4" xfId="338" xr:uid="{00000000-0005-0000-0000-00004F010000}"/>
    <cellStyle name="쉼표 [0] 15 4 2" xfId="339" xr:uid="{00000000-0005-0000-0000-000050010000}"/>
    <cellStyle name="쉼표 [0] 15 4 2 2" xfId="340" xr:uid="{00000000-0005-0000-0000-000051010000}"/>
    <cellStyle name="쉼표 [0] 15 4 3" xfId="341" xr:uid="{00000000-0005-0000-0000-000052010000}"/>
    <cellStyle name="쉼표 [0] 15 4 3 2" xfId="342" xr:uid="{00000000-0005-0000-0000-000053010000}"/>
    <cellStyle name="쉼표 [0] 15 4 4" xfId="343" xr:uid="{00000000-0005-0000-0000-000054010000}"/>
    <cellStyle name="쉼표 [0] 15 5" xfId="344" xr:uid="{00000000-0005-0000-0000-000055010000}"/>
    <cellStyle name="쉼표 [0] 15 5 2" xfId="345" xr:uid="{00000000-0005-0000-0000-000056010000}"/>
    <cellStyle name="쉼표 [0] 15 6" xfId="346" xr:uid="{00000000-0005-0000-0000-000057010000}"/>
    <cellStyle name="쉼표 [0] 15 6 2" xfId="347" xr:uid="{00000000-0005-0000-0000-000058010000}"/>
    <cellStyle name="쉼표 [0] 15 7" xfId="348" xr:uid="{00000000-0005-0000-0000-000059010000}"/>
    <cellStyle name="쉼표 [0] 15 7 2" xfId="349" xr:uid="{00000000-0005-0000-0000-00005A010000}"/>
    <cellStyle name="쉼표 [0] 15 8" xfId="350" xr:uid="{00000000-0005-0000-0000-00005B010000}"/>
    <cellStyle name="쉼표 [0] 15 8 2" xfId="351" xr:uid="{00000000-0005-0000-0000-00005C010000}"/>
    <cellStyle name="쉼표 [0] 15 9" xfId="352" xr:uid="{00000000-0005-0000-0000-00005D010000}"/>
    <cellStyle name="쉼표 [0] 15 9 2" xfId="353" xr:uid="{00000000-0005-0000-0000-00005E010000}"/>
    <cellStyle name="쉼표 [0] 16" xfId="354" xr:uid="{00000000-0005-0000-0000-00005F010000}"/>
    <cellStyle name="쉼표 [0] 16 10" xfId="355" xr:uid="{00000000-0005-0000-0000-000060010000}"/>
    <cellStyle name="쉼표 [0] 16 2" xfId="356" xr:uid="{00000000-0005-0000-0000-000061010000}"/>
    <cellStyle name="쉼표 [0] 16 2 2" xfId="357" xr:uid="{00000000-0005-0000-0000-000062010000}"/>
    <cellStyle name="쉼표 [0] 16 2 3" xfId="358" xr:uid="{00000000-0005-0000-0000-000063010000}"/>
    <cellStyle name="쉼표 [0] 16 2 3 2" xfId="359" xr:uid="{00000000-0005-0000-0000-000064010000}"/>
    <cellStyle name="쉼표 [0] 16 2 4" xfId="360" xr:uid="{00000000-0005-0000-0000-000065010000}"/>
    <cellStyle name="쉼표 [0] 16 2 4 2" xfId="361" xr:uid="{00000000-0005-0000-0000-000066010000}"/>
    <cellStyle name="쉼표 [0] 16 2 5" xfId="362" xr:uid="{00000000-0005-0000-0000-000067010000}"/>
    <cellStyle name="쉼표 [0] 16 2 5 2" xfId="363" xr:uid="{00000000-0005-0000-0000-000068010000}"/>
    <cellStyle name="쉼표 [0] 16 2 6" xfId="364" xr:uid="{00000000-0005-0000-0000-000069010000}"/>
    <cellStyle name="쉼표 [0] 16 2 6 2" xfId="365" xr:uid="{00000000-0005-0000-0000-00006A010000}"/>
    <cellStyle name="쉼표 [0] 16 2 7" xfId="366" xr:uid="{00000000-0005-0000-0000-00006B010000}"/>
    <cellStyle name="쉼표 [0] 16 2 7 2" xfId="367" xr:uid="{00000000-0005-0000-0000-00006C010000}"/>
    <cellStyle name="쉼표 [0] 16 2 8" xfId="368" xr:uid="{00000000-0005-0000-0000-00006D010000}"/>
    <cellStyle name="쉼표 [0] 16 3" xfId="369" xr:uid="{00000000-0005-0000-0000-00006E010000}"/>
    <cellStyle name="쉼표 [0] 16 4" xfId="370" xr:uid="{00000000-0005-0000-0000-00006F010000}"/>
    <cellStyle name="쉼표 [0] 16 4 2" xfId="371" xr:uid="{00000000-0005-0000-0000-000070010000}"/>
    <cellStyle name="쉼표 [0] 16 5" xfId="372" xr:uid="{00000000-0005-0000-0000-000071010000}"/>
    <cellStyle name="쉼표 [0] 16 5 2" xfId="373" xr:uid="{00000000-0005-0000-0000-000072010000}"/>
    <cellStyle name="쉼표 [0] 16 6" xfId="374" xr:uid="{00000000-0005-0000-0000-000073010000}"/>
    <cellStyle name="쉼표 [0] 16 6 2" xfId="375" xr:uid="{00000000-0005-0000-0000-000074010000}"/>
    <cellStyle name="쉼표 [0] 16 7" xfId="376" xr:uid="{00000000-0005-0000-0000-000075010000}"/>
    <cellStyle name="쉼표 [0] 16 7 2" xfId="377" xr:uid="{00000000-0005-0000-0000-000076010000}"/>
    <cellStyle name="쉼표 [0] 16 8" xfId="378" xr:uid="{00000000-0005-0000-0000-000077010000}"/>
    <cellStyle name="쉼표 [0] 16 8 2" xfId="379" xr:uid="{00000000-0005-0000-0000-000078010000}"/>
    <cellStyle name="쉼표 [0] 16 9" xfId="380" xr:uid="{00000000-0005-0000-0000-000079010000}"/>
    <cellStyle name="쉼표 [0] 17" xfId="381" xr:uid="{00000000-0005-0000-0000-00007A010000}"/>
    <cellStyle name="쉼표 [0] 17 10" xfId="382" xr:uid="{00000000-0005-0000-0000-00007B010000}"/>
    <cellStyle name="쉼표 [0] 17 2" xfId="383" xr:uid="{00000000-0005-0000-0000-00007C010000}"/>
    <cellStyle name="쉼표 [0] 17 2 2" xfId="384" xr:uid="{00000000-0005-0000-0000-00007D010000}"/>
    <cellStyle name="쉼표 [0] 17 2 3" xfId="385" xr:uid="{00000000-0005-0000-0000-00007E010000}"/>
    <cellStyle name="쉼표 [0] 17 2 3 2" xfId="386" xr:uid="{00000000-0005-0000-0000-00007F010000}"/>
    <cellStyle name="쉼표 [0] 17 2 4" xfId="387" xr:uid="{00000000-0005-0000-0000-000080010000}"/>
    <cellStyle name="쉼표 [0] 17 2 4 2" xfId="388" xr:uid="{00000000-0005-0000-0000-000081010000}"/>
    <cellStyle name="쉼표 [0] 17 2 5" xfId="389" xr:uid="{00000000-0005-0000-0000-000082010000}"/>
    <cellStyle name="쉼표 [0] 17 2 5 2" xfId="390" xr:uid="{00000000-0005-0000-0000-000083010000}"/>
    <cellStyle name="쉼표 [0] 17 2 6" xfId="391" xr:uid="{00000000-0005-0000-0000-000084010000}"/>
    <cellStyle name="쉼표 [0] 17 2 6 2" xfId="392" xr:uid="{00000000-0005-0000-0000-000085010000}"/>
    <cellStyle name="쉼표 [0] 17 2 7" xfId="393" xr:uid="{00000000-0005-0000-0000-000086010000}"/>
    <cellStyle name="쉼표 [0] 17 2 7 2" xfId="394" xr:uid="{00000000-0005-0000-0000-000087010000}"/>
    <cellStyle name="쉼표 [0] 17 2 8" xfId="395" xr:uid="{00000000-0005-0000-0000-000088010000}"/>
    <cellStyle name="쉼표 [0] 17 3" xfId="396" xr:uid="{00000000-0005-0000-0000-000089010000}"/>
    <cellStyle name="쉼표 [0] 17 4" xfId="397" xr:uid="{00000000-0005-0000-0000-00008A010000}"/>
    <cellStyle name="쉼표 [0] 17 4 2" xfId="398" xr:uid="{00000000-0005-0000-0000-00008B010000}"/>
    <cellStyle name="쉼표 [0] 17 5" xfId="399" xr:uid="{00000000-0005-0000-0000-00008C010000}"/>
    <cellStyle name="쉼표 [0] 17 5 2" xfId="400" xr:uid="{00000000-0005-0000-0000-00008D010000}"/>
    <cellStyle name="쉼표 [0] 17 6" xfId="401" xr:uid="{00000000-0005-0000-0000-00008E010000}"/>
    <cellStyle name="쉼표 [0] 17 6 2" xfId="402" xr:uid="{00000000-0005-0000-0000-00008F010000}"/>
    <cellStyle name="쉼표 [0] 17 7" xfId="403" xr:uid="{00000000-0005-0000-0000-000090010000}"/>
    <cellStyle name="쉼표 [0] 17 7 2" xfId="404" xr:uid="{00000000-0005-0000-0000-000091010000}"/>
    <cellStyle name="쉼표 [0] 17 8" xfId="405" xr:uid="{00000000-0005-0000-0000-000092010000}"/>
    <cellStyle name="쉼표 [0] 17 8 2" xfId="406" xr:uid="{00000000-0005-0000-0000-000093010000}"/>
    <cellStyle name="쉼표 [0] 17 9" xfId="407" xr:uid="{00000000-0005-0000-0000-000094010000}"/>
    <cellStyle name="쉼표 [0] 18" xfId="408" xr:uid="{00000000-0005-0000-0000-000095010000}"/>
    <cellStyle name="쉼표 [0] 18 10" xfId="409" xr:uid="{00000000-0005-0000-0000-000096010000}"/>
    <cellStyle name="쉼표 [0] 18 2" xfId="410" xr:uid="{00000000-0005-0000-0000-000097010000}"/>
    <cellStyle name="쉼표 [0] 18 2 2" xfId="411" xr:uid="{00000000-0005-0000-0000-000098010000}"/>
    <cellStyle name="쉼표 [0] 18 2 3" xfId="412" xr:uid="{00000000-0005-0000-0000-000099010000}"/>
    <cellStyle name="쉼표 [0] 18 2 3 2" xfId="413" xr:uid="{00000000-0005-0000-0000-00009A010000}"/>
    <cellStyle name="쉼표 [0] 18 2 4" xfId="414" xr:uid="{00000000-0005-0000-0000-00009B010000}"/>
    <cellStyle name="쉼표 [0] 18 2 4 2" xfId="415" xr:uid="{00000000-0005-0000-0000-00009C010000}"/>
    <cellStyle name="쉼표 [0] 18 2 5" xfId="416" xr:uid="{00000000-0005-0000-0000-00009D010000}"/>
    <cellStyle name="쉼표 [0] 18 2 5 2" xfId="417" xr:uid="{00000000-0005-0000-0000-00009E010000}"/>
    <cellStyle name="쉼표 [0] 18 2 6" xfId="418" xr:uid="{00000000-0005-0000-0000-00009F010000}"/>
    <cellStyle name="쉼표 [0] 18 2 6 2" xfId="419" xr:uid="{00000000-0005-0000-0000-0000A0010000}"/>
    <cellStyle name="쉼표 [0] 18 2 7" xfId="420" xr:uid="{00000000-0005-0000-0000-0000A1010000}"/>
    <cellStyle name="쉼표 [0] 18 2 7 2" xfId="421" xr:uid="{00000000-0005-0000-0000-0000A2010000}"/>
    <cellStyle name="쉼표 [0] 18 2 8" xfId="422" xr:uid="{00000000-0005-0000-0000-0000A3010000}"/>
    <cellStyle name="쉼표 [0] 18 3" xfId="423" xr:uid="{00000000-0005-0000-0000-0000A4010000}"/>
    <cellStyle name="쉼표 [0] 18 4" xfId="424" xr:uid="{00000000-0005-0000-0000-0000A5010000}"/>
    <cellStyle name="쉼표 [0] 18 4 2" xfId="425" xr:uid="{00000000-0005-0000-0000-0000A6010000}"/>
    <cellStyle name="쉼표 [0] 18 5" xfId="426" xr:uid="{00000000-0005-0000-0000-0000A7010000}"/>
    <cellStyle name="쉼표 [0] 18 5 2" xfId="427" xr:uid="{00000000-0005-0000-0000-0000A8010000}"/>
    <cellStyle name="쉼표 [0] 18 6" xfId="428" xr:uid="{00000000-0005-0000-0000-0000A9010000}"/>
    <cellStyle name="쉼표 [0] 18 6 2" xfId="429" xr:uid="{00000000-0005-0000-0000-0000AA010000}"/>
    <cellStyle name="쉼표 [0] 18 7" xfId="430" xr:uid="{00000000-0005-0000-0000-0000AB010000}"/>
    <cellStyle name="쉼표 [0] 18 7 2" xfId="431" xr:uid="{00000000-0005-0000-0000-0000AC010000}"/>
    <cellStyle name="쉼표 [0] 18 8" xfId="432" xr:uid="{00000000-0005-0000-0000-0000AD010000}"/>
    <cellStyle name="쉼표 [0] 18 8 2" xfId="433" xr:uid="{00000000-0005-0000-0000-0000AE010000}"/>
    <cellStyle name="쉼표 [0] 18 9" xfId="434" xr:uid="{00000000-0005-0000-0000-0000AF010000}"/>
    <cellStyle name="쉼표 [0] 19" xfId="435" xr:uid="{00000000-0005-0000-0000-0000B0010000}"/>
    <cellStyle name="쉼표 [0] 19 10" xfId="436" xr:uid="{00000000-0005-0000-0000-0000B1010000}"/>
    <cellStyle name="쉼표 [0] 19 2" xfId="437" xr:uid="{00000000-0005-0000-0000-0000B2010000}"/>
    <cellStyle name="쉼표 [0] 19 2 2" xfId="438" xr:uid="{00000000-0005-0000-0000-0000B3010000}"/>
    <cellStyle name="쉼표 [0] 19 2 3" xfId="439" xr:uid="{00000000-0005-0000-0000-0000B4010000}"/>
    <cellStyle name="쉼표 [0] 19 2 3 2" xfId="440" xr:uid="{00000000-0005-0000-0000-0000B5010000}"/>
    <cellStyle name="쉼표 [0] 19 2 4" xfId="441" xr:uid="{00000000-0005-0000-0000-0000B6010000}"/>
    <cellStyle name="쉼표 [0] 19 2 4 2" xfId="442" xr:uid="{00000000-0005-0000-0000-0000B7010000}"/>
    <cellStyle name="쉼표 [0] 19 2 5" xfId="443" xr:uid="{00000000-0005-0000-0000-0000B8010000}"/>
    <cellStyle name="쉼표 [0] 19 2 5 2" xfId="444" xr:uid="{00000000-0005-0000-0000-0000B9010000}"/>
    <cellStyle name="쉼표 [0] 19 2 6" xfId="445" xr:uid="{00000000-0005-0000-0000-0000BA010000}"/>
    <cellStyle name="쉼표 [0] 19 2 6 2" xfId="446" xr:uid="{00000000-0005-0000-0000-0000BB010000}"/>
    <cellStyle name="쉼표 [0] 19 2 7" xfId="447" xr:uid="{00000000-0005-0000-0000-0000BC010000}"/>
    <cellStyle name="쉼표 [0] 19 2 7 2" xfId="448" xr:uid="{00000000-0005-0000-0000-0000BD010000}"/>
    <cellStyle name="쉼표 [0] 19 2 8" xfId="449" xr:uid="{00000000-0005-0000-0000-0000BE010000}"/>
    <cellStyle name="쉼표 [0] 19 3" xfId="450" xr:uid="{00000000-0005-0000-0000-0000BF010000}"/>
    <cellStyle name="쉼표 [0] 19 4" xfId="451" xr:uid="{00000000-0005-0000-0000-0000C0010000}"/>
    <cellStyle name="쉼표 [0] 19 4 2" xfId="452" xr:uid="{00000000-0005-0000-0000-0000C1010000}"/>
    <cellStyle name="쉼표 [0] 19 5" xfId="453" xr:uid="{00000000-0005-0000-0000-0000C2010000}"/>
    <cellStyle name="쉼표 [0] 19 5 2" xfId="454" xr:uid="{00000000-0005-0000-0000-0000C3010000}"/>
    <cellStyle name="쉼표 [0] 19 6" xfId="455" xr:uid="{00000000-0005-0000-0000-0000C4010000}"/>
    <cellStyle name="쉼표 [0] 19 6 2" xfId="456" xr:uid="{00000000-0005-0000-0000-0000C5010000}"/>
    <cellStyle name="쉼표 [0] 19 7" xfId="457" xr:uid="{00000000-0005-0000-0000-0000C6010000}"/>
    <cellStyle name="쉼표 [0] 19 7 2" xfId="458" xr:uid="{00000000-0005-0000-0000-0000C7010000}"/>
    <cellStyle name="쉼표 [0] 19 8" xfId="459" xr:uid="{00000000-0005-0000-0000-0000C8010000}"/>
    <cellStyle name="쉼표 [0] 19 8 2" xfId="460" xr:uid="{00000000-0005-0000-0000-0000C9010000}"/>
    <cellStyle name="쉼표 [0] 19 9" xfId="461" xr:uid="{00000000-0005-0000-0000-0000CA010000}"/>
    <cellStyle name="쉼표 [0] 2" xfId="462" xr:uid="{00000000-0005-0000-0000-0000CB010000}"/>
    <cellStyle name="쉼표 [0] 2 10" xfId="463" xr:uid="{00000000-0005-0000-0000-0000CC010000}"/>
    <cellStyle name="쉼표 [0] 2 10 2" xfId="464" xr:uid="{00000000-0005-0000-0000-0000CD010000}"/>
    <cellStyle name="쉼표 [0] 2 10 2 2" xfId="465" xr:uid="{00000000-0005-0000-0000-0000CE010000}"/>
    <cellStyle name="쉼표 [0] 2 10 2 3" xfId="466" xr:uid="{00000000-0005-0000-0000-0000CF010000}"/>
    <cellStyle name="쉼표 [0] 2 10 2 3 2" xfId="467" xr:uid="{00000000-0005-0000-0000-0000D0010000}"/>
    <cellStyle name="쉼표 [0] 2 10 2 4" xfId="468" xr:uid="{00000000-0005-0000-0000-0000D1010000}"/>
    <cellStyle name="쉼표 [0] 2 10 2 4 2" xfId="469" xr:uid="{00000000-0005-0000-0000-0000D2010000}"/>
    <cellStyle name="쉼표 [0] 2 10 2 5" xfId="470" xr:uid="{00000000-0005-0000-0000-0000D3010000}"/>
    <cellStyle name="쉼표 [0] 2 10 2 5 2" xfId="471" xr:uid="{00000000-0005-0000-0000-0000D4010000}"/>
    <cellStyle name="쉼표 [0] 2 10 2 6" xfId="472" xr:uid="{00000000-0005-0000-0000-0000D5010000}"/>
    <cellStyle name="쉼표 [0] 2 10 2 6 2" xfId="473" xr:uid="{00000000-0005-0000-0000-0000D6010000}"/>
    <cellStyle name="쉼표 [0] 2 10 2 7" xfId="474" xr:uid="{00000000-0005-0000-0000-0000D7010000}"/>
    <cellStyle name="쉼표 [0] 2 10 2 7 2" xfId="475" xr:uid="{00000000-0005-0000-0000-0000D8010000}"/>
    <cellStyle name="쉼표 [0] 2 10 2 8" xfId="476" xr:uid="{00000000-0005-0000-0000-0000D9010000}"/>
    <cellStyle name="쉼표 [0] 2 10 3" xfId="477" xr:uid="{00000000-0005-0000-0000-0000DA010000}"/>
    <cellStyle name="쉼표 [0] 2 10 4" xfId="478" xr:uid="{00000000-0005-0000-0000-0000DB010000}"/>
    <cellStyle name="쉼표 [0] 2 10 4 2" xfId="479" xr:uid="{00000000-0005-0000-0000-0000DC010000}"/>
    <cellStyle name="쉼표 [0] 2 10 5" xfId="480" xr:uid="{00000000-0005-0000-0000-0000DD010000}"/>
    <cellStyle name="쉼표 [0] 2 10 5 2" xfId="481" xr:uid="{00000000-0005-0000-0000-0000DE010000}"/>
    <cellStyle name="쉼표 [0] 2 10 6" xfId="482" xr:uid="{00000000-0005-0000-0000-0000DF010000}"/>
    <cellStyle name="쉼표 [0] 2 10 6 2" xfId="483" xr:uid="{00000000-0005-0000-0000-0000E0010000}"/>
    <cellStyle name="쉼표 [0] 2 10 7" xfId="484" xr:uid="{00000000-0005-0000-0000-0000E1010000}"/>
    <cellStyle name="쉼표 [0] 2 10 7 2" xfId="485" xr:uid="{00000000-0005-0000-0000-0000E2010000}"/>
    <cellStyle name="쉼표 [0] 2 10 8" xfId="486" xr:uid="{00000000-0005-0000-0000-0000E3010000}"/>
    <cellStyle name="쉼표 [0] 2 10 8 2" xfId="487" xr:uid="{00000000-0005-0000-0000-0000E4010000}"/>
    <cellStyle name="쉼표 [0] 2 10 9" xfId="488" xr:uid="{00000000-0005-0000-0000-0000E5010000}"/>
    <cellStyle name="쉼표 [0] 2 11" xfId="489" xr:uid="{00000000-0005-0000-0000-0000E6010000}"/>
    <cellStyle name="쉼표 [0] 2 11 2" xfId="490" xr:uid="{00000000-0005-0000-0000-0000E7010000}"/>
    <cellStyle name="쉼표 [0] 2 11 2 2" xfId="491" xr:uid="{00000000-0005-0000-0000-0000E8010000}"/>
    <cellStyle name="쉼표 [0] 2 11 2 3" xfId="492" xr:uid="{00000000-0005-0000-0000-0000E9010000}"/>
    <cellStyle name="쉼표 [0] 2 11 2 3 2" xfId="493" xr:uid="{00000000-0005-0000-0000-0000EA010000}"/>
    <cellStyle name="쉼표 [0] 2 11 2 4" xfId="494" xr:uid="{00000000-0005-0000-0000-0000EB010000}"/>
    <cellStyle name="쉼표 [0] 2 11 2 4 2" xfId="495" xr:uid="{00000000-0005-0000-0000-0000EC010000}"/>
    <cellStyle name="쉼표 [0] 2 11 2 5" xfId="496" xr:uid="{00000000-0005-0000-0000-0000ED010000}"/>
    <cellStyle name="쉼표 [0] 2 11 2 5 2" xfId="497" xr:uid="{00000000-0005-0000-0000-0000EE010000}"/>
    <cellStyle name="쉼표 [0] 2 11 2 6" xfId="498" xr:uid="{00000000-0005-0000-0000-0000EF010000}"/>
    <cellStyle name="쉼표 [0] 2 11 2 6 2" xfId="499" xr:uid="{00000000-0005-0000-0000-0000F0010000}"/>
    <cellStyle name="쉼표 [0] 2 11 2 7" xfId="500" xr:uid="{00000000-0005-0000-0000-0000F1010000}"/>
    <cellStyle name="쉼표 [0] 2 11 2 7 2" xfId="501" xr:uid="{00000000-0005-0000-0000-0000F2010000}"/>
    <cellStyle name="쉼표 [0] 2 11 2 8" xfId="502" xr:uid="{00000000-0005-0000-0000-0000F3010000}"/>
    <cellStyle name="쉼표 [0] 2 11 3" xfId="503" xr:uid="{00000000-0005-0000-0000-0000F4010000}"/>
    <cellStyle name="쉼표 [0] 2 11 4" xfId="504" xr:uid="{00000000-0005-0000-0000-0000F5010000}"/>
    <cellStyle name="쉼표 [0] 2 11 4 2" xfId="505" xr:uid="{00000000-0005-0000-0000-0000F6010000}"/>
    <cellStyle name="쉼표 [0] 2 11 5" xfId="506" xr:uid="{00000000-0005-0000-0000-0000F7010000}"/>
    <cellStyle name="쉼표 [0] 2 11 5 2" xfId="507" xr:uid="{00000000-0005-0000-0000-0000F8010000}"/>
    <cellStyle name="쉼표 [0] 2 11 6" xfId="508" xr:uid="{00000000-0005-0000-0000-0000F9010000}"/>
    <cellStyle name="쉼표 [0] 2 11 6 2" xfId="509" xr:uid="{00000000-0005-0000-0000-0000FA010000}"/>
    <cellStyle name="쉼표 [0] 2 11 7" xfId="510" xr:uid="{00000000-0005-0000-0000-0000FB010000}"/>
    <cellStyle name="쉼표 [0] 2 11 7 2" xfId="511" xr:uid="{00000000-0005-0000-0000-0000FC010000}"/>
    <cellStyle name="쉼표 [0] 2 11 8" xfId="512" xr:uid="{00000000-0005-0000-0000-0000FD010000}"/>
    <cellStyle name="쉼표 [0] 2 11 8 2" xfId="513" xr:uid="{00000000-0005-0000-0000-0000FE010000}"/>
    <cellStyle name="쉼표 [0] 2 11 9" xfId="514" xr:uid="{00000000-0005-0000-0000-0000FF010000}"/>
    <cellStyle name="쉼표 [0] 2 12" xfId="515" xr:uid="{00000000-0005-0000-0000-000000020000}"/>
    <cellStyle name="쉼표 [0] 2 13" xfId="516" xr:uid="{00000000-0005-0000-0000-000001020000}"/>
    <cellStyle name="쉼표 [0] 2 14" xfId="517" xr:uid="{00000000-0005-0000-0000-000002020000}"/>
    <cellStyle name="쉼표 [0] 2 14 2" xfId="518" xr:uid="{00000000-0005-0000-0000-000003020000}"/>
    <cellStyle name="쉼표 [0] 2 14 2 2" xfId="519" xr:uid="{00000000-0005-0000-0000-000004020000}"/>
    <cellStyle name="쉼표 [0] 2 14 3" xfId="520" xr:uid="{00000000-0005-0000-0000-000005020000}"/>
    <cellStyle name="쉼표 [0] 2 14 3 2" xfId="521" xr:uid="{00000000-0005-0000-0000-000006020000}"/>
    <cellStyle name="쉼표 [0] 2 14 4" xfId="522" xr:uid="{00000000-0005-0000-0000-000007020000}"/>
    <cellStyle name="쉼표 [0] 2 14 4 2" xfId="523" xr:uid="{00000000-0005-0000-0000-000008020000}"/>
    <cellStyle name="쉼표 [0] 2 14 5" xfId="524" xr:uid="{00000000-0005-0000-0000-000009020000}"/>
    <cellStyle name="쉼표 [0] 2 14 5 2" xfId="525" xr:uid="{00000000-0005-0000-0000-00000A020000}"/>
    <cellStyle name="쉼표 [0] 2 14 6" xfId="526" xr:uid="{00000000-0005-0000-0000-00000B020000}"/>
    <cellStyle name="쉼표 [0] 2 14 6 2" xfId="527" xr:uid="{00000000-0005-0000-0000-00000C020000}"/>
    <cellStyle name="쉼표 [0] 2 14 7" xfId="528" xr:uid="{00000000-0005-0000-0000-00000D020000}"/>
    <cellStyle name="쉼표 [0] 2 15" xfId="529" xr:uid="{00000000-0005-0000-0000-00000E020000}"/>
    <cellStyle name="쉼표 [0] 2 15 2" xfId="530" xr:uid="{00000000-0005-0000-0000-00000F020000}"/>
    <cellStyle name="쉼표 [0] 2 15 2 2" xfId="531" xr:uid="{00000000-0005-0000-0000-000010020000}"/>
    <cellStyle name="쉼표 [0] 2 15 3" xfId="532" xr:uid="{00000000-0005-0000-0000-000011020000}"/>
    <cellStyle name="쉼표 [0] 2 16" xfId="533" xr:uid="{00000000-0005-0000-0000-000012020000}"/>
    <cellStyle name="쉼표 [0] 2 16 2" xfId="534" xr:uid="{00000000-0005-0000-0000-000013020000}"/>
    <cellStyle name="쉼표 [0] 2 17" xfId="535" xr:uid="{00000000-0005-0000-0000-000014020000}"/>
    <cellStyle name="쉼표 [0] 2 2" xfId="3" xr:uid="{00000000-0005-0000-0000-000015020000}"/>
    <cellStyle name="쉼표 [0] 2 2 10" xfId="536" xr:uid="{00000000-0005-0000-0000-000016020000}"/>
    <cellStyle name="쉼표 [0] 2 2 11" xfId="537" xr:uid="{00000000-0005-0000-0000-000017020000}"/>
    <cellStyle name="쉼표 [0] 2 2 11 2" xfId="538" xr:uid="{00000000-0005-0000-0000-000018020000}"/>
    <cellStyle name="쉼표 [0] 2 2 11 2 2" xfId="539" xr:uid="{00000000-0005-0000-0000-000019020000}"/>
    <cellStyle name="쉼표 [0] 2 2 11 3" xfId="540" xr:uid="{00000000-0005-0000-0000-00001A020000}"/>
    <cellStyle name="쉼표 [0] 2 2 11 3 2" xfId="541" xr:uid="{00000000-0005-0000-0000-00001B020000}"/>
    <cellStyle name="쉼표 [0] 2 2 11 4" xfId="542" xr:uid="{00000000-0005-0000-0000-00001C020000}"/>
    <cellStyle name="쉼표 [0] 2 2 11 4 2" xfId="543" xr:uid="{00000000-0005-0000-0000-00001D020000}"/>
    <cellStyle name="쉼표 [0] 2 2 11 5" xfId="544" xr:uid="{00000000-0005-0000-0000-00001E020000}"/>
    <cellStyle name="쉼표 [0] 2 2 11 5 2" xfId="545" xr:uid="{00000000-0005-0000-0000-00001F020000}"/>
    <cellStyle name="쉼표 [0] 2 2 11 6" xfId="546" xr:uid="{00000000-0005-0000-0000-000020020000}"/>
    <cellStyle name="쉼표 [0] 2 2 11 6 2" xfId="547" xr:uid="{00000000-0005-0000-0000-000021020000}"/>
    <cellStyle name="쉼표 [0] 2 2 11 7" xfId="548" xr:uid="{00000000-0005-0000-0000-000022020000}"/>
    <cellStyle name="쉼표 [0] 2 2 12" xfId="549" xr:uid="{00000000-0005-0000-0000-000023020000}"/>
    <cellStyle name="쉼표 [0] 2 2 12 2" xfId="550" xr:uid="{00000000-0005-0000-0000-000024020000}"/>
    <cellStyle name="쉼표 [0] 2 2 12 2 2" xfId="551" xr:uid="{00000000-0005-0000-0000-000025020000}"/>
    <cellStyle name="쉼표 [0] 2 2 12 3" xfId="552" xr:uid="{00000000-0005-0000-0000-000026020000}"/>
    <cellStyle name="쉼표 [0] 2 2 13" xfId="553" xr:uid="{00000000-0005-0000-0000-000027020000}"/>
    <cellStyle name="쉼표 [0] 2 2 13 2" xfId="554" xr:uid="{00000000-0005-0000-0000-000028020000}"/>
    <cellStyle name="쉼표 [0] 2 2 14" xfId="555" xr:uid="{00000000-0005-0000-0000-000029020000}"/>
    <cellStyle name="쉼표 [0] 2 2 2" xfId="556" xr:uid="{00000000-0005-0000-0000-00002A020000}"/>
    <cellStyle name="쉼표 [0] 2 2 2 10" xfId="557" xr:uid="{00000000-0005-0000-0000-00002B020000}"/>
    <cellStyle name="쉼표 [0] 2 2 2 10 2" xfId="558" xr:uid="{00000000-0005-0000-0000-00002C020000}"/>
    <cellStyle name="쉼표 [0] 2 2 2 11" xfId="559" xr:uid="{00000000-0005-0000-0000-00002D020000}"/>
    <cellStyle name="쉼표 [0] 2 2 2 11 2" xfId="560" xr:uid="{00000000-0005-0000-0000-00002E020000}"/>
    <cellStyle name="쉼표 [0] 2 2 2 12" xfId="561" xr:uid="{00000000-0005-0000-0000-00002F020000}"/>
    <cellStyle name="쉼표 [0] 2 2 2 12 2" xfId="562" xr:uid="{00000000-0005-0000-0000-000030020000}"/>
    <cellStyle name="쉼표 [0] 2 2 2 13" xfId="563" xr:uid="{00000000-0005-0000-0000-000031020000}"/>
    <cellStyle name="쉼표 [0] 2 2 2 14" xfId="564" xr:uid="{00000000-0005-0000-0000-000032020000}"/>
    <cellStyle name="쉼표 [0] 2 2 2 2" xfId="565" xr:uid="{00000000-0005-0000-0000-000033020000}"/>
    <cellStyle name="쉼표 [0] 2 2 2 2 10" xfId="566" xr:uid="{00000000-0005-0000-0000-000034020000}"/>
    <cellStyle name="쉼표 [0] 2 2 2 2 10 2" xfId="567" xr:uid="{00000000-0005-0000-0000-000035020000}"/>
    <cellStyle name="쉼표 [0] 2 2 2 2 11" xfId="568" xr:uid="{00000000-0005-0000-0000-000036020000}"/>
    <cellStyle name="쉼표 [0] 2 2 2 2 2" xfId="569" xr:uid="{00000000-0005-0000-0000-000037020000}"/>
    <cellStyle name="쉼표 [0] 2 2 2 2 2 2" xfId="570" xr:uid="{00000000-0005-0000-0000-000038020000}"/>
    <cellStyle name="쉼표 [0] 2 2 2 2 2 3" xfId="571" xr:uid="{00000000-0005-0000-0000-000039020000}"/>
    <cellStyle name="쉼표 [0] 2 2 2 2 2 3 2" xfId="572" xr:uid="{00000000-0005-0000-0000-00003A020000}"/>
    <cellStyle name="쉼표 [0] 2 2 2 2 3" xfId="573" xr:uid="{00000000-0005-0000-0000-00003B020000}"/>
    <cellStyle name="쉼표 [0] 2 2 2 2 3 2" xfId="574" xr:uid="{00000000-0005-0000-0000-00003C020000}"/>
    <cellStyle name="쉼표 [0] 2 2 2 2 4" xfId="575" xr:uid="{00000000-0005-0000-0000-00003D020000}"/>
    <cellStyle name="쉼표 [0] 2 2 2 2 4 2" xfId="576" xr:uid="{00000000-0005-0000-0000-00003E020000}"/>
    <cellStyle name="쉼표 [0] 2 2 2 2 5" xfId="577" xr:uid="{00000000-0005-0000-0000-00003F020000}"/>
    <cellStyle name="쉼표 [0] 2 2 2 2 5 2" xfId="578" xr:uid="{00000000-0005-0000-0000-000040020000}"/>
    <cellStyle name="쉼표 [0] 2 2 2 2 6" xfId="579" xr:uid="{00000000-0005-0000-0000-000041020000}"/>
    <cellStyle name="쉼표 [0] 2 2 2 2 6 2" xfId="580" xr:uid="{00000000-0005-0000-0000-000042020000}"/>
    <cellStyle name="쉼표 [0] 2 2 2 2 7" xfId="581" xr:uid="{00000000-0005-0000-0000-000043020000}"/>
    <cellStyle name="쉼표 [0] 2 2 2 2 7 2" xfId="582" xr:uid="{00000000-0005-0000-0000-000044020000}"/>
    <cellStyle name="쉼표 [0] 2 2 2 2 8" xfId="583" xr:uid="{00000000-0005-0000-0000-000045020000}"/>
    <cellStyle name="쉼표 [0] 2 2 2 2 8 2" xfId="584" xr:uid="{00000000-0005-0000-0000-000046020000}"/>
    <cellStyle name="쉼표 [0] 2 2 2 2 9" xfId="585" xr:uid="{00000000-0005-0000-0000-000047020000}"/>
    <cellStyle name="쉼표 [0] 2 2 2 2 9 2" xfId="586" xr:uid="{00000000-0005-0000-0000-000048020000}"/>
    <cellStyle name="쉼표 [0] 2 2 2 3" xfId="587" xr:uid="{00000000-0005-0000-0000-000049020000}"/>
    <cellStyle name="쉼표 [0] 2 2 2 3 2" xfId="588" xr:uid="{00000000-0005-0000-0000-00004A020000}"/>
    <cellStyle name="쉼표 [0] 2 2 2 3 2 2" xfId="589" xr:uid="{00000000-0005-0000-0000-00004B020000}"/>
    <cellStyle name="쉼표 [0] 2 2 2 3 2 3" xfId="590" xr:uid="{00000000-0005-0000-0000-00004C020000}"/>
    <cellStyle name="쉼표 [0] 2 2 2 3 3" xfId="591" xr:uid="{00000000-0005-0000-0000-00004D020000}"/>
    <cellStyle name="쉼표 [0] 2 2 2 3 3 2" xfId="592" xr:uid="{00000000-0005-0000-0000-00004E020000}"/>
    <cellStyle name="쉼표 [0] 2 2 2 3 4" xfId="593" xr:uid="{00000000-0005-0000-0000-00004F020000}"/>
    <cellStyle name="쉼표 [0] 2 2 2 3 4 2" xfId="594" xr:uid="{00000000-0005-0000-0000-000050020000}"/>
    <cellStyle name="쉼표 [0] 2 2 2 3 5" xfId="595" xr:uid="{00000000-0005-0000-0000-000051020000}"/>
    <cellStyle name="쉼표 [0] 2 2 2 3 6" xfId="596" xr:uid="{00000000-0005-0000-0000-000052020000}"/>
    <cellStyle name="쉼표 [0] 2 2 2 3 6 2" xfId="597" xr:uid="{00000000-0005-0000-0000-000053020000}"/>
    <cellStyle name="쉼표 [0] 2 2 2 3 7" xfId="598" xr:uid="{00000000-0005-0000-0000-000054020000}"/>
    <cellStyle name="쉼표 [0] 2 2 2 4" xfId="599" xr:uid="{00000000-0005-0000-0000-000055020000}"/>
    <cellStyle name="쉼표 [0] 2 2 2 4 2" xfId="600" xr:uid="{00000000-0005-0000-0000-000056020000}"/>
    <cellStyle name="쉼표 [0] 2 2 2 4 2 2" xfId="601" xr:uid="{00000000-0005-0000-0000-000057020000}"/>
    <cellStyle name="쉼표 [0] 2 2 2 4 3" xfId="602" xr:uid="{00000000-0005-0000-0000-000058020000}"/>
    <cellStyle name="쉼표 [0] 2 2 2 4 3 2" xfId="603" xr:uid="{00000000-0005-0000-0000-000059020000}"/>
    <cellStyle name="쉼표 [0] 2 2 2 4 4" xfId="604" xr:uid="{00000000-0005-0000-0000-00005A020000}"/>
    <cellStyle name="쉼표 [0] 2 2 2 5" xfId="605" xr:uid="{00000000-0005-0000-0000-00005B020000}"/>
    <cellStyle name="쉼표 [0] 2 2 2 5 2" xfId="606" xr:uid="{00000000-0005-0000-0000-00005C020000}"/>
    <cellStyle name="쉼표 [0] 2 2 2 6" xfId="607" xr:uid="{00000000-0005-0000-0000-00005D020000}"/>
    <cellStyle name="쉼표 [0] 2 2 2 6 2" xfId="608" xr:uid="{00000000-0005-0000-0000-00005E020000}"/>
    <cellStyle name="쉼표 [0] 2 2 2 7" xfId="609" xr:uid="{00000000-0005-0000-0000-00005F020000}"/>
    <cellStyle name="쉼표 [0] 2 2 2 7 2" xfId="610" xr:uid="{00000000-0005-0000-0000-000060020000}"/>
    <cellStyle name="쉼표 [0] 2 2 2 8" xfId="611" xr:uid="{00000000-0005-0000-0000-000061020000}"/>
    <cellStyle name="쉼표 [0] 2 2 2 8 2" xfId="612" xr:uid="{00000000-0005-0000-0000-000062020000}"/>
    <cellStyle name="쉼표 [0] 2 2 2 9" xfId="613" xr:uid="{00000000-0005-0000-0000-000063020000}"/>
    <cellStyle name="쉼표 [0] 2 2 2 9 2" xfId="614" xr:uid="{00000000-0005-0000-0000-000064020000}"/>
    <cellStyle name="쉼표 [0] 2 2 3" xfId="615" xr:uid="{00000000-0005-0000-0000-000065020000}"/>
    <cellStyle name="쉼표 [0] 2 2 3 10" xfId="616" xr:uid="{00000000-0005-0000-0000-000066020000}"/>
    <cellStyle name="쉼표 [0] 2 2 3 10 2" xfId="617" xr:uid="{00000000-0005-0000-0000-000067020000}"/>
    <cellStyle name="쉼표 [0] 2 2 3 11" xfId="618" xr:uid="{00000000-0005-0000-0000-000068020000}"/>
    <cellStyle name="쉼표 [0] 2 2 3 11 2" xfId="619" xr:uid="{00000000-0005-0000-0000-000069020000}"/>
    <cellStyle name="쉼표 [0] 2 2 3 12" xfId="620" xr:uid="{00000000-0005-0000-0000-00006A020000}"/>
    <cellStyle name="쉼표 [0] 2 2 3 12 2" xfId="621" xr:uid="{00000000-0005-0000-0000-00006B020000}"/>
    <cellStyle name="쉼표 [0] 2 2 3 13" xfId="622" xr:uid="{00000000-0005-0000-0000-00006C020000}"/>
    <cellStyle name="쉼표 [0] 2 2 3 2" xfId="623" xr:uid="{00000000-0005-0000-0000-00006D020000}"/>
    <cellStyle name="쉼표 [0] 2 2 3 2 10" xfId="624" xr:uid="{00000000-0005-0000-0000-00006E020000}"/>
    <cellStyle name="쉼표 [0] 2 2 3 2 10 2" xfId="625" xr:uid="{00000000-0005-0000-0000-00006F020000}"/>
    <cellStyle name="쉼표 [0] 2 2 3 2 11" xfId="626" xr:uid="{00000000-0005-0000-0000-000070020000}"/>
    <cellStyle name="쉼표 [0] 2 2 3 2 2" xfId="627" xr:uid="{00000000-0005-0000-0000-000071020000}"/>
    <cellStyle name="쉼표 [0] 2 2 3 2 2 2" xfId="628" xr:uid="{00000000-0005-0000-0000-000072020000}"/>
    <cellStyle name="쉼표 [0] 2 2 3 2 2 3" xfId="629" xr:uid="{00000000-0005-0000-0000-000073020000}"/>
    <cellStyle name="쉼표 [0] 2 2 3 2 2 3 2" xfId="630" xr:uid="{00000000-0005-0000-0000-000074020000}"/>
    <cellStyle name="쉼표 [0] 2 2 3 2 3" xfId="631" xr:uid="{00000000-0005-0000-0000-000075020000}"/>
    <cellStyle name="쉼표 [0] 2 2 3 2 3 2" xfId="632" xr:uid="{00000000-0005-0000-0000-000076020000}"/>
    <cellStyle name="쉼표 [0] 2 2 3 2 4" xfId="633" xr:uid="{00000000-0005-0000-0000-000077020000}"/>
    <cellStyle name="쉼표 [0] 2 2 3 2 4 2" xfId="634" xr:uid="{00000000-0005-0000-0000-000078020000}"/>
    <cellStyle name="쉼표 [0] 2 2 3 2 5" xfId="635" xr:uid="{00000000-0005-0000-0000-000079020000}"/>
    <cellStyle name="쉼표 [0] 2 2 3 2 5 2" xfId="636" xr:uid="{00000000-0005-0000-0000-00007A020000}"/>
    <cellStyle name="쉼표 [0] 2 2 3 2 6" xfId="637" xr:uid="{00000000-0005-0000-0000-00007B020000}"/>
    <cellStyle name="쉼표 [0] 2 2 3 2 6 2" xfId="638" xr:uid="{00000000-0005-0000-0000-00007C020000}"/>
    <cellStyle name="쉼표 [0] 2 2 3 2 7" xfId="639" xr:uid="{00000000-0005-0000-0000-00007D020000}"/>
    <cellStyle name="쉼표 [0] 2 2 3 2 7 2" xfId="640" xr:uid="{00000000-0005-0000-0000-00007E020000}"/>
    <cellStyle name="쉼표 [0] 2 2 3 2 8" xfId="641" xr:uid="{00000000-0005-0000-0000-00007F020000}"/>
    <cellStyle name="쉼표 [0] 2 2 3 2 8 2" xfId="642" xr:uid="{00000000-0005-0000-0000-000080020000}"/>
    <cellStyle name="쉼표 [0] 2 2 3 2 9" xfId="643" xr:uid="{00000000-0005-0000-0000-000081020000}"/>
    <cellStyle name="쉼표 [0] 2 2 3 2 9 2" xfId="644" xr:uid="{00000000-0005-0000-0000-000082020000}"/>
    <cellStyle name="쉼표 [0] 2 2 3 3" xfId="645" xr:uid="{00000000-0005-0000-0000-000083020000}"/>
    <cellStyle name="쉼표 [0] 2 2 3 3 2" xfId="646" xr:uid="{00000000-0005-0000-0000-000084020000}"/>
    <cellStyle name="쉼표 [0] 2 2 3 3 2 2" xfId="647" xr:uid="{00000000-0005-0000-0000-000085020000}"/>
    <cellStyle name="쉼표 [0] 2 2 3 3 3" xfId="648" xr:uid="{00000000-0005-0000-0000-000086020000}"/>
    <cellStyle name="쉼표 [0] 2 2 3 3 3 2" xfId="649" xr:uid="{00000000-0005-0000-0000-000087020000}"/>
    <cellStyle name="쉼표 [0] 2 2 3 3 4" xfId="650" xr:uid="{00000000-0005-0000-0000-000088020000}"/>
    <cellStyle name="쉼표 [0] 2 2 3 3 4 2" xfId="651" xr:uid="{00000000-0005-0000-0000-000089020000}"/>
    <cellStyle name="쉼표 [0] 2 2 3 3 5" xfId="652" xr:uid="{00000000-0005-0000-0000-00008A020000}"/>
    <cellStyle name="쉼표 [0] 2 2 3 3 6" xfId="653" xr:uid="{00000000-0005-0000-0000-00008B020000}"/>
    <cellStyle name="쉼표 [0] 2 2 3 3 6 2" xfId="654" xr:uid="{00000000-0005-0000-0000-00008C020000}"/>
    <cellStyle name="쉼표 [0] 2 2 3 4" xfId="655" xr:uid="{00000000-0005-0000-0000-00008D020000}"/>
    <cellStyle name="쉼표 [0] 2 2 3 4 2" xfId="656" xr:uid="{00000000-0005-0000-0000-00008E020000}"/>
    <cellStyle name="쉼표 [0] 2 2 3 4 2 2" xfId="657" xr:uid="{00000000-0005-0000-0000-00008F020000}"/>
    <cellStyle name="쉼표 [0] 2 2 3 4 3" xfId="658" xr:uid="{00000000-0005-0000-0000-000090020000}"/>
    <cellStyle name="쉼표 [0] 2 2 3 4 3 2" xfId="659" xr:uid="{00000000-0005-0000-0000-000091020000}"/>
    <cellStyle name="쉼표 [0] 2 2 3 4 4" xfId="660" xr:uid="{00000000-0005-0000-0000-000092020000}"/>
    <cellStyle name="쉼표 [0] 2 2 3 5" xfId="661" xr:uid="{00000000-0005-0000-0000-000093020000}"/>
    <cellStyle name="쉼표 [0] 2 2 3 5 2" xfId="662" xr:uid="{00000000-0005-0000-0000-000094020000}"/>
    <cellStyle name="쉼표 [0] 2 2 3 6" xfId="663" xr:uid="{00000000-0005-0000-0000-000095020000}"/>
    <cellStyle name="쉼표 [0] 2 2 3 6 2" xfId="664" xr:uid="{00000000-0005-0000-0000-000096020000}"/>
    <cellStyle name="쉼표 [0] 2 2 3 7" xfId="665" xr:uid="{00000000-0005-0000-0000-000097020000}"/>
    <cellStyle name="쉼표 [0] 2 2 3 7 2" xfId="666" xr:uid="{00000000-0005-0000-0000-000098020000}"/>
    <cellStyle name="쉼표 [0] 2 2 3 8" xfId="667" xr:uid="{00000000-0005-0000-0000-000099020000}"/>
    <cellStyle name="쉼표 [0] 2 2 3 8 2" xfId="668" xr:uid="{00000000-0005-0000-0000-00009A020000}"/>
    <cellStyle name="쉼표 [0] 2 2 3 9" xfId="669" xr:uid="{00000000-0005-0000-0000-00009B020000}"/>
    <cellStyle name="쉼표 [0] 2 2 3 9 2" xfId="670" xr:uid="{00000000-0005-0000-0000-00009C020000}"/>
    <cellStyle name="쉼표 [0] 2 2 4" xfId="671" xr:uid="{00000000-0005-0000-0000-00009D020000}"/>
    <cellStyle name="쉼표 [0] 2 2 4 10" xfId="672" xr:uid="{00000000-0005-0000-0000-00009E020000}"/>
    <cellStyle name="쉼표 [0] 2 2 4 10 2" xfId="673" xr:uid="{00000000-0005-0000-0000-00009F020000}"/>
    <cellStyle name="쉼표 [0] 2 2 4 11" xfId="674" xr:uid="{00000000-0005-0000-0000-0000A0020000}"/>
    <cellStyle name="쉼표 [0] 2 2 4 11 2" xfId="675" xr:uid="{00000000-0005-0000-0000-0000A1020000}"/>
    <cellStyle name="쉼표 [0] 2 2 4 12" xfId="676" xr:uid="{00000000-0005-0000-0000-0000A2020000}"/>
    <cellStyle name="쉼표 [0] 2 2 4 12 2" xfId="677" xr:uid="{00000000-0005-0000-0000-0000A3020000}"/>
    <cellStyle name="쉼표 [0] 2 2 4 13" xfId="678" xr:uid="{00000000-0005-0000-0000-0000A4020000}"/>
    <cellStyle name="쉼표 [0] 2 2 4 2" xfId="679" xr:uid="{00000000-0005-0000-0000-0000A5020000}"/>
    <cellStyle name="쉼표 [0] 2 2 4 2 10" xfId="680" xr:uid="{00000000-0005-0000-0000-0000A6020000}"/>
    <cellStyle name="쉼표 [0] 2 2 4 2 10 2" xfId="681" xr:uid="{00000000-0005-0000-0000-0000A7020000}"/>
    <cellStyle name="쉼표 [0] 2 2 4 2 11" xfId="682" xr:uid="{00000000-0005-0000-0000-0000A8020000}"/>
    <cellStyle name="쉼표 [0] 2 2 4 2 2" xfId="683" xr:uid="{00000000-0005-0000-0000-0000A9020000}"/>
    <cellStyle name="쉼표 [0] 2 2 4 2 2 2" xfId="684" xr:uid="{00000000-0005-0000-0000-0000AA020000}"/>
    <cellStyle name="쉼표 [0] 2 2 4 2 2 3" xfId="685" xr:uid="{00000000-0005-0000-0000-0000AB020000}"/>
    <cellStyle name="쉼표 [0] 2 2 4 2 2 3 2" xfId="686" xr:uid="{00000000-0005-0000-0000-0000AC020000}"/>
    <cellStyle name="쉼표 [0] 2 2 4 2 3" xfId="687" xr:uid="{00000000-0005-0000-0000-0000AD020000}"/>
    <cellStyle name="쉼표 [0] 2 2 4 2 3 2" xfId="688" xr:uid="{00000000-0005-0000-0000-0000AE020000}"/>
    <cellStyle name="쉼표 [0] 2 2 4 2 4" xfId="689" xr:uid="{00000000-0005-0000-0000-0000AF020000}"/>
    <cellStyle name="쉼표 [0] 2 2 4 2 4 2" xfId="690" xr:uid="{00000000-0005-0000-0000-0000B0020000}"/>
    <cellStyle name="쉼표 [0] 2 2 4 2 5" xfId="691" xr:uid="{00000000-0005-0000-0000-0000B1020000}"/>
    <cellStyle name="쉼표 [0] 2 2 4 2 5 2" xfId="692" xr:uid="{00000000-0005-0000-0000-0000B2020000}"/>
    <cellStyle name="쉼표 [0] 2 2 4 2 6" xfId="693" xr:uid="{00000000-0005-0000-0000-0000B3020000}"/>
    <cellStyle name="쉼표 [0] 2 2 4 2 6 2" xfId="694" xr:uid="{00000000-0005-0000-0000-0000B4020000}"/>
    <cellStyle name="쉼표 [0] 2 2 4 2 7" xfId="695" xr:uid="{00000000-0005-0000-0000-0000B5020000}"/>
    <cellStyle name="쉼표 [0] 2 2 4 2 7 2" xfId="696" xr:uid="{00000000-0005-0000-0000-0000B6020000}"/>
    <cellStyle name="쉼표 [0] 2 2 4 2 8" xfId="697" xr:uid="{00000000-0005-0000-0000-0000B7020000}"/>
    <cellStyle name="쉼표 [0] 2 2 4 2 8 2" xfId="698" xr:uid="{00000000-0005-0000-0000-0000B8020000}"/>
    <cellStyle name="쉼표 [0] 2 2 4 2 9" xfId="699" xr:uid="{00000000-0005-0000-0000-0000B9020000}"/>
    <cellStyle name="쉼표 [0] 2 2 4 2 9 2" xfId="700" xr:uid="{00000000-0005-0000-0000-0000BA020000}"/>
    <cellStyle name="쉼표 [0] 2 2 4 3" xfId="701" xr:uid="{00000000-0005-0000-0000-0000BB020000}"/>
    <cellStyle name="쉼표 [0] 2 2 4 3 2" xfId="702" xr:uid="{00000000-0005-0000-0000-0000BC020000}"/>
    <cellStyle name="쉼표 [0] 2 2 4 3 2 2" xfId="703" xr:uid="{00000000-0005-0000-0000-0000BD020000}"/>
    <cellStyle name="쉼표 [0] 2 2 4 3 3" xfId="704" xr:uid="{00000000-0005-0000-0000-0000BE020000}"/>
    <cellStyle name="쉼표 [0] 2 2 4 3 3 2" xfId="705" xr:uid="{00000000-0005-0000-0000-0000BF020000}"/>
    <cellStyle name="쉼표 [0] 2 2 4 3 4" xfId="706" xr:uid="{00000000-0005-0000-0000-0000C0020000}"/>
    <cellStyle name="쉼표 [0] 2 2 4 3 4 2" xfId="707" xr:uid="{00000000-0005-0000-0000-0000C1020000}"/>
    <cellStyle name="쉼표 [0] 2 2 4 3 5" xfId="708" xr:uid="{00000000-0005-0000-0000-0000C2020000}"/>
    <cellStyle name="쉼표 [0] 2 2 4 3 6" xfId="709" xr:uid="{00000000-0005-0000-0000-0000C3020000}"/>
    <cellStyle name="쉼표 [0] 2 2 4 3 6 2" xfId="710" xr:uid="{00000000-0005-0000-0000-0000C4020000}"/>
    <cellStyle name="쉼표 [0] 2 2 4 4" xfId="711" xr:uid="{00000000-0005-0000-0000-0000C5020000}"/>
    <cellStyle name="쉼표 [0] 2 2 4 4 2" xfId="712" xr:uid="{00000000-0005-0000-0000-0000C6020000}"/>
    <cellStyle name="쉼표 [0] 2 2 4 4 2 2" xfId="713" xr:uid="{00000000-0005-0000-0000-0000C7020000}"/>
    <cellStyle name="쉼표 [0] 2 2 4 4 3" xfId="714" xr:uid="{00000000-0005-0000-0000-0000C8020000}"/>
    <cellStyle name="쉼표 [0] 2 2 4 4 3 2" xfId="715" xr:uid="{00000000-0005-0000-0000-0000C9020000}"/>
    <cellStyle name="쉼표 [0] 2 2 4 4 4" xfId="716" xr:uid="{00000000-0005-0000-0000-0000CA020000}"/>
    <cellStyle name="쉼표 [0] 2 2 4 5" xfId="717" xr:uid="{00000000-0005-0000-0000-0000CB020000}"/>
    <cellStyle name="쉼표 [0] 2 2 4 5 2" xfId="718" xr:uid="{00000000-0005-0000-0000-0000CC020000}"/>
    <cellStyle name="쉼표 [0] 2 2 4 6" xfId="719" xr:uid="{00000000-0005-0000-0000-0000CD020000}"/>
    <cellStyle name="쉼표 [0] 2 2 4 6 2" xfId="720" xr:uid="{00000000-0005-0000-0000-0000CE020000}"/>
    <cellStyle name="쉼표 [0] 2 2 4 7" xfId="721" xr:uid="{00000000-0005-0000-0000-0000CF020000}"/>
    <cellStyle name="쉼표 [0] 2 2 4 7 2" xfId="722" xr:uid="{00000000-0005-0000-0000-0000D0020000}"/>
    <cellStyle name="쉼표 [0] 2 2 4 8" xfId="723" xr:uid="{00000000-0005-0000-0000-0000D1020000}"/>
    <cellStyle name="쉼표 [0] 2 2 4 8 2" xfId="724" xr:uid="{00000000-0005-0000-0000-0000D2020000}"/>
    <cellStyle name="쉼표 [0] 2 2 4 9" xfId="725" xr:uid="{00000000-0005-0000-0000-0000D3020000}"/>
    <cellStyle name="쉼표 [0] 2 2 4 9 2" xfId="726" xr:uid="{00000000-0005-0000-0000-0000D4020000}"/>
    <cellStyle name="쉼표 [0] 2 2 5" xfId="727" xr:uid="{00000000-0005-0000-0000-0000D5020000}"/>
    <cellStyle name="쉼표 [0] 2 2 5 10" xfId="728" xr:uid="{00000000-0005-0000-0000-0000D6020000}"/>
    <cellStyle name="쉼표 [0] 2 2 5 10 2" xfId="729" xr:uid="{00000000-0005-0000-0000-0000D7020000}"/>
    <cellStyle name="쉼표 [0] 2 2 5 11" xfId="730" xr:uid="{00000000-0005-0000-0000-0000D8020000}"/>
    <cellStyle name="쉼표 [0] 2 2 5 11 2" xfId="731" xr:uid="{00000000-0005-0000-0000-0000D9020000}"/>
    <cellStyle name="쉼표 [0] 2 2 5 12" xfId="732" xr:uid="{00000000-0005-0000-0000-0000DA020000}"/>
    <cellStyle name="쉼표 [0] 2 2 5 12 2" xfId="733" xr:uid="{00000000-0005-0000-0000-0000DB020000}"/>
    <cellStyle name="쉼표 [0] 2 2 5 13" xfId="734" xr:uid="{00000000-0005-0000-0000-0000DC020000}"/>
    <cellStyle name="쉼표 [0] 2 2 5 2" xfId="735" xr:uid="{00000000-0005-0000-0000-0000DD020000}"/>
    <cellStyle name="쉼표 [0] 2 2 5 2 10" xfId="736" xr:uid="{00000000-0005-0000-0000-0000DE020000}"/>
    <cellStyle name="쉼표 [0] 2 2 5 2 10 2" xfId="737" xr:uid="{00000000-0005-0000-0000-0000DF020000}"/>
    <cellStyle name="쉼표 [0] 2 2 5 2 11" xfId="738" xr:uid="{00000000-0005-0000-0000-0000E0020000}"/>
    <cellStyle name="쉼표 [0] 2 2 5 2 2" xfId="739" xr:uid="{00000000-0005-0000-0000-0000E1020000}"/>
    <cellStyle name="쉼표 [0] 2 2 5 2 2 2" xfId="740" xr:uid="{00000000-0005-0000-0000-0000E2020000}"/>
    <cellStyle name="쉼표 [0] 2 2 5 2 2 3" xfId="741" xr:uid="{00000000-0005-0000-0000-0000E3020000}"/>
    <cellStyle name="쉼표 [0] 2 2 5 2 2 3 2" xfId="742" xr:uid="{00000000-0005-0000-0000-0000E4020000}"/>
    <cellStyle name="쉼표 [0] 2 2 5 2 3" xfId="743" xr:uid="{00000000-0005-0000-0000-0000E5020000}"/>
    <cellStyle name="쉼표 [0] 2 2 5 2 3 2" xfId="744" xr:uid="{00000000-0005-0000-0000-0000E6020000}"/>
    <cellStyle name="쉼표 [0] 2 2 5 2 4" xfId="745" xr:uid="{00000000-0005-0000-0000-0000E7020000}"/>
    <cellStyle name="쉼표 [0] 2 2 5 2 4 2" xfId="746" xr:uid="{00000000-0005-0000-0000-0000E8020000}"/>
    <cellStyle name="쉼표 [0] 2 2 5 2 5" xfId="747" xr:uid="{00000000-0005-0000-0000-0000E9020000}"/>
    <cellStyle name="쉼표 [0] 2 2 5 2 5 2" xfId="748" xr:uid="{00000000-0005-0000-0000-0000EA020000}"/>
    <cellStyle name="쉼표 [0] 2 2 5 2 6" xfId="749" xr:uid="{00000000-0005-0000-0000-0000EB020000}"/>
    <cellStyle name="쉼표 [0] 2 2 5 2 6 2" xfId="750" xr:uid="{00000000-0005-0000-0000-0000EC020000}"/>
    <cellStyle name="쉼표 [0] 2 2 5 2 7" xfId="751" xr:uid="{00000000-0005-0000-0000-0000ED020000}"/>
    <cellStyle name="쉼표 [0] 2 2 5 2 7 2" xfId="752" xr:uid="{00000000-0005-0000-0000-0000EE020000}"/>
    <cellStyle name="쉼표 [0] 2 2 5 2 8" xfId="753" xr:uid="{00000000-0005-0000-0000-0000EF020000}"/>
    <cellStyle name="쉼표 [0] 2 2 5 2 8 2" xfId="754" xr:uid="{00000000-0005-0000-0000-0000F0020000}"/>
    <cellStyle name="쉼표 [0] 2 2 5 2 9" xfId="755" xr:uid="{00000000-0005-0000-0000-0000F1020000}"/>
    <cellStyle name="쉼표 [0] 2 2 5 2 9 2" xfId="756" xr:uid="{00000000-0005-0000-0000-0000F2020000}"/>
    <cellStyle name="쉼표 [0] 2 2 5 3" xfId="757" xr:uid="{00000000-0005-0000-0000-0000F3020000}"/>
    <cellStyle name="쉼표 [0] 2 2 5 3 2" xfId="758" xr:uid="{00000000-0005-0000-0000-0000F4020000}"/>
    <cellStyle name="쉼표 [0] 2 2 5 3 2 2" xfId="759" xr:uid="{00000000-0005-0000-0000-0000F5020000}"/>
    <cellStyle name="쉼표 [0] 2 2 5 3 3" xfId="760" xr:uid="{00000000-0005-0000-0000-0000F6020000}"/>
    <cellStyle name="쉼표 [0] 2 2 5 3 3 2" xfId="761" xr:uid="{00000000-0005-0000-0000-0000F7020000}"/>
    <cellStyle name="쉼표 [0] 2 2 5 3 4" xfId="762" xr:uid="{00000000-0005-0000-0000-0000F8020000}"/>
    <cellStyle name="쉼표 [0] 2 2 5 3 4 2" xfId="763" xr:uid="{00000000-0005-0000-0000-0000F9020000}"/>
    <cellStyle name="쉼표 [0] 2 2 5 3 5" xfId="764" xr:uid="{00000000-0005-0000-0000-0000FA020000}"/>
    <cellStyle name="쉼표 [0] 2 2 5 3 6" xfId="765" xr:uid="{00000000-0005-0000-0000-0000FB020000}"/>
    <cellStyle name="쉼표 [0] 2 2 5 3 6 2" xfId="766" xr:uid="{00000000-0005-0000-0000-0000FC020000}"/>
    <cellStyle name="쉼표 [0] 2 2 5 4" xfId="767" xr:uid="{00000000-0005-0000-0000-0000FD020000}"/>
    <cellStyle name="쉼표 [0] 2 2 5 4 2" xfId="768" xr:uid="{00000000-0005-0000-0000-0000FE020000}"/>
    <cellStyle name="쉼표 [0] 2 2 5 4 2 2" xfId="769" xr:uid="{00000000-0005-0000-0000-0000FF020000}"/>
    <cellStyle name="쉼표 [0] 2 2 5 4 3" xfId="770" xr:uid="{00000000-0005-0000-0000-000000030000}"/>
    <cellStyle name="쉼표 [0] 2 2 5 4 3 2" xfId="771" xr:uid="{00000000-0005-0000-0000-000001030000}"/>
    <cellStyle name="쉼표 [0] 2 2 5 4 4" xfId="772" xr:uid="{00000000-0005-0000-0000-000002030000}"/>
    <cellStyle name="쉼표 [0] 2 2 5 5" xfId="773" xr:uid="{00000000-0005-0000-0000-000003030000}"/>
    <cellStyle name="쉼표 [0] 2 2 5 5 2" xfId="774" xr:uid="{00000000-0005-0000-0000-000004030000}"/>
    <cellStyle name="쉼표 [0] 2 2 5 6" xfId="775" xr:uid="{00000000-0005-0000-0000-000005030000}"/>
    <cellStyle name="쉼표 [0] 2 2 5 6 2" xfId="776" xr:uid="{00000000-0005-0000-0000-000006030000}"/>
    <cellStyle name="쉼표 [0] 2 2 5 7" xfId="777" xr:uid="{00000000-0005-0000-0000-000007030000}"/>
    <cellStyle name="쉼표 [0] 2 2 5 7 2" xfId="778" xr:uid="{00000000-0005-0000-0000-000008030000}"/>
    <cellStyle name="쉼표 [0] 2 2 5 8" xfId="779" xr:uid="{00000000-0005-0000-0000-000009030000}"/>
    <cellStyle name="쉼표 [0] 2 2 5 8 2" xfId="780" xr:uid="{00000000-0005-0000-0000-00000A030000}"/>
    <cellStyle name="쉼표 [0] 2 2 5 9" xfId="781" xr:uid="{00000000-0005-0000-0000-00000B030000}"/>
    <cellStyle name="쉼표 [0] 2 2 5 9 2" xfId="782" xr:uid="{00000000-0005-0000-0000-00000C030000}"/>
    <cellStyle name="쉼표 [0] 2 2 6" xfId="783" xr:uid="{00000000-0005-0000-0000-00000D030000}"/>
    <cellStyle name="쉼표 [0] 2 2 6 10" xfId="784" xr:uid="{00000000-0005-0000-0000-00000E030000}"/>
    <cellStyle name="쉼표 [0] 2 2 6 10 2" xfId="785" xr:uid="{00000000-0005-0000-0000-00000F030000}"/>
    <cellStyle name="쉼표 [0] 2 2 6 11" xfId="786" xr:uid="{00000000-0005-0000-0000-000010030000}"/>
    <cellStyle name="쉼표 [0] 2 2 6 11 2" xfId="787" xr:uid="{00000000-0005-0000-0000-000011030000}"/>
    <cellStyle name="쉼표 [0] 2 2 6 12" xfId="788" xr:uid="{00000000-0005-0000-0000-000012030000}"/>
    <cellStyle name="쉼표 [0] 2 2 6 12 2" xfId="789" xr:uid="{00000000-0005-0000-0000-000013030000}"/>
    <cellStyle name="쉼표 [0] 2 2 6 13" xfId="790" xr:uid="{00000000-0005-0000-0000-000014030000}"/>
    <cellStyle name="쉼표 [0] 2 2 6 2" xfId="791" xr:uid="{00000000-0005-0000-0000-000015030000}"/>
    <cellStyle name="쉼표 [0] 2 2 6 2 10" xfId="792" xr:uid="{00000000-0005-0000-0000-000016030000}"/>
    <cellStyle name="쉼표 [0] 2 2 6 2 10 2" xfId="793" xr:uid="{00000000-0005-0000-0000-000017030000}"/>
    <cellStyle name="쉼표 [0] 2 2 6 2 11" xfId="794" xr:uid="{00000000-0005-0000-0000-000018030000}"/>
    <cellStyle name="쉼표 [0] 2 2 6 2 2" xfId="795" xr:uid="{00000000-0005-0000-0000-000019030000}"/>
    <cellStyle name="쉼표 [0] 2 2 6 2 2 2" xfId="796" xr:uid="{00000000-0005-0000-0000-00001A030000}"/>
    <cellStyle name="쉼표 [0] 2 2 6 2 2 3" xfId="797" xr:uid="{00000000-0005-0000-0000-00001B030000}"/>
    <cellStyle name="쉼표 [0] 2 2 6 2 2 3 2" xfId="798" xr:uid="{00000000-0005-0000-0000-00001C030000}"/>
    <cellStyle name="쉼표 [0] 2 2 6 2 3" xfId="799" xr:uid="{00000000-0005-0000-0000-00001D030000}"/>
    <cellStyle name="쉼표 [0] 2 2 6 2 3 2" xfId="800" xr:uid="{00000000-0005-0000-0000-00001E030000}"/>
    <cellStyle name="쉼표 [0] 2 2 6 2 4" xfId="801" xr:uid="{00000000-0005-0000-0000-00001F030000}"/>
    <cellStyle name="쉼표 [0] 2 2 6 2 4 2" xfId="802" xr:uid="{00000000-0005-0000-0000-000020030000}"/>
    <cellStyle name="쉼표 [0] 2 2 6 2 5" xfId="803" xr:uid="{00000000-0005-0000-0000-000021030000}"/>
    <cellStyle name="쉼표 [0] 2 2 6 2 5 2" xfId="804" xr:uid="{00000000-0005-0000-0000-000022030000}"/>
    <cellStyle name="쉼표 [0] 2 2 6 2 6" xfId="805" xr:uid="{00000000-0005-0000-0000-000023030000}"/>
    <cellStyle name="쉼표 [0] 2 2 6 2 6 2" xfId="806" xr:uid="{00000000-0005-0000-0000-000024030000}"/>
    <cellStyle name="쉼표 [0] 2 2 6 2 7" xfId="807" xr:uid="{00000000-0005-0000-0000-000025030000}"/>
    <cellStyle name="쉼표 [0] 2 2 6 2 7 2" xfId="808" xr:uid="{00000000-0005-0000-0000-000026030000}"/>
    <cellStyle name="쉼표 [0] 2 2 6 2 8" xfId="809" xr:uid="{00000000-0005-0000-0000-000027030000}"/>
    <cellStyle name="쉼표 [0] 2 2 6 2 8 2" xfId="810" xr:uid="{00000000-0005-0000-0000-000028030000}"/>
    <cellStyle name="쉼표 [0] 2 2 6 2 9" xfId="811" xr:uid="{00000000-0005-0000-0000-000029030000}"/>
    <cellStyle name="쉼표 [0] 2 2 6 2 9 2" xfId="812" xr:uid="{00000000-0005-0000-0000-00002A030000}"/>
    <cellStyle name="쉼표 [0] 2 2 6 3" xfId="813" xr:uid="{00000000-0005-0000-0000-00002B030000}"/>
    <cellStyle name="쉼표 [0] 2 2 6 3 2" xfId="814" xr:uid="{00000000-0005-0000-0000-00002C030000}"/>
    <cellStyle name="쉼표 [0] 2 2 6 3 2 2" xfId="815" xr:uid="{00000000-0005-0000-0000-00002D030000}"/>
    <cellStyle name="쉼표 [0] 2 2 6 3 3" xfId="816" xr:uid="{00000000-0005-0000-0000-00002E030000}"/>
    <cellStyle name="쉼표 [0] 2 2 6 3 3 2" xfId="817" xr:uid="{00000000-0005-0000-0000-00002F030000}"/>
    <cellStyle name="쉼표 [0] 2 2 6 3 4" xfId="818" xr:uid="{00000000-0005-0000-0000-000030030000}"/>
    <cellStyle name="쉼표 [0] 2 2 6 3 4 2" xfId="819" xr:uid="{00000000-0005-0000-0000-000031030000}"/>
    <cellStyle name="쉼표 [0] 2 2 6 3 5" xfId="820" xr:uid="{00000000-0005-0000-0000-000032030000}"/>
    <cellStyle name="쉼표 [0] 2 2 6 3 6" xfId="821" xr:uid="{00000000-0005-0000-0000-000033030000}"/>
    <cellStyle name="쉼표 [0] 2 2 6 3 6 2" xfId="822" xr:uid="{00000000-0005-0000-0000-000034030000}"/>
    <cellStyle name="쉼표 [0] 2 2 6 4" xfId="823" xr:uid="{00000000-0005-0000-0000-000035030000}"/>
    <cellStyle name="쉼표 [0] 2 2 6 4 2" xfId="824" xr:uid="{00000000-0005-0000-0000-000036030000}"/>
    <cellStyle name="쉼표 [0] 2 2 6 4 2 2" xfId="825" xr:uid="{00000000-0005-0000-0000-000037030000}"/>
    <cellStyle name="쉼표 [0] 2 2 6 4 3" xfId="826" xr:uid="{00000000-0005-0000-0000-000038030000}"/>
    <cellStyle name="쉼표 [0] 2 2 6 4 3 2" xfId="827" xr:uid="{00000000-0005-0000-0000-000039030000}"/>
    <cellStyle name="쉼표 [0] 2 2 6 4 4" xfId="828" xr:uid="{00000000-0005-0000-0000-00003A030000}"/>
    <cellStyle name="쉼표 [0] 2 2 6 5" xfId="829" xr:uid="{00000000-0005-0000-0000-00003B030000}"/>
    <cellStyle name="쉼표 [0] 2 2 6 5 2" xfId="830" xr:uid="{00000000-0005-0000-0000-00003C030000}"/>
    <cellStyle name="쉼표 [0] 2 2 6 6" xfId="831" xr:uid="{00000000-0005-0000-0000-00003D030000}"/>
    <cellStyle name="쉼표 [0] 2 2 6 6 2" xfId="832" xr:uid="{00000000-0005-0000-0000-00003E030000}"/>
    <cellStyle name="쉼표 [0] 2 2 6 7" xfId="833" xr:uid="{00000000-0005-0000-0000-00003F030000}"/>
    <cellStyle name="쉼표 [0] 2 2 6 7 2" xfId="834" xr:uid="{00000000-0005-0000-0000-000040030000}"/>
    <cellStyle name="쉼표 [0] 2 2 6 8" xfId="835" xr:uid="{00000000-0005-0000-0000-000041030000}"/>
    <cellStyle name="쉼표 [0] 2 2 6 8 2" xfId="836" xr:uid="{00000000-0005-0000-0000-000042030000}"/>
    <cellStyle name="쉼표 [0] 2 2 6 9" xfId="837" xr:uid="{00000000-0005-0000-0000-000043030000}"/>
    <cellStyle name="쉼표 [0] 2 2 6 9 2" xfId="838" xr:uid="{00000000-0005-0000-0000-000044030000}"/>
    <cellStyle name="쉼표 [0] 2 2 7" xfId="839" xr:uid="{00000000-0005-0000-0000-000045030000}"/>
    <cellStyle name="쉼표 [0] 2 2 7 2" xfId="840" xr:uid="{00000000-0005-0000-0000-000046030000}"/>
    <cellStyle name="쉼표 [0] 2 2 7 2 2" xfId="841" xr:uid="{00000000-0005-0000-0000-000047030000}"/>
    <cellStyle name="쉼표 [0] 2 2 7 2 3" xfId="842" xr:uid="{00000000-0005-0000-0000-000048030000}"/>
    <cellStyle name="쉼표 [0] 2 2 7 2 3 2" xfId="843" xr:uid="{00000000-0005-0000-0000-000049030000}"/>
    <cellStyle name="쉼표 [0] 2 2 7 2 4" xfId="844" xr:uid="{00000000-0005-0000-0000-00004A030000}"/>
    <cellStyle name="쉼표 [0] 2 2 7 2 4 2" xfId="845" xr:uid="{00000000-0005-0000-0000-00004B030000}"/>
    <cellStyle name="쉼표 [0] 2 2 7 2 5" xfId="846" xr:uid="{00000000-0005-0000-0000-00004C030000}"/>
    <cellStyle name="쉼표 [0] 2 2 7 2 5 2" xfId="847" xr:uid="{00000000-0005-0000-0000-00004D030000}"/>
    <cellStyle name="쉼표 [0] 2 2 7 2 6" xfId="848" xr:uid="{00000000-0005-0000-0000-00004E030000}"/>
    <cellStyle name="쉼표 [0] 2 2 7 2 6 2" xfId="849" xr:uid="{00000000-0005-0000-0000-00004F030000}"/>
    <cellStyle name="쉼표 [0] 2 2 7 2 7" xfId="850" xr:uid="{00000000-0005-0000-0000-000050030000}"/>
    <cellStyle name="쉼표 [0] 2 2 7 2 7 2" xfId="851" xr:uid="{00000000-0005-0000-0000-000051030000}"/>
    <cellStyle name="쉼표 [0] 2 2 7 2 8" xfId="852" xr:uid="{00000000-0005-0000-0000-000052030000}"/>
    <cellStyle name="쉼표 [0] 2 2 7 3" xfId="853" xr:uid="{00000000-0005-0000-0000-000053030000}"/>
    <cellStyle name="쉼표 [0] 2 2 7 4" xfId="854" xr:uid="{00000000-0005-0000-0000-000054030000}"/>
    <cellStyle name="쉼표 [0] 2 2 7 4 2" xfId="855" xr:uid="{00000000-0005-0000-0000-000055030000}"/>
    <cellStyle name="쉼표 [0] 2 2 7 5" xfId="856" xr:uid="{00000000-0005-0000-0000-000056030000}"/>
    <cellStyle name="쉼표 [0] 2 2 7 5 2" xfId="857" xr:uid="{00000000-0005-0000-0000-000057030000}"/>
    <cellStyle name="쉼표 [0] 2 2 7 6" xfId="858" xr:uid="{00000000-0005-0000-0000-000058030000}"/>
    <cellStyle name="쉼표 [0] 2 2 7 6 2" xfId="859" xr:uid="{00000000-0005-0000-0000-000059030000}"/>
    <cellStyle name="쉼표 [0] 2 2 7 7" xfId="860" xr:uid="{00000000-0005-0000-0000-00005A030000}"/>
    <cellStyle name="쉼표 [0] 2 2 7 7 2" xfId="861" xr:uid="{00000000-0005-0000-0000-00005B030000}"/>
    <cellStyle name="쉼표 [0] 2 2 7 8" xfId="862" xr:uid="{00000000-0005-0000-0000-00005C030000}"/>
    <cellStyle name="쉼표 [0] 2 2 7 8 2" xfId="863" xr:uid="{00000000-0005-0000-0000-00005D030000}"/>
    <cellStyle name="쉼표 [0] 2 2 7 9" xfId="864" xr:uid="{00000000-0005-0000-0000-00005E030000}"/>
    <cellStyle name="쉼표 [0] 2 2 8" xfId="865" xr:uid="{00000000-0005-0000-0000-00005F030000}"/>
    <cellStyle name="쉼표 [0] 2 2 8 2" xfId="866" xr:uid="{00000000-0005-0000-0000-000060030000}"/>
    <cellStyle name="쉼표 [0] 2 2 8 2 2" xfId="867" xr:uid="{00000000-0005-0000-0000-000061030000}"/>
    <cellStyle name="쉼표 [0] 2 2 8 2 3" xfId="868" xr:uid="{00000000-0005-0000-0000-000062030000}"/>
    <cellStyle name="쉼표 [0] 2 2 8 2 3 2" xfId="869" xr:uid="{00000000-0005-0000-0000-000063030000}"/>
    <cellStyle name="쉼표 [0] 2 2 8 2 4" xfId="870" xr:uid="{00000000-0005-0000-0000-000064030000}"/>
    <cellStyle name="쉼표 [0] 2 2 8 2 4 2" xfId="871" xr:uid="{00000000-0005-0000-0000-000065030000}"/>
    <cellStyle name="쉼표 [0] 2 2 8 2 5" xfId="872" xr:uid="{00000000-0005-0000-0000-000066030000}"/>
    <cellStyle name="쉼표 [0] 2 2 8 2 5 2" xfId="873" xr:uid="{00000000-0005-0000-0000-000067030000}"/>
    <cellStyle name="쉼표 [0] 2 2 8 2 6" xfId="874" xr:uid="{00000000-0005-0000-0000-000068030000}"/>
    <cellStyle name="쉼표 [0] 2 2 8 2 6 2" xfId="875" xr:uid="{00000000-0005-0000-0000-000069030000}"/>
    <cellStyle name="쉼표 [0] 2 2 8 2 7" xfId="876" xr:uid="{00000000-0005-0000-0000-00006A030000}"/>
    <cellStyle name="쉼표 [0] 2 2 8 2 7 2" xfId="877" xr:uid="{00000000-0005-0000-0000-00006B030000}"/>
    <cellStyle name="쉼표 [0] 2 2 8 2 8" xfId="878" xr:uid="{00000000-0005-0000-0000-00006C030000}"/>
    <cellStyle name="쉼표 [0] 2 2 8 3" xfId="879" xr:uid="{00000000-0005-0000-0000-00006D030000}"/>
    <cellStyle name="쉼표 [0] 2 2 8 4" xfId="880" xr:uid="{00000000-0005-0000-0000-00006E030000}"/>
    <cellStyle name="쉼표 [0] 2 2 8 4 2" xfId="881" xr:uid="{00000000-0005-0000-0000-00006F030000}"/>
    <cellStyle name="쉼표 [0] 2 2 8 5" xfId="882" xr:uid="{00000000-0005-0000-0000-000070030000}"/>
    <cellStyle name="쉼표 [0] 2 2 8 5 2" xfId="883" xr:uid="{00000000-0005-0000-0000-000071030000}"/>
    <cellStyle name="쉼표 [0] 2 2 8 6" xfId="884" xr:uid="{00000000-0005-0000-0000-000072030000}"/>
    <cellStyle name="쉼표 [0] 2 2 8 6 2" xfId="885" xr:uid="{00000000-0005-0000-0000-000073030000}"/>
    <cellStyle name="쉼표 [0] 2 2 8 7" xfId="886" xr:uid="{00000000-0005-0000-0000-000074030000}"/>
    <cellStyle name="쉼표 [0] 2 2 8 7 2" xfId="887" xr:uid="{00000000-0005-0000-0000-000075030000}"/>
    <cellStyle name="쉼표 [0] 2 2 8 8" xfId="888" xr:uid="{00000000-0005-0000-0000-000076030000}"/>
    <cellStyle name="쉼표 [0] 2 2 8 8 2" xfId="889" xr:uid="{00000000-0005-0000-0000-000077030000}"/>
    <cellStyle name="쉼표 [0] 2 2 8 9" xfId="890" xr:uid="{00000000-0005-0000-0000-000078030000}"/>
    <cellStyle name="쉼표 [0] 2 2 9" xfId="891" xr:uid="{00000000-0005-0000-0000-000079030000}"/>
    <cellStyle name="쉼표 [0] 2 2 9 2" xfId="892" xr:uid="{00000000-0005-0000-0000-00007A030000}"/>
    <cellStyle name="쉼표 [0] 2 2 9 2 2" xfId="893" xr:uid="{00000000-0005-0000-0000-00007B030000}"/>
    <cellStyle name="쉼표 [0] 2 2 9 2 3" xfId="894" xr:uid="{00000000-0005-0000-0000-00007C030000}"/>
    <cellStyle name="쉼표 [0] 2 2 9 2 3 2" xfId="895" xr:uid="{00000000-0005-0000-0000-00007D030000}"/>
    <cellStyle name="쉼표 [0] 2 2 9 2 4" xfId="896" xr:uid="{00000000-0005-0000-0000-00007E030000}"/>
    <cellStyle name="쉼표 [0] 2 2 9 2 4 2" xfId="897" xr:uid="{00000000-0005-0000-0000-00007F030000}"/>
    <cellStyle name="쉼표 [0] 2 2 9 2 5" xfId="898" xr:uid="{00000000-0005-0000-0000-000080030000}"/>
    <cellStyle name="쉼표 [0] 2 2 9 2 5 2" xfId="899" xr:uid="{00000000-0005-0000-0000-000081030000}"/>
    <cellStyle name="쉼표 [0] 2 2 9 2 6" xfId="900" xr:uid="{00000000-0005-0000-0000-000082030000}"/>
    <cellStyle name="쉼표 [0] 2 2 9 2 6 2" xfId="901" xr:uid="{00000000-0005-0000-0000-000083030000}"/>
    <cellStyle name="쉼표 [0] 2 2 9 2 7" xfId="902" xr:uid="{00000000-0005-0000-0000-000084030000}"/>
    <cellStyle name="쉼표 [0] 2 2 9 2 7 2" xfId="903" xr:uid="{00000000-0005-0000-0000-000085030000}"/>
    <cellStyle name="쉼표 [0] 2 2 9 2 8" xfId="904" xr:uid="{00000000-0005-0000-0000-000086030000}"/>
    <cellStyle name="쉼표 [0] 2 2 9 3" xfId="905" xr:uid="{00000000-0005-0000-0000-000087030000}"/>
    <cellStyle name="쉼표 [0] 2 2 9 4" xfId="906" xr:uid="{00000000-0005-0000-0000-000088030000}"/>
    <cellStyle name="쉼표 [0] 2 2 9 4 2" xfId="907" xr:uid="{00000000-0005-0000-0000-000089030000}"/>
    <cellStyle name="쉼표 [0] 2 2 9 5" xfId="908" xr:uid="{00000000-0005-0000-0000-00008A030000}"/>
    <cellStyle name="쉼표 [0] 2 2 9 5 2" xfId="909" xr:uid="{00000000-0005-0000-0000-00008B030000}"/>
    <cellStyle name="쉼표 [0] 2 2 9 6" xfId="910" xr:uid="{00000000-0005-0000-0000-00008C030000}"/>
    <cellStyle name="쉼표 [0] 2 2 9 6 2" xfId="911" xr:uid="{00000000-0005-0000-0000-00008D030000}"/>
    <cellStyle name="쉼표 [0] 2 2 9 7" xfId="912" xr:uid="{00000000-0005-0000-0000-00008E030000}"/>
    <cellStyle name="쉼표 [0] 2 2 9 7 2" xfId="913" xr:uid="{00000000-0005-0000-0000-00008F030000}"/>
    <cellStyle name="쉼표 [0] 2 2 9 8" xfId="914" xr:uid="{00000000-0005-0000-0000-000090030000}"/>
    <cellStyle name="쉼표 [0] 2 2 9 8 2" xfId="915" xr:uid="{00000000-0005-0000-0000-000091030000}"/>
    <cellStyle name="쉼표 [0] 2 2 9 9" xfId="916" xr:uid="{00000000-0005-0000-0000-000092030000}"/>
    <cellStyle name="쉼표 [0] 2 3" xfId="917" xr:uid="{00000000-0005-0000-0000-000093030000}"/>
    <cellStyle name="쉼표 [0] 2 3 10" xfId="918" xr:uid="{00000000-0005-0000-0000-000094030000}"/>
    <cellStyle name="쉼표 [0] 2 3 10 2" xfId="919" xr:uid="{00000000-0005-0000-0000-000095030000}"/>
    <cellStyle name="쉼표 [0] 2 3 11" xfId="920" xr:uid="{00000000-0005-0000-0000-000096030000}"/>
    <cellStyle name="쉼표 [0] 2 3 11 2" xfId="921" xr:uid="{00000000-0005-0000-0000-000097030000}"/>
    <cellStyle name="쉼표 [0] 2 3 12" xfId="922" xr:uid="{00000000-0005-0000-0000-000098030000}"/>
    <cellStyle name="쉼표 [0] 2 3 12 2" xfId="923" xr:uid="{00000000-0005-0000-0000-000099030000}"/>
    <cellStyle name="쉼표 [0] 2 3 13" xfId="924" xr:uid="{00000000-0005-0000-0000-00009A030000}"/>
    <cellStyle name="쉼표 [0] 2 3 14" xfId="925" xr:uid="{00000000-0005-0000-0000-00009B030000}"/>
    <cellStyle name="쉼표 [0] 2 3 2" xfId="926" xr:uid="{00000000-0005-0000-0000-00009C030000}"/>
    <cellStyle name="쉼표 [0] 2 3 2 10" xfId="927" xr:uid="{00000000-0005-0000-0000-00009D030000}"/>
    <cellStyle name="쉼표 [0] 2 3 2 10 2" xfId="928" xr:uid="{00000000-0005-0000-0000-00009E030000}"/>
    <cellStyle name="쉼표 [0] 2 3 2 11" xfId="929" xr:uid="{00000000-0005-0000-0000-00009F030000}"/>
    <cellStyle name="쉼표 [0] 2 3 2 2" xfId="930" xr:uid="{00000000-0005-0000-0000-0000A0030000}"/>
    <cellStyle name="쉼표 [0] 2 3 2 2 2" xfId="931" xr:uid="{00000000-0005-0000-0000-0000A1030000}"/>
    <cellStyle name="쉼표 [0] 2 3 2 2 3" xfId="932" xr:uid="{00000000-0005-0000-0000-0000A2030000}"/>
    <cellStyle name="쉼표 [0] 2 3 2 2 3 2" xfId="933" xr:uid="{00000000-0005-0000-0000-0000A3030000}"/>
    <cellStyle name="쉼표 [0] 2 3 2 3" xfId="934" xr:uid="{00000000-0005-0000-0000-0000A4030000}"/>
    <cellStyle name="쉼표 [0] 2 3 2 3 2" xfId="935" xr:uid="{00000000-0005-0000-0000-0000A5030000}"/>
    <cellStyle name="쉼표 [0] 2 3 2 4" xfId="936" xr:uid="{00000000-0005-0000-0000-0000A6030000}"/>
    <cellStyle name="쉼표 [0] 2 3 2 4 2" xfId="937" xr:uid="{00000000-0005-0000-0000-0000A7030000}"/>
    <cellStyle name="쉼표 [0] 2 3 2 5" xfId="938" xr:uid="{00000000-0005-0000-0000-0000A8030000}"/>
    <cellStyle name="쉼표 [0] 2 3 2 5 2" xfId="939" xr:uid="{00000000-0005-0000-0000-0000A9030000}"/>
    <cellStyle name="쉼표 [0] 2 3 2 6" xfId="940" xr:uid="{00000000-0005-0000-0000-0000AA030000}"/>
    <cellStyle name="쉼표 [0] 2 3 2 6 2" xfId="941" xr:uid="{00000000-0005-0000-0000-0000AB030000}"/>
    <cellStyle name="쉼표 [0] 2 3 2 7" xfId="942" xr:uid="{00000000-0005-0000-0000-0000AC030000}"/>
    <cellStyle name="쉼표 [0] 2 3 2 7 2" xfId="943" xr:uid="{00000000-0005-0000-0000-0000AD030000}"/>
    <cellStyle name="쉼표 [0] 2 3 2 8" xfId="944" xr:uid="{00000000-0005-0000-0000-0000AE030000}"/>
    <cellStyle name="쉼표 [0] 2 3 2 8 2" xfId="945" xr:uid="{00000000-0005-0000-0000-0000AF030000}"/>
    <cellStyle name="쉼표 [0] 2 3 2 9" xfId="946" xr:uid="{00000000-0005-0000-0000-0000B0030000}"/>
    <cellStyle name="쉼표 [0] 2 3 2 9 2" xfId="947" xr:uid="{00000000-0005-0000-0000-0000B1030000}"/>
    <cellStyle name="쉼표 [0] 2 3 3" xfId="948" xr:uid="{00000000-0005-0000-0000-0000B2030000}"/>
    <cellStyle name="쉼표 [0] 2 3 3 2" xfId="949" xr:uid="{00000000-0005-0000-0000-0000B3030000}"/>
    <cellStyle name="쉼표 [0] 2 3 3 2 2" xfId="950" xr:uid="{00000000-0005-0000-0000-0000B4030000}"/>
    <cellStyle name="쉼표 [0] 2 3 3 2 3" xfId="951" xr:uid="{00000000-0005-0000-0000-0000B5030000}"/>
    <cellStyle name="쉼표 [0] 2 3 3 3" xfId="952" xr:uid="{00000000-0005-0000-0000-0000B6030000}"/>
    <cellStyle name="쉼표 [0] 2 3 3 3 2" xfId="953" xr:uid="{00000000-0005-0000-0000-0000B7030000}"/>
    <cellStyle name="쉼표 [0] 2 3 3 4" xfId="954" xr:uid="{00000000-0005-0000-0000-0000B8030000}"/>
    <cellStyle name="쉼표 [0] 2 3 3 4 2" xfId="955" xr:uid="{00000000-0005-0000-0000-0000B9030000}"/>
    <cellStyle name="쉼표 [0] 2 3 3 5" xfId="956" xr:uid="{00000000-0005-0000-0000-0000BA030000}"/>
    <cellStyle name="쉼표 [0] 2 3 3 6" xfId="957" xr:uid="{00000000-0005-0000-0000-0000BB030000}"/>
    <cellStyle name="쉼표 [0] 2 3 3 6 2" xfId="958" xr:uid="{00000000-0005-0000-0000-0000BC030000}"/>
    <cellStyle name="쉼표 [0] 2 3 3 7" xfId="959" xr:uid="{00000000-0005-0000-0000-0000BD030000}"/>
    <cellStyle name="쉼표 [0] 2 3 4" xfId="960" xr:uid="{00000000-0005-0000-0000-0000BE030000}"/>
    <cellStyle name="쉼표 [0] 2 3 4 2" xfId="961" xr:uid="{00000000-0005-0000-0000-0000BF030000}"/>
    <cellStyle name="쉼표 [0] 2 3 4 2 2" xfId="962" xr:uid="{00000000-0005-0000-0000-0000C0030000}"/>
    <cellStyle name="쉼표 [0] 2 3 4 3" xfId="963" xr:uid="{00000000-0005-0000-0000-0000C1030000}"/>
    <cellStyle name="쉼표 [0] 2 3 4 3 2" xfId="964" xr:uid="{00000000-0005-0000-0000-0000C2030000}"/>
    <cellStyle name="쉼표 [0] 2 3 4 4" xfId="965" xr:uid="{00000000-0005-0000-0000-0000C3030000}"/>
    <cellStyle name="쉼표 [0] 2 3 5" xfId="966" xr:uid="{00000000-0005-0000-0000-0000C4030000}"/>
    <cellStyle name="쉼표 [0] 2 3 5 2" xfId="967" xr:uid="{00000000-0005-0000-0000-0000C5030000}"/>
    <cellStyle name="쉼표 [0] 2 3 6" xfId="968" xr:uid="{00000000-0005-0000-0000-0000C6030000}"/>
    <cellStyle name="쉼표 [0] 2 3 6 2" xfId="969" xr:uid="{00000000-0005-0000-0000-0000C7030000}"/>
    <cellStyle name="쉼표 [0] 2 3 7" xfId="970" xr:uid="{00000000-0005-0000-0000-0000C8030000}"/>
    <cellStyle name="쉼표 [0] 2 3 7 2" xfId="971" xr:uid="{00000000-0005-0000-0000-0000C9030000}"/>
    <cellStyle name="쉼표 [0] 2 3 8" xfId="972" xr:uid="{00000000-0005-0000-0000-0000CA030000}"/>
    <cellStyle name="쉼표 [0] 2 3 8 2" xfId="973" xr:uid="{00000000-0005-0000-0000-0000CB030000}"/>
    <cellStyle name="쉼표 [0] 2 3 9" xfId="974" xr:uid="{00000000-0005-0000-0000-0000CC030000}"/>
    <cellStyle name="쉼표 [0] 2 3 9 2" xfId="975" xr:uid="{00000000-0005-0000-0000-0000CD030000}"/>
    <cellStyle name="쉼표 [0] 2 4" xfId="976" xr:uid="{00000000-0005-0000-0000-0000CE030000}"/>
    <cellStyle name="쉼표 [0] 2 4 10" xfId="977" xr:uid="{00000000-0005-0000-0000-0000CF030000}"/>
    <cellStyle name="쉼표 [0] 2 4 10 2" xfId="978" xr:uid="{00000000-0005-0000-0000-0000D0030000}"/>
    <cellStyle name="쉼표 [0] 2 4 11" xfId="979" xr:uid="{00000000-0005-0000-0000-0000D1030000}"/>
    <cellStyle name="쉼표 [0] 2 4 11 2" xfId="980" xr:uid="{00000000-0005-0000-0000-0000D2030000}"/>
    <cellStyle name="쉼표 [0] 2 4 12" xfId="981" xr:uid="{00000000-0005-0000-0000-0000D3030000}"/>
    <cellStyle name="쉼표 [0] 2 4 12 2" xfId="982" xr:uid="{00000000-0005-0000-0000-0000D4030000}"/>
    <cellStyle name="쉼표 [0] 2 4 13" xfId="983" xr:uid="{00000000-0005-0000-0000-0000D5030000}"/>
    <cellStyle name="쉼표 [0] 2 4 2" xfId="984" xr:uid="{00000000-0005-0000-0000-0000D6030000}"/>
    <cellStyle name="쉼표 [0] 2 4 2 10" xfId="985" xr:uid="{00000000-0005-0000-0000-0000D7030000}"/>
    <cellStyle name="쉼표 [0] 2 4 2 10 2" xfId="986" xr:uid="{00000000-0005-0000-0000-0000D8030000}"/>
    <cellStyle name="쉼표 [0] 2 4 2 11" xfId="987" xr:uid="{00000000-0005-0000-0000-0000D9030000}"/>
    <cellStyle name="쉼표 [0] 2 4 2 2" xfId="988" xr:uid="{00000000-0005-0000-0000-0000DA030000}"/>
    <cellStyle name="쉼표 [0] 2 4 2 2 2" xfId="989" xr:uid="{00000000-0005-0000-0000-0000DB030000}"/>
    <cellStyle name="쉼표 [0] 2 4 2 2 3" xfId="990" xr:uid="{00000000-0005-0000-0000-0000DC030000}"/>
    <cellStyle name="쉼표 [0] 2 4 2 2 3 2" xfId="991" xr:uid="{00000000-0005-0000-0000-0000DD030000}"/>
    <cellStyle name="쉼표 [0] 2 4 2 3" xfId="992" xr:uid="{00000000-0005-0000-0000-0000DE030000}"/>
    <cellStyle name="쉼표 [0] 2 4 2 3 2" xfId="993" xr:uid="{00000000-0005-0000-0000-0000DF030000}"/>
    <cellStyle name="쉼표 [0] 2 4 2 4" xfId="994" xr:uid="{00000000-0005-0000-0000-0000E0030000}"/>
    <cellStyle name="쉼표 [0] 2 4 2 4 2" xfId="995" xr:uid="{00000000-0005-0000-0000-0000E1030000}"/>
    <cellStyle name="쉼표 [0] 2 4 2 5" xfId="996" xr:uid="{00000000-0005-0000-0000-0000E2030000}"/>
    <cellStyle name="쉼표 [0] 2 4 2 5 2" xfId="997" xr:uid="{00000000-0005-0000-0000-0000E3030000}"/>
    <cellStyle name="쉼표 [0] 2 4 2 6" xfId="998" xr:uid="{00000000-0005-0000-0000-0000E4030000}"/>
    <cellStyle name="쉼표 [0] 2 4 2 6 2" xfId="999" xr:uid="{00000000-0005-0000-0000-0000E5030000}"/>
    <cellStyle name="쉼표 [0] 2 4 2 7" xfId="1000" xr:uid="{00000000-0005-0000-0000-0000E6030000}"/>
    <cellStyle name="쉼표 [0] 2 4 2 7 2" xfId="1001" xr:uid="{00000000-0005-0000-0000-0000E7030000}"/>
    <cellStyle name="쉼표 [0] 2 4 2 8" xfId="1002" xr:uid="{00000000-0005-0000-0000-0000E8030000}"/>
    <cellStyle name="쉼표 [0] 2 4 2 8 2" xfId="1003" xr:uid="{00000000-0005-0000-0000-0000E9030000}"/>
    <cellStyle name="쉼표 [0] 2 4 2 9" xfId="1004" xr:uid="{00000000-0005-0000-0000-0000EA030000}"/>
    <cellStyle name="쉼표 [0] 2 4 2 9 2" xfId="1005" xr:uid="{00000000-0005-0000-0000-0000EB030000}"/>
    <cellStyle name="쉼표 [0] 2 4 3" xfId="1006" xr:uid="{00000000-0005-0000-0000-0000EC030000}"/>
    <cellStyle name="쉼표 [0] 2 4 3 2" xfId="1007" xr:uid="{00000000-0005-0000-0000-0000ED030000}"/>
    <cellStyle name="쉼표 [0] 2 4 3 2 2" xfId="1008" xr:uid="{00000000-0005-0000-0000-0000EE030000}"/>
    <cellStyle name="쉼표 [0] 2 4 3 3" xfId="1009" xr:uid="{00000000-0005-0000-0000-0000EF030000}"/>
    <cellStyle name="쉼표 [0] 2 4 3 3 2" xfId="1010" xr:uid="{00000000-0005-0000-0000-0000F0030000}"/>
    <cellStyle name="쉼표 [0] 2 4 3 4" xfId="1011" xr:uid="{00000000-0005-0000-0000-0000F1030000}"/>
    <cellStyle name="쉼표 [0] 2 4 3 4 2" xfId="1012" xr:uid="{00000000-0005-0000-0000-0000F2030000}"/>
    <cellStyle name="쉼표 [0] 2 4 3 5" xfId="1013" xr:uid="{00000000-0005-0000-0000-0000F3030000}"/>
    <cellStyle name="쉼표 [0] 2 4 3 6" xfId="1014" xr:uid="{00000000-0005-0000-0000-0000F4030000}"/>
    <cellStyle name="쉼표 [0] 2 4 3 6 2" xfId="1015" xr:uid="{00000000-0005-0000-0000-0000F5030000}"/>
    <cellStyle name="쉼표 [0] 2 4 4" xfId="1016" xr:uid="{00000000-0005-0000-0000-0000F6030000}"/>
    <cellStyle name="쉼표 [0] 2 4 4 2" xfId="1017" xr:uid="{00000000-0005-0000-0000-0000F7030000}"/>
    <cellStyle name="쉼표 [0] 2 4 4 2 2" xfId="1018" xr:uid="{00000000-0005-0000-0000-0000F8030000}"/>
    <cellStyle name="쉼표 [0] 2 4 4 3" xfId="1019" xr:uid="{00000000-0005-0000-0000-0000F9030000}"/>
    <cellStyle name="쉼표 [0] 2 4 4 3 2" xfId="1020" xr:uid="{00000000-0005-0000-0000-0000FA030000}"/>
    <cellStyle name="쉼표 [0] 2 4 4 4" xfId="1021" xr:uid="{00000000-0005-0000-0000-0000FB030000}"/>
    <cellStyle name="쉼표 [0] 2 4 5" xfId="1022" xr:uid="{00000000-0005-0000-0000-0000FC030000}"/>
    <cellStyle name="쉼표 [0] 2 4 5 2" xfId="1023" xr:uid="{00000000-0005-0000-0000-0000FD030000}"/>
    <cellStyle name="쉼표 [0] 2 4 6" xfId="1024" xr:uid="{00000000-0005-0000-0000-0000FE030000}"/>
    <cellStyle name="쉼표 [0] 2 4 6 2" xfId="1025" xr:uid="{00000000-0005-0000-0000-0000FF030000}"/>
    <cellStyle name="쉼표 [0] 2 4 7" xfId="1026" xr:uid="{00000000-0005-0000-0000-000000040000}"/>
    <cellStyle name="쉼표 [0] 2 4 7 2" xfId="1027" xr:uid="{00000000-0005-0000-0000-000001040000}"/>
    <cellStyle name="쉼표 [0] 2 4 8" xfId="1028" xr:uid="{00000000-0005-0000-0000-000002040000}"/>
    <cellStyle name="쉼표 [0] 2 4 8 2" xfId="1029" xr:uid="{00000000-0005-0000-0000-000003040000}"/>
    <cellStyle name="쉼표 [0] 2 4 9" xfId="1030" xr:uid="{00000000-0005-0000-0000-000004040000}"/>
    <cellStyle name="쉼표 [0] 2 4 9 2" xfId="1031" xr:uid="{00000000-0005-0000-0000-000005040000}"/>
    <cellStyle name="쉼표 [0] 2 5" xfId="1032" xr:uid="{00000000-0005-0000-0000-000006040000}"/>
    <cellStyle name="쉼표 [0] 2 5 10" xfId="1033" xr:uid="{00000000-0005-0000-0000-000007040000}"/>
    <cellStyle name="쉼표 [0] 2 5 10 2" xfId="1034" xr:uid="{00000000-0005-0000-0000-000008040000}"/>
    <cellStyle name="쉼표 [0] 2 5 11" xfId="1035" xr:uid="{00000000-0005-0000-0000-000009040000}"/>
    <cellStyle name="쉼표 [0] 2 5 11 2" xfId="1036" xr:uid="{00000000-0005-0000-0000-00000A040000}"/>
    <cellStyle name="쉼표 [0] 2 5 12" xfId="1037" xr:uid="{00000000-0005-0000-0000-00000B040000}"/>
    <cellStyle name="쉼표 [0] 2 5 12 2" xfId="1038" xr:uid="{00000000-0005-0000-0000-00000C040000}"/>
    <cellStyle name="쉼표 [0] 2 5 13" xfId="1039" xr:uid="{00000000-0005-0000-0000-00000D040000}"/>
    <cellStyle name="쉼표 [0] 2 5 2" xfId="1040" xr:uid="{00000000-0005-0000-0000-00000E040000}"/>
    <cellStyle name="쉼표 [0] 2 5 2 10" xfId="1041" xr:uid="{00000000-0005-0000-0000-00000F040000}"/>
    <cellStyle name="쉼표 [0] 2 5 2 10 2" xfId="1042" xr:uid="{00000000-0005-0000-0000-000010040000}"/>
    <cellStyle name="쉼표 [0] 2 5 2 11" xfId="1043" xr:uid="{00000000-0005-0000-0000-000011040000}"/>
    <cellStyle name="쉼표 [0] 2 5 2 2" xfId="1044" xr:uid="{00000000-0005-0000-0000-000012040000}"/>
    <cellStyle name="쉼표 [0] 2 5 2 2 2" xfId="1045" xr:uid="{00000000-0005-0000-0000-000013040000}"/>
    <cellStyle name="쉼표 [0] 2 5 2 2 3" xfId="1046" xr:uid="{00000000-0005-0000-0000-000014040000}"/>
    <cellStyle name="쉼표 [0] 2 5 2 2 3 2" xfId="1047" xr:uid="{00000000-0005-0000-0000-000015040000}"/>
    <cellStyle name="쉼표 [0] 2 5 2 3" xfId="1048" xr:uid="{00000000-0005-0000-0000-000016040000}"/>
    <cellStyle name="쉼표 [0] 2 5 2 3 2" xfId="1049" xr:uid="{00000000-0005-0000-0000-000017040000}"/>
    <cellStyle name="쉼표 [0] 2 5 2 4" xfId="1050" xr:uid="{00000000-0005-0000-0000-000018040000}"/>
    <cellStyle name="쉼표 [0] 2 5 2 4 2" xfId="1051" xr:uid="{00000000-0005-0000-0000-000019040000}"/>
    <cellStyle name="쉼표 [0] 2 5 2 5" xfId="1052" xr:uid="{00000000-0005-0000-0000-00001A040000}"/>
    <cellStyle name="쉼표 [0] 2 5 2 5 2" xfId="1053" xr:uid="{00000000-0005-0000-0000-00001B040000}"/>
    <cellStyle name="쉼표 [0] 2 5 2 6" xfId="1054" xr:uid="{00000000-0005-0000-0000-00001C040000}"/>
    <cellStyle name="쉼표 [0] 2 5 2 6 2" xfId="1055" xr:uid="{00000000-0005-0000-0000-00001D040000}"/>
    <cellStyle name="쉼표 [0] 2 5 2 7" xfId="1056" xr:uid="{00000000-0005-0000-0000-00001E040000}"/>
    <cellStyle name="쉼표 [0] 2 5 2 7 2" xfId="1057" xr:uid="{00000000-0005-0000-0000-00001F040000}"/>
    <cellStyle name="쉼표 [0] 2 5 2 8" xfId="1058" xr:uid="{00000000-0005-0000-0000-000020040000}"/>
    <cellStyle name="쉼표 [0] 2 5 2 8 2" xfId="1059" xr:uid="{00000000-0005-0000-0000-000021040000}"/>
    <cellStyle name="쉼표 [0] 2 5 2 9" xfId="1060" xr:uid="{00000000-0005-0000-0000-000022040000}"/>
    <cellStyle name="쉼표 [0] 2 5 2 9 2" xfId="1061" xr:uid="{00000000-0005-0000-0000-000023040000}"/>
    <cellStyle name="쉼표 [0] 2 5 3" xfId="1062" xr:uid="{00000000-0005-0000-0000-000024040000}"/>
    <cellStyle name="쉼표 [0] 2 5 3 2" xfId="1063" xr:uid="{00000000-0005-0000-0000-000025040000}"/>
    <cellStyle name="쉼표 [0] 2 5 3 2 2" xfId="1064" xr:uid="{00000000-0005-0000-0000-000026040000}"/>
    <cellStyle name="쉼표 [0] 2 5 3 3" xfId="1065" xr:uid="{00000000-0005-0000-0000-000027040000}"/>
    <cellStyle name="쉼표 [0] 2 5 3 3 2" xfId="1066" xr:uid="{00000000-0005-0000-0000-000028040000}"/>
    <cellStyle name="쉼표 [0] 2 5 3 4" xfId="1067" xr:uid="{00000000-0005-0000-0000-000029040000}"/>
    <cellStyle name="쉼표 [0] 2 5 3 4 2" xfId="1068" xr:uid="{00000000-0005-0000-0000-00002A040000}"/>
    <cellStyle name="쉼표 [0] 2 5 3 5" xfId="1069" xr:uid="{00000000-0005-0000-0000-00002B040000}"/>
    <cellStyle name="쉼표 [0] 2 5 3 6" xfId="1070" xr:uid="{00000000-0005-0000-0000-00002C040000}"/>
    <cellStyle name="쉼표 [0] 2 5 3 6 2" xfId="1071" xr:uid="{00000000-0005-0000-0000-00002D040000}"/>
    <cellStyle name="쉼표 [0] 2 5 4" xfId="1072" xr:uid="{00000000-0005-0000-0000-00002E040000}"/>
    <cellStyle name="쉼표 [0] 2 5 4 2" xfId="1073" xr:uid="{00000000-0005-0000-0000-00002F040000}"/>
    <cellStyle name="쉼표 [0] 2 5 4 2 2" xfId="1074" xr:uid="{00000000-0005-0000-0000-000030040000}"/>
    <cellStyle name="쉼표 [0] 2 5 4 3" xfId="1075" xr:uid="{00000000-0005-0000-0000-000031040000}"/>
    <cellStyle name="쉼표 [0] 2 5 4 3 2" xfId="1076" xr:uid="{00000000-0005-0000-0000-000032040000}"/>
    <cellStyle name="쉼표 [0] 2 5 4 4" xfId="1077" xr:uid="{00000000-0005-0000-0000-000033040000}"/>
    <cellStyle name="쉼표 [0] 2 5 5" xfId="1078" xr:uid="{00000000-0005-0000-0000-000034040000}"/>
    <cellStyle name="쉼표 [0] 2 5 5 2" xfId="1079" xr:uid="{00000000-0005-0000-0000-000035040000}"/>
    <cellStyle name="쉼표 [0] 2 5 6" xfId="1080" xr:uid="{00000000-0005-0000-0000-000036040000}"/>
    <cellStyle name="쉼표 [0] 2 5 6 2" xfId="1081" xr:uid="{00000000-0005-0000-0000-000037040000}"/>
    <cellStyle name="쉼표 [0] 2 5 7" xfId="1082" xr:uid="{00000000-0005-0000-0000-000038040000}"/>
    <cellStyle name="쉼표 [0] 2 5 7 2" xfId="1083" xr:uid="{00000000-0005-0000-0000-000039040000}"/>
    <cellStyle name="쉼표 [0] 2 5 8" xfId="1084" xr:uid="{00000000-0005-0000-0000-00003A040000}"/>
    <cellStyle name="쉼표 [0] 2 5 8 2" xfId="1085" xr:uid="{00000000-0005-0000-0000-00003B040000}"/>
    <cellStyle name="쉼표 [0] 2 5 9" xfId="1086" xr:uid="{00000000-0005-0000-0000-00003C040000}"/>
    <cellStyle name="쉼표 [0] 2 5 9 2" xfId="1087" xr:uid="{00000000-0005-0000-0000-00003D040000}"/>
    <cellStyle name="쉼표 [0] 2 6" xfId="1088" xr:uid="{00000000-0005-0000-0000-00003E040000}"/>
    <cellStyle name="쉼표 [0] 2 6 10" xfId="1089" xr:uid="{00000000-0005-0000-0000-00003F040000}"/>
    <cellStyle name="쉼표 [0] 2 6 10 2" xfId="1090" xr:uid="{00000000-0005-0000-0000-000040040000}"/>
    <cellStyle name="쉼표 [0] 2 6 11" xfId="1091" xr:uid="{00000000-0005-0000-0000-000041040000}"/>
    <cellStyle name="쉼표 [0] 2 6 11 2" xfId="1092" xr:uid="{00000000-0005-0000-0000-000042040000}"/>
    <cellStyle name="쉼표 [0] 2 6 12" xfId="1093" xr:uid="{00000000-0005-0000-0000-000043040000}"/>
    <cellStyle name="쉼표 [0] 2 6 12 2" xfId="1094" xr:uid="{00000000-0005-0000-0000-000044040000}"/>
    <cellStyle name="쉼표 [0] 2 6 13" xfId="1095" xr:uid="{00000000-0005-0000-0000-000045040000}"/>
    <cellStyle name="쉼표 [0] 2 6 2" xfId="1096" xr:uid="{00000000-0005-0000-0000-000046040000}"/>
    <cellStyle name="쉼표 [0] 2 6 2 10" xfId="1097" xr:uid="{00000000-0005-0000-0000-000047040000}"/>
    <cellStyle name="쉼표 [0] 2 6 2 10 2" xfId="1098" xr:uid="{00000000-0005-0000-0000-000048040000}"/>
    <cellStyle name="쉼표 [0] 2 6 2 11" xfId="1099" xr:uid="{00000000-0005-0000-0000-000049040000}"/>
    <cellStyle name="쉼표 [0] 2 6 2 2" xfId="1100" xr:uid="{00000000-0005-0000-0000-00004A040000}"/>
    <cellStyle name="쉼표 [0] 2 6 2 2 2" xfId="1101" xr:uid="{00000000-0005-0000-0000-00004B040000}"/>
    <cellStyle name="쉼표 [0] 2 6 2 2 3" xfId="1102" xr:uid="{00000000-0005-0000-0000-00004C040000}"/>
    <cellStyle name="쉼표 [0] 2 6 2 2 3 2" xfId="1103" xr:uid="{00000000-0005-0000-0000-00004D040000}"/>
    <cellStyle name="쉼표 [0] 2 6 2 3" xfId="1104" xr:uid="{00000000-0005-0000-0000-00004E040000}"/>
    <cellStyle name="쉼표 [0] 2 6 2 3 2" xfId="1105" xr:uid="{00000000-0005-0000-0000-00004F040000}"/>
    <cellStyle name="쉼표 [0] 2 6 2 4" xfId="1106" xr:uid="{00000000-0005-0000-0000-000050040000}"/>
    <cellStyle name="쉼표 [0] 2 6 2 4 2" xfId="1107" xr:uid="{00000000-0005-0000-0000-000051040000}"/>
    <cellStyle name="쉼표 [0] 2 6 2 5" xfId="1108" xr:uid="{00000000-0005-0000-0000-000052040000}"/>
    <cellStyle name="쉼표 [0] 2 6 2 5 2" xfId="1109" xr:uid="{00000000-0005-0000-0000-000053040000}"/>
    <cellStyle name="쉼표 [0] 2 6 2 6" xfId="1110" xr:uid="{00000000-0005-0000-0000-000054040000}"/>
    <cellStyle name="쉼표 [0] 2 6 2 6 2" xfId="1111" xr:uid="{00000000-0005-0000-0000-000055040000}"/>
    <cellStyle name="쉼표 [0] 2 6 2 7" xfId="1112" xr:uid="{00000000-0005-0000-0000-000056040000}"/>
    <cellStyle name="쉼표 [0] 2 6 2 7 2" xfId="1113" xr:uid="{00000000-0005-0000-0000-000057040000}"/>
    <cellStyle name="쉼표 [0] 2 6 2 8" xfId="1114" xr:uid="{00000000-0005-0000-0000-000058040000}"/>
    <cellStyle name="쉼표 [0] 2 6 2 8 2" xfId="1115" xr:uid="{00000000-0005-0000-0000-000059040000}"/>
    <cellStyle name="쉼표 [0] 2 6 2 9" xfId="1116" xr:uid="{00000000-0005-0000-0000-00005A040000}"/>
    <cellStyle name="쉼표 [0] 2 6 2 9 2" xfId="1117" xr:uid="{00000000-0005-0000-0000-00005B040000}"/>
    <cellStyle name="쉼표 [0] 2 6 3" xfId="1118" xr:uid="{00000000-0005-0000-0000-00005C040000}"/>
    <cellStyle name="쉼표 [0] 2 6 3 2" xfId="1119" xr:uid="{00000000-0005-0000-0000-00005D040000}"/>
    <cellStyle name="쉼표 [0] 2 6 3 2 2" xfId="1120" xr:uid="{00000000-0005-0000-0000-00005E040000}"/>
    <cellStyle name="쉼표 [0] 2 6 3 3" xfId="1121" xr:uid="{00000000-0005-0000-0000-00005F040000}"/>
    <cellStyle name="쉼표 [0] 2 6 3 3 2" xfId="1122" xr:uid="{00000000-0005-0000-0000-000060040000}"/>
    <cellStyle name="쉼표 [0] 2 6 3 4" xfId="1123" xr:uid="{00000000-0005-0000-0000-000061040000}"/>
    <cellStyle name="쉼표 [0] 2 6 3 4 2" xfId="1124" xr:uid="{00000000-0005-0000-0000-000062040000}"/>
    <cellStyle name="쉼표 [0] 2 6 3 5" xfId="1125" xr:uid="{00000000-0005-0000-0000-000063040000}"/>
    <cellStyle name="쉼표 [0] 2 6 3 6" xfId="1126" xr:uid="{00000000-0005-0000-0000-000064040000}"/>
    <cellStyle name="쉼표 [0] 2 6 3 6 2" xfId="1127" xr:uid="{00000000-0005-0000-0000-000065040000}"/>
    <cellStyle name="쉼표 [0] 2 6 4" xfId="1128" xr:uid="{00000000-0005-0000-0000-000066040000}"/>
    <cellStyle name="쉼표 [0] 2 6 4 2" xfId="1129" xr:uid="{00000000-0005-0000-0000-000067040000}"/>
    <cellStyle name="쉼표 [0] 2 6 4 2 2" xfId="1130" xr:uid="{00000000-0005-0000-0000-000068040000}"/>
    <cellStyle name="쉼표 [0] 2 6 4 3" xfId="1131" xr:uid="{00000000-0005-0000-0000-000069040000}"/>
    <cellStyle name="쉼표 [0] 2 6 4 3 2" xfId="1132" xr:uid="{00000000-0005-0000-0000-00006A040000}"/>
    <cellStyle name="쉼표 [0] 2 6 4 4" xfId="1133" xr:uid="{00000000-0005-0000-0000-00006B040000}"/>
    <cellStyle name="쉼표 [0] 2 6 5" xfId="1134" xr:uid="{00000000-0005-0000-0000-00006C040000}"/>
    <cellStyle name="쉼표 [0] 2 6 5 2" xfId="1135" xr:uid="{00000000-0005-0000-0000-00006D040000}"/>
    <cellStyle name="쉼표 [0] 2 6 6" xfId="1136" xr:uid="{00000000-0005-0000-0000-00006E040000}"/>
    <cellStyle name="쉼표 [0] 2 6 6 2" xfId="1137" xr:uid="{00000000-0005-0000-0000-00006F040000}"/>
    <cellStyle name="쉼표 [0] 2 6 7" xfId="1138" xr:uid="{00000000-0005-0000-0000-000070040000}"/>
    <cellStyle name="쉼표 [0] 2 6 7 2" xfId="1139" xr:uid="{00000000-0005-0000-0000-000071040000}"/>
    <cellStyle name="쉼표 [0] 2 6 8" xfId="1140" xr:uid="{00000000-0005-0000-0000-000072040000}"/>
    <cellStyle name="쉼표 [0] 2 6 8 2" xfId="1141" xr:uid="{00000000-0005-0000-0000-000073040000}"/>
    <cellStyle name="쉼표 [0] 2 6 9" xfId="1142" xr:uid="{00000000-0005-0000-0000-000074040000}"/>
    <cellStyle name="쉼표 [0] 2 6 9 2" xfId="1143" xr:uid="{00000000-0005-0000-0000-000075040000}"/>
    <cellStyle name="쉼표 [0] 2 7" xfId="1144" xr:uid="{00000000-0005-0000-0000-000076040000}"/>
    <cellStyle name="쉼표 [0] 2 7 10" xfId="1145" xr:uid="{00000000-0005-0000-0000-000077040000}"/>
    <cellStyle name="쉼표 [0] 2 7 10 2" xfId="1146" xr:uid="{00000000-0005-0000-0000-000078040000}"/>
    <cellStyle name="쉼표 [0] 2 7 11" xfId="1147" xr:uid="{00000000-0005-0000-0000-000079040000}"/>
    <cellStyle name="쉼표 [0] 2 7 11 2" xfId="1148" xr:uid="{00000000-0005-0000-0000-00007A040000}"/>
    <cellStyle name="쉼표 [0] 2 7 12" xfId="1149" xr:uid="{00000000-0005-0000-0000-00007B040000}"/>
    <cellStyle name="쉼표 [0] 2 7 12 2" xfId="1150" xr:uid="{00000000-0005-0000-0000-00007C040000}"/>
    <cellStyle name="쉼표 [0] 2 7 13" xfId="1151" xr:uid="{00000000-0005-0000-0000-00007D040000}"/>
    <cellStyle name="쉼표 [0] 2 7 2" xfId="1152" xr:uid="{00000000-0005-0000-0000-00007E040000}"/>
    <cellStyle name="쉼표 [0] 2 7 2 10" xfId="1153" xr:uid="{00000000-0005-0000-0000-00007F040000}"/>
    <cellStyle name="쉼표 [0] 2 7 2 10 2" xfId="1154" xr:uid="{00000000-0005-0000-0000-000080040000}"/>
    <cellStyle name="쉼표 [0] 2 7 2 11" xfId="1155" xr:uid="{00000000-0005-0000-0000-000081040000}"/>
    <cellStyle name="쉼표 [0] 2 7 2 2" xfId="1156" xr:uid="{00000000-0005-0000-0000-000082040000}"/>
    <cellStyle name="쉼표 [0] 2 7 2 2 2" xfId="1157" xr:uid="{00000000-0005-0000-0000-000083040000}"/>
    <cellStyle name="쉼표 [0] 2 7 2 2 3" xfId="1158" xr:uid="{00000000-0005-0000-0000-000084040000}"/>
    <cellStyle name="쉼표 [0] 2 7 2 2 3 2" xfId="1159" xr:uid="{00000000-0005-0000-0000-000085040000}"/>
    <cellStyle name="쉼표 [0] 2 7 2 3" xfId="1160" xr:uid="{00000000-0005-0000-0000-000086040000}"/>
    <cellStyle name="쉼표 [0] 2 7 2 3 2" xfId="1161" xr:uid="{00000000-0005-0000-0000-000087040000}"/>
    <cellStyle name="쉼표 [0] 2 7 2 4" xfId="1162" xr:uid="{00000000-0005-0000-0000-000088040000}"/>
    <cellStyle name="쉼표 [0] 2 7 2 4 2" xfId="1163" xr:uid="{00000000-0005-0000-0000-000089040000}"/>
    <cellStyle name="쉼표 [0] 2 7 2 5" xfId="1164" xr:uid="{00000000-0005-0000-0000-00008A040000}"/>
    <cellStyle name="쉼표 [0] 2 7 2 5 2" xfId="1165" xr:uid="{00000000-0005-0000-0000-00008B040000}"/>
    <cellStyle name="쉼표 [0] 2 7 2 6" xfId="1166" xr:uid="{00000000-0005-0000-0000-00008C040000}"/>
    <cellStyle name="쉼표 [0] 2 7 2 6 2" xfId="1167" xr:uid="{00000000-0005-0000-0000-00008D040000}"/>
    <cellStyle name="쉼표 [0] 2 7 2 7" xfId="1168" xr:uid="{00000000-0005-0000-0000-00008E040000}"/>
    <cellStyle name="쉼표 [0] 2 7 2 7 2" xfId="1169" xr:uid="{00000000-0005-0000-0000-00008F040000}"/>
    <cellStyle name="쉼표 [0] 2 7 2 8" xfId="1170" xr:uid="{00000000-0005-0000-0000-000090040000}"/>
    <cellStyle name="쉼표 [0] 2 7 2 8 2" xfId="1171" xr:uid="{00000000-0005-0000-0000-000091040000}"/>
    <cellStyle name="쉼표 [0] 2 7 2 9" xfId="1172" xr:uid="{00000000-0005-0000-0000-000092040000}"/>
    <cellStyle name="쉼표 [0] 2 7 2 9 2" xfId="1173" xr:uid="{00000000-0005-0000-0000-000093040000}"/>
    <cellStyle name="쉼표 [0] 2 7 3" xfId="1174" xr:uid="{00000000-0005-0000-0000-000094040000}"/>
    <cellStyle name="쉼표 [0] 2 7 3 2" xfId="1175" xr:uid="{00000000-0005-0000-0000-000095040000}"/>
    <cellStyle name="쉼표 [0] 2 7 3 2 2" xfId="1176" xr:uid="{00000000-0005-0000-0000-000096040000}"/>
    <cellStyle name="쉼표 [0] 2 7 3 3" xfId="1177" xr:uid="{00000000-0005-0000-0000-000097040000}"/>
    <cellStyle name="쉼표 [0] 2 7 3 3 2" xfId="1178" xr:uid="{00000000-0005-0000-0000-000098040000}"/>
    <cellStyle name="쉼표 [0] 2 7 3 4" xfId="1179" xr:uid="{00000000-0005-0000-0000-000099040000}"/>
    <cellStyle name="쉼표 [0] 2 7 3 4 2" xfId="1180" xr:uid="{00000000-0005-0000-0000-00009A040000}"/>
    <cellStyle name="쉼표 [0] 2 7 3 5" xfId="1181" xr:uid="{00000000-0005-0000-0000-00009B040000}"/>
    <cellStyle name="쉼표 [0] 2 7 3 6" xfId="1182" xr:uid="{00000000-0005-0000-0000-00009C040000}"/>
    <cellStyle name="쉼표 [0] 2 7 3 6 2" xfId="1183" xr:uid="{00000000-0005-0000-0000-00009D040000}"/>
    <cellStyle name="쉼표 [0] 2 7 4" xfId="1184" xr:uid="{00000000-0005-0000-0000-00009E040000}"/>
    <cellStyle name="쉼표 [0] 2 7 4 2" xfId="1185" xr:uid="{00000000-0005-0000-0000-00009F040000}"/>
    <cellStyle name="쉼표 [0] 2 7 4 2 2" xfId="1186" xr:uid="{00000000-0005-0000-0000-0000A0040000}"/>
    <cellStyle name="쉼표 [0] 2 7 4 3" xfId="1187" xr:uid="{00000000-0005-0000-0000-0000A1040000}"/>
    <cellStyle name="쉼표 [0] 2 7 4 3 2" xfId="1188" xr:uid="{00000000-0005-0000-0000-0000A2040000}"/>
    <cellStyle name="쉼표 [0] 2 7 4 4" xfId="1189" xr:uid="{00000000-0005-0000-0000-0000A3040000}"/>
    <cellStyle name="쉼표 [0] 2 7 5" xfId="1190" xr:uid="{00000000-0005-0000-0000-0000A4040000}"/>
    <cellStyle name="쉼표 [0] 2 7 5 2" xfId="1191" xr:uid="{00000000-0005-0000-0000-0000A5040000}"/>
    <cellStyle name="쉼표 [0] 2 7 6" xfId="1192" xr:uid="{00000000-0005-0000-0000-0000A6040000}"/>
    <cellStyle name="쉼표 [0] 2 7 6 2" xfId="1193" xr:uid="{00000000-0005-0000-0000-0000A7040000}"/>
    <cellStyle name="쉼표 [0] 2 7 7" xfId="1194" xr:uid="{00000000-0005-0000-0000-0000A8040000}"/>
    <cellStyle name="쉼표 [0] 2 7 7 2" xfId="1195" xr:uid="{00000000-0005-0000-0000-0000A9040000}"/>
    <cellStyle name="쉼표 [0] 2 7 8" xfId="1196" xr:uid="{00000000-0005-0000-0000-0000AA040000}"/>
    <cellStyle name="쉼표 [0] 2 7 8 2" xfId="1197" xr:uid="{00000000-0005-0000-0000-0000AB040000}"/>
    <cellStyle name="쉼표 [0] 2 7 9" xfId="1198" xr:uid="{00000000-0005-0000-0000-0000AC040000}"/>
    <cellStyle name="쉼표 [0] 2 7 9 2" xfId="1199" xr:uid="{00000000-0005-0000-0000-0000AD040000}"/>
    <cellStyle name="쉼표 [0] 2 8" xfId="1200" xr:uid="{00000000-0005-0000-0000-0000AE040000}"/>
    <cellStyle name="쉼표 [0] 2 8 2" xfId="1201" xr:uid="{00000000-0005-0000-0000-0000AF040000}"/>
    <cellStyle name="쉼표 [0] 2 8 3" xfId="1202" xr:uid="{00000000-0005-0000-0000-0000B0040000}"/>
    <cellStyle name="쉼표 [0] 2 9" xfId="1203" xr:uid="{00000000-0005-0000-0000-0000B1040000}"/>
    <cellStyle name="쉼표 [0] 2 9 2" xfId="1204" xr:uid="{00000000-0005-0000-0000-0000B2040000}"/>
    <cellStyle name="쉼표 [0] 2 9 2 2" xfId="1205" xr:uid="{00000000-0005-0000-0000-0000B3040000}"/>
    <cellStyle name="쉼표 [0] 2 9 2 3" xfId="1206" xr:uid="{00000000-0005-0000-0000-0000B4040000}"/>
    <cellStyle name="쉼표 [0] 2 9 2 3 2" xfId="1207" xr:uid="{00000000-0005-0000-0000-0000B5040000}"/>
    <cellStyle name="쉼표 [0] 2 9 2 4" xfId="1208" xr:uid="{00000000-0005-0000-0000-0000B6040000}"/>
    <cellStyle name="쉼표 [0] 2 9 2 4 2" xfId="1209" xr:uid="{00000000-0005-0000-0000-0000B7040000}"/>
    <cellStyle name="쉼표 [0] 2 9 2 5" xfId="1210" xr:uid="{00000000-0005-0000-0000-0000B8040000}"/>
    <cellStyle name="쉼표 [0] 2 9 2 5 2" xfId="1211" xr:uid="{00000000-0005-0000-0000-0000B9040000}"/>
    <cellStyle name="쉼표 [0] 2 9 2 6" xfId="1212" xr:uid="{00000000-0005-0000-0000-0000BA040000}"/>
    <cellStyle name="쉼표 [0] 2 9 2 6 2" xfId="1213" xr:uid="{00000000-0005-0000-0000-0000BB040000}"/>
    <cellStyle name="쉼표 [0] 2 9 2 7" xfId="1214" xr:uid="{00000000-0005-0000-0000-0000BC040000}"/>
    <cellStyle name="쉼표 [0] 2 9 2 7 2" xfId="1215" xr:uid="{00000000-0005-0000-0000-0000BD040000}"/>
    <cellStyle name="쉼표 [0] 2 9 2 8" xfId="1216" xr:uid="{00000000-0005-0000-0000-0000BE040000}"/>
    <cellStyle name="쉼표 [0] 2 9 3" xfId="1217" xr:uid="{00000000-0005-0000-0000-0000BF040000}"/>
    <cellStyle name="쉼표 [0] 2 9 4" xfId="1218" xr:uid="{00000000-0005-0000-0000-0000C0040000}"/>
    <cellStyle name="쉼표 [0] 2 9 4 2" xfId="1219" xr:uid="{00000000-0005-0000-0000-0000C1040000}"/>
    <cellStyle name="쉼표 [0] 2 9 5" xfId="1220" xr:uid="{00000000-0005-0000-0000-0000C2040000}"/>
    <cellStyle name="쉼표 [0] 2 9 5 2" xfId="1221" xr:uid="{00000000-0005-0000-0000-0000C3040000}"/>
    <cellStyle name="쉼표 [0] 2 9 6" xfId="1222" xr:uid="{00000000-0005-0000-0000-0000C4040000}"/>
    <cellStyle name="쉼표 [0] 2 9 6 2" xfId="1223" xr:uid="{00000000-0005-0000-0000-0000C5040000}"/>
    <cellStyle name="쉼표 [0] 2 9 7" xfId="1224" xr:uid="{00000000-0005-0000-0000-0000C6040000}"/>
    <cellStyle name="쉼표 [0] 2 9 7 2" xfId="1225" xr:uid="{00000000-0005-0000-0000-0000C7040000}"/>
    <cellStyle name="쉼표 [0] 2 9 8" xfId="1226" xr:uid="{00000000-0005-0000-0000-0000C8040000}"/>
    <cellStyle name="쉼표 [0] 2 9 8 2" xfId="1227" xr:uid="{00000000-0005-0000-0000-0000C9040000}"/>
    <cellStyle name="쉼표 [0] 2 9 9" xfId="1228" xr:uid="{00000000-0005-0000-0000-0000CA040000}"/>
    <cellStyle name="쉼표 [0] 20" xfId="1229" xr:uid="{00000000-0005-0000-0000-0000CB040000}"/>
    <cellStyle name="쉼표 [0] 20 10" xfId="1230" xr:uid="{00000000-0005-0000-0000-0000CC040000}"/>
    <cellStyle name="쉼표 [0] 20 2" xfId="1231" xr:uid="{00000000-0005-0000-0000-0000CD040000}"/>
    <cellStyle name="쉼표 [0] 20 2 2" xfId="1232" xr:uid="{00000000-0005-0000-0000-0000CE040000}"/>
    <cellStyle name="쉼표 [0] 20 2 3" xfId="1233" xr:uid="{00000000-0005-0000-0000-0000CF040000}"/>
    <cellStyle name="쉼표 [0] 20 2 3 2" xfId="1234" xr:uid="{00000000-0005-0000-0000-0000D0040000}"/>
    <cellStyle name="쉼표 [0] 20 2 4" xfId="1235" xr:uid="{00000000-0005-0000-0000-0000D1040000}"/>
    <cellStyle name="쉼표 [0] 20 2 4 2" xfId="1236" xr:uid="{00000000-0005-0000-0000-0000D2040000}"/>
    <cellStyle name="쉼표 [0] 20 2 5" xfId="1237" xr:uid="{00000000-0005-0000-0000-0000D3040000}"/>
    <cellStyle name="쉼표 [0] 20 2 5 2" xfId="1238" xr:uid="{00000000-0005-0000-0000-0000D4040000}"/>
    <cellStyle name="쉼표 [0] 20 2 6" xfId="1239" xr:uid="{00000000-0005-0000-0000-0000D5040000}"/>
    <cellStyle name="쉼표 [0] 20 2 6 2" xfId="1240" xr:uid="{00000000-0005-0000-0000-0000D6040000}"/>
    <cellStyle name="쉼표 [0] 20 2 7" xfId="1241" xr:uid="{00000000-0005-0000-0000-0000D7040000}"/>
    <cellStyle name="쉼표 [0] 20 2 7 2" xfId="1242" xr:uid="{00000000-0005-0000-0000-0000D8040000}"/>
    <cellStyle name="쉼표 [0] 20 2 8" xfId="1243" xr:uid="{00000000-0005-0000-0000-0000D9040000}"/>
    <cellStyle name="쉼표 [0] 20 3" xfId="1244" xr:uid="{00000000-0005-0000-0000-0000DA040000}"/>
    <cellStyle name="쉼표 [0] 20 4" xfId="1245" xr:uid="{00000000-0005-0000-0000-0000DB040000}"/>
    <cellStyle name="쉼표 [0] 20 4 2" xfId="1246" xr:uid="{00000000-0005-0000-0000-0000DC040000}"/>
    <cellStyle name="쉼표 [0] 20 5" xfId="1247" xr:uid="{00000000-0005-0000-0000-0000DD040000}"/>
    <cellStyle name="쉼표 [0] 20 5 2" xfId="1248" xr:uid="{00000000-0005-0000-0000-0000DE040000}"/>
    <cellStyle name="쉼표 [0] 20 6" xfId="1249" xr:uid="{00000000-0005-0000-0000-0000DF040000}"/>
    <cellStyle name="쉼표 [0] 20 6 2" xfId="1250" xr:uid="{00000000-0005-0000-0000-0000E0040000}"/>
    <cellStyle name="쉼표 [0] 20 7" xfId="1251" xr:uid="{00000000-0005-0000-0000-0000E1040000}"/>
    <cellStyle name="쉼표 [0] 20 7 2" xfId="1252" xr:uid="{00000000-0005-0000-0000-0000E2040000}"/>
    <cellStyle name="쉼표 [0] 20 8" xfId="1253" xr:uid="{00000000-0005-0000-0000-0000E3040000}"/>
    <cellStyle name="쉼표 [0] 20 8 2" xfId="1254" xr:uid="{00000000-0005-0000-0000-0000E4040000}"/>
    <cellStyle name="쉼표 [0] 20 9" xfId="1255" xr:uid="{00000000-0005-0000-0000-0000E5040000}"/>
    <cellStyle name="쉼표 [0] 21" xfId="1256" xr:uid="{00000000-0005-0000-0000-0000E6040000}"/>
    <cellStyle name="쉼표 [0] 21 2" xfId="1257" xr:uid="{00000000-0005-0000-0000-0000E7040000}"/>
    <cellStyle name="쉼표 [0] 21 3" xfId="1258" xr:uid="{00000000-0005-0000-0000-0000E8040000}"/>
    <cellStyle name="쉼표 [0] 22" xfId="1259" xr:uid="{00000000-0005-0000-0000-0000E9040000}"/>
    <cellStyle name="쉼표 [0] 22 2" xfId="1260" xr:uid="{00000000-0005-0000-0000-0000EA040000}"/>
    <cellStyle name="쉼표 [0] 22 2 2" xfId="1261" xr:uid="{00000000-0005-0000-0000-0000EB040000}"/>
    <cellStyle name="쉼표 [0] 22 3" xfId="1262" xr:uid="{00000000-0005-0000-0000-0000EC040000}"/>
    <cellStyle name="쉼표 [0] 22 3 2" xfId="1263" xr:uid="{00000000-0005-0000-0000-0000ED040000}"/>
    <cellStyle name="쉼표 [0] 22 4" xfId="1264" xr:uid="{00000000-0005-0000-0000-0000EE040000}"/>
    <cellStyle name="쉼표 [0] 22 4 2" xfId="1265" xr:uid="{00000000-0005-0000-0000-0000EF040000}"/>
    <cellStyle name="쉼표 [0] 22 5" xfId="1266" xr:uid="{00000000-0005-0000-0000-0000F0040000}"/>
    <cellStyle name="쉼표 [0] 22 5 2" xfId="1267" xr:uid="{00000000-0005-0000-0000-0000F1040000}"/>
    <cellStyle name="쉼표 [0] 22 6" xfId="1268" xr:uid="{00000000-0005-0000-0000-0000F2040000}"/>
    <cellStyle name="쉼표 [0] 22 6 2" xfId="1269" xr:uid="{00000000-0005-0000-0000-0000F3040000}"/>
    <cellStyle name="쉼표 [0] 22 7" xfId="1270" xr:uid="{00000000-0005-0000-0000-0000F4040000}"/>
    <cellStyle name="쉼표 [0] 22 8" xfId="1271" xr:uid="{00000000-0005-0000-0000-0000F5040000}"/>
    <cellStyle name="쉼표 [0] 23" xfId="1272" xr:uid="{00000000-0005-0000-0000-0000F6040000}"/>
    <cellStyle name="쉼표 [0] 23 2" xfId="1273" xr:uid="{00000000-0005-0000-0000-0000F7040000}"/>
    <cellStyle name="쉼표 [0] 23 2 2" xfId="1274" xr:uid="{00000000-0005-0000-0000-0000F8040000}"/>
    <cellStyle name="쉼표 [0] 23 3" xfId="1275" xr:uid="{00000000-0005-0000-0000-0000F9040000}"/>
    <cellStyle name="쉼표 [0] 23 3 2" xfId="1276" xr:uid="{00000000-0005-0000-0000-0000FA040000}"/>
    <cellStyle name="쉼표 [0] 23 4" xfId="1277" xr:uid="{00000000-0005-0000-0000-0000FB040000}"/>
    <cellStyle name="쉼표 [0] 23 4 2" xfId="1278" xr:uid="{00000000-0005-0000-0000-0000FC040000}"/>
    <cellStyle name="쉼표 [0] 23 5" xfId="1279" xr:uid="{00000000-0005-0000-0000-0000FD040000}"/>
    <cellStyle name="쉼표 [0] 23 5 2" xfId="1280" xr:uid="{00000000-0005-0000-0000-0000FE040000}"/>
    <cellStyle name="쉼표 [0] 23 6" xfId="1281" xr:uid="{00000000-0005-0000-0000-0000FF040000}"/>
    <cellStyle name="쉼표 [0] 23 6 2" xfId="1282" xr:uid="{00000000-0005-0000-0000-000000050000}"/>
    <cellStyle name="쉼표 [0] 23 7" xfId="1283" xr:uid="{00000000-0005-0000-0000-000001050000}"/>
    <cellStyle name="쉼표 [0] 23 8" xfId="1284" xr:uid="{00000000-0005-0000-0000-000002050000}"/>
    <cellStyle name="쉼표 [0] 24" xfId="1285" xr:uid="{00000000-0005-0000-0000-000003050000}"/>
    <cellStyle name="쉼표 [0] 24 2" xfId="1286" xr:uid="{00000000-0005-0000-0000-000004050000}"/>
    <cellStyle name="쉼표 [0] 24 2 2" xfId="1287" xr:uid="{00000000-0005-0000-0000-000005050000}"/>
    <cellStyle name="쉼표 [0] 24 3" xfId="1288" xr:uid="{00000000-0005-0000-0000-000006050000}"/>
    <cellStyle name="쉼표 [0] 24 3 2" xfId="1289" xr:uid="{00000000-0005-0000-0000-000007050000}"/>
    <cellStyle name="쉼표 [0] 24 4" xfId="1290" xr:uid="{00000000-0005-0000-0000-000008050000}"/>
    <cellStyle name="쉼표 [0] 24 4 2" xfId="1291" xr:uid="{00000000-0005-0000-0000-000009050000}"/>
    <cellStyle name="쉼표 [0] 24 5" xfId="1292" xr:uid="{00000000-0005-0000-0000-00000A050000}"/>
    <cellStyle name="쉼표 [0] 24 5 2" xfId="1293" xr:uid="{00000000-0005-0000-0000-00000B050000}"/>
    <cellStyle name="쉼표 [0] 24 6" xfId="1294" xr:uid="{00000000-0005-0000-0000-00000C050000}"/>
    <cellStyle name="쉼표 [0] 24 6 2" xfId="1295" xr:uid="{00000000-0005-0000-0000-00000D050000}"/>
    <cellStyle name="쉼표 [0] 24 7" xfId="1296" xr:uid="{00000000-0005-0000-0000-00000E050000}"/>
    <cellStyle name="쉼표 [0] 24 8" xfId="1297" xr:uid="{00000000-0005-0000-0000-00000F050000}"/>
    <cellStyle name="쉼표 [0] 25" xfId="1298" xr:uid="{00000000-0005-0000-0000-000010050000}"/>
    <cellStyle name="쉼표 [0] 25 2" xfId="1299" xr:uid="{00000000-0005-0000-0000-000011050000}"/>
    <cellStyle name="쉼표 [0] 25 2 2" xfId="1300" xr:uid="{00000000-0005-0000-0000-000012050000}"/>
    <cellStyle name="쉼표 [0] 25 3" xfId="1301" xr:uid="{00000000-0005-0000-0000-000013050000}"/>
    <cellStyle name="쉼표 [0] 25 3 2" xfId="1302" xr:uid="{00000000-0005-0000-0000-000014050000}"/>
    <cellStyle name="쉼표 [0] 25 4" xfId="1303" xr:uid="{00000000-0005-0000-0000-000015050000}"/>
    <cellStyle name="쉼표 [0] 25 4 2" xfId="1304" xr:uid="{00000000-0005-0000-0000-000016050000}"/>
    <cellStyle name="쉼표 [0] 25 5" xfId="1305" xr:uid="{00000000-0005-0000-0000-000017050000}"/>
    <cellStyle name="쉼표 [0] 26" xfId="1306" xr:uid="{00000000-0005-0000-0000-000018050000}"/>
    <cellStyle name="쉼표 [0] 26 2" xfId="1307" xr:uid="{00000000-0005-0000-0000-000019050000}"/>
    <cellStyle name="쉼표 [0] 26 2 2" xfId="1308" xr:uid="{00000000-0005-0000-0000-00001A050000}"/>
    <cellStyle name="쉼표 [0] 26 3" xfId="1309" xr:uid="{00000000-0005-0000-0000-00001B050000}"/>
    <cellStyle name="쉼표 [0] 26 4" xfId="1310" xr:uid="{00000000-0005-0000-0000-00001C050000}"/>
    <cellStyle name="쉼표 [0] 27" xfId="1311" xr:uid="{00000000-0005-0000-0000-00001D050000}"/>
    <cellStyle name="쉼표 [0] 27 2" xfId="1312" xr:uid="{00000000-0005-0000-0000-00001E050000}"/>
    <cellStyle name="쉼표 [0] 27 3" xfId="1313" xr:uid="{00000000-0005-0000-0000-00001F050000}"/>
    <cellStyle name="쉼표 [0] 28" xfId="1314" xr:uid="{00000000-0005-0000-0000-000020050000}"/>
    <cellStyle name="쉼표 [0] 28 2" xfId="1315" xr:uid="{00000000-0005-0000-0000-000021050000}"/>
    <cellStyle name="쉼표 [0] 29" xfId="1316" xr:uid="{00000000-0005-0000-0000-000022050000}"/>
    <cellStyle name="쉼표 [0] 3" xfId="4" xr:uid="{00000000-0005-0000-0000-000023050000}"/>
    <cellStyle name="쉼표 [0] 3 10" xfId="1317" xr:uid="{00000000-0005-0000-0000-000024050000}"/>
    <cellStyle name="쉼표 [0] 3 11" xfId="1318" xr:uid="{00000000-0005-0000-0000-000025050000}"/>
    <cellStyle name="쉼표 [0] 3 11 2" xfId="1319" xr:uid="{00000000-0005-0000-0000-000026050000}"/>
    <cellStyle name="쉼표 [0] 3 11 2 2" xfId="1320" xr:uid="{00000000-0005-0000-0000-000027050000}"/>
    <cellStyle name="쉼표 [0] 3 11 3" xfId="1321" xr:uid="{00000000-0005-0000-0000-000028050000}"/>
    <cellStyle name="쉼표 [0] 3 11 3 2" xfId="1322" xr:uid="{00000000-0005-0000-0000-000029050000}"/>
    <cellStyle name="쉼표 [0] 3 11 4" xfId="1323" xr:uid="{00000000-0005-0000-0000-00002A050000}"/>
    <cellStyle name="쉼표 [0] 3 11 4 2" xfId="1324" xr:uid="{00000000-0005-0000-0000-00002B050000}"/>
    <cellStyle name="쉼표 [0] 3 11 5" xfId="1325" xr:uid="{00000000-0005-0000-0000-00002C050000}"/>
    <cellStyle name="쉼표 [0] 3 11 5 2" xfId="1326" xr:uid="{00000000-0005-0000-0000-00002D050000}"/>
    <cellStyle name="쉼표 [0] 3 11 6" xfId="1327" xr:uid="{00000000-0005-0000-0000-00002E050000}"/>
    <cellStyle name="쉼표 [0] 3 11 6 2" xfId="1328" xr:uid="{00000000-0005-0000-0000-00002F050000}"/>
    <cellStyle name="쉼표 [0] 3 11 7" xfId="1329" xr:uid="{00000000-0005-0000-0000-000030050000}"/>
    <cellStyle name="쉼표 [0] 3 12" xfId="1330" xr:uid="{00000000-0005-0000-0000-000031050000}"/>
    <cellStyle name="쉼표 [0] 3 12 2" xfId="1331" xr:uid="{00000000-0005-0000-0000-000032050000}"/>
    <cellStyle name="쉼표 [0] 3 12 2 2" xfId="1332" xr:uid="{00000000-0005-0000-0000-000033050000}"/>
    <cellStyle name="쉼표 [0] 3 12 3" xfId="1333" xr:uid="{00000000-0005-0000-0000-000034050000}"/>
    <cellStyle name="쉼표 [0] 3 13" xfId="1334" xr:uid="{00000000-0005-0000-0000-000035050000}"/>
    <cellStyle name="쉼표 [0] 3 13 2" xfId="1335" xr:uid="{00000000-0005-0000-0000-000036050000}"/>
    <cellStyle name="쉼표 [0] 3 14" xfId="1336" xr:uid="{00000000-0005-0000-0000-000037050000}"/>
    <cellStyle name="쉼표 [0] 3 15" xfId="1337" xr:uid="{00000000-0005-0000-0000-000038050000}"/>
    <cellStyle name="쉼표 [0] 3 2" xfId="1338" xr:uid="{00000000-0005-0000-0000-000039050000}"/>
    <cellStyle name="쉼표 [0] 3 2 10" xfId="1339" xr:uid="{00000000-0005-0000-0000-00003A050000}"/>
    <cellStyle name="쉼표 [0] 3 2 10 2" xfId="1340" xr:uid="{00000000-0005-0000-0000-00003B050000}"/>
    <cellStyle name="쉼표 [0] 3 2 11" xfId="1341" xr:uid="{00000000-0005-0000-0000-00003C050000}"/>
    <cellStyle name="쉼표 [0] 3 2 11 2" xfId="1342" xr:uid="{00000000-0005-0000-0000-00003D050000}"/>
    <cellStyle name="쉼표 [0] 3 2 12" xfId="1343" xr:uid="{00000000-0005-0000-0000-00003E050000}"/>
    <cellStyle name="쉼표 [0] 3 2 12 2" xfId="1344" xr:uid="{00000000-0005-0000-0000-00003F050000}"/>
    <cellStyle name="쉼표 [0] 3 2 13" xfId="1345" xr:uid="{00000000-0005-0000-0000-000040050000}"/>
    <cellStyle name="쉼표 [0] 3 2 14" xfId="1346" xr:uid="{00000000-0005-0000-0000-000041050000}"/>
    <cellStyle name="쉼표 [0] 3 2 2" xfId="1347" xr:uid="{00000000-0005-0000-0000-000042050000}"/>
    <cellStyle name="쉼표 [0] 3 2 2 10" xfId="1348" xr:uid="{00000000-0005-0000-0000-000043050000}"/>
    <cellStyle name="쉼표 [0] 3 2 2 10 2" xfId="1349" xr:uid="{00000000-0005-0000-0000-000044050000}"/>
    <cellStyle name="쉼표 [0] 3 2 2 11" xfId="1350" xr:uid="{00000000-0005-0000-0000-000045050000}"/>
    <cellStyle name="쉼표 [0] 3 2 2 2" xfId="1351" xr:uid="{00000000-0005-0000-0000-000046050000}"/>
    <cellStyle name="쉼표 [0] 3 2 2 2 2" xfId="1352" xr:uid="{00000000-0005-0000-0000-000047050000}"/>
    <cellStyle name="쉼표 [0] 3 2 2 2 3" xfId="1353" xr:uid="{00000000-0005-0000-0000-000048050000}"/>
    <cellStyle name="쉼표 [0] 3 2 2 2 3 2" xfId="1354" xr:uid="{00000000-0005-0000-0000-000049050000}"/>
    <cellStyle name="쉼표 [0] 3 2 2 3" xfId="1355" xr:uid="{00000000-0005-0000-0000-00004A050000}"/>
    <cellStyle name="쉼표 [0] 3 2 2 3 2" xfId="1356" xr:uid="{00000000-0005-0000-0000-00004B050000}"/>
    <cellStyle name="쉼표 [0] 3 2 2 4" xfId="1357" xr:uid="{00000000-0005-0000-0000-00004C050000}"/>
    <cellStyle name="쉼표 [0] 3 2 2 4 2" xfId="1358" xr:uid="{00000000-0005-0000-0000-00004D050000}"/>
    <cellStyle name="쉼표 [0] 3 2 2 5" xfId="1359" xr:uid="{00000000-0005-0000-0000-00004E050000}"/>
    <cellStyle name="쉼표 [0] 3 2 2 5 2" xfId="1360" xr:uid="{00000000-0005-0000-0000-00004F050000}"/>
    <cellStyle name="쉼표 [0] 3 2 2 6" xfId="1361" xr:uid="{00000000-0005-0000-0000-000050050000}"/>
    <cellStyle name="쉼표 [0] 3 2 2 6 2" xfId="1362" xr:uid="{00000000-0005-0000-0000-000051050000}"/>
    <cellStyle name="쉼표 [0] 3 2 2 7" xfId="1363" xr:uid="{00000000-0005-0000-0000-000052050000}"/>
    <cellStyle name="쉼표 [0] 3 2 2 7 2" xfId="1364" xr:uid="{00000000-0005-0000-0000-000053050000}"/>
    <cellStyle name="쉼표 [0] 3 2 2 8" xfId="1365" xr:uid="{00000000-0005-0000-0000-000054050000}"/>
    <cellStyle name="쉼표 [0] 3 2 2 8 2" xfId="1366" xr:uid="{00000000-0005-0000-0000-000055050000}"/>
    <cellStyle name="쉼표 [0] 3 2 2 9" xfId="1367" xr:uid="{00000000-0005-0000-0000-000056050000}"/>
    <cellStyle name="쉼표 [0] 3 2 2 9 2" xfId="1368" xr:uid="{00000000-0005-0000-0000-000057050000}"/>
    <cellStyle name="쉼표 [0] 3 2 3" xfId="1369" xr:uid="{00000000-0005-0000-0000-000058050000}"/>
    <cellStyle name="쉼표 [0] 3 2 3 2" xfId="1370" xr:uid="{00000000-0005-0000-0000-000059050000}"/>
    <cellStyle name="쉼표 [0] 3 2 3 2 2" xfId="1371" xr:uid="{00000000-0005-0000-0000-00005A050000}"/>
    <cellStyle name="쉼표 [0] 3 2 3 2 3" xfId="1372" xr:uid="{00000000-0005-0000-0000-00005B050000}"/>
    <cellStyle name="쉼표 [0] 3 2 3 3" xfId="1373" xr:uid="{00000000-0005-0000-0000-00005C050000}"/>
    <cellStyle name="쉼표 [0] 3 2 3 3 2" xfId="1374" xr:uid="{00000000-0005-0000-0000-00005D050000}"/>
    <cellStyle name="쉼표 [0] 3 2 3 4" xfId="1375" xr:uid="{00000000-0005-0000-0000-00005E050000}"/>
    <cellStyle name="쉼표 [0] 3 2 3 4 2" xfId="1376" xr:uid="{00000000-0005-0000-0000-00005F050000}"/>
    <cellStyle name="쉼표 [0] 3 2 3 5" xfId="1377" xr:uid="{00000000-0005-0000-0000-000060050000}"/>
    <cellStyle name="쉼표 [0] 3 2 3 6" xfId="1378" xr:uid="{00000000-0005-0000-0000-000061050000}"/>
    <cellStyle name="쉼표 [0] 3 2 3 6 2" xfId="1379" xr:uid="{00000000-0005-0000-0000-000062050000}"/>
    <cellStyle name="쉼표 [0] 3 2 3 7" xfId="1380" xr:uid="{00000000-0005-0000-0000-000063050000}"/>
    <cellStyle name="쉼표 [0] 3 2 4" xfId="1381" xr:uid="{00000000-0005-0000-0000-000064050000}"/>
    <cellStyle name="쉼표 [0] 3 2 4 2" xfId="1382" xr:uid="{00000000-0005-0000-0000-000065050000}"/>
    <cellStyle name="쉼표 [0] 3 2 4 2 2" xfId="1383" xr:uid="{00000000-0005-0000-0000-000066050000}"/>
    <cellStyle name="쉼표 [0] 3 2 4 3" xfId="1384" xr:uid="{00000000-0005-0000-0000-000067050000}"/>
    <cellStyle name="쉼표 [0] 3 2 4 3 2" xfId="1385" xr:uid="{00000000-0005-0000-0000-000068050000}"/>
    <cellStyle name="쉼표 [0] 3 2 4 4" xfId="1386" xr:uid="{00000000-0005-0000-0000-000069050000}"/>
    <cellStyle name="쉼표 [0] 3 2 5" xfId="1387" xr:uid="{00000000-0005-0000-0000-00006A050000}"/>
    <cellStyle name="쉼표 [0] 3 2 5 2" xfId="1388" xr:uid="{00000000-0005-0000-0000-00006B050000}"/>
    <cellStyle name="쉼표 [0] 3 2 6" xfId="1389" xr:uid="{00000000-0005-0000-0000-00006C050000}"/>
    <cellStyle name="쉼표 [0] 3 2 6 2" xfId="1390" xr:uid="{00000000-0005-0000-0000-00006D050000}"/>
    <cellStyle name="쉼표 [0] 3 2 7" xfId="1391" xr:uid="{00000000-0005-0000-0000-00006E050000}"/>
    <cellStyle name="쉼표 [0] 3 2 7 2" xfId="1392" xr:uid="{00000000-0005-0000-0000-00006F050000}"/>
    <cellStyle name="쉼표 [0] 3 2 8" xfId="1393" xr:uid="{00000000-0005-0000-0000-000070050000}"/>
    <cellStyle name="쉼표 [0] 3 2 8 2" xfId="1394" xr:uid="{00000000-0005-0000-0000-000071050000}"/>
    <cellStyle name="쉼표 [0] 3 2 9" xfId="1395" xr:uid="{00000000-0005-0000-0000-000072050000}"/>
    <cellStyle name="쉼표 [0] 3 2 9 2" xfId="1396" xr:uid="{00000000-0005-0000-0000-000073050000}"/>
    <cellStyle name="쉼표 [0] 3 3" xfId="1397" xr:uid="{00000000-0005-0000-0000-000074050000}"/>
    <cellStyle name="쉼표 [0] 3 3 10" xfId="1398" xr:uid="{00000000-0005-0000-0000-000075050000}"/>
    <cellStyle name="쉼표 [0] 3 3 10 2" xfId="1399" xr:uid="{00000000-0005-0000-0000-000076050000}"/>
    <cellStyle name="쉼표 [0] 3 3 11" xfId="1400" xr:uid="{00000000-0005-0000-0000-000077050000}"/>
    <cellStyle name="쉼표 [0] 3 3 11 2" xfId="1401" xr:uid="{00000000-0005-0000-0000-000078050000}"/>
    <cellStyle name="쉼표 [0] 3 3 12" xfId="1402" xr:uid="{00000000-0005-0000-0000-000079050000}"/>
    <cellStyle name="쉼표 [0] 3 3 12 2" xfId="1403" xr:uid="{00000000-0005-0000-0000-00007A050000}"/>
    <cellStyle name="쉼표 [0] 3 3 13" xfId="1404" xr:uid="{00000000-0005-0000-0000-00007B050000}"/>
    <cellStyle name="쉼표 [0] 3 3 2" xfId="1405" xr:uid="{00000000-0005-0000-0000-00007C050000}"/>
    <cellStyle name="쉼표 [0] 3 3 2 10" xfId="1406" xr:uid="{00000000-0005-0000-0000-00007D050000}"/>
    <cellStyle name="쉼표 [0] 3 3 2 10 2" xfId="1407" xr:uid="{00000000-0005-0000-0000-00007E050000}"/>
    <cellStyle name="쉼표 [0] 3 3 2 11" xfId="1408" xr:uid="{00000000-0005-0000-0000-00007F050000}"/>
    <cellStyle name="쉼표 [0] 3 3 2 2" xfId="1409" xr:uid="{00000000-0005-0000-0000-000080050000}"/>
    <cellStyle name="쉼표 [0] 3 3 2 2 2" xfId="1410" xr:uid="{00000000-0005-0000-0000-000081050000}"/>
    <cellStyle name="쉼표 [0] 3 3 2 2 3" xfId="1411" xr:uid="{00000000-0005-0000-0000-000082050000}"/>
    <cellStyle name="쉼표 [0] 3 3 2 2 3 2" xfId="1412" xr:uid="{00000000-0005-0000-0000-000083050000}"/>
    <cellStyle name="쉼표 [0] 3 3 2 3" xfId="1413" xr:uid="{00000000-0005-0000-0000-000084050000}"/>
    <cellStyle name="쉼표 [0] 3 3 2 3 2" xfId="1414" xr:uid="{00000000-0005-0000-0000-000085050000}"/>
    <cellStyle name="쉼표 [0] 3 3 2 4" xfId="1415" xr:uid="{00000000-0005-0000-0000-000086050000}"/>
    <cellStyle name="쉼표 [0] 3 3 2 4 2" xfId="1416" xr:uid="{00000000-0005-0000-0000-000087050000}"/>
    <cellStyle name="쉼표 [0] 3 3 2 5" xfId="1417" xr:uid="{00000000-0005-0000-0000-000088050000}"/>
    <cellStyle name="쉼표 [0] 3 3 2 5 2" xfId="1418" xr:uid="{00000000-0005-0000-0000-000089050000}"/>
    <cellStyle name="쉼표 [0] 3 3 2 6" xfId="1419" xr:uid="{00000000-0005-0000-0000-00008A050000}"/>
    <cellStyle name="쉼표 [0] 3 3 2 6 2" xfId="1420" xr:uid="{00000000-0005-0000-0000-00008B050000}"/>
    <cellStyle name="쉼표 [0] 3 3 2 7" xfId="1421" xr:uid="{00000000-0005-0000-0000-00008C050000}"/>
    <cellStyle name="쉼표 [0] 3 3 2 7 2" xfId="1422" xr:uid="{00000000-0005-0000-0000-00008D050000}"/>
    <cellStyle name="쉼표 [0] 3 3 2 8" xfId="1423" xr:uid="{00000000-0005-0000-0000-00008E050000}"/>
    <cellStyle name="쉼표 [0] 3 3 2 8 2" xfId="1424" xr:uid="{00000000-0005-0000-0000-00008F050000}"/>
    <cellStyle name="쉼표 [0] 3 3 2 9" xfId="1425" xr:uid="{00000000-0005-0000-0000-000090050000}"/>
    <cellStyle name="쉼표 [0] 3 3 2 9 2" xfId="1426" xr:uid="{00000000-0005-0000-0000-000091050000}"/>
    <cellStyle name="쉼표 [0] 3 3 3" xfId="1427" xr:uid="{00000000-0005-0000-0000-000092050000}"/>
    <cellStyle name="쉼표 [0] 3 3 3 2" xfId="1428" xr:uid="{00000000-0005-0000-0000-000093050000}"/>
    <cellStyle name="쉼표 [0] 3 3 3 2 2" xfId="1429" xr:uid="{00000000-0005-0000-0000-000094050000}"/>
    <cellStyle name="쉼표 [0] 3 3 3 3" xfId="1430" xr:uid="{00000000-0005-0000-0000-000095050000}"/>
    <cellStyle name="쉼표 [0] 3 3 3 3 2" xfId="1431" xr:uid="{00000000-0005-0000-0000-000096050000}"/>
    <cellStyle name="쉼표 [0] 3 3 3 4" xfId="1432" xr:uid="{00000000-0005-0000-0000-000097050000}"/>
    <cellStyle name="쉼표 [0] 3 3 3 4 2" xfId="1433" xr:uid="{00000000-0005-0000-0000-000098050000}"/>
    <cellStyle name="쉼표 [0] 3 3 3 5" xfId="1434" xr:uid="{00000000-0005-0000-0000-000099050000}"/>
    <cellStyle name="쉼표 [0] 3 3 3 6" xfId="1435" xr:uid="{00000000-0005-0000-0000-00009A050000}"/>
    <cellStyle name="쉼표 [0] 3 3 3 6 2" xfId="1436" xr:uid="{00000000-0005-0000-0000-00009B050000}"/>
    <cellStyle name="쉼표 [0] 3 3 4" xfId="1437" xr:uid="{00000000-0005-0000-0000-00009C050000}"/>
    <cellStyle name="쉼표 [0] 3 3 4 2" xfId="1438" xr:uid="{00000000-0005-0000-0000-00009D050000}"/>
    <cellStyle name="쉼표 [0] 3 3 4 2 2" xfId="1439" xr:uid="{00000000-0005-0000-0000-00009E050000}"/>
    <cellStyle name="쉼표 [0] 3 3 4 3" xfId="1440" xr:uid="{00000000-0005-0000-0000-00009F050000}"/>
    <cellStyle name="쉼표 [0] 3 3 4 3 2" xfId="1441" xr:uid="{00000000-0005-0000-0000-0000A0050000}"/>
    <cellStyle name="쉼표 [0] 3 3 4 4" xfId="1442" xr:uid="{00000000-0005-0000-0000-0000A1050000}"/>
    <cellStyle name="쉼표 [0] 3 3 5" xfId="1443" xr:uid="{00000000-0005-0000-0000-0000A2050000}"/>
    <cellStyle name="쉼표 [0] 3 3 5 2" xfId="1444" xr:uid="{00000000-0005-0000-0000-0000A3050000}"/>
    <cellStyle name="쉼표 [0] 3 3 6" xfId="1445" xr:uid="{00000000-0005-0000-0000-0000A4050000}"/>
    <cellStyle name="쉼표 [0] 3 3 6 2" xfId="1446" xr:uid="{00000000-0005-0000-0000-0000A5050000}"/>
    <cellStyle name="쉼표 [0] 3 3 7" xfId="1447" xr:uid="{00000000-0005-0000-0000-0000A6050000}"/>
    <cellStyle name="쉼표 [0] 3 3 7 2" xfId="1448" xr:uid="{00000000-0005-0000-0000-0000A7050000}"/>
    <cellStyle name="쉼표 [0] 3 3 8" xfId="1449" xr:uid="{00000000-0005-0000-0000-0000A8050000}"/>
    <cellStyle name="쉼표 [0] 3 3 8 2" xfId="1450" xr:uid="{00000000-0005-0000-0000-0000A9050000}"/>
    <cellStyle name="쉼표 [0] 3 3 9" xfId="1451" xr:uid="{00000000-0005-0000-0000-0000AA050000}"/>
    <cellStyle name="쉼표 [0] 3 3 9 2" xfId="1452" xr:uid="{00000000-0005-0000-0000-0000AB050000}"/>
    <cellStyle name="쉼표 [0] 3 4" xfId="1453" xr:uid="{00000000-0005-0000-0000-0000AC050000}"/>
    <cellStyle name="쉼표 [0] 3 4 10" xfId="1454" xr:uid="{00000000-0005-0000-0000-0000AD050000}"/>
    <cellStyle name="쉼표 [0] 3 4 10 2" xfId="1455" xr:uid="{00000000-0005-0000-0000-0000AE050000}"/>
    <cellStyle name="쉼표 [0] 3 4 11" xfId="1456" xr:uid="{00000000-0005-0000-0000-0000AF050000}"/>
    <cellStyle name="쉼표 [0] 3 4 11 2" xfId="1457" xr:uid="{00000000-0005-0000-0000-0000B0050000}"/>
    <cellStyle name="쉼표 [0] 3 4 12" xfId="1458" xr:uid="{00000000-0005-0000-0000-0000B1050000}"/>
    <cellStyle name="쉼표 [0] 3 4 12 2" xfId="1459" xr:uid="{00000000-0005-0000-0000-0000B2050000}"/>
    <cellStyle name="쉼표 [0] 3 4 13" xfId="1460" xr:uid="{00000000-0005-0000-0000-0000B3050000}"/>
    <cellStyle name="쉼표 [0] 3 4 2" xfId="1461" xr:uid="{00000000-0005-0000-0000-0000B4050000}"/>
    <cellStyle name="쉼표 [0] 3 4 2 10" xfId="1462" xr:uid="{00000000-0005-0000-0000-0000B5050000}"/>
    <cellStyle name="쉼표 [0] 3 4 2 10 2" xfId="1463" xr:uid="{00000000-0005-0000-0000-0000B6050000}"/>
    <cellStyle name="쉼표 [0] 3 4 2 11" xfId="1464" xr:uid="{00000000-0005-0000-0000-0000B7050000}"/>
    <cellStyle name="쉼표 [0] 3 4 2 2" xfId="1465" xr:uid="{00000000-0005-0000-0000-0000B8050000}"/>
    <cellStyle name="쉼표 [0] 3 4 2 2 2" xfId="1466" xr:uid="{00000000-0005-0000-0000-0000B9050000}"/>
    <cellStyle name="쉼표 [0] 3 4 2 2 3" xfId="1467" xr:uid="{00000000-0005-0000-0000-0000BA050000}"/>
    <cellStyle name="쉼표 [0] 3 4 2 2 3 2" xfId="1468" xr:uid="{00000000-0005-0000-0000-0000BB050000}"/>
    <cellStyle name="쉼표 [0] 3 4 2 3" xfId="1469" xr:uid="{00000000-0005-0000-0000-0000BC050000}"/>
    <cellStyle name="쉼표 [0] 3 4 2 3 2" xfId="1470" xr:uid="{00000000-0005-0000-0000-0000BD050000}"/>
    <cellStyle name="쉼표 [0] 3 4 2 4" xfId="1471" xr:uid="{00000000-0005-0000-0000-0000BE050000}"/>
    <cellStyle name="쉼표 [0] 3 4 2 4 2" xfId="1472" xr:uid="{00000000-0005-0000-0000-0000BF050000}"/>
    <cellStyle name="쉼표 [0] 3 4 2 5" xfId="1473" xr:uid="{00000000-0005-0000-0000-0000C0050000}"/>
    <cellStyle name="쉼표 [0] 3 4 2 5 2" xfId="1474" xr:uid="{00000000-0005-0000-0000-0000C1050000}"/>
    <cellStyle name="쉼표 [0] 3 4 2 6" xfId="1475" xr:uid="{00000000-0005-0000-0000-0000C2050000}"/>
    <cellStyle name="쉼표 [0] 3 4 2 6 2" xfId="1476" xr:uid="{00000000-0005-0000-0000-0000C3050000}"/>
    <cellStyle name="쉼표 [0] 3 4 2 7" xfId="1477" xr:uid="{00000000-0005-0000-0000-0000C4050000}"/>
    <cellStyle name="쉼표 [0] 3 4 2 7 2" xfId="1478" xr:uid="{00000000-0005-0000-0000-0000C5050000}"/>
    <cellStyle name="쉼표 [0] 3 4 2 8" xfId="1479" xr:uid="{00000000-0005-0000-0000-0000C6050000}"/>
    <cellStyle name="쉼표 [0] 3 4 2 8 2" xfId="1480" xr:uid="{00000000-0005-0000-0000-0000C7050000}"/>
    <cellStyle name="쉼표 [0] 3 4 2 9" xfId="1481" xr:uid="{00000000-0005-0000-0000-0000C8050000}"/>
    <cellStyle name="쉼표 [0] 3 4 2 9 2" xfId="1482" xr:uid="{00000000-0005-0000-0000-0000C9050000}"/>
    <cellStyle name="쉼표 [0] 3 4 3" xfId="1483" xr:uid="{00000000-0005-0000-0000-0000CA050000}"/>
    <cellStyle name="쉼표 [0] 3 4 3 2" xfId="1484" xr:uid="{00000000-0005-0000-0000-0000CB050000}"/>
    <cellStyle name="쉼표 [0] 3 4 3 2 2" xfId="1485" xr:uid="{00000000-0005-0000-0000-0000CC050000}"/>
    <cellStyle name="쉼표 [0] 3 4 3 3" xfId="1486" xr:uid="{00000000-0005-0000-0000-0000CD050000}"/>
    <cellStyle name="쉼표 [0] 3 4 3 3 2" xfId="1487" xr:uid="{00000000-0005-0000-0000-0000CE050000}"/>
    <cellStyle name="쉼표 [0] 3 4 3 4" xfId="1488" xr:uid="{00000000-0005-0000-0000-0000CF050000}"/>
    <cellStyle name="쉼표 [0] 3 4 3 4 2" xfId="1489" xr:uid="{00000000-0005-0000-0000-0000D0050000}"/>
    <cellStyle name="쉼표 [0] 3 4 3 5" xfId="1490" xr:uid="{00000000-0005-0000-0000-0000D1050000}"/>
    <cellStyle name="쉼표 [0] 3 4 3 6" xfId="1491" xr:uid="{00000000-0005-0000-0000-0000D2050000}"/>
    <cellStyle name="쉼표 [0] 3 4 3 6 2" xfId="1492" xr:uid="{00000000-0005-0000-0000-0000D3050000}"/>
    <cellStyle name="쉼표 [0] 3 4 4" xfId="1493" xr:uid="{00000000-0005-0000-0000-0000D4050000}"/>
    <cellStyle name="쉼표 [0] 3 4 4 2" xfId="1494" xr:uid="{00000000-0005-0000-0000-0000D5050000}"/>
    <cellStyle name="쉼표 [0] 3 4 4 2 2" xfId="1495" xr:uid="{00000000-0005-0000-0000-0000D6050000}"/>
    <cellStyle name="쉼표 [0] 3 4 4 3" xfId="1496" xr:uid="{00000000-0005-0000-0000-0000D7050000}"/>
    <cellStyle name="쉼표 [0] 3 4 4 3 2" xfId="1497" xr:uid="{00000000-0005-0000-0000-0000D8050000}"/>
    <cellStyle name="쉼표 [0] 3 4 4 4" xfId="1498" xr:uid="{00000000-0005-0000-0000-0000D9050000}"/>
    <cellStyle name="쉼표 [0] 3 4 5" xfId="1499" xr:uid="{00000000-0005-0000-0000-0000DA050000}"/>
    <cellStyle name="쉼표 [0] 3 4 5 2" xfId="1500" xr:uid="{00000000-0005-0000-0000-0000DB050000}"/>
    <cellStyle name="쉼표 [0] 3 4 6" xfId="1501" xr:uid="{00000000-0005-0000-0000-0000DC050000}"/>
    <cellStyle name="쉼표 [0] 3 4 6 2" xfId="1502" xr:uid="{00000000-0005-0000-0000-0000DD050000}"/>
    <cellStyle name="쉼표 [0] 3 4 7" xfId="1503" xr:uid="{00000000-0005-0000-0000-0000DE050000}"/>
    <cellStyle name="쉼표 [0] 3 4 7 2" xfId="1504" xr:uid="{00000000-0005-0000-0000-0000DF050000}"/>
    <cellStyle name="쉼표 [0] 3 4 8" xfId="1505" xr:uid="{00000000-0005-0000-0000-0000E0050000}"/>
    <cellStyle name="쉼표 [0] 3 4 8 2" xfId="1506" xr:uid="{00000000-0005-0000-0000-0000E1050000}"/>
    <cellStyle name="쉼표 [0] 3 4 9" xfId="1507" xr:uid="{00000000-0005-0000-0000-0000E2050000}"/>
    <cellStyle name="쉼표 [0] 3 4 9 2" xfId="1508" xr:uid="{00000000-0005-0000-0000-0000E3050000}"/>
    <cellStyle name="쉼표 [0] 3 5" xfId="1509" xr:uid="{00000000-0005-0000-0000-0000E4050000}"/>
    <cellStyle name="쉼표 [0] 3 5 10" xfId="1510" xr:uid="{00000000-0005-0000-0000-0000E5050000}"/>
    <cellStyle name="쉼표 [0] 3 5 10 2" xfId="1511" xr:uid="{00000000-0005-0000-0000-0000E6050000}"/>
    <cellStyle name="쉼표 [0] 3 5 11" xfId="1512" xr:uid="{00000000-0005-0000-0000-0000E7050000}"/>
    <cellStyle name="쉼표 [0] 3 5 11 2" xfId="1513" xr:uid="{00000000-0005-0000-0000-0000E8050000}"/>
    <cellStyle name="쉼표 [0] 3 5 12" xfId="1514" xr:uid="{00000000-0005-0000-0000-0000E9050000}"/>
    <cellStyle name="쉼표 [0] 3 5 12 2" xfId="1515" xr:uid="{00000000-0005-0000-0000-0000EA050000}"/>
    <cellStyle name="쉼표 [0] 3 5 13" xfId="1516" xr:uid="{00000000-0005-0000-0000-0000EB050000}"/>
    <cellStyle name="쉼표 [0] 3 5 2" xfId="1517" xr:uid="{00000000-0005-0000-0000-0000EC050000}"/>
    <cellStyle name="쉼표 [0] 3 5 2 10" xfId="1518" xr:uid="{00000000-0005-0000-0000-0000ED050000}"/>
    <cellStyle name="쉼표 [0] 3 5 2 10 2" xfId="1519" xr:uid="{00000000-0005-0000-0000-0000EE050000}"/>
    <cellStyle name="쉼표 [0] 3 5 2 11" xfId="1520" xr:uid="{00000000-0005-0000-0000-0000EF050000}"/>
    <cellStyle name="쉼표 [0] 3 5 2 2" xfId="1521" xr:uid="{00000000-0005-0000-0000-0000F0050000}"/>
    <cellStyle name="쉼표 [0] 3 5 2 2 2" xfId="1522" xr:uid="{00000000-0005-0000-0000-0000F1050000}"/>
    <cellStyle name="쉼표 [0] 3 5 2 2 3" xfId="1523" xr:uid="{00000000-0005-0000-0000-0000F2050000}"/>
    <cellStyle name="쉼표 [0] 3 5 2 2 3 2" xfId="1524" xr:uid="{00000000-0005-0000-0000-0000F3050000}"/>
    <cellStyle name="쉼표 [0] 3 5 2 3" xfId="1525" xr:uid="{00000000-0005-0000-0000-0000F4050000}"/>
    <cellStyle name="쉼표 [0] 3 5 2 3 2" xfId="1526" xr:uid="{00000000-0005-0000-0000-0000F5050000}"/>
    <cellStyle name="쉼표 [0] 3 5 2 4" xfId="1527" xr:uid="{00000000-0005-0000-0000-0000F6050000}"/>
    <cellStyle name="쉼표 [0] 3 5 2 4 2" xfId="1528" xr:uid="{00000000-0005-0000-0000-0000F7050000}"/>
    <cellStyle name="쉼표 [0] 3 5 2 5" xfId="1529" xr:uid="{00000000-0005-0000-0000-0000F8050000}"/>
    <cellStyle name="쉼표 [0] 3 5 2 5 2" xfId="1530" xr:uid="{00000000-0005-0000-0000-0000F9050000}"/>
    <cellStyle name="쉼표 [0] 3 5 2 6" xfId="1531" xr:uid="{00000000-0005-0000-0000-0000FA050000}"/>
    <cellStyle name="쉼표 [0] 3 5 2 6 2" xfId="1532" xr:uid="{00000000-0005-0000-0000-0000FB050000}"/>
    <cellStyle name="쉼표 [0] 3 5 2 7" xfId="1533" xr:uid="{00000000-0005-0000-0000-0000FC050000}"/>
    <cellStyle name="쉼표 [0] 3 5 2 7 2" xfId="1534" xr:uid="{00000000-0005-0000-0000-0000FD050000}"/>
    <cellStyle name="쉼표 [0] 3 5 2 8" xfId="1535" xr:uid="{00000000-0005-0000-0000-0000FE050000}"/>
    <cellStyle name="쉼표 [0] 3 5 2 8 2" xfId="1536" xr:uid="{00000000-0005-0000-0000-0000FF050000}"/>
    <cellStyle name="쉼표 [0] 3 5 2 9" xfId="1537" xr:uid="{00000000-0005-0000-0000-000000060000}"/>
    <cellStyle name="쉼표 [0] 3 5 2 9 2" xfId="1538" xr:uid="{00000000-0005-0000-0000-000001060000}"/>
    <cellStyle name="쉼표 [0] 3 5 3" xfId="1539" xr:uid="{00000000-0005-0000-0000-000002060000}"/>
    <cellStyle name="쉼표 [0] 3 5 3 2" xfId="1540" xr:uid="{00000000-0005-0000-0000-000003060000}"/>
    <cellStyle name="쉼표 [0] 3 5 3 2 2" xfId="1541" xr:uid="{00000000-0005-0000-0000-000004060000}"/>
    <cellStyle name="쉼표 [0] 3 5 3 3" xfId="1542" xr:uid="{00000000-0005-0000-0000-000005060000}"/>
    <cellStyle name="쉼표 [0] 3 5 3 3 2" xfId="1543" xr:uid="{00000000-0005-0000-0000-000006060000}"/>
    <cellStyle name="쉼표 [0] 3 5 3 4" xfId="1544" xr:uid="{00000000-0005-0000-0000-000007060000}"/>
    <cellStyle name="쉼표 [0] 3 5 3 4 2" xfId="1545" xr:uid="{00000000-0005-0000-0000-000008060000}"/>
    <cellStyle name="쉼표 [0] 3 5 3 5" xfId="1546" xr:uid="{00000000-0005-0000-0000-000009060000}"/>
    <cellStyle name="쉼표 [0] 3 5 3 6" xfId="1547" xr:uid="{00000000-0005-0000-0000-00000A060000}"/>
    <cellStyle name="쉼표 [0] 3 5 3 6 2" xfId="1548" xr:uid="{00000000-0005-0000-0000-00000B060000}"/>
    <cellStyle name="쉼표 [0] 3 5 4" xfId="1549" xr:uid="{00000000-0005-0000-0000-00000C060000}"/>
    <cellStyle name="쉼표 [0] 3 5 4 2" xfId="1550" xr:uid="{00000000-0005-0000-0000-00000D060000}"/>
    <cellStyle name="쉼표 [0] 3 5 4 2 2" xfId="1551" xr:uid="{00000000-0005-0000-0000-00000E060000}"/>
    <cellStyle name="쉼표 [0] 3 5 4 3" xfId="1552" xr:uid="{00000000-0005-0000-0000-00000F060000}"/>
    <cellStyle name="쉼표 [0] 3 5 4 3 2" xfId="1553" xr:uid="{00000000-0005-0000-0000-000010060000}"/>
    <cellStyle name="쉼표 [0] 3 5 4 4" xfId="1554" xr:uid="{00000000-0005-0000-0000-000011060000}"/>
    <cellStyle name="쉼표 [0] 3 5 5" xfId="1555" xr:uid="{00000000-0005-0000-0000-000012060000}"/>
    <cellStyle name="쉼표 [0] 3 5 5 2" xfId="1556" xr:uid="{00000000-0005-0000-0000-000013060000}"/>
    <cellStyle name="쉼표 [0] 3 5 6" xfId="1557" xr:uid="{00000000-0005-0000-0000-000014060000}"/>
    <cellStyle name="쉼표 [0] 3 5 6 2" xfId="1558" xr:uid="{00000000-0005-0000-0000-000015060000}"/>
    <cellStyle name="쉼표 [0] 3 5 7" xfId="1559" xr:uid="{00000000-0005-0000-0000-000016060000}"/>
    <cellStyle name="쉼표 [0] 3 5 7 2" xfId="1560" xr:uid="{00000000-0005-0000-0000-000017060000}"/>
    <cellStyle name="쉼표 [0] 3 5 8" xfId="1561" xr:uid="{00000000-0005-0000-0000-000018060000}"/>
    <cellStyle name="쉼표 [0] 3 5 8 2" xfId="1562" xr:uid="{00000000-0005-0000-0000-000019060000}"/>
    <cellStyle name="쉼표 [0] 3 5 9" xfId="1563" xr:uid="{00000000-0005-0000-0000-00001A060000}"/>
    <cellStyle name="쉼표 [0] 3 5 9 2" xfId="1564" xr:uid="{00000000-0005-0000-0000-00001B060000}"/>
    <cellStyle name="쉼표 [0] 3 6" xfId="1565" xr:uid="{00000000-0005-0000-0000-00001C060000}"/>
    <cellStyle name="쉼표 [0] 3 6 10" xfId="1566" xr:uid="{00000000-0005-0000-0000-00001D060000}"/>
    <cellStyle name="쉼표 [0] 3 6 10 2" xfId="1567" xr:uid="{00000000-0005-0000-0000-00001E060000}"/>
    <cellStyle name="쉼표 [0] 3 6 11" xfId="1568" xr:uid="{00000000-0005-0000-0000-00001F060000}"/>
    <cellStyle name="쉼표 [0] 3 6 11 2" xfId="1569" xr:uid="{00000000-0005-0000-0000-000020060000}"/>
    <cellStyle name="쉼표 [0] 3 6 12" xfId="1570" xr:uid="{00000000-0005-0000-0000-000021060000}"/>
    <cellStyle name="쉼표 [0] 3 6 12 2" xfId="1571" xr:uid="{00000000-0005-0000-0000-000022060000}"/>
    <cellStyle name="쉼표 [0] 3 6 13" xfId="1572" xr:uid="{00000000-0005-0000-0000-000023060000}"/>
    <cellStyle name="쉼표 [0] 3 6 2" xfId="1573" xr:uid="{00000000-0005-0000-0000-000024060000}"/>
    <cellStyle name="쉼표 [0] 3 6 2 10" xfId="1574" xr:uid="{00000000-0005-0000-0000-000025060000}"/>
    <cellStyle name="쉼표 [0] 3 6 2 10 2" xfId="1575" xr:uid="{00000000-0005-0000-0000-000026060000}"/>
    <cellStyle name="쉼표 [0] 3 6 2 11" xfId="1576" xr:uid="{00000000-0005-0000-0000-000027060000}"/>
    <cellStyle name="쉼표 [0] 3 6 2 2" xfId="1577" xr:uid="{00000000-0005-0000-0000-000028060000}"/>
    <cellStyle name="쉼표 [0] 3 6 2 2 2" xfId="1578" xr:uid="{00000000-0005-0000-0000-000029060000}"/>
    <cellStyle name="쉼표 [0] 3 6 2 2 3" xfId="1579" xr:uid="{00000000-0005-0000-0000-00002A060000}"/>
    <cellStyle name="쉼표 [0] 3 6 2 2 3 2" xfId="1580" xr:uid="{00000000-0005-0000-0000-00002B060000}"/>
    <cellStyle name="쉼표 [0] 3 6 2 3" xfId="1581" xr:uid="{00000000-0005-0000-0000-00002C060000}"/>
    <cellStyle name="쉼표 [0] 3 6 2 3 2" xfId="1582" xr:uid="{00000000-0005-0000-0000-00002D060000}"/>
    <cellStyle name="쉼표 [0] 3 6 2 4" xfId="1583" xr:uid="{00000000-0005-0000-0000-00002E060000}"/>
    <cellStyle name="쉼표 [0] 3 6 2 4 2" xfId="1584" xr:uid="{00000000-0005-0000-0000-00002F060000}"/>
    <cellStyle name="쉼표 [0] 3 6 2 5" xfId="1585" xr:uid="{00000000-0005-0000-0000-000030060000}"/>
    <cellStyle name="쉼표 [0] 3 6 2 5 2" xfId="1586" xr:uid="{00000000-0005-0000-0000-000031060000}"/>
    <cellStyle name="쉼표 [0] 3 6 2 6" xfId="1587" xr:uid="{00000000-0005-0000-0000-000032060000}"/>
    <cellStyle name="쉼표 [0] 3 6 2 6 2" xfId="1588" xr:uid="{00000000-0005-0000-0000-000033060000}"/>
    <cellStyle name="쉼표 [0] 3 6 2 7" xfId="1589" xr:uid="{00000000-0005-0000-0000-000034060000}"/>
    <cellStyle name="쉼표 [0] 3 6 2 7 2" xfId="1590" xr:uid="{00000000-0005-0000-0000-000035060000}"/>
    <cellStyle name="쉼표 [0] 3 6 2 8" xfId="1591" xr:uid="{00000000-0005-0000-0000-000036060000}"/>
    <cellStyle name="쉼표 [0] 3 6 2 8 2" xfId="1592" xr:uid="{00000000-0005-0000-0000-000037060000}"/>
    <cellStyle name="쉼표 [0] 3 6 2 9" xfId="1593" xr:uid="{00000000-0005-0000-0000-000038060000}"/>
    <cellStyle name="쉼표 [0] 3 6 2 9 2" xfId="1594" xr:uid="{00000000-0005-0000-0000-000039060000}"/>
    <cellStyle name="쉼표 [0] 3 6 3" xfId="1595" xr:uid="{00000000-0005-0000-0000-00003A060000}"/>
    <cellStyle name="쉼표 [0] 3 6 3 2" xfId="1596" xr:uid="{00000000-0005-0000-0000-00003B060000}"/>
    <cellStyle name="쉼표 [0] 3 6 3 2 2" xfId="1597" xr:uid="{00000000-0005-0000-0000-00003C060000}"/>
    <cellStyle name="쉼표 [0] 3 6 3 3" xfId="1598" xr:uid="{00000000-0005-0000-0000-00003D060000}"/>
    <cellStyle name="쉼표 [0] 3 6 3 3 2" xfId="1599" xr:uid="{00000000-0005-0000-0000-00003E060000}"/>
    <cellStyle name="쉼표 [0] 3 6 3 4" xfId="1600" xr:uid="{00000000-0005-0000-0000-00003F060000}"/>
    <cellStyle name="쉼표 [0] 3 6 3 4 2" xfId="1601" xr:uid="{00000000-0005-0000-0000-000040060000}"/>
    <cellStyle name="쉼표 [0] 3 6 3 5" xfId="1602" xr:uid="{00000000-0005-0000-0000-000041060000}"/>
    <cellStyle name="쉼표 [0] 3 6 3 6" xfId="1603" xr:uid="{00000000-0005-0000-0000-000042060000}"/>
    <cellStyle name="쉼표 [0] 3 6 3 6 2" xfId="1604" xr:uid="{00000000-0005-0000-0000-000043060000}"/>
    <cellStyle name="쉼표 [0] 3 6 4" xfId="1605" xr:uid="{00000000-0005-0000-0000-000044060000}"/>
    <cellStyle name="쉼표 [0] 3 6 4 2" xfId="1606" xr:uid="{00000000-0005-0000-0000-000045060000}"/>
    <cellStyle name="쉼표 [0] 3 6 4 2 2" xfId="1607" xr:uid="{00000000-0005-0000-0000-000046060000}"/>
    <cellStyle name="쉼표 [0] 3 6 4 3" xfId="1608" xr:uid="{00000000-0005-0000-0000-000047060000}"/>
    <cellStyle name="쉼표 [0] 3 6 4 3 2" xfId="1609" xr:uid="{00000000-0005-0000-0000-000048060000}"/>
    <cellStyle name="쉼표 [0] 3 6 4 4" xfId="1610" xr:uid="{00000000-0005-0000-0000-000049060000}"/>
    <cellStyle name="쉼표 [0] 3 6 5" xfId="1611" xr:uid="{00000000-0005-0000-0000-00004A060000}"/>
    <cellStyle name="쉼표 [0] 3 6 5 2" xfId="1612" xr:uid="{00000000-0005-0000-0000-00004B060000}"/>
    <cellStyle name="쉼표 [0] 3 6 6" xfId="1613" xr:uid="{00000000-0005-0000-0000-00004C060000}"/>
    <cellStyle name="쉼표 [0] 3 6 6 2" xfId="1614" xr:uid="{00000000-0005-0000-0000-00004D060000}"/>
    <cellStyle name="쉼표 [0] 3 6 7" xfId="1615" xr:uid="{00000000-0005-0000-0000-00004E060000}"/>
    <cellStyle name="쉼표 [0] 3 6 7 2" xfId="1616" xr:uid="{00000000-0005-0000-0000-00004F060000}"/>
    <cellStyle name="쉼표 [0] 3 6 8" xfId="1617" xr:uid="{00000000-0005-0000-0000-000050060000}"/>
    <cellStyle name="쉼표 [0] 3 6 8 2" xfId="1618" xr:uid="{00000000-0005-0000-0000-000051060000}"/>
    <cellStyle name="쉼표 [0] 3 6 9" xfId="1619" xr:uid="{00000000-0005-0000-0000-000052060000}"/>
    <cellStyle name="쉼표 [0] 3 6 9 2" xfId="1620" xr:uid="{00000000-0005-0000-0000-000053060000}"/>
    <cellStyle name="쉼표 [0] 3 7" xfId="1621" xr:uid="{00000000-0005-0000-0000-000054060000}"/>
    <cellStyle name="쉼표 [0] 3 7 2" xfId="1622" xr:uid="{00000000-0005-0000-0000-000055060000}"/>
    <cellStyle name="쉼표 [0] 3 7 2 2" xfId="1623" xr:uid="{00000000-0005-0000-0000-000056060000}"/>
    <cellStyle name="쉼표 [0] 3 7 2 3" xfId="1624" xr:uid="{00000000-0005-0000-0000-000057060000}"/>
    <cellStyle name="쉼표 [0] 3 7 2 3 2" xfId="1625" xr:uid="{00000000-0005-0000-0000-000058060000}"/>
    <cellStyle name="쉼표 [0] 3 7 2 4" xfId="1626" xr:uid="{00000000-0005-0000-0000-000059060000}"/>
    <cellStyle name="쉼표 [0] 3 7 2 4 2" xfId="1627" xr:uid="{00000000-0005-0000-0000-00005A060000}"/>
    <cellStyle name="쉼표 [0] 3 7 2 5" xfId="1628" xr:uid="{00000000-0005-0000-0000-00005B060000}"/>
    <cellStyle name="쉼표 [0] 3 7 2 5 2" xfId="1629" xr:uid="{00000000-0005-0000-0000-00005C060000}"/>
    <cellStyle name="쉼표 [0] 3 7 2 6" xfId="1630" xr:uid="{00000000-0005-0000-0000-00005D060000}"/>
    <cellStyle name="쉼표 [0] 3 7 2 6 2" xfId="1631" xr:uid="{00000000-0005-0000-0000-00005E060000}"/>
    <cellStyle name="쉼표 [0] 3 7 2 7" xfId="1632" xr:uid="{00000000-0005-0000-0000-00005F060000}"/>
    <cellStyle name="쉼표 [0] 3 7 2 7 2" xfId="1633" xr:uid="{00000000-0005-0000-0000-000060060000}"/>
    <cellStyle name="쉼표 [0] 3 7 2 8" xfId="1634" xr:uid="{00000000-0005-0000-0000-000061060000}"/>
    <cellStyle name="쉼표 [0] 3 7 3" xfId="1635" xr:uid="{00000000-0005-0000-0000-000062060000}"/>
    <cellStyle name="쉼표 [0] 3 7 4" xfId="1636" xr:uid="{00000000-0005-0000-0000-000063060000}"/>
    <cellStyle name="쉼표 [0] 3 7 4 2" xfId="1637" xr:uid="{00000000-0005-0000-0000-000064060000}"/>
    <cellStyle name="쉼표 [0] 3 7 5" xfId="1638" xr:uid="{00000000-0005-0000-0000-000065060000}"/>
    <cellStyle name="쉼표 [0] 3 7 5 2" xfId="1639" xr:uid="{00000000-0005-0000-0000-000066060000}"/>
    <cellStyle name="쉼표 [0] 3 7 6" xfId="1640" xr:uid="{00000000-0005-0000-0000-000067060000}"/>
    <cellStyle name="쉼표 [0] 3 7 6 2" xfId="1641" xr:uid="{00000000-0005-0000-0000-000068060000}"/>
    <cellStyle name="쉼표 [0] 3 7 7" xfId="1642" xr:uid="{00000000-0005-0000-0000-000069060000}"/>
    <cellStyle name="쉼표 [0] 3 7 7 2" xfId="1643" xr:uid="{00000000-0005-0000-0000-00006A060000}"/>
    <cellStyle name="쉼표 [0] 3 7 8" xfId="1644" xr:uid="{00000000-0005-0000-0000-00006B060000}"/>
    <cellStyle name="쉼표 [0] 3 7 8 2" xfId="1645" xr:uid="{00000000-0005-0000-0000-00006C060000}"/>
    <cellStyle name="쉼표 [0] 3 7 9" xfId="1646" xr:uid="{00000000-0005-0000-0000-00006D060000}"/>
    <cellStyle name="쉼표 [0] 3 8" xfId="1647" xr:uid="{00000000-0005-0000-0000-00006E060000}"/>
    <cellStyle name="쉼표 [0] 3 8 2" xfId="1648" xr:uid="{00000000-0005-0000-0000-00006F060000}"/>
    <cellStyle name="쉼표 [0] 3 8 2 2" xfId="1649" xr:uid="{00000000-0005-0000-0000-000070060000}"/>
    <cellStyle name="쉼표 [0] 3 8 2 3" xfId="1650" xr:uid="{00000000-0005-0000-0000-000071060000}"/>
    <cellStyle name="쉼표 [0] 3 8 2 3 2" xfId="1651" xr:uid="{00000000-0005-0000-0000-000072060000}"/>
    <cellStyle name="쉼표 [0] 3 8 2 4" xfId="1652" xr:uid="{00000000-0005-0000-0000-000073060000}"/>
    <cellStyle name="쉼표 [0] 3 8 2 4 2" xfId="1653" xr:uid="{00000000-0005-0000-0000-000074060000}"/>
    <cellStyle name="쉼표 [0] 3 8 2 5" xfId="1654" xr:uid="{00000000-0005-0000-0000-000075060000}"/>
    <cellStyle name="쉼표 [0] 3 8 2 5 2" xfId="1655" xr:uid="{00000000-0005-0000-0000-000076060000}"/>
    <cellStyle name="쉼표 [0] 3 8 2 6" xfId="1656" xr:uid="{00000000-0005-0000-0000-000077060000}"/>
    <cellStyle name="쉼표 [0] 3 8 2 6 2" xfId="1657" xr:uid="{00000000-0005-0000-0000-000078060000}"/>
    <cellStyle name="쉼표 [0] 3 8 2 7" xfId="1658" xr:uid="{00000000-0005-0000-0000-000079060000}"/>
    <cellStyle name="쉼표 [0] 3 8 2 7 2" xfId="1659" xr:uid="{00000000-0005-0000-0000-00007A060000}"/>
    <cellStyle name="쉼표 [0] 3 8 2 8" xfId="1660" xr:uid="{00000000-0005-0000-0000-00007B060000}"/>
    <cellStyle name="쉼표 [0] 3 8 3" xfId="1661" xr:uid="{00000000-0005-0000-0000-00007C060000}"/>
    <cellStyle name="쉼표 [0] 3 8 4" xfId="1662" xr:uid="{00000000-0005-0000-0000-00007D060000}"/>
    <cellStyle name="쉼표 [0] 3 8 4 2" xfId="1663" xr:uid="{00000000-0005-0000-0000-00007E060000}"/>
    <cellStyle name="쉼표 [0] 3 8 5" xfId="1664" xr:uid="{00000000-0005-0000-0000-00007F060000}"/>
    <cellStyle name="쉼표 [0] 3 8 5 2" xfId="1665" xr:uid="{00000000-0005-0000-0000-000080060000}"/>
    <cellStyle name="쉼표 [0] 3 8 6" xfId="1666" xr:uid="{00000000-0005-0000-0000-000081060000}"/>
    <cellStyle name="쉼표 [0] 3 8 6 2" xfId="1667" xr:uid="{00000000-0005-0000-0000-000082060000}"/>
    <cellStyle name="쉼표 [0] 3 8 7" xfId="1668" xr:uid="{00000000-0005-0000-0000-000083060000}"/>
    <cellStyle name="쉼표 [0] 3 8 7 2" xfId="1669" xr:uid="{00000000-0005-0000-0000-000084060000}"/>
    <cellStyle name="쉼표 [0] 3 8 8" xfId="1670" xr:uid="{00000000-0005-0000-0000-000085060000}"/>
    <cellStyle name="쉼표 [0] 3 8 8 2" xfId="1671" xr:uid="{00000000-0005-0000-0000-000086060000}"/>
    <cellStyle name="쉼표 [0] 3 8 9" xfId="1672" xr:uid="{00000000-0005-0000-0000-000087060000}"/>
    <cellStyle name="쉼표 [0] 3 9" xfId="1673" xr:uid="{00000000-0005-0000-0000-000088060000}"/>
    <cellStyle name="쉼표 [0] 3 9 2" xfId="1674" xr:uid="{00000000-0005-0000-0000-000089060000}"/>
    <cellStyle name="쉼표 [0] 3 9 2 2" xfId="1675" xr:uid="{00000000-0005-0000-0000-00008A060000}"/>
    <cellStyle name="쉼표 [0] 3 9 2 3" xfId="1676" xr:uid="{00000000-0005-0000-0000-00008B060000}"/>
    <cellStyle name="쉼표 [0] 3 9 2 3 2" xfId="1677" xr:uid="{00000000-0005-0000-0000-00008C060000}"/>
    <cellStyle name="쉼표 [0] 3 9 2 4" xfId="1678" xr:uid="{00000000-0005-0000-0000-00008D060000}"/>
    <cellStyle name="쉼표 [0] 3 9 2 4 2" xfId="1679" xr:uid="{00000000-0005-0000-0000-00008E060000}"/>
    <cellStyle name="쉼표 [0] 3 9 2 5" xfId="1680" xr:uid="{00000000-0005-0000-0000-00008F060000}"/>
    <cellStyle name="쉼표 [0] 3 9 2 5 2" xfId="1681" xr:uid="{00000000-0005-0000-0000-000090060000}"/>
    <cellStyle name="쉼표 [0] 3 9 2 6" xfId="1682" xr:uid="{00000000-0005-0000-0000-000091060000}"/>
    <cellStyle name="쉼표 [0] 3 9 2 6 2" xfId="1683" xr:uid="{00000000-0005-0000-0000-000092060000}"/>
    <cellStyle name="쉼표 [0] 3 9 2 7" xfId="1684" xr:uid="{00000000-0005-0000-0000-000093060000}"/>
    <cellStyle name="쉼표 [0] 3 9 2 7 2" xfId="1685" xr:uid="{00000000-0005-0000-0000-000094060000}"/>
    <cellStyle name="쉼표 [0] 3 9 2 8" xfId="1686" xr:uid="{00000000-0005-0000-0000-000095060000}"/>
    <cellStyle name="쉼표 [0] 3 9 3" xfId="1687" xr:uid="{00000000-0005-0000-0000-000096060000}"/>
    <cellStyle name="쉼표 [0] 3 9 4" xfId="1688" xr:uid="{00000000-0005-0000-0000-000097060000}"/>
    <cellStyle name="쉼표 [0] 3 9 4 2" xfId="1689" xr:uid="{00000000-0005-0000-0000-000098060000}"/>
    <cellStyle name="쉼표 [0] 3 9 5" xfId="1690" xr:uid="{00000000-0005-0000-0000-000099060000}"/>
    <cellStyle name="쉼표 [0] 3 9 5 2" xfId="1691" xr:uid="{00000000-0005-0000-0000-00009A060000}"/>
    <cellStyle name="쉼표 [0] 3 9 6" xfId="1692" xr:uid="{00000000-0005-0000-0000-00009B060000}"/>
    <cellStyle name="쉼표 [0] 3 9 6 2" xfId="1693" xr:uid="{00000000-0005-0000-0000-00009C060000}"/>
    <cellStyle name="쉼표 [0] 3 9 7" xfId="1694" xr:uid="{00000000-0005-0000-0000-00009D060000}"/>
    <cellStyle name="쉼표 [0] 3 9 7 2" xfId="1695" xr:uid="{00000000-0005-0000-0000-00009E060000}"/>
    <cellStyle name="쉼표 [0] 3 9 8" xfId="1696" xr:uid="{00000000-0005-0000-0000-00009F060000}"/>
    <cellStyle name="쉼표 [0] 3 9 8 2" xfId="1697" xr:uid="{00000000-0005-0000-0000-0000A0060000}"/>
    <cellStyle name="쉼표 [0] 3 9 9" xfId="1698" xr:uid="{00000000-0005-0000-0000-0000A1060000}"/>
    <cellStyle name="쉼표 [0] 30" xfId="1699" xr:uid="{00000000-0005-0000-0000-0000A2060000}"/>
    <cellStyle name="쉼표 [0] 31" xfId="1700" xr:uid="{00000000-0005-0000-0000-0000A3060000}"/>
    <cellStyle name="쉼표 [0] 32" xfId="1701" xr:uid="{00000000-0005-0000-0000-0000A4060000}"/>
    <cellStyle name="쉼표 [0] 33" xfId="1702" xr:uid="{00000000-0005-0000-0000-0000A5060000}"/>
    <cellStyle name="쉼표 [0] 34" xfId="1703" xr:uid="{00000000-0005-0000-0000-0000A6060000}"/>
    <cellStyle name="쉼표 [0] 35" xfId="1704" xr:uid="{00000000-0005-0000-0000-0000A7060000}"/>
    <cellStyle name="쉼표 [0] 36" xfId="1705" xr:uid="{00000000-0005-0000-0000-0000A8060000}"/>
    <cellStyle name="쉼표 [0] 37" xfId="1706" xr:uid="{00000000-0005-0000-0000-0000A9060000}"/>
    <cellStyle name="쉼표 [0] 37 2" xfId="1707" xr:uid="{00000000-0005-0000-0000-0000AA060000}"/>
    <cellStyle name="쉼표 [0] 4" xfId="1708" xr:uid="{00000000-0005-0000-0000-0000AB060000}"/>
    <cellStyle name="쉼표 [0] 4 2" xfId="1709" xr:uid="{00000000-0005-0000-0000-0000AC060000}"/>
    <cellStyle name="쉼표 [0] 4 2 2" xfId="1710" xr:uid="{00000000-0005-0000-0000-0000AD060000}"/>
    <cellStyle name="쉼표 [0] 4 3" xfId="1711" xr:uid="{00000000-0005-0000-0000-0000AE060000}"/>
    <cellStyle name="쉼표 [0] 4 4" xfId="1712" xr:uid="{00000000-0005-0000-0000-0000AF060000}"/>
    <cellStyle name="쉼표 [0] 4 5" xfId="1713" xr:uid="{00000000-0005-0000-0000-0000B0060000}"/>
    <cellStyle name="쉼표 [0] 4 6" xfId="1714" xr:uid="{00000000-0005-0000-0000-0000B1060000}"/>
    <cellStyle name="쉼표 [0] 4 7" xfId="1715" xr:uid="{00000000-0005-0000-0000-0000B2060000}"/>
    <cellStyle name="쉼표 [0] 5" xfId="1716" xr:uid="{00000000-0005-0000-0000-0000B3060000}"/>
    <cellStyle name="쉼표 [0] 5 2" xfId="1717" xr:uid="{00000000-0005-0000-0000-0000B4060000}"/>
    <cellStyle name="쉼표 [0] 6" xfId="1718" xr:uid="{00000000-0005-0000-0000-0000B5060000}"/>
    <cellStyle name="쉼표 [0] 6 2" xfId="1719" xr:uid="{00000000-0005-0000-0000-0000B6060000}"/>
    <cellStyle name="쉼표 [0] 7" xfId="1720" xr:uid="{00000000-0005-0000-0000-0000B7060000}"/>
    <cellStyle name="쉼표 [0] 7 2" xfId="1721" xr:uid="{00000000-0005-0000-0000-0000B8060000}"/>
    <cellStyle name="쉼표 [0] 8" xfId="1722" xr:uid="{00000000-0005-0000-0000-0000B9060000}"/>
    <cellStyle name="쉼표 [0] 8 10" xfId="1723" xr:uid="{00000000-0005-0000-0000-0000BA060000}"/>
    <cellStyle name="쉼표 [0] 8 10 2" xfId="1724" xr:uid="{00000000-0005-0000-0000-0000BB060000}"/>
    <cellStyle name="쉼표 [0] 8 11" xfId="1725" xr:uid="{00000000-0005-0000-0000-0000BC060000}"/>
    <cellStyle name="쉼표 [0] 8 11 2" xfId="1726" xr:uid="{00000000-0005-0000-0000-0000BD060000}"/>
    <cellStyle name="쉼표 [0] 8 12" xfId="1727" xr:uid="{00000000-0005-0000-0000-0000BE060000}"/>
    <cellStyle name="쉼표 [0] 8 12 2" xfId="1728" xr:uid="{00000000-0005-0000-0000-0000BF060000}"/>
    <cellStyle name="쉼표 [0] 8 13" xfId="1729" xr:uid="{00000000-0005-0000-0000-0000C0060000}"/>
    <cellStyle name="쉼표 [0] 8 14" xfId="1730" xr:uid="{00000000-0005-0000-0000-0000C1060000}"/>
    <cellStyle name="쉼표 [0] 8 2" xfId="1731" xr:uid="{00000000-0005-0000-0000-0000C2060000}"/>
    <cellStyle name="쉼표 [0] 8 2 10" xfId="1732" xr:uid="{00000000-0005-0000-0000-0000C3060000}"/>
    <cellStyle name="쉼표 [0] 8 2 10 2" xfId="1733" xr:uid="{00000000-0005-0000-0000-0000C4060000}"/>
    <cellStyle name="쉼표 [0] 8 2 11" xfId="1734" xr:uid="{00000000-0005-0000-0000-0000C5060000}"/>
    <cellStyle name="쉼표 [0] 8 2 2" xfId="1735" xr:uid="{00000000-0005-0000-0000-0000C6060000}"/>
    <cellStyle name="쉼표 [0] 8 2 2 2" xfId="1736" xr:uid="{00000000-0005-0000-0000-0000C7060000}"/>
    <cellStyle name="쉼표 [0] 8 2 2 3" xfId="1737" xr:uid="{00000000-0005-0000-0000-0000C8060000}"/>
    <cellStyle name="쉼표 [0] 8 2 2 3 2" xfId="1738" xr:uid="{00000000-0005-0000-0000-0000C9060000}"/>
    <cellStyle name="쉼표 [0] 8 2 3" xfId="1739" xr:uid="{00000000-0005-0000-0000-0000CA060000}"/>
    <cellStyle name="쉼표 [0] 8 2 3 2" xfId="1740" xr:uid="{00000000-0005-0000-0000-0000CB060000}"/>
    <cellStyle name="쉼표 [0] 8 2 4" xfId="1741" xr:uid="{00000000-0005-0000-0000-0000CC060000}"/>
    <cellStyle name="쉼표 [0] 8 2 4 2" xfId="1742" xr:uid="{00000000-0005-0000-0000-0000CD060000}"/>
    <cellStyle name="쉼표 [0] 8 2 5" xfId="1743" xr:uid="{00000000-0005-0000-0000-0000CE060000}"/>
    <cellStyle name="쉼표 [0] 8 2 5 2" xfId="1744" xr:uid="{00000000-0005-0000-0000-0000CF060000}"/>
    <cellStyle name="쉼표 [0] 8 2 6" xfId="1745" xr:uid="{00000000-0005-0000-0000-0000D0060000}"/>
    <cellStyle name="쉼표 [0] 8 2 6 2" xfId="1746" xr:uid="{00000000-0005-0000-0000-0000D1060000}"/>
    <cellStyle name="쉼표 [0] 8 2 7" xfId="1747" xr:uid="{00000000-0005-0000-0000-0000D2060000}"/>
    <cellStyle name="쉼표 [0] 8 2 7 2" xfId="1748" xr:uid="{00000000-0005-0000-0000-0000D3060000}"/>
    <cellStyle name="쉼표 [0] 8 2 8" xfId="1749" xr:uid="{00000000-0005-0000-0000-0000D4060000}"/>
    <cellStyle name="쉼표 [0] 8 2 8 2" xfId="1750" xr:uid="{00000000-0005-0000-0000-0000D5060000}"/>
    <cellStyle name="쉼표 [0] 8 2 9" xfId="1751" xr:uid="{00000000-0005-0000-0000-0000D6060000}"/>
    <cellStyle name="쉼표 [0] 8 2 9 2" xfId="1752" xr:uid="{00000000-0005-0000-0000-0000D7060000}"/>
    <cellStyle name="쉼표 [0] 8 3" xfId="1753" xr:uid="{00000000-0005-0000-0000-0000D8060000}"/>
    <cellStyle name="쉼표 [0] 8 3 2" xfId="1754" xr:uid="{00000000-0005-0000-0000-0000D9060000}"/>
    <cellStyle name="쉼표 [0] 8 3 2 2" xfId="1755" xr:uid="{00000000-0005-0000-0000-0000DA060000}"/>
    <cellStyle name="쉼표 [0] 8 3 3" xfId="1756" xr:uid="{00000000-0005-0000-0000-0000DB060000}"/>
    <cellStyle name="쉼표 [0] 8 3 3 2" xfId="1757" xr:uid="{00000000-0005-0000-0000-0000DC060000}"/>
    <cellStyle name="쉼표 [0] 8 3 4" xfId="1758" xr:uid="{00000000-0005-0000-0000-0000DD060000}"/>
    <cellStyle name="쉼표 [0] 8 3 4 2" xfId="1759" xr:uid="{00000000-0005-0000-0000-0000DE060000}"/>
    <cellStyle name="쉼표 [0] 8 3 5" xfId="1760" xr:uid="{00000000-0005-0000-0000-0000DF060000}"/>
    <cellStyle name="쉼표 [0] 8 3 6" xfId="1761" xr:uid="{00000000-0005-0000-0000-0000E0060000}"/>
    <cellStyle name="쉼표 [0] 8 3 6 2" xfId="1762" xr:uid="{00000000-0005-0000-0000-0000E1060000}"/>
    <cellStyle name="쉼표 [0] 8 4" xfId="1763" xr:uid="{00000000-0005-0000-0000-0000E2060000}"/>
    <cellStyle name="쉼표 [0] 8 4 2" xfId="1764" xr:uid="{00000000-0005-0000-0000-0000E3060000}"/>
    <cellStyle name="쉼표 [0] 8 4 2 2" xfId="1765" xr:uid="{00000000-0005-0000-0000-0000E4060000}"/>
    <cellStyle name="쉼표 [0] 8 4 3" xfId="1766" xr:uid="{00000000-0005-0000-0000-0000E5060000}"/>
    <cellStyle name="쉼표 [0] 8 4 3 2" xfId="1767" xr:uid="{00000000-0005-0000-0000-0000E6060000}"/>
    <cellStyle name="쉼표 [0] 8 4 4" xfId="1768" xr:uid="{00000000-0005-0000-0000-0000E7060000}"/>
    <cellStyle name="쉼표 [0] 8 4 5" xfId="1769" xr:uid="{00000000-0005-0000-0000-0000E8060000}"/>
    <cellStyle name="쉼표 [0] 8 4 5 2" xfId="1770" xr:uid="{00000000-0005-0000-0000-0000E9060000}"/>
    <cellStyle name="쉼표 [0] 8 5" xfId="1771" xr:uid="{00000000-0005-0000-0000-0000EA060000}"/>
    <cellStyle name="쉼표 [0] 8 5 2" xfId="1772" xr:uid="{00000000-0005-0000-0000-0000EB060000}"/>
    <cellStyle name="쉼표 [0] 8 6" xfId="1773" xr:uid="{00000000-0005-0000-0000-0000EC060000}"/>
    <cellStyle name="쉼표 [0] 8 6 2" xfId="1774" xr:uid="{00000000-0005-0000-0000-0000ED060000}"/>
    <cellStyle name="쉼표 [0] 8 7" xfId="1775" xr:uid="{00000000-0005-0000-0000-0000EE060000}"/>
    <cellStyle name="쉼표 [0] 8 7 2" xfId="1776" xr:uid="{00000000-0005-0000-0000-0000EF060000}"/>
    <cellStyle name="쉼표 [0] 8 8" xfId="1777" xr:uid="{00000000-0005-0000-0000-0000F0060000}"/>
    <cellStyle name="쉼표 [0] 8 8 2" xfId="1778" xr:uid="{00000000-0005-0000-0000-0000F1060000}"/>
    <cellStyle name="쉼표 [0] 8 9" xfId="1779" xr:uid="{00000000-0005-0000-0000-0000F2060000}"/>
    <cellStyle name="쉼표 [0] 8 9 2" xfId="1780" xr:uid="{00000000-0005-0000-0000-0000F3060000}"/>
    <cellStyle name="쉼표 [0] 9" xfId="1781" xr:uid="{00000000-0005-0000-0000-0000F4060000}"/>
    <cellStyle name="쉼표 [0] 9 10" xfId="1782" xr:uid="{00000000-0005-0000-0000-0000F5060000}"/>
    <cellStyle name="쉼표 [0] 9 10 2" xfId="1783" xr:uid="{00000000-0005-0000-0000-0000F6060000}"/>
    <cellStyle name="쉼표 [0] 9 11" xfId="1784" xr:uid="{00000000-0005-0000-0000-0000F7060000}"/>
    <cellStyle name="쉼표 [0] 9 11 2" xfId="1785" xr:uid="{00000000-0005-0000-0000-0000F8060000}"/>
    <cellStyle name="쉼표 [0] 9 12" xfId="1786" xr:uid="{00000000-0005-0000-0000-0000F9060000}"/>
    <cellStyle name="쉼표 [0] 9 12 2" xfId="1787" xr:uid="{00000000-0005-0000-0000-0000FA060000}"/>
    <cellStyle name="쉼표 [0] 9 13" xfId="1788" xr:uid="{00000000-0005-0000-0000-0000FB060000}"/>
    <cellStyle name="쉼표 [0] 9 14" xfId="1789" xr:uid="{00000000-0005-0000-0000-0000FC060000}"/>
    <cellStyle name="쉼표 [0] 9 2" xfId="1790" xr:uid="{00000000-0005-0000-0000-0000FD060000}"/>
    <cellStyle name="쉼표 [0] 9 2 10" xfId="1791" xr:uid="{00000000-0005-0000-0000-0000FE060000}"/>
    <cellStyle name="쉼표 [0] 9 2 10 2" xfId="1792" xr:uid="{00000000-0005-0000-0000-0000FF060000}"/>
    <cellStyle name="쉼표 [0] 9 2 11" xfId="1793" xr:uid="{00000000-0005-0000-0000-000000070000}"/>
    <cellStyle name="쉼표 [0] 9 2 2" xfId="1794" xr:uid="{00000000-0005-0000-0000-000001070000}"/>
    <cellStyle name="쉼표 [0] 9 2 2 2" xfId="1795" xr:uid="{00000000-0005-0000-0000-000002070000}"/>
    <cellStyle name="쉼표 [0] 9 2 2 3" xfId="1796" xr:uid="{00000000-0005-0000-0000-000003070000}"/>
    <cellStyle name="쉼표 [0] 9 2 2 3 2" xfId="1797" xr:uid="{00000000-0005-0000-0000-000004070000}"/>
    <cellStyle name="쉼표 [0] 9 2 3" xfId="1798" xr:uid="{00000000-0005-0000-0000-000005070000}"/>
    <cellStyle name="쉼표 [0] 9 2 3 2" xfId="1799" xr:uid="{00000000-0005-0000-0000-000006070000}"/>
    <cellStyle name="쉼표 [0] 9 2 4" xfId="1800" xr:uid="{00000000-0005-0000-0000-000007070000}"/>
    <cellStyle name="쉼표 [0] 9 2 4 2" xfId="1801" xr:uid="{00000000-0005-0000-0000-000008070000}"/>
    <cellStyle name="쉼표 [0] 9 2 5" xfId="1802" xr:uid="{00000000-0005-0000-0000-000009070000}"/>
    <cellStyle name="쉼표 [0] 9 2 5 2" xfId="1803" xr:uid="{00000000-0005-0000-0000-00000A070000}"/>
    <cellStyle name="쉼표 [0] 9 2 6" xfId="1804" xr:uid="{00000000-0005-0000-0000-00000B070000}"/>
    <cellStyle name="쉼표 [0] 9 2 6 2" xfId="1805" xr:uid="{00000000-0005-0000-0000-00000C070000}"/>
    <cellStyle name="쉼표 [0] 9 2 7" xfId="1806" xr:uid="{00000000-0005-0000-0000-00000D070000}"/>
    <cellStyle name="쉼표 [0] 9 2 7 2" xfId="1807" xr:uid="{00000000-0005-0000-0000-00000E070000}"/>
    <cellStyle name="쉼표 [0] 9 2 8" xfId="1808" xr:uid="{00000000-0005-0000-0000-00000F070000}"/>
    <cellStyle name="쉼표 [0] 9 2 8 2" xfId="1809" xr:uid="{00000000-0005-0000-0000-000010070000}"/>
    <cellStyle name="쉼표 [0] 9 2 9" xfId="1810" xr:uid="{00000000-0005-0000-0000-000011070000}"/>
    <cellStyle name="쉼표 [0] 9 2 9 2" xfId="1811" xr:uid="{00000000-0005-0000-0000-000012070000}"/>
    <cellStyle name="쉼표 [0] 9 3" xfId="1812" xr:uid="{00000000-0005-0000-0000-000013070000}"/>
    <cellStyle name="쉼표 [0] 9 3 2" xfId="1813" xr:uid="{00000000-0005-0000-0000-000014070000}"/>
    <cellStyle name="쉼표 [0] 9 3 2 2" xfId="1814" xr:uid="{00000000-0005-0000-0000-000015070000}"/>
    <cellStyle name="쉼표 [0] 9 3 3" xfId="1815" xr:uid="{00000000-0005-0000-0000-000016070000}"/>
    <cellStyle name="쉼표 [0] 9 3 3 2" xfId="1816" xr:uid="{00000000-0005-0000-0000-000017070000}"/>
    <cellStyle name="쉼표 [0] 9 3 4" xfId="1817" xr:uid="{00000000-0005-0000-0000-000018070000}"/>
    <cellStyle name="쉼표 [0] 9 3 4 2" xfId="1818" xr:uid="{00000000-0005-0000-0000-000019070000}"/>
    <cellStyle name="쉼표 [0] 9 3 5" xfId="1819" xr:uid="{00000000-0005-0000-0000-00001A070000}"/>
    <cellStyle name="쉼표 [0] 9 3 6" xfId="1820" xr:uid="{00000000-0005-0000-0000-00001B070000}"/>
    <cellStyle name="쉼표 [0] 9 3 6 2" xfId="1821" xr:uid="{00000000-0005-0000-0000-00001C070000}"/>
    <cellStyle name="쉼표 [0] 9 4" xfId="1822" xr:uid="{00000000-0005-0000-0000-00001D070000}"/>
    <cellStyle name="쉼표 [0] 9 4 2" xfId="1823" xr:uid="{00000000-0005-0000-0000-00001E070000}"/>
    <cellStyle name="쉼표 [0] 9 4 2 2" xfId="1824" xr:uid="{00000000-0005-0000-0000-00001F070000}"/>
    <cellStyle name="쉼표 [0] 9 4 3" xfId="1825" xr:uid="{00000000-0005-0000-0000-000020070000}"/>
    <cellStyle name="쉼표 [0] 9 4 3 2" xfId="1826" xr:uid="{00000000-0005-0000-0000-000021070000}"/>
    <cellStyle name="쉼표 [0] 9 4 4" xfId="1827" xr:uid="{00000000-0005-0000-0000-000022070000}"/>
    <cellStyle name="쉼표 [0] 9 5" xfId="1828" xr:uid="{00000000-0005-0000-0000-000023070000}"/>
    <cellStyle name="쉼표 [0] 9 5 2" xfId="1829" xr:uid="{00000000-0005-0000-0000-000024070000}"/>
    <cellStyle name="쉼표 [0] 9 6" xfId="1830" xr:uid="{00000000-0005-0000-0000-000025070000}"/>
    <cellStyle name="쉼표 [0] 9 6 2" xfId="1831" xr:uid="{00000000-0005-0000-0000-000026070000}"/>
    <cellStyle name="쉼표 [0] 9 7" xfId="1832" xr:uid="{00000000-0005-0000-0000-000027070000}"/>
    <cellStyle name="쉼표 [0] 9 7 2" xfId="1833" xr:uid="{00000000-0005-0000-0000-000028070000}"/>
    <cellStyle name="쉼표 [0] 9 8" xfId="1834" xr:uid="{00000000-0005-0000-0000-000029070000}"/>
    <cellStyle name="쉼표 [0] 9 8 2" xfId="1835" xr:uid="{00000000-0005-0000-0000-00002A070000}"/>
    <cellStyle name="쉼표 [0] 9 9" xfId="1836" xr:uid="{00000000-0005-0000-0000-00002B070000}"/>
    <cellStyle name="쉼표 [0] 9 9 2" xfId="1837" xr:uid="{00000000-0005-0000-0000-00002C070000}"/>
    <cellStyle name="통화 [0] 10" xfId="1838" xr:uid="{00000000-0005-0000-0000-00002D070000}"/>
    <cellStyle name="통화 [0] 10 2" xfId="1839" xr:uid="{00000000-0005-0000-0000-00002E070000}"/>
    <cellStyle name="통화 [0] 10 2 2" xfId="1840" xr:uid="{00000000-0005-0000-0000-00002F070000}"/>
    <cellStyle name="통화 [0] 10 2 3" xfId="1841" xr:uid="{00000000-0005-0000-0000-000030070000}"/>
    <cellStyle name="통화 [0] 10 2 3 2" xfId="1842" xr:uid="{00000000-0005-0000-0000-000031070000}"/>
    <cellStyle name="통화 [0] 10 2 4" xfId="1843" xr:uid="{00000000-0005-0000-0000-000032070000}"/>
    <cellStyle name="통화 [0] 10 2 4 2" xfId="1844" xr:uid="{00000000-0005-0000-0000-000033070000}"/>
    <cellStyle name="통화 [0] 10 2 5" xfId="1845" xr:uid="{00000000-0005-0000-0000-000034070000}"/>
    <cellStyle name="통화 [0] 10 2 5 2" xfId="1846" xr:uid="{00000000-0005-0000-0000-000035070000}"/>
    <cellStyle name="통화 [0] 10 2 6" xfId="1847" xr:uid="{00000000-0005-0000-0000-000036070000}"/>
    <cellStyle name="통화 [0] 10 2 6 2" xfId="1848" xr:uid="{00000000-0005-0000-0000-000037070000}"/>
    <cellStyle name="통화 [0] 10 2 7" xfId="1849" xr:uid="{00000000-0005-0000-0000-000038070000}"/>
    <cellStyle name="통화 [0] 10 2 7 2" xfId="1850" xr:uid="{00000000-0005-0000-0000-000039070000}"/>
    <cellStyle name="통화 [0] 10 2 8" xfId="1851" xr:uid="{00000000-0005-0000-0000-00003A070000}"/>
    <cellStyle name="통화 [0] 10 3" xfId="1852" xr:uid="{00000000-0005-0000-0000-00003B070000}"/>
    <cellStyle name="통화 [0] 10 4" xfId="1853" xr:uid="{00000000-0005-0000-0000-00003C070000}"/>
    <cellStyle name="통화 [0] 10 4 2" xfId="1854" xr:uid="{00000000-0005-0000-0000-00003D070000}"/>
    <cellStyle name="통화 [0] 10 5" xfId="1855" xr:uid="{00000000-0005-0000-0000-00003E070000}"/>
    <cellStyle name="통화 [0] 10 5 2" xfId="1856" xr:uid="{00000000-0005-0000-0000-00003F070000}"/>
    <cellStyle name="통화 [0] 10 6" xfId="1857" xr:uid="{00000000-0005-0000-0000-000040070000}"/>
    <cellStyle name="통화 [0] 10 6 2" xfId="1858" xr:uid="{00000000-0005-0000-0000-000041070000}"/>
    <cellStyle name="통화 [0] 10 7" xfId="1859" xr:uid="{00000000-0005-0000-0000-000042070000}"/>
    <cellStyle name="통화 [0] 10 7 2" xfId="1860" xr:uid="{00000000-0005-0000-0000-000043070000}"/>
    <cellStyle name="통화 [0] 10 8" xfId="1861" xr:uid="{00000000-0005-0000-0000-000044070000}"/>
    <cellStyle name="통화 [0] 10 8 2" xfId="1862" xr:uid="{00000000-0005-0000-0000-000045070000}"/>
    <cellStyle name="통화 [0] 10 9" xfId="1863" xr:uid="{00000000-0005-0000-0000-000046070000}"/>
    <cellStyle name="통화 [0] 11" xfId="1864" xr:uid="{00000000-0005-0000-0000-000047070000}"/>
    <cellStyle name="통화 [0] 11 2" xfId="1865" xr:uid="{00000000-0005-0000-0000-000048070000}"/>
    <cellStyle name="통화 [0] 11 2 2" xfId="1866" xr:uid="{00000000-0005-0000-0000-000049070000}"/>
    <cellStyle name="통화 [0] 11 2 3" xfId="1867" xr:uid="{00000000-0005-0000-0000-00004A070000}"/>
    <cellStyle name="통화 [0] 11 2 3 2" xfId="1868" xr:uid="{00000000-0005-0000-0000-00004B070000}"/>
    <cellStyle name="통화 [0] 11 2 4" xfId="1869" xr:uid="{00000000-0005-0000-0000-00004C070000}"/>
    <cellStyle name="통화 [0] 11 2 4 2" xfId="1870" xr:uid="{00000000-0005-0000-0000-00004D070000}"/>
    <cellStyle name="통화 [0] 11 2 5" xfId="1871" xr:uid="{00000000-0005-0000-0000-00004E070000}"/>
    <cellStyle name="통화 [0] 11 2 5 2" xfId="1872" xr:uid="{00000000-0005-0000-0000-00004F070000}"/>
    <cellStyle name="통화 [0] 11 2 6" xfId="1873" xr:uid="{00000000-0005-0000-0000-000050070000}"/>
    <cellStyle name="통화 [0] 11 2 6 2" xfId="1874" xr:uid="{00000000-0005-0000-0000-000051070000}"/>
    <cellStyle name="통화 [0] 11 2 7" xfId="1875" xr:uid="{00000000-0005-0000-0000-000052070000}"/>
    <cellStyle name="통화 [0] 11 2 7 2" xfId="1876" xr:uid="{00000000-0005-0000-0000-000053070000}"/>
    <cellStyle name="통화 [0] 11 2 8" xfId="1877" xr:uid="{00000000-0005-0000-0000-000054070000}"/>
    <cellStyle name="통화 [0] 11 3" xfId="1878" xr:uid="{00000000-0005-0000-0000-000055070000}"/>
    <cellStyle name="통화 [0] 11 4" xfId="1879" xr:uid="{00000000-0005-0000-0000-000056070000}"/>
    <cellStyle name="통화 [0] 11 4 2" xfId="1880" xr:uid="{00000000-0005-0000-0000-000057070000}"/>
    <cellStyle name="통화 [0] 11 5" xfId="1881" xr:uid="{00000000-0005-0000-0000-000058070000}"/>
    <cellStyle name="통화 [0] 11 5 2" xfId="1882" xr:uid="{00000000-0005-0000-0000-000059070000}"/>
    <cellStyle name="통화 [0] 11 6" xfId="1883" xr:uid="{00000000-0005-0000-0000-00005A070000}"/>
    <cellStyle name="통화 [0] 11 6 2" xfId="1884" xr:uid="{00000000-0005-0000-0000-00005B070000}"/>
    <cellStyle name="통화 [0] 11 7" xfId="1885" xr:uid="{00000000-0005-0000-0000-00005C070000}"/>
    <cellStyle name="통화 [0] 11 7 2" xfId="1886" xr:uid="{00000000-0005-0000-0000-00005D070000}"/>
    <cellStyle name="통화 [0] 11 8" xfId="1887" xr:uid="{00000000-0005-0000-0000-00005E070000}"/>
    <cellStyle name="통화 [0] 11 8 2" xfId="1888" xr:uid="{00000000-0005-0000-0000-00005F070000}"/>
    <cellStyle name="통화 [0] 11 9" xfId="1889" xr:uid="{00000000-0005-0000-0000-000060070000}"/>
    <cellStyle name="통화 [0] 12" xfId="1890" xr:uid="{00000000-0005-0000-0000-000061070000}"/>
    <cellStyle name="통화 [0] 12 2" xfId="1891" xr:uid="{00000000-0005-0000-0000-000062070000}"/>
    <cellStyle name="통화 [0] 12 2 2" xfId="1892" xr:uid="{00000000-0005-0000-0000-000063070000}"/>
    <cellStyle name="통화 [0] 12 2 3" xfId="1893" xr:uid="{00000000-0005-0000-0000-000064070000}"/>
    <cellStyle name="통화 [0] 12 2 3 2" xfId="1894" xr:uid="{00000000-0005-0000-0000-000065070000}"/>
    <cellStyle name="통화 [0] 12 2 4" xfId="1895" xr:uid="{00000000-0005-0000-0000-000066070000}"/>
    <cellStyle name="통화 [0] 12 2 4 2" xfId="1896" xr:uid="{00000000-0005-0000-0000-000067070000}"/>
    <cellStyle name="통화 [0] 12 2 5" xfId="1897" xr:uid="{00000000-0005-0000-0000-000068070000}"/>
    <cellStyle name="통화 [0] 12 2 5 2" xfId="1898" xr:uid="{00000000-0005-0000-0000-000069070000}"/>
    <cellStyle name="통화 [0] 12 2 6" xfId="1899" xr:uid="{00000000-0005-0000-0000-00006A070000}"/>
    <cellStyle name="통화 [0] 12 2 6 2" xfId="1900" xr:uid="{00000000-0005-0000-0000-00006B070000}"/>
    <cellStyle name="통화 [0] 12 2 7" xfId="1901" xr:uid="{00000000-0005-0000-0000-00006C070000}"/>
    <cellStyle name="통화 [0] 12 2 7 2" xfId="1902" xr:uid="{00000000-0005-0000-0000-00006D070000}"/>
    <cellStyle name="통화 [0] 12 2 8" xfId="1903" xr:uid="{00000000-0005-0000-0000-00006E070000}"/>
    <cellStyle name="통화 [0] 12 3" xfId="1904" xr:uid="{00000000-0005-0000-0000-00006F070000}"/>
    <cellStyle name="통화 [0] 12 4" xfId="1905" xr:uid="{00000000-0005-0000-0000-000070070000}"/>
    <cellStyle name="통화 [0] 12 4 2" xfId="1906" xr:uid="{00000000-0005-0000-0000-000071070000}"/>
    <cellStyle name="통화 [0] 12 5" xfId="1907" xr:uid="{00000000-0005-0000-0000-000072070000}"/>
    <cellStyle name="통화 [0] 12 5 2" xfId="1908" xr:uid="{00000000-0005-0000-0000-000073070000}"/>
    <cellStyle name="통화 [0] 12 6" xfId="1909" xr:uid="{00000000-0005-0000-0000-000074070000}"/>
    <cellStyle name="통화 [0] 12 6 2" xfId="1910" xr:uid="{00000000-0005-0000-0000-000075070000}"/>
    <cellStyle name="통화 [0] 12 7" xfId="1911" xr:uid="{00000000-0005-0000-0000-000076070000}"/>
    <cellStyle name="통화 [0] 12 7 2" xfId="1912" xr:uid="{00000000-0005-0000-0000-000077070000}"/>
    <cellStyle name="통화 [0] 12 8" xfId="1913" xr:uid="{00000000-0005-0000-0000-000078070000}"/>
    <cellStyle name="통화 [0] 12 8 2" xfId="1914" xr:uid="{00000000-0005-0000-0000-000079070000}"/>
    <cellStyle name="통화 [0] 12 9" xfId="1915" xr:uid="{00000000-0005-0000-0000-00007A070000}"/>
    <cellStyle name="통화 [0] 13" xfId="1916" xr:uid="{00000000-0005-0000-0000-00007B070000}"/>
    <cellStyle name="통화 [0] 13 2" xfId="1917" xr:uid="{00000000-0005-0000-0000-00007C070000}"/>
    <cellStyle name="통화 [0] 13 2 2" xfId="1918" xr:uid="{00000000-0005-0000-0000-00007D070000}"/>
    <cellStyle name="통화 [0] 13 2 3" xfId="1919" xr:uid="{00000000-0005-0000-0000-00007E070000}"/>
    <cellStyle name="통화 [0] 13 2 3 2" xfId="1920" xr:uid="{00000000-0005-0000-0000-00007F070000}"/>
    <cellStyle name="통화 [0] 13 2 4" xfId="1921" xr:uid="{00000000-0005-0000-0000-000080070000}"/>
    <cellStyle name="통화 [0] 13 2 4 2" xfId="1922" xr:uid="{00000000-0005-0000-0000-000081070000}"/>
    <cellStyle name="통화 [0] 13 2 5" xfId="1923" xr:uid="{00000000-0005-0000-0000-000082070000}"/>
    <cellStyle name="통화 [0] 13 2 5 2" xfId="1924" xr:uid="{00000000-0005-0000-0000-000083070000}"/>
    <cellStyle name="통화 [0] 13 2 6" xfId="1925" xr:uid="{00000000-0005-0000-0000-000084070000}"/>
    <cellStyle name="통화 [0] 13 2 6 2" xfId="1926" xr:uid="{00000000-0005-0000-0000-000085070000}"/>
    <cellStyle name="통화 [0] 13 2 7" xfId="1927" xr:uid="{00000000-0005-0000-0000-000086070000}"/>
    <cellStyle name="통화 [0] 13 2 7 2" xfId="1928" xr:uid="{00000000-0005-0000-0000-000087070000}"/>
    <cellStyle name="통화 [0] 13 2 8" xfId="1929" xr:uid="{00000000-0005-0000-0000-000088070000}"/>
    <cellStyle name="통화 [0] 13 3" xfId="1930" xr:uid="{00000000-0005-0000-0000-000089070000}"/>
    <cellStyle name="통화 [0] 13 4" xfId="1931" xr:uid="{00000000-0005-0000-0000-00008A070000}"/>
    <cellStyle name="통화 [0] 13 4 2" xfId="1932" xr:uid="{00000000-0005-0000-0000-00008B070000}"/>
    <cellStyle name="통화 [0] 13 5" xfId="1933" xr:uid="{00000000-0005-0000-0000-00008C070000}"/>
    <cellStyle name="통화 [0] 13 5 2" xfId="1934" xr:uid="{00000000-0005-0000-0000-00008D070000}"/>
    <cellStyle name="통화 [0] 13 6" xfId="1935" xr:uid="{00000000-0005-0000-0000-00008E070000}"/>
    <cellStyle name="통화 [0] 13 6 2" xfId="1936" xr:uid="{00000000-0005-0000-0000-00008F070000}"/>
    <cellStyle name="통화 [0] 13 7" xfId="1937" xr:uid="{00000000-0005-0000-0000-000090070000}"/>
    <cellStyle name="통화 [0] 13 7 2" xfId="1938" xr:uid="{00000000-0005-0000-0000-000091070000}"/>
    <cellStyle name="통화 [0] 13 8" xfId="1939" xr:uid="{00000000-0005-0000-0000-000092070000}"/>
    <cellStyle name="통화 [0] 13 8 2" xfId="1940" xr:uid="{00000000-0005-0000-0000-000093070000}"/>
    <cellStyle name="통화 [0] 13 9" xfId="1941" xr:uid="{00000000-0005-0000-0000-000094070000}"/>
    <cellStyle name="통화 [0] 14" xfId="1942" xr:uid="{00000000-0005-0000-0000-000095070000}"/>
    <cellStyle name="통화 [0] 14 2" xfId="1943" xr:uid="{00000000-0005-0000-0000-000096070000}"/>
    <cellStyle name="통화 [0] 14 2 2" xfId="1944" xr:uid="{00000000-0005-0000-0000-000097070000}"/>
    <cellStyle name="통화 [0] 14 2 3" xfId="1945" xr:uid="{00000000-0005-0000-0000-000098070000}"/>
    <cellStyle name="통화 [0] 14 2 3 2" xfId="1946" xr:uid="{00000000-0005-0000-0000-000099070000}"/>
    <cellStyle name="통화 [0] 14 2 4" xfId="1947" xr:uid="{00000000-0005-0000-0000-00009A070000}"/>
    <cellStyle name="통화 [0] 14 2 4 2" xfId="1948" xr:uid="{00000000-0005-0000-0000-00009B070000}"/>
    <cellStyle name="통화 [0] 14 2 5" xfId="1949" xr:uid="{00000000-0005-0000-0000-00009C070000}"/>
    <cellStyle name="통화 [0] 14 2 5 2" xfId="1950" xr:uid="{00000000-0005-0000-0000-00009D070000}"/>
    <cellStyle name="통화 [0] 14 2 6" xfId="1951" xr:uid="{00000000-0005-0000-0000-00009E070000}"/>
    <cellStyle name="통화 [0] 14 2 6 2" xfId="1952" xr:uid="{00000000-0005-0000-0000-00009F070000}"/>
    <cellStyle name="통화 [0] 14 2 7" xfId="1953" xr:uid="{00000000-0005-0000-0000-0000A0070000}"/>
    <cellStyle name="통화 [0] 14 2 7 2" xfId="1954" xr:uid="{00000000-0005-0000-0000-0000A1070000}"/>
    <cellStyle name="통화 [0] 14 2 8" xfId="1955" xr:uid="{00000000-0005-0000-0000-0000A2070000}"/>
    <cellStyle name="통화 [0] 14 3" xfId="1956" xr:uid="{00000000-0005-0000-0000-0000A3070000}"/>
    <cellStyle name="통화 [0] 14 4" xfId="1957" xr:uid="{00000000-0005-0000-0000-0000A4070000}"/>
    <cellStyle name="통화 [0] 14 4 2" xfId="1958" xr:uid="{00000000-0005-0000-0000-0000A5070000}"/>
    <cellStyle name="통화 [0] 14 5" xfId="1959" xr:uid="{00000000-0005-0000-0000-0000A6070000}"/>
    <cellStyle name="통화 [0] 14 5 2" xfId="1960" xr:uid="{00000000-0005-0000-0000-0000A7070000}"/>
    <cellStyle name="통화 [0] 14 6" xfId="1961" xr:uid="{00000000-0005-0000-0000-0000A8070000}"/>
    <cellStyle name="통화 [0] 14 6 2" xfId="1962" xr:uid="{00000000-0005-0000-0000-0000A9070000}"/>
    <cellStyle name="통화 [0] 14 7" xfId="1963" xr:uid="{00000000-0005-0000-0000-0000AA070000}"/>
    <cellStyle name="통화 [0] 14 7 2" xfId="1964" xr:uid="{00000000-0005-0000-0000-0000AB070000}"/>
    <cellStyle name="통화 [0] 14 8" xfId="1965" xr:uid="{00000000-0005-0000-0000-0000AC070000}"/>
    <cellStyle name="통화 [0] 14 8 2" xfId="1966" xr:uid="{00000000-0005-0000-0000-0000AD070000}"/>
    <cellStyle name="통화 [0] 14 9" xfId="1967" xr:uid="{00000000-0005-0000-0000-0000AE070000}"/>
    <cellStyle name="통화 [0] 15" xfId="1968" xr:uid="{00000000-0005-0000-0000-0000AF070000}"/>
    <cellStyle name="통화 [0] 15 2" xfId="1969" xr:uid="{00000000-0005-0000-0000-0000B0070000}"/>
    <cellStyle name="통화 [0] 15 2 2" xfId="1970" xr:uid="{00000000-0005-0000-0000-0000B1070000}"/>
    <cellStyle name="통화 [0] 15 3" xfId="1971" xr:uid="{00000000-0005-0000-0000-0000B2070000}"/>
    <cellStyle name="통화 [0] 15 3 2" xfId="1972" xr:uid="{00000000-0005-0000-0000-0000B3070000}"/>
    <cellStyle name="통화 [0] 15 4" xfId="1973" xr:uid="{00000000-0005-0000-0000-0000B4070000}"/>
    <cellStyle name="통화 [0] 15 4 2" xfId="1974" xr:uid="{00000000-0005-0000-0000-0000B5070000}"/>
    <cellStyle name="통화 [0] 15 5" xfId="1975" xr:uid="{00000000-0005-0000-0000-0000B6070000}"/>
    <cellStyle name="통화 [0] 15 5 2" xfId="1976" xr:uid="{00000000-0005-0000-0000-0000B7070000}"/>
    <cellStyle name="통화 [0] 15 6" xfId="1977" xr:uid="{00000000-0005-0000-0000-0000B8070000}"/>
    <cellStyle name="통화 [0] 15 6 2" xfId="1978" xr:uid="{00000000-0005-0000-0000-0000B9070000}"/>
    <cellStyle name="통화 [0] 15 7" xfId="1979" xr:uid="{00000000-0005-0000-0000-0000BA070000}"/>
    <cellStyle name="통화 [0] 16" xfId="1980" xr:uid="{00000000-0005-0000-0000-0000BB070000}"/>
    <cellStyle name="통화 [0] 16 2" xfId="1981" xr:uid="{00000000-0005-0000-0000-0000BC070000}"/>
    <cellStyle name="통화 [0] 16 2 2" xfId="1982" xr:uid="{00000000-0005-0000-0000-0000BD070000}"/>
    <cellStyle name="통화 [0] 16 3" xfId="1983" xr:uid="{00000000-0005-0000-0000-0000BE070000}"/>
    <cellStyle name="통화 [0] 16 3 2" xfId="1984" xr:uid="{00000000-0005-0000-0000-0000BF070000}"/>
    <cellStyle name="통화 [0] 16 4" xfId="1985" xr:uid="{00000000-0005-0000-0000-0000C0070000}"/>
    <cellStyle name="통화 [0] 16 4 2" xfId="1986" xr:uid="{00000000-0005-0000-0000-0000C1070000}"/>
    <cellStyle name="통화 [0] 16 5" xfId="1987" xr:uid="{00000000-0005-0000-0000-0000C2070000}"/>
    <cellStyle name="통화 [0] 17" xfId="1988" xr:uid="{00000000-0005-0000-0000-0000C3070000}"/>
    <cellStyle name="통화 [0] 17 2" xfId="1989" xr:uid="{00000000-0005-0000-0000-0000C4070000}"/>
    <cellStyle name="통화 [0] 17 2 2" xfId="1990" xr:uid="{00000000-0005-0000-0000-0000C5070000}"/>
    <cellStyle name="통화 [0] 17 3" xfId="1991" xr:uid="{00000000-0005-0000-0000-0000C6070000}"/>
    <cellStyle name="통화 [0] 18" xfId="1992" xr:uid="{00000000-0005-0000-0000-0000C7070000}"/>
    <cellStyle name="통화 [0] 18 2" xfId="1993" xr:uid="{00000000-0005-0000-0000-0000C8070000}"/>
    <cellStyle name="통화 [0] 19" xfId="1994" xr:uid="{00000000-0005-0000-0000-0000C9070000}"/>
    <cellStyle name="통화 [0] 2" xfId="1995" xr:uid="{00000000-0005-0000-0000-0000CA070000}"/>
    <cellStyle name="통화 [0] 2 10" xfId="1996" xr:uid="{00000000-0005-0000-0000-0000CB070000}"/>
    <cellStyle name="통화 [0] 2 10 2" xfId="1997" xr:uid="{00000000-0005-0000-0000-0000CC070000}"/>
    <cellStyle name="통화 [0] 2 10 3" xfId="1998" xr:uid="{00000000-0005-0000-0000-0000CD070000}"/>
    <cellStyle name="통화 [0] 2 10 3 2" xfId="1999" xr:uid="{00000000-0005-0000-0000-0000CE070000}"/>
    <cellStyle name="통화 [0] 2 11" xfId="2000" xr:uid="{00000000-0005-0000-0000-0000CF070000}"/>
    <cellStyle name="통화 [0] 2 11 2" xfId="2001" xr:uid="{00000000-0005-0000-0000-0000D0070000}"/>
    <cellStyle name="통화 [0] 2 11 3" xfId="2002" xr:uid="{00000000-0005-0000-0000-0000D1070000}"/>
    <cellStyle name="통화 [0] 2 11 3 2" xfId="2003" xr:uid="{00000000-0005-0000-0000-0000D2070000}"/>
    <cellStyle name="통화 [0] 2 11 4" xfId="2004" xr:uid="{00000000-0005-0000-0000-0000D3070000}"/>
    <cellStyle name="통화 [0] 2 11 4 2" xfId="2005" xr:uid="{00000000-0005-0000-0000-0000D4070000}"/>
    <cellStyle name="통화 [0] 2 11 5" xfId="2006" xr:uid="{00000000-0005-0000-0000-0000D5070000}"/>
    <cellStyle name="통화 [0] 2 11 5 2" xfId="2007" xr:uid="{00000000-0005-0000-0000-0000D6070000}"/>
    <cellStyle name="통화 [0] 2 11 6" xfId="2008" xr:uid="{00000000-0005-0000-0000-0000D7070000}"/>
    <cellStyle name="통화 [0] 2 11 6 2" xfId="2009" xr:uid="{00000000-0005-0000-0000-0000D8070000}"/>
    <cellStyle name="통화 [0] 2 11 7" xfId="2010" xr:uid="{00000000-0005-0000-0000-0000D9070000}"/>
    <cellStyle name="통화 [0] 2 11 7 2" xfId="2011" xr:uid="{00000000-0005-0000-0000-0000DA070000}"/>
    <cellStyle name="통화 [0] 2 11 8" xfId="2012" xr:uid="{00000000-0005-0000-0000-0000DB070000}"/>
    <cellStyle name="통화 [0] 2 11 8 2" xfId="2013" xr:uid="{00000000-0005-0000-0000-0000DC070000}"/>
    <cellStyle name="통화 [0] 2 11 9" xfId="2014" xr:uid="{00000000-0005-0000-0000-0000DD070000}"/>
    <cellStyle name="통화 [0] 2 12" xfId="2015" xr:uid="{00000000-0005-0000-0000-0000DE070000}"/>
    <cellStyle name="통화 [0] 2 13" xfId="2016" xr:uid="{00000000-0005-0000-0000-0000DF070000}"/>
    <cellStyle name="통화 [0] 2 13 2" xfId="2017" xr:uid="{00000000-0005-0000-0000-0000E0070000}"/>
    <cellStyle name="통화 [0] 2 13 2 2" xfId="2018" xr:uid="{00000000-0005-0000-0000-0000E1070000}"/>
    <cellStyle name="통화 [0] 2 13 3" xfId="2019" xr:uid="{00000000-0005-0000-0000-0000E2070000}"/>
    <cellStyle name="통화 [0] 2 13 3 2" xfId="2020" xr:uid="{00000000-0005-0000-0000-0000E3070000}"/>
    <cellStyle name="통화 [0] 2 13 4" xfId="2021" xr:uid="{00000000-0005-0000-0000-0000E4070000}"/>
    <cellStyle name="통화 [0] 2 14" xfId="2022" xr:uid="{00000000-0005-0000-0000-0000E5070000}"/>
    <cellStyle name="통화 [0] 2 14 2" xfId="2023" xr:uid="{00000000-0005-0000-0000-0000E6070000}"/>
    <cellStyle name="통화 [0] 2 15" xfId="2024" xr:uid="{00000000-0005-0000-0000-0000E7070000}"/>
    <cellStyle name="통화 [0] 2 15 2" xfId="2025" xr:uid="{00000000-0005-0000-0000-0000E8070000}"/>
    <cellStyle name="통화 [0] 2 16" xfId="2026" xr:uid="{00000000-0005-0000-0000-0000E9070000}"/>
    <cellStyle name="통화 [0] 2 16 2" xfId="2027" xr:uid="{00000000-0005-0000-0000-0000EA070000}"/>
    <cellStyle name="통화 [0] 2 17" xfId="2028" xr:uid="{00000000-0005-0000-0000-0000EB070000}"/>
    <cellStyle name="통화 [0] 2 17 2" xfId="2029" xr:uid="{00000000-0005-0000-0000-0000EC070000}"/>
    <cellStyle name="통화 [0] 2 18" xfId="2030" xr:uid="{00000000-0005-0000-0000-0000ED070000}"/>
    <cellStyle name="통화 [0] 2 18 2" xfId="2031" xr:uid="{00000000-0005-0000-0000-0000EE070000}"/>
    <cellStyle name="통화 [0] 2 19" xfId="2032" xr:uid="{00000000-0005-0000-0000-0000EF070000}"/>
    <cellStyle name="통화 [0] 2 19 2" xfId="2033" xr:uid="{00000000-0005-0000-0000-0000F0070000}"/>
    <cellStyle name="통화 [0] 2 2" xfId="2034" xr:uid="{00000000-0005-0000-0000-0000F1070000}"/>
    <cellStyle name="통화 [0] 2 2 10" xfId="2035" xr:uid="{00000000-0005-0000-0000-0000F2070000}"/>
    <cellStyle name="통화 [0] 2 2 10 2" xfId="2036" xr:uid="{00000000-0005-0000-0000-0000F3070000}"/>
    <cellStyle name="통화 [0] 2 2 10 3" xfId="2037" xr:uid="{00000000-0005-0000-0000-0000F4070000}"/>
    <cellStyle name="통화 [0] 2 2 10 3 2" xfId="2038" xr:uid="{00000000-0005-0000-0000-0000F5070000}"/>
    <cellStyle name="통화 [0] 2 2 11" xfId="2039" xr:uid="{00000000-0005-0000-0000-0000F6070000}"/>
    <cellStyle name="통화 [0] 2 2 11 2" xfId="2040" xr:uid="{00000000-0005-0000-0000-0000F7070000}"/>
    <cellStyle name="통화 [0] 2 2 11 2 2" xfId="2041" xr:uid="{00000000-0005-0000-0000-0000F8070000}"/>
    <cellStyle name="통화 [0] 2 2 11 3" xfId="2042" xr:uid="{00000000-0005-0000-0000-0000F9070000}"/>
    <cellStyle name="통화 [0] 2 2 11 3 2" xfId="2043" xr:uid="{00000000-0005-0000-0000-0000FA070000}"/>
    <cellStyle name="통화 [0] 2 2 11 4" xfId="2044" xr:uid="{00000000-0005-0000-0000-0000FB070000}"/>
    <cellStyle name="통화 [0] 2 2 12" xfId="2045" xr:uid="{00000000-0005-0000-0000-0000FC070000}"/>
    <cellStyle name="통화 [0] 2 2 12 2" xfId="2046" xr:uid="{00000000-0005-0000-0000-0000FD070000}"/>
    <cellStyle name="통화 [0] 2 2 13" xfId="2047" xr:uid="{00000000-0005-0000-0000-0000FE070000}"/>
    <cellStyle name="통화 [0] 2 2 13 2" xfId="2048" xr:uid="{00000000-0005-0000-0000-0000FF070000}"/>
    <cellStyle name="통화 [0] 2 2 14" xfId="2049" xr:uid="{00000000-0005-0000-0000-000000080000}"/>
    <cellStyle name="통화 [0] 2 2 14 2" xfId="2050" xr:uid="{00000000-0005-0000-0000-000001080000}"/>
    <cellStyle name="통화 [0] 2 2 15" xfId="2051" xr:uid="{00000000-0005-0000-0000-000002080000}"/>
    <cellStyle name="통화 [0] 2 2 15 2" xfId="2052" xr:uid="{00000000-0005-0000-0000-000003080000}"/>
    <cellStyle name="통화 [0] 2 2 16" xfId="2053" xr:uid="{00000000-0005-0000-0000-000004080000}"/>
    <cellStyle name="통화 [0] 2 2 16 2" xfId="2054" xr:uid="{00000000-0005-0000-0000-000005080000}"/>
    <cellStyle name="통화 [0] 2 2 17" xfId="2055" xr:uid="{00000000-0005-0000-0000-000006080000}"/>
    <cellStyle name="통화 [0] 2 2 17 2" xfId="2056" xr:uid="{00000000-0005-0000-0000-000007080000}"/>
    <cellStyle name="통화 [0] 2 2 18" xfId="2057" xr:uid="{00000000-0005-0000-0000-000008080000}"/>
    <cellStyle name="통화 [0] 2 2 2" xfId="2058" xr:uid="{00000000-0005-0000-0000-000009080000}"/>
    <cellStyle name="통화 [0] 2 2 2 10" xfId="2059" xr:uid="{00000000-0005-0000-0000-00000A080000}"/>
    <cellStyle name="통화 [0] 2 2 2 10 2" xfId="2060" xr:uid="{00000000-0005-0000-0000-00000B080000}"/>
    <cellStyle name="통화 [0] 2 2 2 11" xfId="2061" xr:uid="{00000000-0005-0000-0000-00000C080000}"/>
    <cellStyle name="통화 [0] 2 2 2 11 2" xfId="2062" xr:uid="{00000000-0005-0000-0000-00000D080000}"/>
    <cellStyle name="통화 [0] 2 2 2 12" xfId="2063" xr:uid="{00000000-0005-0000-0000-00000E080000}"/>
    <cellStyle name="통화 [0] 2 2 2 12 2" xfId="2064" xr:uid="{00000000-0005-0000-0000-00000F080000}"/>
    <cellStyle name="통화 [0] 2 2 2 13" xfId="2065" xr:uid="{00000000-0005-0000-0000-000010080000}"/>
    <cellStyle name="통화 [0] 2 2 2 2" xfId="2066" xr:uid="{00000000-0005-0000-0000-000011080000}"/>
    <cellStyle name="통화 [0] 2 2 2 2 10" xfId="2067" xr:uid="{00000000-0005-0000-0000-000012080000}"/>
    <cellStyle name="통화 [0] 2 2 2 2 10 2" xfId="2068" xr:uid="{00000000-0005-0000-0000-000013080000}"/>
    <cellStyle name="통화 [0] 2 2 2 2 11" xfId="2069" xr:uid="{00000000-0005-0000-0000-000014080000}"/>
    <cellStyle name="통화 [0] 2 2 2 2 2" xfId="2070" xr:uid="{00000000-0005-0000-0000-000015080000}"/>
    <cellStyle name="통화 [0] 2 2 2 2 2 2" xfId="2071" xr:uid="{00000000-0005-0000-0000-000016080000}"/>
    <cellStyle name="통화 [0] 2 2 2 2 2 3" xfId="2072" xr:uid="{00000000-0005-0000-0000-000017080000}"/>
    <cellStyle name="통화 [0] 2 2 2 2 2 3 2" xfId="2073" xr:uid="{00000000-0005-0000-0000-000018080000}"/>
    <cellStyle name="통화 [0] 2 2 2 2 3" xfId="2074" xr:uid="{00000000-0005-0000-0000-000019080000}"/>
    <cellStyle name="통화 [0] 2 2 2 2 3 2" xfId="2075" xr:uid="{00000000-0005-0000-0000-00001A080000}"/>
    <cellStyle name="통화 [0] 2 2 2 2 4" xfId="2076" xr:uid="{00000000-0005-0000-0000-00001B080000}"/>
    <cellStyle name="통화 [0] 2 2 2 2 4 2" xfId="2077" xr:uid="{00000000-0005-0000-0000-00001C080000}"/>
    <cellStyle name="통화 [0] 2 2 2 2 5" xfId="2078" xr:uid="{00000000-0005-0000-0000-00001D080000}"/>
    <cellStyle name="통화 [0] 2 2 2 2 5 2" xfId="2079" xr:uid="{00000000-0005-0000-0000-00001E080000}"/>
    <cellStyle name="통화 [0] 2 2 2 2 6" xfId="2080" xr:uid="{00000000-0005-0000-0000-00001F080000}"/>
    <cellStyle name="통화 [0] 2 2 2 2 6 2" xfId="2081" xr:uid="{00000000-0005-0000-0000-000020080000}"/>
    <cellStyle name="통화 [0] 2 2 2 2 7" xfId="2082" xr:uid="{00000000-0005-0000-0000-000021080000}"/>
    <cellStyle name="통화 [0] 2 2 2 2 7 2" xfId="2083" xr:uid="{00000000-0005-0000-0000-000022080000}"/>
    <cellStyle name="통화 [0] 2 2 2 2 8" xfId="2084" xr:uid="{00000000-0005-0000-0000-000023080000}"/>
    <cellStyle name="통화 [0] 2 2 2 2 8 2" xfId="2085" xr:uid="{00000000-0005-0000-0000-000024080000}"/>
    <cellStyle name="통화 [0] 2 2 2 2 9" xfId="2086" xr:uid="{00000000-0005-0000-0000-000025080000}"/>
    <cellStyle name="통화 [0] 2 2 2 2 9 2" xfId="2087" xr:uid="{00000000-0005-0000-0000-000026080000}"/>
    <cellStyle name="통화 [0] 2 2 2 3" xfId="2088" xr:uid="{00000000-0005-0000-0000-000027080000}"/>
    <cellStyle name="통화 [0] 2 2 2 3 2" xfId="2089" xr:uid="{00000000-0005-0000-0000-000028080000}"/>
    <cellStyle name="통화 [0] 2 2 2 3 2 2" xfId="2090" xr:uid="{00000000-0005-0000-0000-000029080000}"/>
    <cellStyle name="통화 [0] 2 2 2 3 3" xfId="2091" xr:uid="{00000000-0005-0000-0000-00002A080000}"/>
    <cellStyle name="통화 [0] 2 2 2 3 3 2" xfId="2092" xr:uid="{00000000-0005-0000-0000-00002B080000}"/>
    <cellStyle name="통화 [0] 2 2 2 3 4" xfId="2093" xr:uid="{00000000-0005-0000-0000-00002C080000}"/>
    <cellStyle name="통화 [0] 2 2 2 3 4 2" xfId="2094" xr:uid="{00000000-0005-0000-0000-00002D080000}"/>
    <cellStyle name="통화 [0] 2 2 2 3 5" xfId="2095" xr:uid="{00000000-0005-0000-0000-00002E080000}"/>
    <cellStyle name="통화 [0] 2 2 2 3 6" xfId="2096" xr:uid="{00000000-0005-0000-0000-00002F080000}"/>
    <cellStyle name="통화 [0] 2 2 2 3 6 2" xfId="2097" xr:uid="{00000000-0005-0000-0000-000030080000}"/>
    <cellStyle name="통화 [0] 2 2 2 4" xfId="2098" xr:uid="{00000000-0005-0000-0000-000031080000}"/>
    <cellStyle name="통화 [0] 2 2 2 4 2" xfId="2099" xr:uid="{00000000-0005-0000-0000-000032080000}"/>
    <cellStyle name="통화 [0] 2 2 2 4 2 2" xfId="2100" xr:uid="{00000000-0005-0000-0000-000033080000}"/>
    <cellStyle name="통화 [0] 2 2 2 4 3" xfId="2101" xr:uid="{00000000-0005-0000-0000-000034080000}"/>
    <cellStyle name="통화 [0] 2 2 2 4 3 2" xfId="2102" xr:uid="{00000000-0005-0000-0000-000035080000}"/>
    <cellStyle name="통화 [0] 2 2 2 4 4" xfId="2103" xr:uid="{00000000-0005-0000-0000-000036080000}"/>
    <cellStyle name="통화 [0] 2 2 2 5" xfId="2104" xr:uid="{00000000-0005-0000-0000-000037080000}"/>
    <cellStyle name="통화 [0] 2 2 2 5 2" xfId="2105" xr:uid="{00000000-0005-0000-0000-000038080000}"/>
    <cellStyle name="통화 [0] 2 2 2 6" xfId="2106" xr:uid="{00000000-0005-0000-0000-000039080000}"/>
    <cellStyle name="통화 [0] 2 2 2 6 2" xfId="2107" xr:uid="{00000000-0005-0000-0000-00003A080000}"/>
    <cellStyle name="통화 [0] 2 2 2 7" xfId="2108" xr:uid="{00000000-0005-0000-0000-00003B080000}"/>
    <cellStyle name="통화 [0] 2 2 2 7 2" xfId="2109" xr:uid="{00000000-0005-0000-0000-00003C080000}"/>
    <cellStyle name="통화 [0] 2 2 2 8" xfId="2110" xr:uid="{00000000-0005-0000-0000-00003D080000}"/>
    <cellStyle name="통화 [0] 2 2 2 8 2" xfId="2111" xr:uid="{00000000-0005-0000-0000-00003E080000}"/>
    <cellStyle name="통화 [0] 2 2 2 9" xfId="2112" xr:uid="{00000000-0005-0000-0000-00003F080000}"/>
    <cellStyle name="통화 [0] 2 2 2 9 2" xfId="2113" xr:uid="{00000000-0005-0000-0000-000040080000}"/>
    <cellStyle name="통화 [0] 2 2 3" xfId="2114" xr:uid="{00000000-0005-0000-0000-000041080000}"/>
    <cellStyle name="통화 [0] 2 2 3 10" xfId="2115" xr:uid="{00000000-0005-0000-0000-000042080000}"/>
    <cellStyle name="통화 [0] 2 2 3 10 2" xfId="2116" xr:uid="{00000000-0005-0000-0000-000043080000}"/>
    <cellStyle name="통화 [0] 2 2 3 11" xfId="2117" xr:uid="{00000000-0005-0000-0000-000044080000}"/>
    <cellStyle name="통화 [0] 2 2 3 11 2" xfId="2118" xr:uid="{00000000-0005-0000-0000-000045080000}"/>
    <cellStyle name="통화 [0] 2 2 3 12" xfId="2119" xr:uid="{00000000-0005-0000-0000-000046080000}"/>
    <cellStyle name="통화 [0] 2 2 3 12 2" xfId="2120" xr:uid="{00000000-0005-0000-0000-000047080000}"/>
    <cellStyle name="통화 [0] 2 2 3 13" xfId="2121" xr:uid="{00000000-0005-0000-0000-000048080000}"/>
    <cellStyle name="통화 [0] 2 2 3 2" xfId="2122" xr:uid="{00000000-0005-0000-0000-000049080000}"/>
    <cellStyle name="통화 [0] 2 2 3 2 10" xfId="2123" xr:uid="{00000000-0005-0000-0000-00004A080000}"/>
    <cellStyle name="통화 [0] 2 2 3 2 10 2" xfId="2124" xr:uid="{00000000-0005-0000-0000-00004B080000}"/>
    <cellStyle name="통화 [0] 2 2 3 2 11" xfId="2125" xr:uid="{00000000-0005-0000-0000-00004C080000}"/>
    <cellStyle name="통화 [0] 2 2 3 2 2" xfId="2126" xr:uid="{00000000-0005-0000-0000-00004D080000}"/>
    <cellStyle name="통화 [0] 2 2 3 2 2 2" xfId="2127" xr:uid="{00000000-0005-0000-0000-00004E080000}"/>
    <cellStyle name="통화 [0] 2 2 3 2 2 3" xfId="2128" xr:uid="{00000000-0005-0000-0000-00004F080000}"/>
    <cellStyle name="통화 [0] 2 2 3 2 2 3 2" xfId="2129" xr:uid="{00000000-0005-0000-0000-000050080000}"/>
    <cellStyle name="통화 [0] 2 2 3 2 3" xfId="2130" xr:uid="{00000000-0005-0000-0000-000051080000}"/>
    <cellStyle name="통화 [0] 2 2 3 2 3 2" xfId="2131" xr:uid="{00000000-0005-0000-0000-000052080000}"/>
    <cellStyle name="통화 [0] 2 2 3 2 4" xfId="2132" xr:uid="{00000000-0005-0000-0000-000053080000}"/>
    <cellStyle name="통화 [0] 2 2 3 2 4 2" xfId="2133" xr:uid="{00000000-0005-0000-0000-000054080000}"/>
    <cellStyle name="통화 [0] 2 2 3 2 5" xfId="2134" xr:uid="{00000000-0005-0000-0000-000055080000}"/>
    <cellStyle name="통화 [0] 2 2 3 2 5 2" xfId="2135" xr:uid="{00000000-0005-0000-0000-000056080000}"/>
    <cellStyle name="통화 [0] 2 2 3 2 6" xfId="2136" xr:uid="{00000000-0005-0000-0000-000057080000}"/>
    <cellStyle name="통화 [0] 2 2 3 2 6 2" xfId="2137" xr:uid="{00000000-0005-0000-0000-000058080000}"/>
    <cellStyle name="통화 [0] 2 2 3 2 7" xfId="2138" xr:uid="{00000000-0005-0000-0000-000059080000}"/>
    <cellStyle name="통화 [0] 2 2 3 2 7 2" xfId="2139" xr:uid="{00000000-0005-0000-0000-00005A080000}"/>
    <cellStyle name="통화 [0] 2 2 3 2 8" xfId="2140" xr:uid="{00000000-0005-0000-0000-00005B080000}"/>
    <cellStyle name="통화 [0] 2 2 3 2 8 2" xfId="2141" xr:uid="{00000000-0005-0000-0000-00005C080000}"/>
    <cellStyle name="통화 [0] 2 2 3 2 9" xfId="2142" xr:uid="{00000000-0005-0000-0000-00005D080000}"/>
    <cellStyle name="통화 [0] 2 2 3 2 9 2" xfId="2143" xr:uid="{00000000-0005-0000-0000-00005E080000}"/>
    <cellStyle name="통화 [0] 2 2 3 3" xfId="2144" xr:uid="{00000000-0005-0000-0000-00005F080000}"/>
    <cellStyle name="통화 [0] 2 2 3 3 2" xfId="2145" xr:uid="{00000000-0005-0000-0000-000060080000}"/>
    <cellStyle name="통화 [0] 2 2 3 3 2 2" xfId="2146" xr:uid="{00000000-0005-0000-0000-000061080000}"/>
    <cellStyle name="통화 [0] 2 2 3 3 3" xfId="2147" xr:uid="{00000000-0005-0000-0000-000062080000}"/>
    <cellStyle name="통화 [0] 2 2 3 3 3 2" xfId="2148" xr:uid="{00000000-0005-0000-0000-000063080000}"/>
    <cellStyle name="통화 [0] 2 2 3 3 4" xfId="2149" xr:uid="{00000000-0005-0000-0000-000064080000}"/>
    <cellStyle name="통화 [0] 2 2 3 3 4 2" xfId="2150" xr:uid="{00000000-0005-0000-0000-000065080000}"/>
    <cellStyle name="통화 [0] 2 2 3 3 5" xfId="2151" xr:uid="{00000000-0005-0000-0000-000066080000}"/>
    <cellStyle name="통화 [0] 2 2 3 3 6" xfId="2152" xr:uid="{00000000-0005-0000-0000-000067080000}"/>
    <cellStyle name="통화 [0] 2 2 3 3 6 2" xfId="2153" xr:uid="{00000000-0005-0000-0000-000068080000}"/>
    <cellStyle name="통화 [0] 2 2 3 4" xfId="2154" xr:uid="{00000000-0005-0000-0000-000069080000}"/>
    <cellStyle name="통화 [0] 2 2 3 4 2" xfId="2155" xr:uid="{00000000-0005-0000-0000-00006A080000}"/>
    <cellStyle name="통화 [0] 2 2 3 4 2 2" xfId="2156" xr:uid="{00000000-0005-0000-0000-00006B080000}"/>
    <cellStyle name="통화 [0] 2 2 3 4 3" xfId="2157" xr:uid="{00000000-0005-0000-0000-00006C080000}"/>
    <cellStyle name="통화 [0] 2 2 3 4 3 2" xfId="2158" xr:uid="{00000000-0005-0000-0000-00006D080000}"/>
    <cellStyle name="통화 [0] 2 2 3 4 4" xfId="2159" xr:uid="{00000000-0005-0000-0000-00006E080000}"/>
    <cellStyle name="통화 [0] 2 2 3 5" xfId="2160" xr:uid="{00000000-0005-0000-0000-00006F080000}"/>
    <cellStyle name="통화 [0] 2 2 3 5 2" xfId="2161" xr:uid="{00000000-0005-0000-0000-000070080000}"/>
    <cellStyle name="통화 [0] 2 2 3 6" xfId="2162" xr:uid="{00000000-0005-0000-0000-000071080000}"/>
    <cellStyle name="통화 [0] 2 2 3 6 2" xfId="2163" xr:uid="{00000000-0005-0000-0000-000072080000}"/>
    <cellStyle name="통화 [0] 2 2 3 7" xfId="2164" xr:uid="{00000000-0005-0000-0000-000073080000}"/>
    <cellStyle name="통화 [0] 2 2 3 7 2" xfId="2165" xr:uid="{00000000-0005-0000-0000-000074080000}"/>
    <cellStyle name="통화 [0] 2 2 3 8" xfId="2166" xr:uid="{00000000-0005-0000-0000-000075080000}"/>
    <cellStyle name="통화 [0] 2 2 3 8 2" xfId="2167" xr:uid="{00000000-0005-0000-0000-000076080000}"/>
    <cellStyle name="통화 [0] 2 2 3 9" xfId="2168" xr:uid="{00000000-0005-0000-0000-000077080000}"/>
    <cellStyle name="통화 [0] 2 2 3 9 2" xfId="2169" xr:uid="{00000000-0005-0000-0000-000078080000}"/>
    <cellStyle name="통화 [0] 2 2 4" xfId="2170" xr:uid="{00000000-0005-0000-0000-000079080000}"/>
    <cellStyle name="통화 [0] 2 2 4 10" xfId="2171" xr:uid="{00000000-0005-0000-0000-00007A080000}"/>
    <cellStyle name="통화 [0] 2 2 4 10 2" xfId="2172" xr:uid="{00000000-0005-0000-0000-00007B080000}"/>
    <cellStyle name="통화 [0] 2 2 4 11" xfId="2173" xr:uid="{00000000-0005-0000-0000-00007C080000}"/>
    <cellStyle name="통화 [0] 2 2 4 11 2" xfId="2174" xr:uid="{00000000-0005-0000-0000-00007D080000}"/>
    <cellStyle name="통화 [0] 2 2 4 12" xfId="2175" xr:uid="{00000000-0005-0000-0000-00007E080000}"/>
    <cellStyle name="통화 [0] 2 2 4 12 2" xfId="2176" xr:uid="{00000000-0005-0000-0000-00007F080000}"/>
    <cellStyle name="통화 [0] 2 2 4 13" xfId="2177" xr:uid="{00000000-0005-0000-0000-000080080000}"/>
    <cellStyle name="통화 [0] 2 2 4 2" xfId="2178" xr:uid="{00000000-0005-0000-0000-000081080000}"/>
    <cellStyle name="통화 [0] 2 2 4 2 10" xfId="2179" xr:uid="{00000000-0005-0000-0000-000082080000}"/>
    <cellStyle name="통화 [0] 2 2 4 2 10 2" xfId="2180" xr:uid="{00000000-0005-0000-0000-000083080000}"/>
    <cellStyle name="통화 [0] 2 2 4 2 11" xfId="2181" xr:uid="{00000000-0005-0000-0000-000084080000}"/>
    <cellStyle name="통화 [0] 2 2 4 2 2" xfId="2182" xr:uid="{00000000-0005-0000-0000-000085080000}"/>
    <cellStyle name="통화 [0] 2 2 4 2 2 2" xfId="2183" xr:uid="{00000000-0005-0000-0000-000086080000}"/>
    <cellStyle name="통화 [0] 2 2 4 2 2 3" xfId="2184" xr:uid="{00000000-0005-0000-0000-000087080000}"/>
    <cellStyle name="통화 [0] 2 2 4 2 2 3 2" xfId="2185" xr:uid="{00000000-0005-0000-0000-000088080000}"/>
    <cellStyle name="통화 [0] 2 2 4 2 3" xfId="2186" xr:uid="{00000000-0005-0000-0000-000089080000}"/>
    <cellStyle name="통화 [0] 2 2 4 2 3 2" xfId="2187" xr:uid="{00000000-0005-0000-0000-00008A080000}"/>
    <cellStyle name="통화 [0] 2 2 4 2 4" xfId="2188" xr:uid="{00000000-0005-0000-0000-00008B080000}"/>
    <cellStyle name="통화 [0] 2 2 4 2 4 2" xfId="2189" xr:uid="{00000000-0005-0000-0000-00008C080000}"/>
    <cellStyle name="통화 [0] 2 2 4 2 5" xfId="2190" xr:uid="{00000000-0005-0000-0000-00008D080000}"/>
    <cellStyle name="통화 [0] 2 2 4 2 5 2" xfId="2191" xr:uid="{00000000-0005-0000-0000-00008E080000}"/>
    <cellStyle name="통화 [0] 2 2 4 2 6" xfId="2192" xr:uid="{00000000-0005-0000-0000-00008F080000}"/>
    <cellStyle name="통화 [0] 2 2 4 2 6 2" xfId="2193" xr:uid="{00000000-0005-0000-0000-000090080000}"/>
    <cellStyle name="통화 [0] 2 2 4 2 7" xfId="2194" xr:uid="{00000000-0005-0000-0000-000091080000}"/>
    <cellStyle name="통화 [0] 2 2 4 2 7 2" xfId="2195" xr:uid="{00000000-0005-0000-0000-000092080000}"/>
    <cellStyle name="통화 [0] 2 2 4 2 8" xfId="2196" xr:uid="{00000000-0005-0000-0000-000093080000}"/>
    <cellStyle name="통화 [0] 2 2 4 2 8 2" xfId="2197" xr:uid="{00000000-0005-0000-0000-000094080000}"/>
    <cellStyle name="통화 [0] 2 2 4 2 9" xfId="2198" xr:uid="{00000000-0005-0000-0000-000095080000}"/>
    <cellStyle name="통화 [0] 2 2 4 2 9 2" xfId="2199" xr:uid="{00000000-0005-0000-0000-000096080000}"/>
    <cellStyle name="통화 [0] 2 2 4 3" xfId="2200" xr:uid="{00000000-0005-0000-0000-000097080000}"/>
    <cellStyle name="통화 [0] 2 2 4 3 2" xfId="2201" xr:uid="{00000000-0005-0000-0000-000098080000}"/>
    <cellStyle name="통화 [0] 2 2 4 3 2 2" xfId="2202" xr:uid="{00000000-0005-0000-0000-000099080000}"/>
    <cellStyle name="통화 [0] 2 2 4 3 3" xfId="2203" xr:uid="{00000000-0005-0000-0000-00009A080000}"/>
    <cellStyle name="통화 [0] 2 2 4 3 3 2" xfId="2204" xr:uid="{00000000-0005-0000-0000-00009B080000}"/>
    <cellStyle name="통화 [0] 2 2 4 3 4" xfId="2205" xr:uid="{00000000-0005-0000-0000-00009C080000}"/>
    <cellStyle name="통화 [0] 2 2 4 3 4 2" xfId="2206" xr:uid="{00000000-0005-0000-0000-00009D080000}"/>
    <cellStyle name="통화 [0] 2 2 4 3 5" xfId="2207" xr:uid="{00000000-0005-0000-0000-00009E080000}"/>
    <cellStyle name="통화 [0] 2 2 4 3 6" xfId="2208" xr:uid="{00000000-0005-0000-0000-00009F080000}"/>
    <cellStyle name="통화 [0] 2 2 4 3 6 2" xfId="2209" xr:uid="{00000000-0005-0000-0000-0000A0080000}"/>
    <cellStyle name="통화 [0] 2 2 4 4" xfId="2210" xr:uid="{00000000-0005-0000-0000-0000A1080000}"/>
    <cellStyle name="통화 [0] 2 2 4 4 2" xfId="2211" xr:uid="{00000000-0005-0000-0000-0000A2080000}"/>
    <cellStyle name="통화 [0] 2 2 4 4 2 2" xfId="2212" xr:uid="{00000000-0005-0000-0000-0000A3080000}"/>
    <cellStyle name="통화 [0] 2 2 4 4 3" xfId="2213" xr:uid="{00000000-0005-0000-0000-0000A4080000}"/>
    <cellStyle name="통화 [0] 2 2 4 4 3 2" xfId="2214" xr:uid="{00000000-0005-0000-0000-0000A5080000}"/>
    <cellStyle name="통화 [0] 2 2 4 4 4" xfId="2215" xr:uid="{00000000-0005-0000-0000-0000A6080000}"/>
    <cellStyle name="통화 [0] 2 2 4 5" xfId="2216" xr:uid="{00000000-0005-0000-0000-0000A7080000}"/>
    <cellStyle name="통화 [0] 2 2 4 5 2" xfId="2217" xr:uid="{00000000-0005-0000-0000-0000A8080000}"/>
    <cellStyle name="통화 [0] 2 2 4 6" xfId="2218" xr:uid="{00000000-0005-0000-0000-0000A9080000}"/>
    <cellStyle name="통화 [0] 2 2 4 6 2" xfId="2219" xr:uid="{00000000-0005-0000-0000-0000AA080000}"/>
    <cellStyle name="통화 [0] 2 2 4 7" xfId="2220" xr:uid="{00000000-0005-0000-0000-0000AB080000}"/>
    <cellStyle name="통화 [0] 2 2 4 7 2" xfId="2221" xr:uid="{00000000-0005-0000-0000-0000AC080000}"/>
    <cellStyle name="통화 [0] 2 2 4 8" xfId="2222" xr:uid="{00000000-0005-0000-0000-0000AD080000}"/>
    <cellStyle name="통화 [0] 2 2 4 8 2" xfId="2223" xr:uid="{00000000-0005-0000-0000-0000AE080000}"/>
    <cellStyle name="통화 [0] 2 2 4 9" xfId="2224" xr:uid="{00000000-0005-0000-0000-0000AF080000}"/>
    <cellStyle name="통화 [0] 2 2 4 9 2" xfId="2225" xr:uid="{00000000-0005-0000-0000-0000B0080000}"/>
    <cellStyle name="통화 [0] 2 2 5" xfId="2226" xr:uid="{00000000-0005-0000-0000-0000B1080000}"/>
    <cellStyle name="통화 [0] 2 2 5 10" xfId="2227" xr:uid="{00000000-0005-0000-0000-0000B2080000}"/>
    <cellStyle name="통화 [0] 2 2 5 10 2" xfId="2228" xr:uid="{00000000-0005-0000-0000-0000B3080000}"/>
    <cellStyle name="통화 [0] 2 2 5 11" xfId="2229" xr:uid="{00000000-0005-0000-0000-0000B4080000}"/>
    <cellStyle name="통화 [0] 2 2 5 11 2" xfId="2230" xr:uid="{00000000-0005-0000-0000-0000B5080000}"/>
    <cellStyle name="통화 [0] 2 2 5 12" xfId="2231" xr:uid="{00000000-0005-0000-0000-0000B6080000}"/>
    <cellStyle name="통화 [0] 2 2 5 12 2" xfId="2232" xr:uid="{00000000-0005-0000-0000-0000B7080000}"/>
    <cellStyle name="통화 [0] 2 2 5 13" xfId="2233" xr:uid="{00000000-0005-0000-0000-0000B8080000}"/>
    <cellStyle name="통화 [0] 2 2 5 2" xfId="2234" xr:uid="{00000000-0005-0000-0000-0000B9080000}"/>
    <cellStyle name="통화 [0] 2 2 5 2 10" xfId="2235" xr:uid="{00000000-0005-0000-0000-0000BA080000}"/>
    <cellStyle name="통화 [0] 2 2 5 2 10 2" xfId="2236" xr:uid="{00000000-0005-0000-0000-0000BB080000}"/>
    <cellStyle name="통화 [0] 2 2 5 2 11" xfId="2237" xr:uid="{00000000-0005-0000-0000-0000BC080000}"/>
    <cellStyle name="통화 [0] 2 2 5 2 2" xfId="2238" xr:uid="{00000000-0005-0000-0000-0000BD080000}"/>
    <cellStyle name="통화 [0] 2 2 5 2 2 2" xfId="2239" xr:uid="{00000000-0005-0000-0000-0000BE080000}"/>
    <cellStyle name="통화 [0] 2 2 5 2 2 3" xfId="2240" xr:uid="{00000000-0005-0000-0000-0000BF080000}"/>
    <cellStyle name="통화 [0] 2 2 5 2 2 3 2" xfId="2241" xr:uid="{00000000-0005-0000-0000-0000C0080000}"/>
    <cellStyle name="통화 [0] 2 2 5 2 3" xfId="2242" xr:uid="{00000000-0005-0000-0000-0000C1080000}"/>
    <cellStyle name="통화 [0] 2 2 5 2 3 2" xfId="2243" xr:uid="{00000000-0005-0000-0000-0000C2080000}"/>
    <cellStyle name="통화 [0] 2 2 5 2 4" xfId="2244" xr:uid="{00000000-0005-0000-0000-0000C3080000}"/>
    <cellStyle name="통화 [0] 2 2 5 2 4 2" xfId="2245" xr:uid="{00000000-0005-0000-0000-0000C4080000}"/>
    <cellStyle name="통화 [0] 2 2 5 2 5" xfId="2246" xr:uid="{00000000-0005-0000-0000-0000C5080000}"/>
    <cellStyle name="통화 [0] 2 2 5 2 5 2" xfId="2247" xr:uid="{00000000-0005-0000-0000-0000C6080000}"/>
    <cellStyle name="통화 [0] 2 2 5 2 6" xfId="2248" xr:uid="{00000000-0005-0000-0000-0000C7080000}"/>
    <cellStyle name="통화 [0] 2 2 5 2 6 2" xfId="2249" xr:uid="{00000000-0005-0000-0000-0000C8080000}"/>
    <cellStyle name="통화 [0] 2 2 5 2 7" xfId="2250" xr:uid="{00000000-0005-0000-0000-0000C9080000}"/>
    <cellStyle name="통화 [0] 2 2 5 2 7 2" xfId="2251" xr:uid="{00000000-0005-0000-0000-0000CA080000}"/>
    <cellStyle name="통화 [0] 2 2 5 2 8" xfId="2252" xr:uid="{00000000-0005-0000-0000-0000CB080000}"/>
    <cellStyle name="통화 [0] 2 2 5 2 8 2" xfId="2253" xr:uid="{00000000-0005-0000-0000-0000CC080000}"/>
    <cellStyle name="통화 [0] 2 2 5 2 9" xfId="2254" xr:uid="{00000000-0005-0000-0000-0000CD080000}"/>
    <cellStyle name="통화 [0] 2 2 5 2 9 2" xfId="2255" xr:uid="{00000000-0005-0000-0000-0000CE080000}"/>
    <cellStyle name="통화 [0] 2 2 5 3" xfId="2256" xr:uid="{00000000-0005-0000-0000-0000CF080000}"/>
    <cellStyle name="통화 [0] 2 2 5 3 2" xfId="2257" xr:uid="{00000000-0005-0000-0000-0000D0080000}"/>
    <cellStyle name="통화 [0] 2 2 5 3 2 2" xfId="2258" xr:uid="{00000000-0005-0000-0000-0000D1080000}"/>
    <cellStyle name="통화 [0] 2 2 5 3 3" xfId="2259" xr:uid="{00000000-0005-0000-0000-0000D2080000}"/>
    <cellStyle name="통화 [0] 2 2 5 3 3 2" xfId="2260" xr:uid="{00000000-0005-0000-0000-0000D3080000}"/>
    <cellStyle name="통화 [0] 2 2 5 3 4" xfId="2261" xr:uid="{00000000-0005-0000-0000-0000D4080000}"/>
    <cellStyle name="통화 [0] 2 2 5 3 4 2" xfId="2262" xr:uid="{00000000-0005-0000-0000-0000D5080000}"/>
    <cellStyle name="통화 [0] 2 2 5 3 5" xfId="2263" xr:uid="{00000000-0005-0000-0000-0000D6080000}"/>
    <cellStyle name="통화 [0] 2 2 5 3 6" xfId="2264" xr:uid="{00000000-0005-0000-0000-0000D7080000}"/>
    <cellStyle name="통화 [0] 2 2 5 3 6 2" xfId="2265" xr:uid="{00000000-0005-0000-0000-0000D8080000}"/>
    <cellStyle name="통화 [0] 2 2 5 4" xfId="2266" xr:uid="{00000000-0005-0000-0000-0000D9080000}"/>
    <cellStyle name="통화 [0] 2 2 5 4 2" xfId="2267" xr:uid="{00000000-0005-0000-0000-0000DA080000}"/>
    <cellStyle name="통화 [0] 2 2 5 4 2 2" xfId="2268" xr:uid="{00000000-0005-0000-0000-0000DB080000}"/>
    <cellStyle name="통화 [0] 2 2 5 4 3" xfId="2269" xr:uid="{00000000-0005-0000-0000-0000DC080000}"/>
    <cellStyle name="통화 [0] 2 2 5 4 3 2" xfId="2270" xr:uid="{00000000-0005-0000-0000-0000DD080000}"/>
    <cellStyle name="통화 [0] 2 2 5 4 4" xfId="2271" xr:uid="{00000000-0005-0000-0000-0000DE080000}"/>
    <cellStyle name="통화 [0] 2 2 5 5" xfId="2272" xr:uid="{00000000-0005-0000-0000-0000DF080000}"/>
    <cellStyle name="통화 [0] 2 2 5 5 2" xfId="2273" xr:uid="{00000000-0005-0000-0000-0000E0080000}"/>
    <cellStyle name="통화 [0] 2 2 5 6" xfId="2274" xr:uid="{00000000-0005-0000-0000-0000E1080000}"/>
    <cellStyle name="통화 [0] 2 2 5 6 2" xfId="2275" xr:uid="{00000000-0005-0000-0000-0000E2080000}"/>
    <cellStyle name="통화 [0] 2 2 5 7" xfId="2276" xr:uid="{00000000-0005-0000-0000-0000E3080000}"/>
    <cellStyle name="통화 [0] 2 2 5 7 2" xfId="2277" xr:uid="{00000000-0005-0000-0000-0000E4080000}"/>
    <cellStyle name="통화 [0] 2 2 5 8" xfId="2278" xr:uid="{00000000-0005-0000-0000-0000E5080000}"/>
    <cellStyle name="통화 [0] 2 2 5 8 2" xfId="2279" xr:uid="{00000000-0005-0000-0000-0000E6080000}"/>
    <cellStyle name="통화 [0] 2 2 5 9" xfId="2280" xr:uid="{00000000-0005-0000-0000-0000E7080000}"/>
    <cellStyle name="통화 [0] 2 2 5 9 2" xfId="2281" xr:uid="{00000000-0005-0000-0000-0000E8080000}"/>
    <cellStyle name="통화 [0] 2 2 6" xfId="2282" xr:uid="{00000000-0005-0000-0000-0000E9080000}"/>
    <cellStyle name="통화 [0] 2 2 6 10" xfId="2283" xr:uid="{00000000-0005-0000-0000-0000EA080000}"/>
    <cellStyle name="통화 [0] 2 2 6 10 2" xfId="2284" xr:uid="{00000000-0005-0000-0000-0000EB080000}"/>
    <cellStyle name="통화 [0] 2 2 6 11" xfId="2285" xr:uid="{00000000-0005-0000-0000-0000EC080000}"/>
    <cellStyle name="통화 [0] 2 2 6 2" xfId="2286" xr:uid="{00000000-0005-0000-0000-0000ED080000}"/>
    <cellStyle name="통화 [0] 2 2 6 2 2" xfId="2287" xr:uid="{00000000-0005-0000-0000-0000EE080000}"/>
    <cellStyle name="통화 [0] 2 2 6 2 3" xfId="2288" xr:uid="{00000000-0005-0000-0000-0000EF080000}"/>
    <cellStyle name="통화 [0] 2 2 6 2 3 2" xfId="2289" xr:uid="{00000000-0005-0000-0000-0000F0080000}"/>
    <cellStyle name="통화 [0] 2 2 6 2 4" xfId="2290" xr:uid="{00000000-0005-0000-0000-0000F1080000}"/>
    <cellStyle name="통화 [0] 2 2 6 2 4 2" xfId="2291" xr:uid="{00000000-0005-0000-0000-0000F2080000}"/>
    <cellStyle name="통화 [0] 2 2 6 2 5" xfId="2292" xr:uid="{00000000-0005-0000-0000-0000F3080000}"/>
    <cellStyle name="통화 [0] 2 2 6 2 5 2" xfId="2293" xr:uid="{00000000-0005-0000-0000-0000F4080000}"/>
    <cellStyle name="통화 [0] 2 2 6 2 6" xfId="2294" xr:uid="{00000000-0005-0000-0000-0000F5080000}"/>
    <cellStyle name="통화 [0] 2 2 6 2 6 2" xfId="2295" xr:uid="{00000000-0005-0000-0000-0000F6080000}"/>
    <cellStyle name="통화 [0] 2 2 6 2 7" xfId="2296" xr:uid="{00000000-0005-0000-0000-0000F7080000}"/>
    <cellStyle name="통화 [0] 2 2 6 2 7 2" xfId="2297" xr:uid="{00000000-0005-0000-0000-0000F8080000}"/>
    <cellStyle name="통화 [0] 2 2 6 2 8" xfId="2298" xr:uid="{00000000-0005-0000-0000-0000F9080000}"/>
    <cellStyle name="통화 [0] 2 2 6 2 8 2" xfId="2299" xr:uid="{00000000-0005-0000-0000-0000FA080000}"/>
    <cellStyle name="통화 [0] 2 2 6 2 9" xfId="2300" xr:uid="{00000000-0005-0000-0000-0000FB080000}"/>
    <cellStyle name="통화 [0] 2 2 6 3" xfId="2301" xr:uid="{00000000-0005-0000-0000-0000FC080000}"/>
    <cellStyle name="통화 [0] 2 2 6 3 2" xfId="2302" xr:uid="{00000000-0005-0000-0000-0000FD080000}"/>
    <cellStyle name="통화 [0] 2 2 6 3 3" xfId="2303" xr:uid="{00000000-0005-0000-0000-0000FE080000}"/>
    <cellStyle name="통화 [0] 2 2 6 3 3 2" xfId="2304" xr:uid="{00000000-0005-0000-0000-0000FF080000}"/>
    <cellStyle name="통화 [0] 2 2 6 4" xfId="2305" xr:uid="{00000000-0005-0000-0000-000000090000}"/>
    <cellStyle name="통화 [0] 2 2 6 4 2" xfId="2306" xr:uid="{00000000-0005-0000-0000-000001090000}"/>
    <cellStyle name="통화 [0] 2 2 6 5" xfId="2307" xr:uid="{00000000-0005-0000-0000-000002090000}"/>
    <cellStyle name="통화 [0] 2 2 6 5 2" xfId="2308" xr:uid="{00000000-0005-0000-0000-000003090000}"/>
    <cellStyle name="통화 [0] 2 2 6 6" xfId="2309" xr:uid="{00000000-0005-0000-0000-000004090000}"/>
    <cellStyle name="통화 [0] 2 2 6 6 2" xfId="2310" xr:uid="{00000000-0005-0000-0000-000005090000}"/>
    <cellStyle name="통화 [0] 2 2 6 7" xfId="2311" xr:uid="{00000000-0005-0000-0000-000006090000}"/>
    <cellStyle name="통화 [0] 2 2 6 7 2" xfId="2312" xr:uid="{00000000-0005-0000-0000-000007090000}"/>
    <cellStyle name="통화 [0] 2 2 6 8" xfId="2313" xr:uid="{00000000-0005-0000-0000-000008090000}"/>
    <cellStyle name="통화 [0] 2 2 6 8 2" xfId="2314" xr:uid="{00000000-0005-0000-0000-000009090000}"/>
    <cellStyle name="통화 [0] 2 2 6 9" xfId="2315" xr:uid="{00000000-0005-0000-0000-00000A090000}"/>
    <cellStyle name="통화 [0] 2 2 6 9 2" xfId="2316" xr:uid="{00000000-0005-0000-0000-00000B090000}"/>
    <cellStyle name="통화 [0] 2 2 7" xfId="2317" xr:uid="{00000000-0005-0000-0000-00000C090000}"/>
    <cellStyle name="통화 [0] 2 2 7 10" xfId="2318" xr:uid="{00000000-0005-0000-0000-00000D090000}"/>
    <cellStyle name="통화 [0] 2 2 7 10 2" xfId="2319" xr:uid="{00000000-0005-0000-0000-00000E090000}"/>
    <cellStyle name="통화 [0] 2 2 7 11" xfId="2320" xr:uid="{00000000-0005-0000-0000-00000F090000}"/>
    <cellStyle name="통화 [0] 2 2 7 2" xfId="2321" xr:uid="{00000000-0005-0000-0000-000010090000}"/>
    <cellStyle name="통화 [0] 2 2 7 2 2" xfId="2322" xr:uid="{00000000-0005-0000-0000-000011090000}"/>
    <cellStyle name="통화 [0] 2 2 7 2 3" xfId="2323" xr:uid="{00000000-0005-0000-0000-000012090000}"/>
    <cellStyle name="통화 [0] 2 2 7 2 3 2" xfId="2324" xr:uid="{00000000-0005-0000-0000-000013090000}"/>
    <cellStyle name="통화 [0] 2 2 7 2 4" xfId="2325" xr:uid="{00000000-0005-0000-0000-000014090000}"/>
    <cellStyle name="통화 [0] 2 2 7 2 4 2" xfId="2326" xr:uid="{00000000-0005-0000-0000-000015090000}"/>
    <cellStyle name="통화 [0] 2 2 7 2 5" xfId="2327" xr:uid="{00000000-0005-0000-0000-000016090000}"/>
    <cellStyle name="통화 [0] 2 2 7 2 5 2" xfId="2328" xr:uid="{00000000-0005-0000-0000-000017090000}"/>
    <cellStyle name="통화 [0] 2 2 7 2 6" xfId="2329" xr:uid="{00000000-0005-0000-0000-000018090000}"/>
    <cellStyle name="통화 [0] 2 2 7 2 6 2" xfId="2330" xr:uid="{00000000-0005-0000-0000-000019090000}"/>
    <cellStyle name="통화 [0] 2 2 7 2 7" xfId="2331" xr:uid="{00000000-0005-0000-0000-00001A090000}"/>
    <cellStyle name="통화 [0] 2 2 7 2 7 2" xfId="2332" xr:uid="{00000000-0005-0000-0000-00001B090000}"/>
    <cellStyle name="통화 [0] 2 2 7 2 8" xfId="2333" xr:uid="{00000000-0005-0000-0000-00001C090000}"/>
    <cellStyle name="통화 [0] 2 2 7 2 8 2" xfId="2334" xr:uid="{00000000-0005-0000-0000-00001D090000}"/>
    <cellStyle name="통화 [0] 2 2 7 2 9" xfId="2335" xr:uid="{00000000-0005-0000-0000-00001E090000}"/>
    <cellStyle name="통화 [0] 2 2 7 3" xfId="2336" xr:uid="{00000000-0005-0000-0000-00001F090000}"/>
    <cellStyle name="통화 [0] 2 2 7 3 2" xfId="2337" xr:uid="{00000000-0005-0000-0000-000020090000}"/>
    <cellStyle name="통화 [0] 2 2 7 3 3" xfId="2338" xr:uid="{00000000-0005-0000-0000-000021090000}"/>
    <cellStyle name="통화 [0] 2 2 7 3 3 2" xfId="2339" xr:uid="{00000000-0005-0000-0000-000022090000}"/>
    <cellStyle name="통화 [0] 2 2 7 4" xfId="2340" xr:uid="{00000000-0005-0000-0000-000023090000}"/>
    <cellStyle name="통화 [0] 2 2 7 4 2" xfId="2341" xr:uid="{00000000-0005-0000-0000-000024090000}"/>
    <cellStyle name="통화 [0] 2 2 7 5" xfId="2342" xr:uid="{00000000-0005-0000-0000-000025090000}"/>
    <cellStyle name="통화 [0] 2 2 7 5 2" xfId="2343" xr:uid="{00000000-0005-0000-0000-000026090000}"/>
    <cellStyle name="통화 [0] 2 2 7 6" xfId="2344" xr:uid="{00000000-0005-0000-0000-000027090000}"/>
    <cellStyle name="통화 [0] 2 2 7 6 2" xfId="2345" xr:uid="{00000000-0005-0000-0000-000028090000}"/>
    <cellStyle name="통화 [0] 2 2 7 7" xfId="2346" xr:uid="{00000000-0005-0000-0000-000029090000}"/>
    <cellStyle name="통화 [0] 2 2 7 7 2" xfId="2347" xr:uid="{00000000-0005-0000-0000-00002A090000}"/>
    <cellStyle name="통화 [0] 2 2 7 8" xfId="2348" xr:uid="{00000000-0005-0000-0000-00002B090000}"/>
    <cellStyle name="통화 [0] 2 2 7 8 2" xfId="2349" xr:uid="{00000000-0005-0000-0000-00002C090000}"/>
    <cellStyle name="통화 [0] 2 2 7 9" xfId="2350" xr:uid="{00000000-0005-0000-0000-00002D090000}"/>
    <cellStyle name="통화 [0] 2 2 7 9 2" xfId="2351" xr:uid="{00000000-0005-0000-0000-00002E090000}"/>
    <cellStyle name="통화 [0] 2 2 8" xfId="2352" xr:uid="{00000000-0005-0000-0000-00002F090000}"/>
    <cellStyle name="통화 [0] 2 2 8 10" xfId="2353" xr:uid="{00000000-0005-0000-0000-000030090000}"/>
    <cellStyle name="통화 [0] 2 2 8 2" xfId="2354" xr:uid="{00000000-0005-0000-0000-000031090000}"/>
    <cellStyle name="통화 [0] 2 2 8 2 2" xfId="2355" xr:uid="{00000000-0005-0000-0000-000032090000}"/>
    <cellStyle name="통화 [0] 2 2 8 2 3" xfId="2356" xr:uid="{00000000-0005-0000-0000-000033090000}"/>
    <cellStyle name="통화 [0] 2 2 8 2 3 2" xfId="2357" xr:uid="{00000000-0005-0000-0000-000034090000}"/>
    <cellStyle name="통화 [0] 2 2 8 2 4" xfId="2358" xr:uid="{00000000-0005-0000-0000-000035090000}"/>
    <cellStyle name="통화 [0] 2 2 8 2 4 2" xfId="2359" xr:uid="{00000000-0005-0000-0000-000036090000}"/>
    <cellStyle name="통화 [0] 2 2 8 2 5" xfId="2360" xr:uid="{00000000-0005-0000-0000-000037090000}"/>
    <cellStyle name="통화 [0] 2 2 8 2 5 2" xfId="2361" xr:uid="{00000000-0005-0000-0000-000038090000}"/>
    <cellStyle name="통화 [0] 2 2 8 2 6" xfId="2362" xr:uid="{00000000-0005-0000-0000-000039090000}"/>
    <cellStyle name="통화 [0] 2 2 8 2 6 2" xfId="2363" xr:uid="{00000000-0005-0000-0000-00003A090000}"/>
    <cellStyle name="통화 [0] 2 2 8 2 7" xfId="2364" xr:uid="{00000000-0005-0000-0000-00003B090000}"/>
    <cellStyle name="통화 [0] 2 2 8 2 7 2" xfId="2365" xr:uid="{00000000-0005-0000-0000-00003C090000}"/>
    <cellStyle name="통화 [0] 2 2 8 2 8" xfId="2366" xr:uid="{00000000-0005-0000-0000-00003D090000}"/>
    <cellStyle name="통화 [0] 2 2 8 2 8 2" xfId="2367" xr:uid="{00000000-0005-0000-0000-00003E090000}"/>
    <cellStyle name="통화 [0] 2 2 8 2 9" xfId="2368" xr:uid="{00000000-0005-0000-0000-00003F090000}"/>
    <cellStyle name="통화 [0] 2 2 8 3" xfId="2369" xr:uid="{00000000-0005-0000-0000-000040090000}"/>
    <cellStyle name="통화 [0] 2 2 8 3 2" xfId="2370" xr:uid="{00000000-0005-0000-0000-000041090000}"/>
    <cellStyle name="통화 [0] 2 2 8 3 3" xfId="2371" xr:uid="{00000000-0005-0000-0000-000042090000}"/>
    <cellStyle name="통화 [0] 2 2 8 3 3 2" xfId="2372" xr:uid="{00000000-0005-0000-0000-000043090000}"/>
    <cellStyle name="통화 [0] 2 2 8 4" xfId="2373" xr:uid="{00000000-0005-0000-0000-000044090000}"/>
    <cellStyle name="통화 [0] 2 2 8 4 2" xfId="2374" xr:uid="{00000000-0005-0000-0000-000045090000}"/>
    <cellStyle name="통화 [0] 2 2 8 5" xfId="2375" xr:uid="{00000000-0005-0000-0000-000046090000}"/>
    <cellStyle name="통화 [0] 2 2 8 5 2" xfId="2376" xr:uid="{00000000-0005-0000-0000-000047090000}"/>
    <cellStyle name="통화 [0] 2 2 8 6" xfId="2377" xr:uid="{00000000-0005-0000-0000-000048090000}"/>
    <cellStyle name="통화 [0] 2 2 8 6 2" xfId="2378" xr:uid="{00000000-0005-0000-0000-000049090000}"/>
    <cellStyle name="통화 [0] 2 2 8 7" xfId="2379" xr:uid="{00000000-0005-0000-0000-00004A090000}"/>
    <cellStyle name="통화 [0] 2 2 8 7 2" xfId="2380" xr:uid="{00000000-0005-0000-0000-00004B090000}"/>
    <cellStyle name="통화 [0] 2 2 8 8" xfId="2381" xr:uid="{00000000-0005-0000-0000-00004C090000}"/>
    <cellStyle name="통화 [0] 2 2 8 8 2" xfId="2382" xr:uid="{00000000-0005-0000-0000-00004D090000}"/>
    <cellStyle name="통화 [0] 2 2 8 9" xfId="2383" xr:uid="{00000000-0005-0000-0000-00004E090000}"/>
    <cellStyle name="통화 [0] 2 2 8 9 2" xfId="2384" xr:uid="{00000000-0005-0000-0000-00004F090000}"/>
    <cellStyle name="통화 [0] 2 2 9" xfId="2385" xr:uid="{00000000-0005-0000-0000-000050090000}"/>
    <cellStyle name="통화 [0] 2 2 9 2" xfId="2386" xr:uid="{00000000-0005-0000-0000-000051090000}"/>
    <cellStyle name="통화 [0] 2 2 9 3" xfId="2387" xr:uid="{00000000-0005-0000-0000-000052090000}"/>
    <cellStyle name="통화 [0] 2 2 9 3 2" xfId="2388" xr:uid="{00000000-0005-0000-0000-000053090000}"/>
    <cellStyle name="통화 [0] 2 2 9 4" xfId="2389" xr:uid="{00000000-0005-0000-0000-000054090000}"/>
    <cellStyle name="통화 [0] 2 2 9 4 2" xfId="2390" xr:uid="{00000000-0005-0000-0000-000055090000}"/>
    <cellStyle name="통화 [0] 2 2 9 5" xfId="2391" xr:uid="{00000000-0005-0000-0000-000056090000}"/>
    <cellStyle name="통화 [0] 2 2 9 5 2" xfId="2392" xr:uid="{00000000-0005-0000-0000-000057090000}"/>
    <cellStyle name="통화 [0] 2 2 9 6" xfId="2393" xr:uid="{00000000-0005-0000-0000-000058090000}"/>
    <cellStyle name="통화 [0] 2 2 9 6 2" xfId="2394" xr:uid="{00000000-0005-0000-0000-000059090000}"/>
    <cellStyle name="통화 [0] 2 2 9 7" xfId="2395" xr:uid="{00000000-0005-0000-0000-00005A090000}"/>
    <cellStyle name="통화 [0] 2 2 9 7 2" xfId="2396" xr:uid="{00000000-0005-0000-0000-00005B090000}"/>
    <cellStyle name="통화 [0] 2 2 9 8" xfId="2397" xr:uid="{00000000-0005-0000-0000-00005C090000}"/>
    <cellStyle name="통화 [0] 2 2 9 8 2" xfId="2398" xr:uid="{00000000-0005-0000-0000-00005D090000}"/>
    <cellStyle name="통화 [0] 2 2 9 9" xfId="2399" xr:uid="{00000000-0005-0000-0000-00005E090000}"/>
    <cellStyle name="통화 [0] 2 20" xfId="2400" xr:uid="{00000000-0005-0000-0000-00005F090000}"/>
    <cellStyle name="통화 [0] 2 3" xfId="2401" xr:uid="{00000000-0005-0000-0000-000060090000}"/>
    <cellStyle name="통화 [0] 2 3 10" xfId="2402" xr:uid="{00000000-0005-0000-0000-000061090000}"/>
    <cellStyle name="통화 [0] 2 3 10 2" xfId="2403" xr:uid="{00000000-0005-0000-0000-000062090000}"/>
    <cellStyle name="통화 [0] 2 3 11" xfId="2404" xr:uid="{00000000-0005-0000-0000-000063090000}"/>
    <cellStyle name="통화 [0] 2 3 11 2" xfId="2405" xr:uid="{00000000-0005-0000-0000-000064090000}"/>
    <cellStyle name="통화 [0] 2 3 12" xfId="2406" xr:uid="{00000000-0005-0000-0000-000065090000}"/>
    <cellStyle name="통화 [0] 2 3 12 2" xfId="2407" xr:uid="{00000000-0005-0000-0000-000066090000}"/>
    <cellStyle name="통화 [0] 2 3 13" xfId="2408" xr:uid="{00000000-0005-0000-0000-000067090000}"/>
    <cellStyle name="통화 [0] 2 3 2" xfId="2409" xr:uid="{00000000-0005-0000-0000-000068090000}"/>
    <cellStyle name="통화 [0] 2 3 2 10" xfId="2410" xr:uid="{00000000-0005-0000-0000-000069090000}"/>
    <cellStyle name="통화 [0] 2 3 2 10 2" xfId="2411" xr:uid="{00000000-0005-0000-0000-00006A090000}"/>
    <cellStyle name="통화 [0] 2 3 2 11" xfId="2412" xr:uid="{00000000-0005-0000-0000-00006B090000}"/>
    <cellStyle name="통화 [0] 2 3 2 2" xfId="2413" xr:uid="{00000000-0005-0000-0000-00006C090000}"/>
    <cellStyle name="통화 [0] 2 3 2 2 2" xfId="2414" xr:uid="{00000000-0005-0000-0000-00006D090000}"/>
    <cellStyle name="통화 [0] 2 3 2 2 3" xfId="2415" xr:uid="{00000000-0005-0000-0000-00006E090000}"/>
    <cellStyle name="통화 [0] 2 3 2 2 3 2" xfId="2416" xr:uid="{00000000-0005-0000-0000-00006F090000}"/>
    <cellStyle name="통화 [0] 2 3 2 3" xfId="2417" xr:uid="{00000000-0005-0000-0000-000070090000}"/>
    <cellStyle name="통화 [0] 2 3 2 3 2" xfId="2418" xr:uid="{00000000-0005-0000-0000-000071090000}"/>
    <cellStyle name="통화 [0] 2 3 2 4" xfId="2419" xr:uid="{00000000-0005-0000-0000-000072090000}"/>
    <cellStyle name="통화 [0] 2 3 2 4 2" xfId="2420" xr:uid="{00000000-0005-0000-0000-000073090000}"/>
    <cellStyle name="통화 [0] 2 3 2 5" xfId="2421" xr:uid="{00000000-0005-0000-0000-000074090000}"/>
    <cellStyle name="통화 [0] 2 3 2 5 2" xfId="2422" xr:uid="{00000000-0005-0000-0000-000075090000}"/>
    <cellStyle name="통화 [0] 2 3 2 6" xfId="2423" xr:uid="{00000000-0005-0000-0000-000076090000}"/>
    <cellStyle name="통화 [0] 2 3 2 6 2" xfId="2424" xr:uid="{00000000-0005-0000-0000-000077090000}"/>
    <cellStyle name="통화 [0] 2 3 2 7" xfId="2425" xr:uid="{00000000-0005-0000-0000-000078090000}"/>
    <cellStyle name="통화 [0] 2 3 2 7 2" xfId="2426" xr:uid="{00000000-0005-0000-0000-000079090000}"/>
    <cellStyle name="통화 [0] 2 3 2 8" xfId="2427" xr:uid="{00000000-0005-0000-0000-00007A090000}"/>
    <cellStyle name="통화 [0] 2 3 2 8 2" xfId="2428" xr:uid="{00000000-0005-0000-0000-00007B090000}"/>
    <cellStyle name="통화 [0] 2 3 2 9" xfId="2429" xr:uid="{00000000-0005-0000-0000-00007C090000}"/>
    <cellStyle name="통화 [0] 2 3 2 9 2" xfId="2430" xr:uid="{00000000-0005-0000-0000-00007D090000}"/>
    <cellStyle name="통화 [0] 2 3 3" xfId="2431" xr:uid="{00000000-0005-0000-0000-00007E090000}"/>
    <cellStyle name="통화 [0] 2 3 3 2" xfId="2432" xr:uid="{00000000-0005-0000-0000-00007F090000}"/>
    <cellStyle name="통화 [0] 2 3 3 2 2" xfId="2433" xr:uid="{00000000-0005-0000-0000-000080090000}"/>
    <cellStyle name="통화 [0] 2 3 3 3" xfId="2434" xr:uid="{00000000-0005-0000-0000-000081090000}"/>
    <cellStyle name="통화 [0] 2 3 3 3 2" xfId="2435" xr:uid="{00000000-0005-0000-0000-000082090000}"/>
    <cellStyle name="통화 [0] 2 3 3 4" xfId="2436" xr:uid="{00000000-0005-0000-0000-000083090000}"/>
    <cellStyle name="통화 [0] 2 3 3 4 2" xfId="2437" xr:uid="{00000000-0005-0000-0000-000084090000}"/>
    <cellStyle name="통화 [0] 2 3 3 5" xfId="2438" xr:uid="{00000000-0005-0000-0000-000085090000}"/>
    <cellStyle name="통화 [0] 2 3 3 6" xfId="2439" xr:uid="{00000000-0005-0000-0000-000086090000}"/>
    <cellStyle name="통화 [0] 2 3 3 6 2" xfId="2440" xr:uid="{00000000-0005-0000-0000-000087090000}"/>
    <cellStyle name="통화 [0] 2 3 4" xfId="2441" xr:uid="{00000000-0005-0000-0000-000088090000}"/>
    <cellStyle name="통화 [0] 2 3 4 2" xfId="2442" xr:uid="{00000000-0005-0000-0000-000089090000}"/>
    <cellStyle name="통화 [0] 2 3 4 2 2" xfId="2443" xr:uid="{00000000-0005-0000-0000-00008A090000}"/>
    <cellStyle name="통화 [0] 2 3 4 3" xfId="2444" xr:uid="{00000000-0005-0000-0000-00008B090000}"/>
    <cellStyle name="통화 [0] 2 3 4 3 2" xfId="2445" xr:uid="{00000000-0005-0000-0000-00008C090000}"/>
    <cellStyle name="통화 [0] 2 3 4 4" xfId="2446" xr:uid="{00000000-0005-0000-0000-00008D090000}"/>
    <cellStyle name="통화 [0] 2 3 5" xfId="2447" xr:uid="{00000000-0005-0000-0000-00008E090000}"/>
    <cellStyle name="통화 [0] 2 3 5 2" xfId="2448" xr:uid="{00000000-0005-0000-0000-00008F090000}"/>
    <cellStyle name="통화 [0] 2 3 6" xfId="2449" xr:uid="{00000000-0005-0000-0000-000090090000}"/>
    <cellStyle name="통화 [0] 2 3 6 2" xfId="2450" xr:uid="{00000000-0005-0000-0000-000091090000}"/>
    <cellStyle name="통화 [0] 2 3 7" xfId="2451" xr:uid="{00000000-0005-0000-0000-000092090000}"/>
    <cellStyle name="통화 [0] 2 3 7 2" xfId="2452" xr:uid="{00000000-0005-0000-0000-000093090000}"/>
    <cellStyle name="통화 [0] 2 3 8" xfId="2453" xr:uid="{00000000-0005-0000-0000-000094090000}"/>
    <cellStyle name="통화 [0] 2 3 8 2" xfId="2454" xr:uid="{00000000-0005-0000-0000-000095090000}"/>
    <cellStyle name="통화 [0] 2 3 9" xfId="2455" xr:uid="{00000000-0005-0000-0000-000096090000}"/>
    <cellStyle name="통화 [0] 2 3 9 2" xfId="2456" xr:uid="{00000000-0005-0000-0000-000097090000}"/>
    <cellStyle name="통화 [0] 2 4" xfId="2457" xr:uid="{00000000-0005-0000-0000-000098090000}"/>
    <cellStyle name="통화 [0] 2 4 10" xfId="2458" xr:uid="{00000000-0005-0000-0000-000099090000}"/>
    <cellStyle name="통화 [0] 2 4 10 2" xfId="2459" xr:uid="{00000000-0005-0000-0000-00009A090000}"/>
    <cellStyle name="통화 [0] 2 4 11" xfId="2460" xr:uid="{00000000-0005-0000-0000-00009B090000}"/>
    <cellStyle name="통화 [0] 2 4 11 2" xfId="2461" xr:uid="{00000000-0005-0000-0000-00009C090000}"/>
    <cellStyle name="통화 [0] 2 4 12" xfId="2462" xr:uid="{00000000-0005-0000-0000-00009D090000}"/>
    <cellStyle name="통화 [0] 2 4 12 2" xfId="2463" xr:uid="{00000000-0005-0000-0000-00009E090000}"/>
    <cellStyle name="통화 [0] 2 4 13" xfId="2464" xr:uid="{00000000-0005-0000-0000-00009F090000}"/>
    <cellStyle name="통화 [0] 2 4 2" xfId="2465" xr:uid="{00000000-0005-0000-0000-0000A0090000}"/>
    <cellStyle name="통화 [0] 2 4 2 10" xfId="2466" xr:uid="{00000000-0005-0000-0000-0000A1090000}"/>
    <cellStyle name="통화 [0] 2 4 2 10 2" xfId="2467" xr:uid="{00000000-0005-0000-0000-0000A2090000}"/>
    <cellStyle name="통화 [0] 2 4 2 11" xfId="2468" xr:uid="{00000000-0005-0000-0000-0000A3090000}"/>
    <cellStyle name="통화 [0] 2 4 2 2" xfId="2469" xr:uid="{00000000-0005-0000-0000-0000A4090000}"/>
    <cellStyle name="통화 [0] 2 4 2 2 2" xfId="2470" xr:uid="{00000000-0005-0000-0000-0000A5090000}"/>
    <cellStyle name="통화 [0] 2 4 2 2 3" xfId="2471" xr:uid="{00000000-0005-0000-0000-0000A6090000}"/>
    <cellStyle name="통화 [0] 2 4 2 2 3 2" xfId="2472" xr:uid="{00000000-0005-0000-0000-0000A7090000}"/>
    <cellStyle name="통화 [0] 2 4 2 3" xfId="2473" xr:uid="{00000000-0005-0000-0000-0000A8090000}"/>
    <cellStyle name="통화 [0] 2 4 2 3 2" xfId="2474" xr:uid="{00000000-0005-0000-0000-0000A9090000}"/>
    <cellStyle name="통화 [0] 2 4 2 4" xfId="2475" xr:uid="{00000000-0005-0000-0000-0000AA090000}"/>
    <cellStyle name="통화 [0] 2 4 2 4 2" xfId="2476" xr:uid="{00000000-0005-0000-0000-0000AB090000}"/>
    <cellStyle name="통화 [0] 2 4 2 5" xfId="2477" xr:uid="{00000000-0005-0000-0000-0000AC090000}"/>
    <cellStyle name="통화 [0] 2 4 2 5 2" xfId="2478" xr:uid="{00000000-0005-0000-0000-0000AD090000}"/>
    <cellStyle name="통화 [0] 2 4 2 6" xfId="2479" xr:uid="{00000000-0005-0000-0000-0000AE090000}"/>
    <cellStyle name="통화 [0] 2 4 2 6 2" xfId="2480" xr:uid="{00000000-0005-0000-0000-0000AF090000}"/>
    <cellStyle name="통화 [0] 2 4 2 7" xfId="2481" xr:uid="{00000000-0005-0000-0000-0000B0090000}"/>
    <cellStyle name="통화 [0] 2 4 2 7 2" xfId="2482" xr:uid="{00000000-0005-0000-0000-0000B1090000}"/>
    <cellStyle name="통화 [0] 2 4 2 8" xfId="2483" xr:uid="{00000000-0005-0000-0000-0000B2090000}"/>
    <cellStyle name="통화 [0] 2 4 2 8 2" xfId="2484" xr:uid="{00000000-0005-0000-0000-0000B3090000}"/>
    <cellStyle name="통화 [0] 2 4 2 9" xfId="2485" xr:uid="{00000000-0005-0000-0000-0000B4090000}"/>
    <cellStyle name="통화 [0] 2 4 2 9 2" xfId="2486" xr:uid="{00000000-0005-0000-0000-0000B5090000}"/>
    <cellStyle name="통화 [0] 2 4 3" xfId="2487" xr:uid="{00000000-0005-0000-0000-0000B6090000}"/>
    <cellStyle name="통화 [0] 2 4 3 2" xfId="2488" xr:uid="{00000000-0005-0000-0000-0000B7090000}"/>
    <cellStyle name="통화 [0] 2 4 3 2 2" xfId="2489" xr:uid="{00000000-0005-0000-0000-0000B8090000}"/>
    <cellStyle name="통화 [0] 2 4 3 3" xfId="2490" xr:uid="{00000000-0005-0000-0000-0000B9090000}"/>
    <cellStyle name="통화 [0] 2 4 3 3 2" xfId="2491" xr:uid="{00000000-0005-0000-0000-0000BA090000}"/>
    <cellStyle name="통화 [0] 2 4 3 4" xfId="2492" xr:uid="{00000000-0005-0000-0000-0000BB090000}"/>
    <cellStyle name="통화 [0] 2 4 3 4 2" xfId="2493" xr:uid="{00000000-0005-0000-0000-0000BC090000}"/>
    <cellStyle name="통화 [0] 2 4 3 5" xfId="2494" xr:uid="{00000000-0005-0000-0000-0000BD090000}"/>
    <cellStyle name="통화 [0] 2 4 3 6" xfId="2495" xr:uid="{00000000-0005-0000-0000-0000BE090000}"/>
    <cellStyle name="통화 [0] 2 4 3 6 2" xfId="2496" xr:uid="{00000000-0005-0000-0000-0000BF090000}"/>
    <cellStyle name="통화 [0] 2 4 4" xfId="2497" xr:uid="{00000000-0005-0000-0000-0000C0090000}"/>
    <cellStyle name="통화 [0] 2 4 4 2" xfId="2498" xr:uid="{00000000-0005-0000-0000-0000C1090000}"/>
    <cellStyle name="통화 [0] 2 4 4 2 2" xfId="2499" xr:uid="{00000000-0005-0000-0000-0000C2090000}"/>
    <cellStyle name="통화 [0] 2 4 4 3" xfId="2500" xr:uid="{00000000-0005-0000-0000-0000C3090000}"/>
    <cellStyle name="통화 [0] 2 4 4 3 2" xfId="2501" xr:uid="{00000000-0005-0000-0000-0000C4090000}"/>
    <cellStyle name="통화 [0] 2 4 4 4" xfId="2502" xr:uid="{00000000-0005-0000-0000-0000C5090000}"/>
    <cellStyle name="통화 [0] 2 4 5" xfId="2503" xr:uid="{00000000-0005-0000-0000-0000C6090000}"/>
    <cellStyle name="통화 [0] 2 4 5 2" xfId="2504" xr:uid="{00000000-0005-0000-0000-0000C7090000}"/>
    <cellStyle name="통화 [0] 2 4 6" xfId="2505" xr:uid="{00000000-0005-0000-0000-0000C8090000}"/>
    <cellStyle name="통화 [0] 2 4 6 2" xfId="2506" xr:uid="{00000000-0005-0000-0000-0000C9090000}"/>
    <cellStyle name="통화 [0] 2 4 7" xfId="2507" xr:uid="{00000000-0005-0000-0000-0000CA090000}"/>
    <cellStyle name="통화 [0] 2 4 7 2" xfId="2508" xr:uid="{00000000-0005-0000-0000-0000CB090000}"/>
    <cellStyle name="통화 [0] 2 4 8" xfId="2509" xr:uid="{00000000-0005-0000-0000-0000CC090000}"/>
    <cellStyle name="통화 [0] 2 4 8 2" xfId="2510" xr:uid="{00000000-0005-0000-0000-0000CD090000}"/>
    <cellStyle name="통화 [0] 2 4 9" xfId="2511" xr:uid="{00000000-0005-0000-0000-0000CE090000}"/>
    <cellStyle name="통화 [0] 2 4 9 2" xfId="2512" xr:uid="{00000000-0005-0000-0000-0000CF090000}"/>
    <cellStyle name="통화 [0] 2 5" xfId="2513" xr:uid="{00000000-0005-0000-0000-0000D0090000}"/>
    <cellStyle name="통화 [0] 2 5 10" xfId="2514" xr:uid="{00000000-0005-0000-0000-0000D1090000}"/>
    <cellStyle name="통화 [0] 2 5 10 2" xfId="2515" xr:uid="{00000000-0005-0000-0000-0000D2090000}"/>
    <cellStyle name="통화 [0] 2 5 11" xfId="2516" xr:uid="{00000000-0005-0000-0000-0000D3090000}"/>
    <cellStyle name="통화 [0] 2 5 11 2" xfId="2517" xr:uid="{00000000-0005-0000-0000-0000D4090000}"/>
    <cellStyle name="통화 [0] 2 5 12" xfId="2518" xr:uid="{00000000-0005-0000-0000-0000D5090000}"/>
    <cellStyle name="통화 [0] 2 5 12 2" xfId="2519" xr:uid="{00000000-0005-0000-0000-0000D6090000}"/>
    <cellStyle name="통화 [0] 2 5 13" xfId="2520" xr:uid="{00000000-0005-0000-0000-0000D7090000}"/>
    <cellStyle name="통화 [0] 2 5 2" xfId="2521" xr:uid="{00000000-0005-0000-0000-0000D8090000}"/>
    <cellStyle name="통화 [0] 2 5 2 10" xfId="2522" xr:uid="{00000000-0005-0000-0000-0000D9090000}"/>
    <cellStyle name="통화 [0] 2 5 2 10 2" xfId="2523" xr:uid="{00000000-0005-0000-0000-0000DA090000}"/>
    <cellStyle name="통화 [0] 2 5 2 11" xfId="2524" xr:uid="{00000000-0005-0000-0000-0000DB090000}"/>
    <cellStyle name="통화 [0] 2 5 2 2" xfId="2525" xr:uid="{00000000-0005-0000-0000-0000DC090000}"/>
    <cellStyle name="통화 [0] 2 5 2 2 2" xfId="2526" xr:uid="{00000000-0005-0000-0000-0000DD090000}"/>
    <cellStyle name="통화 [0] 2 5 2 2 3" xfId="2527" xr:uid="{00000000-0005-0000-0000-0000DE090000}"/>
    <cellStyle name="통화 [0] 2 5 2 2 3 2" xfId="2528" xr:uid="{00000000-0005-0000-0000-0000DF090000}"/>
    <cellStyle name="통화 [0] 2 5 2 3" xfId="2529" xr:uid="{00000000-0005-0000-0000-0000E0090000}"/>
    <cellStyle name="통화 [0] 2 5 2 3 2" xfId="2530" xr:uid="{00000000-0005-0000-0000-0000E1090000}"/>
    <cellStyle name="통화 [0] 2 5 2 4" xfId="2531" xr:uid="{00000000-0005-0000-0000-0000E2090000}"/>
    <cellStyle name="통화 [0] 2 5 2 4 2" xfId="2532" xr:uid="{00000000-0005-0000-0000-0000E3090000}"/>
    <cellStyle name="통화 [0] 2 5 2 5" xfId="2533" xr:uid="{00000000-0005-0000-0000-0000E4090000}"/>
    <cellStyle name="통화 [0] 2 5 2 5 2" xfId="2534" xr:uid="{00000000-0005-0000-0000-0000E5090000}"/>
    <cellStyle name="통화 [0] 2 5 2 6" xfId="2535" xr:uid="{00000000-0005-0000-0000-0000E6090000}"/>
    <cellStyle name="통화 [0] 2 5 2 6 2" xfId="2536" xr:uid="{00000000-0005-0000-0000-0000E7090000}"/>
    <cellStyle name="통화 [0] 2 5 2 7" xfId="2537" xr:uid="{00000000-0005-0000-0000-0000E8090000}"/>
    <cellStyle name="통화 [0] 2 5 2 7 2" xfId="2538" xr:uid="{00000000-0005-0000-0000-0000E9090000}"/>
    <cellStyle name="통화 [0] 2 5 2 8" xfId="2539" xr:uid="{00000000-0005-0000-0000-0000EA090000}"/>
    <cellStyle name="통화 [0] 2 5 2 8 2" xfId="2540" xr:uid="{00000000-0005-0000-0000-0000EB090000}"/>
    <cellStyle name="통화 [0] 2 5 2 9" xfId="2541" xr:uid="{00000000-0005-0000-0000-0000EC090000}"/>
    <cellStyle name="통화 [0] 2 5 2 9 2" xfId="2542" xr:uid="{00000000-0005-0000-0000-0000ED090000}"/>
    <cellStyle name="통화 [0] 2 5 3" xfId="2543" xr:uid="{00000000-0005-0000-0000-0000EE090000}"/>
    <cellStyle name="통화 [0] 2 5 3 2" xfId="2544" xr:uid="{00000000-0005-0000-0000-0000EF090000}"/>
    <cellStyle name="통화 [0] 2 5 3 2 2" xfId="2545" xr:uid="{00000000-0005-0000-0000-0000F0090000}"/>
    <cellStyle name="통화 [0] 2 5 3 3" xfId="2546" xr:uid="{00000000-0005-0000-0000-0000F1090000}"/>
    <cellStyle name="통화 [0] 2 5 3 3 2" xfId="2547" xr:uid="{00000000-0005-0000-0000-0000F2090000}"/>
    <cellStyle name="통화 [0] 2 5 3 4" xfId="2548" xr:uid="{00000000-0005-0000-0000-0000F3090000}"/>
    <cellStyle name="통화 [0] 2 5 3 4 2" xfId="2549" xr:uid="{00000000-0005-0000-0000-0000F4090000}"/>
    <cellStyle name="통화 [0] 2 5 3 5" xfId="2550" xr:uid="{00000000-0005-0000-0000-0000F5090000}"/>
    <cellStyle name="통화 [0] 2 5 3 6" xfId="2551" xr:uid="{00000000-0005-0000-0000-0000F6090000}"/>
    <cellStyle name="통화 [0] 2 5 3 6 2" xfId="2552" xr:uid="{00000000-0005-0000-0000-0000F7090000}"/>
    <cellStyle name="통화 [0] 2 5 4" xfId="2553" xr:uid="{00000000-0005-0000-0000-0000F8090000}"/>
    <cellStyle name="통화 [0] 2 5 4 2" xfId="2554" xr:uid="{00000000-0005-0000-0000-0000F9090000}"/>
    <cellStyle name="통화 [0] 2 5 4 2 2" xfId="2555" xr:uid="{00000000-0005-0000-0000-0000FA090000}"/>
    <cellStyle name="통화 [0] 2 5 4 3" xfId="2556" xr:uid="{00000000-0005-0000-0000-0000FB090000}"/>
    <cellStyle name="통화 [0] 2 5 4 3 2" xfId="2557" xr:uid="{00000000-0005-0000-0000-0000FC090000}"/>
    <cellStyle name="통화 [0] 2 5 4 4" xfId="2558" xr:uid="{00000000-0005-0000-0000-0000FD090000}"/>
    <cellStyle name="통화 [0] 2 5 5" xfId="2559" xr:uid="{00000000-0005-0000-0000-0000FE090000}"/>
    <cellStyle name="통화 [0] 2 5 5 2" xfId="2560" xr:uid="{00000000-0005-0000-0000-0000FF090000}"/>
    <cellStyle name="통화 [0] 2 5 6" xfId="2561" xr:uid="{00000000-0005-0000-0000-0000000A0000}"/>
    <cellStyle name="통화 [0] 2 5 6 2" xfId="2562" xr:uid="{00000000-0005-0000-0000-0000010A0000}"/>
    <cellStyle name="통화 [0] 2 5 7" xfId="2563" xr:uid="{00000000-0005-0000-0000-0000020A0000}"/>
    <cellStyle name="통화 [0] 2 5 7 2" xfId="2564" xr:uid="{00000000-0005-0000-0000-0000030A0000}"/>
    <cellStyle name="통화 [0] 2 5 8" xfId="2565" xr:uid="{00000000-0005-0000-0000-0000040A0000}"/>
    <cellStyle name="통화 [0] 2 5 8 2" xfId="2566" xr:uid="{00000000-0005-0000-0000-0000050A0000}"/>
    <cellStyle name="통화 [0] 2 5 9" xfId="2567" xr:uid="{00000000-0005-0000-0000-0000060A0000}"/>
    <cellStyle name="통화 [0] 2 5 9 2" xfId="2568" xr:uid="{00000000-0005-0000-0000-0000070A0000}"/>
    <cellStyle name="통화 [0] 2 6" xfId="2569" xr:uid="{00000000-0005-0000-0000-0000080A0000}"/>
    <cellStyle name="통화 [0] 2 6 10" xfId="2570" xr:uid="{00000000-0005-0000-0000-0000090A0000}"/>
    <cellStyle name="통화 [0] 2 6 10 2" xfId="2571" xr:uid="{00000000-0005-0000-0000-00000A0A0000}"/>
    <cellStyle name="통화 [0] 2 6 11" xfId="2572" xr:uid="{00000000-0005-0000-0000-00000B0A0000}"/>
    <cellStyle name="통화 [0] 2 6 11 2" xfId="2573" xr:uid="{00000000-0005-0000-0000-00000C0A0000}"/>
    <cellStyle name="통화 [0] 2 6 12" xfId="2574" xr:uid="{00000000-0005-0000-0000-00000D0A0000}"/>
    <cellStyle name="통화 [0] 2 6 12 2" xfId="2575" xr:uid="{00000000-0005-0000-0000-00000E0A0000}"/>
    <cellStyle name="통화 [0] 2 6 13" xfId="2576" xr:uid="{00000000-0005-0000-0000-00000F0A0000}"/>
    <cellStyle name="통화 [0] 2 6 2" xfId="2577" xr:uid="{00000000-0005-0000-0000-0000100A0000}"/>
    <cellStyle name="통화 [0] 2 6 2 10" xfId="2578" xr:uid="{00000000-0005-0000-0000-0000110A0000}"/>
    <cellStyle name="통화 [0] 2 6 2 10 2" xfId="2579" xr:uid="{00000000-0005-0000-0000-0000120A0000}"/>
    <cellStyle name="통화 [0] 2 6 2 11" xfId="2580" xr:uid="{00000000-0005-0000-0000-0000130A0000}"/>
    <cellStyle name="통화 [0] 2 6 2 2" xfId="2581" xr:uid="{00000000-0005-0000-0000-0000140A0000}"/>
    <cellStyle name="통화 [0] 2 6 2 2 2" xfId="2582" xr:uid="{00000000-0005-0000-0000-0000150A0000}"/>
    <cellStyle name="통화 [0] 2 6 2 2 3" xfId="2583" xr:uid="{00000000-0005-0000-0000-0000160A0000}"/>
    <cellStyle name="통화 [0] 2 6 2 2 3 2" xfId="2584" xr:uid="{00000000-0005-0000-0000-0000170A0000}"/>
    <cellStyle name="통화 [0] 2 6 2 3" xfId="2585" xr:uid="{00000000-0005-0000-0000-0000180A0000}"/>
    <cellStyle name="통화 [0] 2 6 2 3 2" xfId="2586" xr:uid="{00000000-0005-0000-0000-0000190A0000}"/>
    <cellStyle name="통화 [0] 2 6 2 4" xfId="2587" xr:uid="{00000000-0005-0000-0000-00001A0A0000}"/>
    <cellStyle name="통화 [0] 2 6 2 4 2" xfId="2588" xr:uid="{00000000-0005-0000-0000-00001B0A0000}"/>
    <cellStyle name="통화 [0] 2 6 2 5" xfId="2589" xr:uid="{00000000-0005-0000-0000-00001C0A0000}"/>
    <cellStyle name="통화 [0] 2 6 2 5 2" xfId="2590" xr:uid="{00000000-0005-0000-0000-00001D0A0000}"/>
    <cellStyle name="통화 [0] 2 6 2 6" xfId="2591" xr:uid="{00000000-0005-0000-0000-00001E0A0000}"/>
    <cellStyle name="통화 [0] 2 6 2 6 2" xfId="2592" xr:uid="{00000000-0005-0000-0000-00001F0A0000}"/>
    <cellStyle name="통화 [0] 2 6 2 7" xfId="2593" xr:uid="{00000000-0005-0000-0000-0000200A0000}"/>
    <cellStyle name="통화 [0] 2 6 2 7 2" xfId="2594" xr:uid="{00000000-0005-0000-0000-0000210A0000}"/>
    <cellStyle name="통화 [0] 2 6 2 8" xfId="2595" xr:uid="{00000000-0005-0000-0000-0000220A0000}"/>
    <cellStyle name="통화 [0] 2 6 2 8 2" xfId="2596" xr:uid="{00000000-0005-0000-0000-0000230A0000}"/>
    <cellStyle name="통화 [0] 2 6 2 9" xfId="2597" xr:uid="{00000000-0005-0000-0000-0000240A0000}"/>
    <cellStyle name="통화 [0] 2 6 2 9 2" xfId="2598" xr:uid="{00000000-0005-0000-0000-0000250A0000}"/>
    <cellStyle name="통화 [0] 2 6 3" xfId="2599" xr:uid="{00000000-0005-0000-0000-0000260A0000}"/>
    <cellStyle name="통화 [0] 2 6 3 2" xfId="2600" xr:uid="{00000000-0005-0000-0000-0000270A0000}"/>
    <cellStyle name="통화 [0] 2 6 3 2 2" xfId="2601" xr:uid="{00000000-0005-0000-0000-0000280A0000}"/>
    <cellStyle name="통화 [0] 2 6 3 3" xfId="2602" xr:uid="{00000000-0005-0000-0000-0000290A0000}"/>
    <cellStyle name="통화 [0] 2 6 3 3 2" xfId="2603" xr:uid="{00000000-0005-0000-0000-00002A0A0000}"/>
    <cellStyle name="통화 [0] 2 6 3 4" xfId="2604" xr:uid="{00000000-0005-0000-0000-00002B0A0000}"/>
    <cellStyle name="통화 [0] 2 6 3 4 2" xfId="2605" xr:uid="{00000000-0005-0000-0000-00002C0A0000}"/>
    <cellStyle name="통화 [0] 2 6 3 5" xfId="2606" xr:uid="{00000000-0005-0000-0000-00002D0A0000}"/>
    <cellStyle name="통화 [0] 2 6 3 6" xfId="2607" xr:uid="{00000000-0005-0000-0000-00002E0A0000}"/>
    <cellStyle name="통화 [0] 2 6 3 6 2" xfId="2608" xr:uid="{00000000-0005-0000-0000-00002F0A0000}"/>
    <cellStyle name="통화 [0] 2 6 4" xfId="2609" xr:uid="{00000000-0005-0000-0000-0000300A0000}"/>
    <cellStyle name="통화 [0] 2 6 4 2" xfId="2610" xr:uid="{00000000-0005-0000-0000-0000310A0000}"/>
    <cellStyle name="통화 [0] 2 6 4 2 2" xfId="2611" xr:uid="{00000000-0005-0000-0000-0000320A0000}"/>
    <cellStyle name="통화 [0] 2 6 4 3" xfId="2612" xr:uid="{00000000-0005-0000-0000-0000330A0000}"/>
    <cellStyle name="통화 [0] 2 6 4 3 2" xfId="2613" xr:uid="{00000000-0005-0000-0000-0000340A0000}"/>
    <cellStyle name="통화 [0] 2 6 4 4" xfId="2614" xr:uid="{00000000-0005-0000-0000-0000350A0000}"/>
    <cellStyle name="통화 [0] 2 6 5" xfId="2615" xr:uid="{00000000-0005-0000-0000-0000360A0000}"/>
    <cellStyle name="통화 [0] 2 6 5 2" xfId="2616" xr:uid="{00000000-0005-0000-0000-0000370A0000}"/>
    <cellStyle name="통화 [0] 2 6 6" xfId="2617" xr:uid="{00000000-0005-0000-0000-0000380A0000}"/>
    <cellStyle name="통화 [0] 2 6 6 2" xfId="2618" xr:uid="{00000000-0005-0000-0000-0000390A0000}"/>
    <cellStyle name="통화 [0] 2 6 7" xfId="2619" xr:uid="{00000000-0005-0000-0000-00003A0A0000}"/>
    <cellStyle name="통화 [0] 2 6 7 2" xfId="2620" xr:uid="{00000000-0005-0000-0000-00003B0A0000}"/>
    <cellStyle name="통화 [0] 2 6 8" xfId="2621" xr:uid="{00000000-0005-0000-0000-00003C0A0000}"/>
    <cellStyle name="통화 [0] 2 6 8 2" xfId="2622" xr:uid="{00000000-0005-0000-0000-00003D0A0000}"/>
    <cellStyle name="통화 [0] 2 6 9" xfId="2623" xr:uid="{00000000-0005-0000-0000-00003E0A0000}"/>
    <cellStyle name="통화 [0] 2 6 9 2" xfId="2624" xr:uid="{00000000-0005-0000-0000-00003F0A0000}"/>
    <cellStyle name="통화 [0] 2 7" xfId="2625" xr:uid="{00000000-0005-0000-0000-0000400A0000}"/>
    <cellStyle name="통화 [0] 2 7 10" xfId="2626" xr:uid="{00000000-0005-0000-0000-0000410A0000}"/>
    <cellStyle name="통화 [0] 2 7 10 2" xfId="2627" xr:uid="{00000000-0005-0000-0000-0000420A0000}"/>
    <cellStyle name="통화 [0] 2 7 11" xfId="2628" xr:uid="{00000000-0005-0000-0000-0000430A0000}"/>
    <cellStyle name="통화 [0] 2 7 2" xfId="2629" xr:uid="{00000000-0005-0000-0000-0000440A0000}"/>
    <cellStyle name="통화 [0] 2 7 2 2" xfId="2630" xr:uid="{00000000-0005-0000-0000-0000450A0000}"/>
    <cellStyle name="통화 [0] 2 7 2 3" xfId="2631" xr:uid="{00000000-0005-0000-0000-0000460A0000}"/>
    <cellStyle name="통화 [0] 2 7 2 3 2" xfId="2632" xr:uid="{00000000-0005-0000-0000-0000470A0000}"/>
    <cellStyle name="통화 [0] 2 7 2 4" xfId="2633" xr:uid="{00000000-0005-0000-0000-0000480A0000}"/>
    <cellStyle name="통화 [0] 2 7 2 4 2" xfId="2634" xr:uid="{00000000-0005-0000-0000-0000490A0000}"/>
    <cellStyle name="통화 [0] 2 7 2 5" xfId="2635" xr:uid="{00000000-0005-0000-0000-00004A0A0000}"/>
    <cellStyle name="통화 [0] 2 7 2 5 2" xfId="2636" xr:uid="{00000000-0005-0000-0000-00004B0A0000}"/>
    <cellStyle name="통화 [0] 2 7 2 6" xfId="2637" xr:uid="{00000000-0005-0000-0000-00004C0A0000}"/>
    <cellStyle name="통화 [0] 2 7 2 6 2" xfId="2638" xr:uid="{00000000-0005-0000-0000-00004D0A0000}"/>
    <cellStyle name="통화 [0] 2 7 2 7" xfId="2639" xr:uid="{00000000-0005-0000-0000-00004E0A0000}"/>
    <cellStyle name="통화 [0] 2 7 2 7 2" xfId="2640" xr:uid="{00000000-0005-0000-0000-00004F0A0000}"/>
    <cellStyle name="통화 [0] 2 7 2 8" xfId="2641" xr:uid="{00000000-0005-0000-0000-0000500A0000}"/>
    <cellStyle name="통화 [0] 2 7 2 8 2" xfId="2642" xr:uid="{00000000-0005-0000-0000-0000510A0000}"/>
    <cellStyle name="통화 [0] 2 7 2 9" xfId="2643" xr:uid="{00000000-0005-0000-0000-0000520A0000}"/>
    <cellStyle name="통화 [0] 2 7 3" xfId="2644" xr:uid="{00000000-0005-0000-0000-0000530A0000}"/>
    <cellStyle name="통화 [0] 2 7 3 2" xfId="2645" xr:uid="{00000000-0005-0000-0000-0000540A0000}"/>
    <cellStyle name="통화 [0] 2 7 3 3" xfId="2646" xr:uid="{00000000-0005-0000-0000-0000550A0000}"/>
    <cellStyle name="통화 [0] 2 7 3 3 2" xfId="2647" xr:uid="{00000000-0005-0000-0000-0000560A0000}"/>
    <cellStyle name="통화 [0] 2 7 4" xfId="2648" xr:uid="{00000000-0005-0000-0000-0000570A0000}"/>
    <cellStyle name="통화 [0] 2 7 4 2" xfId="2649" xr:uid="{00000000-0005-0000-0000-0000580A0000}"/>
    <cellStyle name="통화 [0] 2 7 5" xfId="2650" xr:uid="{00000000-0005-0000-0000-0000590A0000}"/>
    <cellStyle name="통화 [0] 2 7 5 2" xfId="2651" xr:uid="{00000000-0005-0000-0000-00005A0A0000}"/>
    <cellStyle name="통화 [0] 2 7 6" xfId="2652" xr:uid="{00000000-0005-0000-0000-00005B0A0000}"/>
    <cellStyle name="통화 [0] 2 7 6 2" xfId="2653" xr:uid="{00000000-0005-0000-0000-00005C0A0000}"/>
    <cellStyle name="통화 [0] 2 7 7" xfId="2654" xr:uid="{00000000-0005-0000-0000-00005D0A0000}"/>
    <cellStyle name="통화 [0] 2 7 7 2" xfId="2655" xr:uid="{00000000-0005-0000-0000-00005E0A0000}"/>
    <cellStyle name="통화 [0] 2 7 8" xfId="2656" xr:uid="{00000000-0005-0000-0000-00005F0A0000}"/>
    <cellStyle name="통화 [0] 2 7 8 2" xfId="2657" xr:uid="{00000000-0005-0000-0000-0000600A0000}"/>
    <cellStyle name="통화 [0] 2 7 9" xfId="2658" xr:uid="{00000000-0005-0000-0000-0000610A0000}"/>
    <cellStyle name="통화 [0] 2 7 9 2" xfId="2659" xr:uid="{00000000-0005-0000-0000-0000620A0000}"/>
    <cellStyle name="통화 [0] 2 8" xfId="2660" xr:uid="{00000000-0005-0000-0000-0000630A0000}"/>
    <cellStyle name="통화 [0] 2 8 10" xfId="2661" xr:uid="{00000000-0005-0000-0000-0000640A0000}"/>
    <cellStyle name="통화 [0] 2 8 10 2" xfId="2662" xr:uid="{00000000-0005-0000-0000-0000650A0000}"/>
    <cellStyle name="통화 [0] 2 8 11" xfId="2663" xr:uid="{00000000-0005-0000-0000-0000660A0000}"/>
    <cellStyle name="통화 [0] 2 8 2" xfId="2664" xr:uid="{00000000-0005-0000-0000-0000670A0000}"/>
    <cellStyle name="통화 [0] 2 8 2 2" xfId="2665" xr:uid="{00000000-0005-0000-0000-0000680A0000}"/>
    <cellStyle name="통화 [0] 2 8 2 3" xfId="2666" xr:uid="{00000000-0005-0000-0000-0000690A0000}"/>
    <cellStyle name="통화 [0] 2 8 2 3 2" xfId="2667" xr:uid="{00000000-0005-0000-0000-00006A0A0000}"/>
    <cellStyle name="통화 [0] 2 8 2 4" xfId="2668" xr:uid="{00000000-0005-0000-0000-00006B0A0000}"/>
    <cellStyle name="통화 [0] 2 8 2 4 2" xfId="2669" xr:uid="{00000000-0005-0000-0000-00006C0A0000}"/>
    <cellStyle name="통화 [0] 2 8 2 5" xfId="2670" xr:uid="{00000000-0005-0000-0000-00006D0A0000}"/>
    <cellStyle name="통화 [0] 2 8 2 5 2" xfId="2671" xr:uid="{00000000-0005-0000-0000-00006E0A0000}"/>
    <cellStyle name="통화 [0] 2 8 2 6" xfId="2672" xr:uid="{00000000-0005-0000-0000-00006F0A0000}"/>
    <cellStyle name="통화 [0] 2 8 2 6 2" xfId="2673" xr:uid="{00000000-0005-0000-0000-0000700A0000}"/>
    <cellStyle name="통화 [0] 2 8 2 7" xfId="2674" xr:uid="{00000000-0005-0000-0000-0000710A0000}"/>
    <cellStyle name="통화 [0] 2 8 2 7 2" xfId="2675" xr:uid="{00000000-0005-0000-0000-0000720A0000}"/>
    <cellStyle name="통화 [0] 2 8 2 8" xfId="2676" xr:uid="{00000000-0005-0000-0000-0000730A0000}"/>
    <cellStyle name="통화 [0] 2 8 2 8 2" xfId="2677" xr:uid="{00000000-0005-0000-0000-0000740A0000}"/>
    <cellStyle name="통화 [0] 2 8 2 9" xfId="2678" xr:uid="{00000000-0005-0000-0000-0000750A0000}"/>
    <cellStyle name="통화 [0] 2 8 3" xfId="2679" xr:uid="{00000000-0005-0000-0000-0000760A0000}"/>
    <cellStyle name="통화 [0] 2 8 3 2" xfId="2680" xr:uid="{00000000-0005-0000-0000-0000770A0000}"/>
    <cellStyle name="통화 [0] 2 8 3 3" xfId="2681" xr:uid="{00000000-0005-0000-0000-0000780A0000}"/>
    <cellStyle name="통화 [0] 2 8 3 3 2" xfId="2682" xr:uid="{00000000-0005-0000-0000-0000790A0000}"/>
    <cellStyle name="통화 [0] 2 8 4" xfId="2683" xr:uid="{00000000-0005-0000-0000-00007A0A0000}"/>
    <cellStyle name="통화 [0] 2 8 4 2" xfId="2684" xr:uid="{00000000-0005-0000-0000-00007B0A0000}"/>
    <cellStyle name="통화 [0] 2 8 5" xfId="2685" xr:uid="{00000000-0005-0000-0000-00007C0A0000}"/>
    <cellStyle name="통화 [0] 2 8 5 2" xfId="2686" xr:uid="{00000000-0005-0000-0000-00007D0A0000}"/>
    <cellStyle name="통화 [0] 2 8 6" xfId="2687" xr:uid="{00000000-0005-0000-0000-00007E0A0000}"/>
    <cellStyle name="통화 [0] 2 8 6 2" xfId="2688" xr:uid="{00000000-0005-0000-0000-00007F0A0000}"/>
    <cellStyle name="통화 [0] 2 8 7" xfId="2689" xr:uid="{00000000-0005-0000-0000-0000800A0000}"/>
    <cellStyle name="통화 [0] 2 8 7 2" xfId="2690" xr:uid="{00000000-0005-0000-0000-0000810A0000}"/>
    <cellStyle name="통화 [0] 2 8 8" xfId="2691" xr:uid="{00000000-0005-0000-0000-0000820A0000}"/>
    <cellStyle name="통화 [0] 2 8 8 2" xfId="2692" xr:uid="{00000000-0005-0000-0000-0000830A0000}"/>
    <cellStyle name="통화 [0] 2 8 9" xfId="2693" xr:uid="{00000000-0005-0000-0000-0000840A0000}"/>
    <cellStyle name="통화 [0] 2 8 9 2" xfId="2694" xr:uid="{00000000-0005-0000-0000-0000850A0000}"/>
    <cellStyle name="통화 [0] 2 9" xfId="2695" xr:uid="{00000000-0005-0000-0000-0000860A0000}"/>
    <cellStyle name="통화 [0] 2 9 10" xfId="2696" xr:uid="{00000000-0005-0000-0000-0000870A0000}"/>
    <cellStyle name="통화 [0] 2 9 2" xfId="2697" xr:uid="{00000000-0005-0000-0000-0000880A0000}"/>
    <cellStyle name="통화 [0] 2 9 2 2" xfId="2698" xr:uid="{00000000-0005-0000-0000-0000890A0000}"/>
    <cellStyle name="통화 [0] 2 9 2 3" xfId="2699" xr:uid="{00000000-0005-0000-0000-00008A0A0000}"/>
    <cellStyle name="통화 [0] 2 9 2 3 2" xfId="2700" xr:uid="{00000000-0005-0000-0000-00008B0A0000}"/>
    <cellStyle name="통화 [0] 2 9 2 4" xfId="2701" xr:uid="{00000000-0005-0000-0000-00008C0A0000}"/>
    <cellStyle name="통화 [0] 2 9 2 4 2" xfId="2702" xr:uid="{00000000-0005-0000-0000-00008D0A0000}"/>
    <cellStyle name="통화 [0] 2 9 2 5" xfId="2703" xr:uid="{00000000-0005-0000-0000-00008E0A0000}"/>
    <cellStyle name="통화 [0] 2 9 2 5 2" xfId="2704" xr:uid="{00000000-0005-0000-0000-00008F0A0000}"/>
    <cellStyle name="통화 [0] 2 9 2 6" xfId="2705" xr:uid="{00000000-0005-0000-0000-0000900A0000}"/>
    <cellStyle name="통화 [0] 2 9 2 6 2" xfId="2706" xr:uid="{00000000-0005-0000-0000-0000910A0000}"/>
    <cellStyle name="통화 [0] 2 9 2 7" xfId="2707" xr:uid="{00000000-0005-0000-0000-0000920A0000}"/>
    <cellStyle name="통화 [0] 2 9 2 7 2" xfId="2708" xr:uid="{00000000-0005-0000-0000-0000930A0000}"/>
    <cellStyle name="통화 [0] 2 9 2 8" xfId="2709" xr:uid="{00000000-0005-0000-0000-0000940A0000}"/>
    <cellStyle name="통화 [0] 2 9 2 8 2" xfId="2710" xr:uid="{00000000-0005-0000-0000-0000950A0000}"/>
    <cellStyle name="통화 [0] 2 9 2 9" xfId="2711" xr:uid="{00000000-0005-0000-0000-0000960A0000}"/>
    <cellStyle name="통화 [0] 2 9 3" xfId="2712" xr:uid="{00000000-0005-0000-0000-0000970A0000}"/>
    <cellStyle name="통화 [0] 2 9 3 2" xfId="2713" xr:uid="{00000000-0005-0000-0000-0000980A0000}"/>
    <cellStyle name="통화 [0] 2 9 3 3" xfId="2714" xr:uid="{00000000-0005-0000-0000-0000990A0000}"/>
    <cellStyle name="통화 [0] 2 9 3 3 2" xfId="2715" xr:uid="{00000000-0005-0000-0000-00009A0A0000}"/>
    <cellStyle name="통화 [0] 2 9 4" xfId="2716" xr:uid="{00000000-0005-0000-0000-00009B0A0000}"/>
    <cellStyle name="통화 [0] 2 9 4 2" xfId="2717" xr:uid="{00000000-0005-0000-0000-00009C0A0000}"/>
    <cellStyle name="통화 [0] 2 9 5" xfId="2718" xr:uid="{00000000-0005-0000-0000-00009D0A0000}"/>
    <cellStyle name="통화 [0] 2 9 5 2" xfId="2719" xr:uid="{00000000-0005-0000-0000-00009E0A0000}"/>
    <cellStyle name="통화 [0] 2 9 6" xfId="2720" xr:uid="{00000000-0005-0000-0000-00009F0A0000}"/>
    <cellStyle name="통화 [0] 2 9 6 2" xfId="2721" xr:uid="{00000000-0005-0000-0000-0000A00A0000}"/>
    <cellStyle name="통화 [0] 2 9 7" xfId="2722" xr:uid="{00000000-0005-0000-0000-0000A10A0000}"/>
    <cellStyle name="통화 [0] 2 9 7 2" xfId="2723" xr:uid="{00000000-0005-0000-0000-0000A20A0000}"/>
    <cellStyle name="통화 [0] 2 9 8" xfId="2724" xr:uid="{00000000-0005-0000-0000-0000A30A0000}"/>
    <cellStyle name="통화 [0] 2 9 8 2" xfId="2725" xr:uid="{00000000-0005-0000-0000-0000A40A0000}"/>
    <cellStyle name="통화 [0] 2 9 9" xfId="2726" xr:uid="{00000000-0005-0000-0000-0000A50A0000}"/>
    <cellStyle name="통화 [0] 2 9 9 2" xfId="2727" xr:uid="{00000000-0005-0000-0000-0000A60A0000}"/>
    <cellStyle name="통화 [0] 3" xfId="2728" xr:uid="{00000000-0005-0000-0000-0000A70A0000}"/>
    <cellStyle name="통화 [0] 3 10" xfId="2729" xr:uid="{00000000-0005-0000-0000-0000A80A0000}"/>
    <cellStyle name="통화 [0] 3 10 2" xfId="2730" xr:uid="{00000000-0005-0000-0000-0000A90A0000}"/>
    <cellStyle name="통화 [0] 3 10 3" xfId="2731" xr:uid="{00000000-0005-0000-0000-0000AA0A0000}"/>
    <cellStyle name="통화 [0] 3 10 3 2" xfId="2732" xr:uid="{00000000-0005-0000-0000-0000AB0A0000}"/>
    <cellStyle name="통화 [0] 3 10 4" xfId="2733" xr:uid="{00000000-0005-0000-0000-0000AC0A0000}"/>
    <cellStyle name="통화 [0] 3 10 4 2" xfId="2734" xr:uid="{00000000-0005-0000-0000-0000AD0A0000}"/>
    <cellStyle name="통화 [0] 3 10 5" xfId="2735" xr:uid="{00000000-0005-0000-0000-0000AE0A0000}"/>
    <cellStyle name="통화 [0] 3 10 5 2" xfId="2736" xr:uid="{00000000-0005-0000-0000-0000AF0A0000}"/>
    <cellStyle name="통화 [0] 3 10 6" xfId="2737" xr:uid="{00000000-0005-0000-0000-0000B00A0000}"/>
    <cellStyle name="통화 [0] 3 10 6 2" xfId="2738" xr:uid="{00000000-0005-0000-0000-0000B10A0000}"/>
    <cellStyle name="통화 [0] 3 10 7" xfId="2739" xr:uid="{00000000-0005-0000-0000-0000B20A0000}"/>
    <cellStyle name="통화 [0] 3 10 7 2" xfId="2740" xr:uid="{00000000-0005-0000-0000-0000B30A0000}"/>
    <cellStyle name="통화 [0] 3 10 8" xfId="2741" xr:uid="{00000000-0005-0000-0000-0000B40A0000}"/>
    <cellStyle name="통화 [0] 3 10 8 2" xfId="2742" xr:uid="{00000000-0005-0000-0000-0000B50A0000}"/>
    <cellStyle name="통화 [0] 3 10 9" xfId="2743" xr:uid="{00000000-0005-0000-0000-0000B60A0000}"/>
    <cellStyle name="통화 [0] 3 11" xfId="2744" xr:uid="{00000000-0005-0000-0000-0000B70A0000}"/>
    <cellStyle name="통화 [0] 3 12" xfId="2745" xr:uid="{00000000-0005-0000-0000-0000B80A0000}"/>
    <cellStyle name="통화 [0] 3 12 2" xfId="2746" xr:uid="{00000000-0005-0000-0000-0000B90A0000}"/>
    <cellStyle name="통화 [0] 3 12 2 2" xfId="2747" xr:uid="{00000000-0005-0000-0000-0000BA0A0000}"/>
    <cellStyle name="통화 [0] 3 12 3" xfId="2748" xr:uid="{00000000-0005-0000-0000-0000BB0A0000}"/>
    <cellStyle name="통화 [0] 3 12 3 2" xfId="2749" xr:uid="{00000000-0005-0000-0000-0000BC0A0000}"/>
    <cellStyle name="통화 [0] 3 12 4" xfId="2750" xr:uid="{00000000-0005-0000-0000-0000BD0A0000}"/>
    <cellStyle name="통화 [0] 3 13" xfId="2751" xr:uid="{00000000-0005-0000-0000-0000BE0A0000}"/>
    <cellStyle name="통화 [0] 3 13 2" xfId="2752" xr:uid="{00000000-0005-0000-0000-0000BF0A0000}"/>
    <cellStyle name="통화 [0] 3 14" xfId="2753" xr:uid="{00000000-0005-0000-0000-0000C00A0000}"/>
    <cellStyle name="통화 [0] 3 14 2" xfId="2754" xr:uid="{00000000-0005-0000-0000-0000C10A0000}"/>
    <cellStyle name="통화 [0] 3 15" xfId="2755" xr:uid="{00000000-0005-0000-0000-0000C20A0000}"/>
    <cellStyle name="통화 [0] 3 15 2" xfId="2756" xr:uid="{00000000-0005-0000-0000-0000C30A0000}"/>
    <cellStyle name="통화 [0] 3 16" xfId="2757" xr:uid="{00000000-0005-0000-0000-0000C40A0000}"/>
    <cellStyle name="통화 [0] 3 16 2" xfId="2758" xr:uid="{00000000-0005-0000-0000-0000C50A0000}"/>
    <cellStyle name="통화 [0] 3 17" xfId="2759" xr:uid="{00000000-0005-0000-0000-0000C60A0000}"/>
    <cellStyle name="통화 [0] 3 17 2" xfId="2760" xr:uid="{00000000-0005-0000-0000-0000C70A0000}"/>
    <cellStyle name="통화 [0] 3 18" xfId="2761" xr:uid="{00000000-0005-0000-0000-0000C80A0000}"/>
    <cellStyle name="통화 [0] 3 18 2" xfId="2762" xr:uid="{00000000-0005-0000-0000-0000C90A0000}"/>
    <cellStyle name="통화 [0] 3 19" xfId="2763" xr:uid="{00000000-0005-0000-0000-0000CA0A0000}"/>
    <cellStyle name="통화 [0] 3 2" xfId="2764" xr:uid="{00000000-0005-0000-0000-0000CB0A0000}"/>
    <cellStyle name="통화 [0] 3 2 10" xfId="2765" xr:uid="{00000000-0005-0000-0000-0000CC0A0000}"/>
    <cellStyle name="통화 [0] 3 2 10 2" xfId="2766" xr:uid="{00000000-0005-0000-0000-0000CD0A0000}"/>
    <cellStyle name="통화 [0] 3 2 11" xfId="2767" xr:uid="{00000000-0005-0000-0000-0000CE0A0000}"/>
    <cellStyle name="통화 [0] 3 2 11 2" xfId="2768" xr:uid="{00000000-0005-0000-0000-0000CF0A0000}"/>
    <cellStyle name="통화 [0] 3 2 12" xfId="2769" xr:uid="{00000000-0005-0000-0000-0000D00A0000}"/>
    <cellStyle name="통화 [0] 3 2 12 2" xfId="2770" xr:uid="{00000000-0005-0000-0000-0000D10A0000}"/>
    <cellStyle name="통화 [0] 3 2 13" xfId="2771" xr:uid="{00000000-0005-0000-0000-0000D20A0000}"/>
    <cellStyle name="통화 [0] 3 2 2" xfId="2772" xr:uid="{00000000-0005-0000-0000-0000D30A0000}"/>
    <cellStyle name="통화 [0] 3 2 2 10" xfId="2773" xr:uid="{00000000-0005-0000-0000-0000D40A0000}"/>
    <cellStyle name="통화 [0] 3 2 2 10 2" xfId="2774" xr:uid="{00000000-0005-0000-0000-0000D50A0000}"/>
    <cellStyle name="통화 [0] 3 2 2 11" xfId="2775" xr:uid="{00000000-0005-0000-0000-0000D60A0000}"/>
    <cellStyle name="통화 [0] 3 2 2 2" xfId="2776" xr:uid="{00000000-0005-0000-0000-0000D70A0000}"/>
    <cellStyle name="통화 [0] 3 2 2 2 2" xfId="2777" xr:uid="{00000000-0005-0000-0000-0000D80A0000}"/>
    <cellStyle name="통화 [0] 3 2 2 2 3" xfId="2778" xr:uid="{00000000-0005-0000-0000-0000D90A0000}"/>
    <cellStyle name="통화 [0] 3 2 2 2 3 2" xfId="2779" xr:uid="{00000000-0005-0000-0000-0000DA0A0000}"/>
    <cellStyle name="통화 [0] 3 2 2 3" xfId="2780" xr:uid="{00000000-0005-0000-0000-0000DB0A0000}"/>
    <cellStyle name="통화 [0] 3 2 2 3 2" xfId="2781" xr:uid="{00000000-0005-0000-0000-0000DC0A0000}"/>
    <cellStyle name="통화 [0] 3 2 2 4" xfId="2782" xr:uid="{00000000-0005-0000-0000-0000DD0A0000}"/>
    <cellStyle name="통화 [0] 3 2 2 4 2" xfId="2783" xr:uid="{00000000-0005-0000-0000-0000DE0A0000}"/>
    <cellStyle name="통화 [0] 3 2 2 5" xfId="2784" xr:uid="{00000000-0005-0000-0000-0000DF0A0000}"/>
    <cellStyle name="통화 [0] 3 2 2 5 2" xfId="2785" xr:uid="{00000000-0005-0000-0000-0000E00A0000}"/>
    <cellStyle name="통화 [0] 3 2 2 6" xfId="2786" xr:uid="{00000000-0005-0000-0000-0000E10A0000}"/>
    <cellStyle name="통화 [0] 3 2 2 6 2" xfId="2787" xr:uid="{00000000-0005-0000-0000-0000E20A0000}"/>
    <cellStyle name="통화 [0] 3 2 2 7" xfId="2788" xr:uid="{00000000-0005-0000-0000-0000E30A0000}"/>
    <cellStyle name="통화 [0] 3 2 2 7 2" xfId="2789" xr:uid="{00000000-0005-0000-0000-0000E40A0000}"/>
    <cellStyle name="통화 [0] 3 2 2 8" xfId="2790" xr:uid="{00000000-0005-0000-0000-0000E50A0000}"/>
    <cellStyle name="통화 [0] 3 2 2 8 2" xfId="2791" xr:uid="{00000000-0005-0000-0000-0000E60A0000}"/>
    <cellStyle name="통화 [0] 3 2 2 9" xfId="2792" xr:uid="{00000000-0005-0000-0000-0000E70A0000}"/>
    <cellStyle name="통화 [0] 3 2 2 9 2" xfId="2793" xr:uid="{00000000-0005-0000-0000-0000E80A0000}"/>
    <cellStyle name="통화 [0] 3 2 3" xfId="2794" xr:uid="{00000000-0005-0000-0000-0000E90A0000}"/>
    <cellStyle name="통화 [0] 3 2 3 2" xfId="2795" xr:uid="{00000000-0005-0000-0000-0000EA0A0000}"/>
    <cellStyle name="통화 [0] 3 2 3 2 2" xfId="2796" xr:uid="{00000000-0005-0000-0000-0000EB0A0000}"/>
    <cellStyle name="통화 [0] 3 2 3 3" xfId="2797" xr:uid="{00000000-0005-0000-0000-0000EC0A0000}"/>
    <cellStyle name="통화 [0] 3 2 3 3 2" xfId="2798" xr:uid="{00000000-0005-0000-0000-0000ED0A0000}"/>
    <cellStyle name="통화 [0] 3 2 3 4" xfId="2799" xr:uid="{00000000-0005-0000-0000-0000EE0A0000}"/>
    <cellStyle name="통화 [0] 3 2 3 4 2" xfId="2800" xr:uid="{00000000-0005-0000-0000-0000EF0A0000}"/>
    <cellStyle name="통화 [0] 3 2 3 5" xfId="2801" xr:uid="{00000000-0005-0000-0000-0000F00A0000}"/>
    <cellStyle name="통화 [0] 3 2 3 6" xfId="2802" xr:uid="{00000000-0005-0000-0000-0000F10A0000}"/>
    <cellStyle name="통화 [0] 3 2 3 6 2" xfId="2803" xr:uid="{00000000-0005-0000-0000-0000F20A0000}"/>
    <cellStyle name="통화 [0] 3 2 4" xfId="2804" xr:uid="{00000000-0005-0000-0000-0000F30A0000}"/>
    <cellStyle name="통화 [0] 3 2 4 2" xfId="2805" xr:uid="{00000000-0005-0000-0000-0000F40A0000}"/>
    <cellStyle name="통화 [0] 3 2 4 2 2" xfId="2806" xr:uid="{00000000-0005-0000-0000-0000F50A0000}"/>
    <cellStyle name="통화 [0] 3 2 4 3" xfId="2807" xr:uid="{00000000-0005-0000-0000-0000F60A0000}"/>
    <cellStyle name="통화 [0] 3 2 4 3 2" xfId="2808" xr:uid="{00000000-0005-0000-0000-0000F70A0000}"/>
    <cellStyle name="통화 [0] 3 2 4 4" xfId="2809" xr:uid="{00000000-0005-0000-0000-0000F80A0000}"/>
    <cellStyle name="통화 [0] 3 2 5" xfId="2810" xr:uid="{00000000-0005-0000-0000-0000F90A0000}"/>
    <cellStyle name="통화 [0] 3 2 5 2" xfId="2811" xr:uid="{00000000-0005-0000-0000-0000FA0A0000}"/>
    <cellStyle name="통화 [0] 3 2 6" xfId="2812" xr:uid="{00000000-0005-0000-0000-0000FB0A0000}"/>
    <cellStyle name="통화 [0] 3 2 6 2" xfId="2813" xr:uid="{00000000-0005-0000-0000-0000FC0A0000}"/>
    <cellStyle name="통화 [0] 3 2 7" xfId="2814" xr:uid="{00000000-0005-0000-0000-0000FD0A0000}"/>
    <cellStyle name="통화 [0] 3 2 7 2" xfId="2815" xr:uid="{00000000-0005-0000-0000-0000FE0A0000}"/>
    <cellStyle name="통화 [0] 3 2 8" xfId="2816" xr:uid="{00000000-0005-0000-0000-0000FF0A0000}"/>
    <cellStyle name="통화 [0] 3 2 8 2" xfId="2817" xr:uid="{00000000-0005-0000-0000-0000000B0000}"/>
    <cellStyle name="통화 [0] 3 2 9" xfId="2818" xr:uid="{00000000-0005-0000-0000-0000010B0000}"/>
    <cellStyle name="통화 [0] 3 2 9 2" xfId="2819" xr:uid="{00000000-0005-0000-0000-0000020B0000}"/>
    <cellStyle name="통화 [0] 3 3" xfId="2820" xr:uid="{00000000-0005-0000-0000-0000030B0000}"/>
    <cellStyle name="통화 [0] 3 3 10" xfId="2821" xr:uid="{00000000-0005-0000-0000-0000040B0000}"/>
    <cellStyle name="통화 [0] 3 3 10 2" xfId="2822" xr:uid="{00000000-0005-0000-0000-0000050B0000}"/>
    <cellStyle name="통화 [0] 3 3 11" xfId="2823" xr:uid="{00000000-0005-0000-0000-0000060B0000}"/>
    <cellStyle name="통화 [0] 3 3 11 2" xfId="2824" xr:uid="{00000000-0005-0000-0000-0000070B0000}"/>
    <cellStyle name="통화 [0] 3 3 12" xfId="2825" xr:uid="{00000000-0005-0000-0000-0000080B0000}"/>
    <cellStyle name="통화 [0] 3 3 12 2" xfId="2826" xr:uid="{00000000-0005-0000-0000-0000090B0000}"/>
    <cellStyle name="통화 [0] 3 3 13" xfId="2827" xr:uid="{00000000-0005-0000-0000-00000A0B0000}"/>
    <cellStyle name="통화 [0] 3 3 2" xfId="2828" xr:uid="{00000000-0005-0000-0000-00000B0B0000}"/>
    <cellStyle name="통화 [0] 3 3 2 10" xfId="2829" xr:uid="{00000000-0005-0000-0000-00000C0B0000}"/>
    <cellStyle name="통화 [0] 3 3 2 10 2" xfId="2830" xr:uid="{00000000-0005-0000-0000-00000D0B0000}"/>
    <cellStyle name="통화 [0] 3 3 2 11" xfId="2831" xr:uid="{00000000-0005-0000-0000-00000E0B0000}"/>
    <cellStyle name="통화 [0] 3 3 2 2" xfId="2832" xr:uid="{00000000-0005-0000-0000-00000F0B0000}"/>
    <cellStyle name="통화 [0] 3 3 2 2 2" xfId="2833" xr:uid="{00000000-0005-0000-0000-0000100B0000}"/>
    <cellStyle name="통화 [0] 3 3 2 2 3" xfId="2834" xr:uid="{00000000-0005-0000-0000-0000110B0000}"/>
    <cellStyle name="통화 [0] 3 3 2 2 3 2" xfId="2835" xr:uid="{00000000-0005-0000-0000-0000120B0000}"/>
    <cellStyle name="통화 [0] 3 3 2 3" xfId="2836" xr:uid="{00000000-0005-0000-0000-0000130B0000}"/>
    <cellStyle name="통화 [0] 3 3 2 3 2" xfId="2837" xr:uid="{00000000-0005-0000-0000-0000140B0000}"/>
    <cellStyle name="통화 [0] 3 3 2 4" xfId="2838" xr:uid="{00000000-0005-0000-0000-0000150B0000}"/>
    <cellStyle name="통화 [0] 3 3 2 4 2" xfId="2839" xr:uid="{00000000-0005-0000-0000-0000160B0000}"/>
    <cellStyle name="통화 [0] 3 3 2 5" xfId="2840" xr:uid="{00000000-0005-0000-0000-0000170B0000}"/>
    <cellStyle name="통화 [0] 3 3 2 5 2" xfId="2841" xr:uid="{00000000-0005-0000-0000-0000180B0000}"/>
    <cellStyle name="통화 [0] 3 3 2 6" xfId="2842" xr:uid="{00000000-0005-0000-0000-0000190B0000}"/>
    <cellStyle name="통화 [0] 3 3 2 6 2" xfId="2843" xr:uid="{00000000-0005-0000-0000-00001A0B0000}"/>
    <cellStyle name="통화 [0] 3 3 2 7" xfId="2844" xr:uid="{00000000-0005-0000-0000-00001B0B0000}"/>
    <cellStyle name="통화 [0] 3 3 2 7 2" xfId="2845" xr:uid="{00000000-0005-0000-0000-00001C0B0000}"/>
    <cellStyle name="통화 [0] 3 3 2 8" xfId="2846" xr:uid="{00000000-0005-0000-0000-00001D0B0000}"/>
    <cellStyle name="통화 [0] 3 3 2 8 2" xfId="2847" xr:uid="{00000000-0005-0000-0000-00001E0B0000}"/>
    <cellStyle name="통화 [0] 3 3 2 9" xfId="2848" xr:uid="{00000000-0005-0000-0000-00001F0B0000}"/>
    <cellStyle name="통화 [0] 3 3 2 9 2" xfId="2849" xr:uid="{00000000-0005-0000-0000-0000200B0000}"/>
    <cellStyle name="통화 [0] 3 3 3" xfId="2850" xr:uid="{00000000-0005-0000-0000-0000210B0000}"/>
    <cellStyle name="통화 [0] 3 3 3 2" xfId="2851" xr:uid="{00000000-0005-0000-0000-0000220B0000}"/>
    <cellStyle name="통화 [0] 3 3 3 2 2" xfId="2852" xr:uid="{00000000-0005-0000-0000-0000230B0000}"/>
    <cellStyle name="통화 [0] 3 3 3 3" xfId="2853" xr:uid="{00000000-0005-0000-0000-0000240B0000}"/>
    <cellStyle name="통화 [0] 3 3 3 3 2" xfId="2854" xr:uid="{00000000-0005-0000-0000-0000250B0000}"/>
    <cellStyle name="통화 [0] 3 3 3 4" xfId="2855" xr:uid="{00000000-0005-0000-0000-0000260B0000}"/>
    <cellStyle name="통화 [0] 3 3 3 4 2" xfId="2856" xr:uid="{00000000-0005-0000-0000-0000270B0000}"/>
    <cellStyle name="통화 [0] 3 3 3 5" xfId="2857" xr:uid="{00000000-0005-0000-0000-0000280B0000}"/>
    <cellStyle name="통화 [0] 3 3 3 6" xfId="2858" xr:uid="{00000000-0005-0000-0000-0000290B0000}"/>
    <cellStyle name="통화 [0] 3 3 3 6 2" xfId="2859" xr:uid="{00000000-0005-0000-0000-00002A0B0000}"/>
    <cellStyle name="통화 [0] 3 3 4" xfId="2860" xr:uid="{00000000-0005-0000-0000-00002B0B0000}"/>
    <cellStyle name="통화 [0] 3 3 4 2" xfId="2861" xr:uid="{00000000-0005-0000-0000-00002C0B0000}"/>
    <cellStyle name="통화 [0] 3 3 4 2 2" xfId="2862" xr:uid="{00000000-0005-0000-0000-00002D0B0000}"/>
    <cellStyle name="통화 [0] 3 3 4 3" xfId="2863" xr:uid="{00000000-0005-0000-0000-00002E0B0000}"/>
    <cellStyle name="통화 [0] 3 3 4 3 2" xfId="2864" xr:uid="{00000000-0005-0000-0000-00002F0B0000}"/>
    <cellStyle name="통화 [0] 3 3 4 4" xfId="2865" xr:uid="{00000000-0005-0000-0000-0000300B0000}"/>
    <cellStyle name="통화 [0] 3 3 5" xfId="2866" xr:uid="{00000000-0005-0000-0000-0000310B0000}"/>
    <cellStyle name="통화 [0] 3 3 5 2" xfId="2867" xr:uid="{00000000-0005-0000-0000-0000320B0000}"/>
    <cellStyle name="통화 [0] 3 3 6" xfId="2868" xr:uid="{00000000-0005-0000-0000-0000330B0000}"/>
    <cellStyle name="통화 [0] 3 3 6 2" xfId="2869" xr:uid="{00000000-0005-0000-0000-0000340B0000}"/>
    <cellStyle name="통화 [0] 3 3 7" xfId="2870" xr:uid="{00000000-0005-0000-0000-0000350B0000}"/>
    <cellStyle name="통화 [0] 3 3 7 2" xfId="2871" xr:uid="{00000000-0005-0000-0000-0000360B0000}"/>
    <cellStyle name="통화 [0] 3 3 8" xfId="2872" xr:uid="{00000000-0005-0000-0000-0000370B0000}"/>
    <cellStyle name="통화 [0] 3 3 8 2" xfId="2873" xr:uid="{00000000-0005-0000-0000-0000380B0000}"/>
    <cellStyle name="통화 [0] 3 3 9" xfId="2874" xr:uid="{00000000-0005-0000-0000-0000390B0000}"/>
    <cellStyle name="통화 [0] 3 3 9 2" xfId="2875" xr:uid="{00000000-0005-0000-0000-00003A0B0000}"/>
    <cellStyle name="통화 [0] 3 4" xfId="2876" xr:uid="{00000000-0005-0000-0000-00003B0B0000}"/>
    <cellStyle name="통화 [0] 3 4 10" xfId="2877" xr:uid="{00000000-0005-0000-0000-00003C0B0000}"/>
    <cellStyle name="통화 [0] 3 4 10 2" xfId="2878" xr:uid="{00000000-0005-0000-0000-00003D0B0000}"/>
    <cellStyle name="통화 [0] 3 4 11" xfId="2879" xr:uid="{00000000-0005-0000-0000-00003E0B0000}"/>
    <cellStyle name="통화 [0] 3 4 11 2" xfId="2880" xr:uid="{00000000-0005-0000-0000-00003F0B0000}"/>
    <cellStyle name="통화 [0] 3 4 12" xfId="2881" xr:uid="{00000000-0005-0000-0000-0000400B0000}"/>
    <cellStyle name="통화 [0] 3 4 12 2" xfId="2882" xr:uid="{00000000-0005-0000-0000-0000410B0000}"/>
    <cellStyle name="통화 [0] 3 4 13" xfId="2883" xr:uid="{00000000-0005-0000-0000-0000420B0000}"/>
    <cellStyle name="통화 [0] 3 4 2" xfId="2884" xr:uid="{00000000-0005-0000-0000-0000430B0000}"/>
    <cellStyle name="통화 [0] 3 4 2 10" xfId="2885" xr:uid="{00000000-0005-0000-0000-0000440B0000}"/>
    <cellStyle name="통화 [0] 3 4 2 10 2" xfId="2886" xr:uid="{00000000-0005-0000-0000-0000450B0000}"/>
    <cellStyle name="통화 [0] 3 4 2 11" xfId="2887" xr:uid="{00000000-0005-0000-0000-0000460B0000}"/>
    <cellStyle name="통화 [0] 3 4 2 2" xfId="2888" xr:uid="{00000000-0005-0000-0000-0000470B0000}"/>
    <cellStyle name="통화 [0] 3 4 2 2 2" xfId="2889" xr:uid="{00000000-0005-0000-0000-0000480B0000}"/>
    <cellStyle name="통화 [0] 3 4 2 2 3" xfId="2890" xr:uid="{00000000-0005-0000-0000-0000490B0000}"/>
    <cellStyle name="통화 [0] 3 4 2 2 3 2" xfId="2891" xr:uid="{00000000-0005-0000-0000-00004A0B0000}"/>
    <cellStyle name="통화 [0] 3 4 2 3" xfId="2892" xr:uid="{00000000-0005-0000-0000-00004B0B0000}"/>
    <cellStyle name="통화 [0] 3 4 2 3 2" xfId="2893" xr:uid="{00000000-0005-0000-0000-00004C0B0000}"/>
    <cellStyle name="통화 [0] 3 4 2 4" xfId="2894" xr:uid="{00000000-0005-0000-0000-00004D0B0000}"/>
    <cellStyle name="통화 [0] 3 4 2 4 2" xfId="2895" xr:uid="{00000000-0005-0000-0000-00004E0B0000}"/>
    <cellStyle name="통화 [0] 3 4 2 5" xfId="2896" xr:uid="{00000000-0005-0000-0000-00004F0B0000}"/>
    <cellStyle name="통화 [0] 3 4 2 5 2" xfId="2897" xr:uid="{00000000-0005-0000-0000-0000500B0000}"/>
    <cellStyle name="통화 [0] 3 4 2 6" xfId="2898" xr:uid="{00000000-0005-0000-0000-0000510B0000}"/>
    <cellStyle name="통화 [0] 3 4 2 6 2" xfId="2899" xr:uid="{00000000-0005-0000-0000-0000520B0000}"/>
    <cellStyle name="통화 [0] 3 4 2 7" xfId="2900" xr:uid="{00000000-0005-0000-0000-0000530B0000}"/>
    <cellStyle name="통화 [0] 3 4 2 7 2" xfId="2901" xr:uid="{00000000-0005-0000-0000-0000540B0000}"/>
    <cellStyle name="통화 [0] 3 4 2 8" xfId="2902" xr:uid="{00000000-0005-0000-0000-0000550B0000}"/>
    <cellStyle name="통화 [0] 3 4 2 8 2" xfId="2903" xr:uid="{00000000-0005-0000-0000-0000560B0000}"/>
    <cellStyle name="통화 [0] 3 4 2 9" xfId="2904" xr:uid="{00000000-0005-0000-0000-0000570B0000}"/>
    <cellStyle name="통화 [0] 3 4 2 9 2" xfId="2905" xr:uid="{00000000-0005-0000-0000-0000580B0000}"/>
    <cellStyle name="통화 [0] 3 4 3" xfId="2906" xr:uid="{00000000-0005-0000-0000-0000590B0000}"/>
    <cellStyle name="통화 [0] 3 4 3 2" xfId="2907" xr:uid="{00000000-0005-0000-0000-00005A0B0000}"/>
    <cellStyle name="통화 [0] 3 4 3 2 2" xfId="2908" xr:uid="{00000000-0005-0000-0000-00005B0B0000}"/>
    <cellStyle name="통화 [0] 3 4 3 3" xfId="2909" xr:uid="{00000000-0005-0000-0000-00005C0B0000}"/>
    <cellStyle name="통화 [0] 3 4 3 3 2" xfId="2910" xr:uid="{00000000-0005-0000-0000-00005D0B0000}"/>
    <cellStyle name="통화 [0] 3 4 3 4" xfId="2911" xr:uid="{00000000-0005-0000-0000-00005E0B0000}"/>
    <cellStyle name="통화 [0] 3 4 3 4 2" xfId="2912" xr:uid="{00000000-0005-0000-0000-00005F0B0000}"/>
    <cellStyle name="통화 [0] 3 4 3 5" xfId="2913" xr:uid="{00000000-0005-0000-0000-0000600B0000}"/>
    <cellStyle name="통화 [0] 3 4 3 6" xfId="2914" xr:uid="{00000000-0005-0000-0000-0000610B0000}"/>
    <cellStyle name="통화 [0] 3 4 3 6 2" xfId="2915" xr:uid="{00000000-0005-0000-0000-0000620B0000}"/>
    <cellStyle name="통화 [0] 3 4 4" xfId="2916" xr:uid="{00000000-0005-0000-0000-0000630B0000}"/>
    <cellStyle name="통화 [0] 3 4 4 2" xfId="2917" xr:uid="{00000000-0005-0000-0000-0000640B0000}"/>
    <cellStyle name="통화 [0] 3 4 4 2 2" xfId="2918" xr:uid="{00000000-0005-0000-0000-0000650B0000}"/>
    <cellStyle name="통화 [0] 3 4 4 3" xfId="2919" xr:uid="{00000000-0005-0000-0000-0000660B0000}"/>
    <cellStyle name="통화 [0] 3 4 4 3 2" xfId="2920" xr:uid="{00000000-0005-0000-0000-0000670B0000}"/>
    <cellStyle name="통화 [0] 3 4 4 4" xfId="2921" xr:uid="{00000000-0005-0000-0000-0000680B0000}"/>
    <cellStyle name="통화 [0] 3 4 5" xfId="2922" xr:uid="{00000000-0005-0000-0000-0000690B0000}"/>
    <cellStyle name="통화 [0] 3 4 5 2" xfId="2923" xr:uid="{00000000-0005-0000-0000-00006A0B0000}"/>
    <cellStyle name="통화 [0] 3 4 6" xfId="2924" xr:uid="{00000000-0005-0000-0000-00006B0B0000}"/>
    <cellStyle name="통화 [0] 3 4 6 2" xfId="2925" xr:uid="{00000000-0005-0000-0000-00006C0B0000}"/>
    <cellStyle name="통화 [0] 3 4 7" xfId="2926" xr:uid="{00000000-0005-0000-0000-00006D0B0000}"/>
    <cellStyle name="통화 [0] 3 4 7 2" xfId="2927" xr:uid="{00000000-0005-0000-0000-00006E0B0000}"/>
    <cellStyle name="통화 [0] 3 4 8" xfId="2928" xr:uid="{00000000-0005-0000-0000-00006F0B0000}"/>
    <cellStyle name="통화 [0] 3 4 8 2" xfId="2929" xr:uid="{00000000-0005-0000-0000-0000700B0000}"/>
    <cellStyle name="통화 [0] 3 4 9" xfId="2930" xr:uid="{00000000-0005-0000-0000-0000710B0000}"/>
    <cellStyle name="통화 [0] 3 4 9 2" xfId="2931" xr:uid="{00000000-0005-0000-0000-0000720B0000}"/>
    <cellStyle name="통화 [0] 3 5" xfId="2932" xr:uid="{00000000-0005-0000-0000-0000730B0000}"/>
    <cellStyle name="통화 [0] 3 5 10" xfId="2933" xr:uid="{00000000-0005-0000-0000-0000740B0000}"/>
    <cellStyle name="통화 [0] 3 5 10 2" xfId="2934" xr:uid="{00000000-0005-0000-0000-0000750B0000}"/>
    <cellStyle name="통화 [0] 3 5 11" xfId="2935" xr:uid="{00000000-0005-0000-0000-0000760B0000}"/>
    <cellStyle name="통화 [0] 3 5 11 2" xfId="2936" xr:uid="{00000000-0005-0000-0000-0000770B0000}"/>
    <cellStyle name="통화 [0] 3 5 12" xfId="2937" xr:uid="{00000000-0005-0000-0000-0000780B0000}"/>
    <cellStyle name="통화 [0] 3 5 12 2" xfId="2938" xr:uid="{00000000-0005-0000-0000-0000790B0000}"/>
    <cellStyle name="통화 [0] 3 5 13" xfId="2939" xr:uid="{00000000-0005-0000-0000-00007A0B0000}"/>
    <cellStyle name="통화 [0] 3 5 2" xfId="2940" xr:uid="{00000000-0005-0000-0000-00007B0B0000}"/>
    <cellStyle name="통화 [0] 3 5 2 10" xfId="2941" xr:uid="{00000000-0005-0000-0000-00007C0B0000}"/>
    <cellStyle name="통화 [0] 3 5 2 10 2" xfId="2942" xr:uid="{00000000-0005-0000-0000-00007D0B0000}"/>
    <cellStyle name="통화 [0] 3 5 2 11" xfId="2943" xr:uid="{00000000-0005-0000-0000-00007E0B0000}"/>
    <cellStyle name="통화 [0] 3 5 2 2" xfId="2944" xr:uid="{00000000-0005-0000-0000-00007F0B0000}"/>
    <cellStyle name="통화 [0] 3 5 2 2 2" xfId="2945" xr:uid="{00000000-0005-0000-0000-0000800B0000}"/>
    <cellStyle name="통화 [0] 3 5 2 2 3" xfId="2946" xr:uid="{00000000-0005-0000-0000-0000810B0000}"/>
    <cellStyle name="통화 [0] 3 5 2 2 3 2" xfId="2947" xr:uid="{00000000-0005-0000-0000-0000820B0000}"/>
    <cellStyle name="통화 [0] 3 5 2 3" xfId="2948" xr:uid="{00000000-0005-0000-0000-0000830B0000}"/>
    <cellStyle name="통화 [0] 3 5 2 3 2" xfId="2949" xr:uid="{00000000-0005-0000-0000-0000840B0000}"/>
    <cellStyle name="통화 [0] 3 5 2 4" xfId="2950" xr:uid="{00000000-0005-0000-0000-0000850B0000}"/>
    <cellStyle name="통화 [0] 3 5 2 4 2" xfId="2951" xr:uid="{00000000-0005-0000-0000-0000860B0000}"/>
    <cellStyle name="통화 [0] 3 5 2 5" xfId="2952" xr:uid="{00000000-0005-0000-0000-0000870B0000}"/>
    <cellStyle name="통화 [0] 3 5 2 5 2" xfId="2953" xr:uid="{00000000-0005-0000-0000-0000880B0000}"/>
    <cellStyle name="통화 [0] 3 5 2 6" xfId="2954" xr:uid="{00000000-0005-0000-0000-0000890B0000}"/>
    <cellStyle name="통화 [0] 3 5 2 6 2" xfId="2955" xr:uid="{00000000-0005-0000-0000-00008A0B0000}"/>
    <cellStyle name="통화 [0] 3 5 2 7" xfId="2956" xr:uid="{00000000-0005-0000-0000-00008B0B0000}"/>
    <cellStyle name="통화 [0] 3 5 2 7 2" xfId="2957" xr:uid="{00000000-0005-0000-0000-00008C0B0000}"/>
    <cellStyle name="통화 [0] 3 5 2 8" xfId="2958" xr:uid="{00000000-0005-0000-0000-00008D0B0000}"/>
    <cellStyle name="통화 [0] 3 5 2 8 2" xfId="2959" xr:uid="{00000000-0005-0000-0000-00008E0B0000}"/>
    <cellStyle name="통화 [0] 3 5 2 9" xfId="2960" xr:uid="{00000000-0005-0000-0000-00008F0B0000}"/>
    <cellStyle name="통화 [0] 3 5 2 9 2" xfId="2961" xr:uid="{00000000-0005-0000-0000-0000900B0000}"/>
    <cellStyle name="통화 [0] 3 5 3" xfId="2962" xr:uid="{00000000-0005-0000-0000-0000910B0000}"/>
    <cellStyle name="통화 [0] 3 5 3 2" xfId="2963" xr:uid="{00000000-0005-0000-0000-0000920B0000}"/>
    <cellStyle name="통화 [0] 3 5 3 2 2" xfId="2964" xr:uid="{00000000-0005-0000-0000-0000930B0000}"/>
    <cellStyle name="통화 [0] 3 5 3 3" xfId="2965" xr:uid="{00000000-0005-0000-0000-0000940B0000}"/>
    <cellStyle name="통화 [0] 3 5 3 3 2" xfId="2966" xr:uid="{00000000-0005-0000-0000-0000950B0000}"/>
    <cellStyle name="통화 [0] 3 5 3 4" xfId="2967" xr:uid="{00000000-0005-0000-0000-0000960B0000}"/>
    <cellStyle name="통화 [0] 3 5 3 4 2" xfId="2968" xr:uid="{00000000-0005-0000-0000-0000970B0000}"/>
    <cellStyle name="통화 [0] 3 5 3 5" xfId="2969" xr:uid="{00000000-0005-0000-0000-0000980B0000}"/>
    <cellStyle name="통화 [0] 3 5 3 6" xfId="2970" xr:uid="{00000000-0005-0000-0000-0000990B0000}"/>
    <cellStyle name="통화 [0] 3 5 3 6 2" xfId="2971" xr:uid="{00000000-0005-0000-0000-00009A0B0000}"/>
    <cellStyle name="통화 [0] 3 5 4" xfId="2972" xr:uid="{00000000-0005-0000-0000-00009B0B0000}"/>
    <cellStyle name="통화 [0] 3 5 4 2" xfId="2973" xr:uid="{00000000-0005-0000-0000-00009C0B0000}"/>
    <cellStyle name="통화 [0] 3 5 4 2 2" xfId="2974" xr:uid="{00000000-0005-0000-0000-00009D0B0000}"/>
    <cellStyle name="통화 [0] 3 5 4 3" xfId="2975" xr:uid="{00000000-0005-0000-0000-00009E0B0000}"/>
    <cellStyle name="통화 [0] 3 5 4 3 2" xfId="2976" xr:uid="{00000000-0005-0000-0000-00009F0B0000}"/>
    <cellStyle name="통화 [0] 3 5 4 4" xfId="2977" xr:uid="{00000000-0005-0000-0000-0000A00B0000}"/>
    <cellStyle name="통화 [0] 3 5 5" xfId="2978" xr:uid="{00000000-0005-0000-0000-0000A10B0000}"/>
    <cellStyle name="통화 [0] 3 5 5 2" xfId="2979" xr:uid="{00000000-0005-0000-0000-0000A20B0000}"/>
    <cellStyle name="통화 [0] 3 5 6" xfId="2980" xr:uid="{00000000-0005-0000-0000-0000A30B0000}"/>
    <cellStyle name="통화 [0] 3 5 6 2" xfId="2981" xr:uid="{00000000-0005-0000-0000-0000A40B0000}"/>
    <cellStyle name="통화 [0] 3 5 7" xfId="2982" xr:uid="{00000000-0005-0000-0000-0000A50B0000}"/>
    <cellStyle name="통화 [0] 3 5 7 2" xfId="2983" xr:uid="{00000000-0005-0000-0000-0000A60B0000}"/>
    <cellStyle name="통화 [0] 3 5 8" xfId="2984" xr:uid="{00000000-0005-0000-0000-0000A70B0000}"/>
    <cellStyle name="통화 [0] 3 5 8 2" xfId="2985" xr:uid="{00000000-0005-0000-0000-0000A80B0000}"/>
    <cellStyle name="통화 [0] 3 5 9" xfId="2986" xr:uid="{00000000-0005-0000-0000-0000A90B0000}"/>
    <cellStyle name="통화 [0] 3 5 9 2" xfId="2987" xr:uid="{00000000-0005-0000-0000-0000AA0B0000}"/>
    <cellStyle name="통화 [0] 3 6" xfId="2988" xr:uid="{00000000-0005-0000-0000-0000AB0B0000}"/>
    <cellStyle name="통화 [0] 3 6 10" xfId="2989" xr:uid="{00000000-0005-0000-0000-0000AC0B0000}"/>
    <cellStyle name="통화 [0] 3 6 10 2" xfId="2990" xr:uid="{00000000-0005-0000-0000-0000AD0B0000}"/>
    <cellStyle name="통화 [0] 3 6 11" xfId="2991" xr:uid="{00000000-0005-0000-0000-0000AE0B0000}"/>
    <cellStyle name="통화 [0] 3 6 2" xfId="2992" xr:uid="{00000000-0005-0000-0000-0000AF0B0000}"/>
    <cellStyle name="통화 [0] 3 6 2 2" xfId="2993" xr:uid="{00000000-0005-0000-0000-0000B00B0000}"/>
    <cellStyle name="통화 [0] 3 6 2 3" xfId="2994" xr:uid="{00000000-0005-0000-0000-0000B10B0000}"/>
    <cellStyle name="통화 [0] 3 6 2 3 2" xfId="2995" xr:uid="{00000000-0005-0000-0000-0000B20B0000}"/>
    <cellStyle name="통화 [0] 3 6 2 4" xfId="2996" xr:uid="{00000000-0005-0000-0000-0000B30B0000}"/>
    <cellStyle name="통화 [0] 3 6 2 4 2" xfId="2997" xr:uid="{00000000-0005-0000-0000-0000B40B0000}"/>
    <cellStyle name="통화 [0] 3 6 2 5" xfId="2998" xr:uid="{00000000-0005-0000-0000-0000B50B0000}"/>
    <cellStyle name="통화 [0] 3 6 2 5 2" xfId="2999" xr:uid="{00000000-0005-0000-0000-0000B60B0000}"/>
    <cellStyle name="통화 [0] 3 6 2 6" xfId="3000" xr:uid="{00000000-0005-0000-0000-0000B70B0000}"/>
    <cellStyle name="통화 [0] 3 6 2 6 2" xfId="3001" xr:uid="{00000000-0005-0000-0000-0000B80B0000}"/>
    <cellStyle name="통화 [0] 3 6 2 7" xfId="3002" xr:uid="{00000000-0005-0000-0000-0000B90B0000}"/>
    <cellStyle name="통화 [0] 3 6 2 7 2" xfId="3003" xr:uid="{00000000-0005-0000-0000-0000BA0B0000}"/>
    <cellStyle name="통화 [0] 3 6 2 8" xfId="3004" xr:uid="{00000000-0005-0000-0000-0000BB0B0000}"/>
    <cellStyle name="통화 [0] 3 6 2 8 2" xfId="3005" xr:uid="{00000000-0005-0000-0000-0000BC0B0000}"/>
    <cellStyle name="통화 [0] 3 6 2 9" xfId="3006" xr:uid="{00000000-0005-0000-0000-0000BD0B0000}"/>
    <cellStyle name="통화 [0] 3 6 3" xfId="3007" xr:uid="{00000000-0005-0000-0000-0000BE0B0000}"/>
    <cellStyle name="통화 [0] 3 6 3 2" xfId="3008" xr:uid="{00000000-0005-0000-0000-0000BF0B0000}"/>
    <cellStyle name="통화 [0] 3 6 3 3" xfId="3009" xr:uid="{00000000-0005-0000-0000-0000C00B0000}"/>
    <cellStyle name="통화 [0] 3 6 3 3 2" xfId="3010" xr:uid="{00000000-0005-0000-0000-0000C10B0000}"/>
    <cellStyle name="통화 [0] 3 6 4" xfId="3011" xr:uid="{00000000-0005-0000-0000-0000C20B0000}"/>
    <cellStyle name="통화 [0] 3 6 4 2" xfId="3012" xr:uid="{00000000-0005-0000-0000-0000C30B0000}"/>
    <cellStyle name="통화 [0] 3 6 5" xfId="3013" xr:uid="{00000000-0005-0000-0000-0000C40B0000}"/>
    <cellStyle name="통화 [0] 3 6 5 2" xfId="3014" xr:uid="{00000000-0005-0000-0000-0000C50B0000}"/>
    <cellStyle name="통화 [0] 3 6 6" xfId="3015" xr:uid="{00000000-0005-0000-0000-0000C60B0000}"/>
    <cellStyle name="통화 [0] 3 6 6 2" xfId="3016" xr:uid="{00000000-0005-0000-0000-0000C70B0000}"/>
    <cellStyle name="통화 [0] 3 6 7" xfId="3017" xr:uid="{00000000-0005-0000-0000-0000C80B0000}"/>
    <cellStyle name="통화 [0] 3 6 7 2" xfId="3018" xr:uid="{00000000-0005-0000-0000-0000C90B0000}"/>
    <cellStyle name="통화 [0] 3 6 8" xfId="3019" xr:uid="{00000000-0005-0000-0000-0000CA0B0000}"/>
    <cellStyle name="통화 [0] 3 6 8 2" xfId="3020" xr:uid="{00000000-0005-0000-0000-0000CB0B0000}"/>
    <cellStyle name="통화 [0] 3 6 9" xfId="3021" xr:uid="{00000000-0005-0000-0000-0000CC0B0000}"/>
    <cellStyle name="통화 [0] 3 6 9 2" xfId="3022" xr:uid="{00000000-0005-0000-0000-0000CD0B0000}"/>
    <cellStyle name="통화 [0] 3 7" xfId="3023" xr:uid="{00000000-0005-0000-0000-0000CE0B0000}"/>
    <cellStyle name="통화 [0] 3 7 10" xfId="3024" xr:uid="{00000000-0005-0000-0000-0000CF0B0000}"/>
    <cellStyle name="통화 [0] 3 7 10 2" xfId="3025" xr:uid="{00000000-0005-0000-0000-0000D00B0000}"/>
    <cellStyle name="통화 [0] 3 7 11" xfId="3026" xr:uid="{00000000-0005-0000-0000-0000D10B0000}"/>
    <cellStyle name="통화 [0] 3 7 2" xfId="3027" xr:uid="{00000000-0005-0000-0000-0000D20B0000}"/>
    <cellStyle name="통화 [0] 3 7 2 2" xfId="3028" xr:uid="{00000000-0005-0000-0000-0000D30B0000}"/>
    <cellStyle name="통화 [0] 3 7 2 3" xfId="3029" xr:uid="{00000000-0005-0000-0000-0000D40B0000}"/>
    <cellStyle name="통화 [0] 3 7 2 3 2" xfId="3030" xr:uid="{00000000-0005-0000-0000-0000D50B0000}"/>
    <cellStyle name="통화 [0] 3 7 2 4" xfId="3031" xr:uid="{00000000-0005-0000-0000-0000D60B0000}"/>
    <cellStyle name="통화 [0] 3 7 2 4 2" xfId="3032" xr:uid="{00000000-0005-0000-0000-0000D70B0000}"/>
    <cellStyle name="통화 [0] 3 7 2 5" xfId="3033" xr:uid="{00000000-0005-0000-0000-0000D80B0000}"/>
    <cellStyle name="통화 [0] 3 7 2 5 2" xfId="3034" xr:uid="{00000000-0005-0000-0000-0000D90B0000}"/>
    <cellStyle name="통화 [0] 3 7 2 6" xfId="3035" xr:uid="{00000000-0005-0000-0000-0000DA0B0000}"/>
    <cellStyle name="통화 [0] 3 7 2 6 2" xfId="3036" xr:uid="{00000000-0005-0000-0000-0000DB0B0000}"/>
    <cellStyle name="통화 [0] 3 7 2 7" xfId="3037" xr:uid="{00000000-0005-0000-0000-0000DC0B0000}"/>
    <cellStyle name="통화 [0] 3 7 2 7 2" xfId="3038" xr:uid="{00000000-0005-0000-0000-0000DD0B0000}"/>
    <cellStyle name="통화 [0] 3 7 2 8" xfId="3039" xr:uid="{00000000-0005-0000-0000-0000DE0B0000}"/>
    <cellStyle name="통화 [0] 3 7 2 8 2" xfId="3040" xr:uid="{00000000-0005-0000-0000-0000DF0B0000}"/>
    <cellStyle name="통화 [0] 3 7 2 9" xfId="3041" xr:uid="{00000000-0005-0000-0000-0000E00B0000}"/>
    <cellStyle name="통화 [0] 3 7 3" xfId="3042" xr:uid="{00000000-0005-0000-0000-0000E10B0000}"/>
    <cellStyle name="통화 [0] 3 7 3 2" xfId="3043" xr:uid="{00000000-0005-0000-0000-0000E20B0000}"/>
    <cellStyle name="통화 [0] 3 7 3 3" xfId="3044" xr:uid="{00000000-0005-0000-0000-0000E30B0000}"/>
    <cellStyle name="통화 [0] 3 7 3 3 2" xfId="3045" xr:uid="{00000000-0005-0000-0000-0000E40B0000}"/>
    <cellStyle name="통화 [0] 3 7 4" xfId="3046" xr:uid="{00000000-0005-0000-0000-0000E50B0000}"/>
    <cellStyle name="통화 [0] 3 7 4 2" xfId="3047" xr:uid="{00000000-0005-0000-0000-0000E60B0000}"/>
    <cellStyle name="통화 [0] 3 7 5" xfId="3048" xr:uid="{00000000-0005-0000-0000-0000E70B0000}"/>
    <cellStyle name="통화 [0] 3 7 5 2" xfId="3049" xr:uid="{00000000-0005-0000-0000-0000E80B0000}"/>
    <cellStyle name="통화 [0] 3 7 6" xfId="3050" xr:uid="{00000000-0005-0000-0000-0000E90B0000}"/>
    <cellStyle name="통화 [0] 3 7 6 2" xfId="3051" xr:uid="{00000000-0005-0000-0000-0000EA0B0000}"/>
    <cellStyle name="통화 [0] 3 7 7" xfId="3052" xr:uid="{00000000-0005-0000-0000-0000EB0B0000}"/>
    <cellStyle name="통화 [0] 3 7 7 2" xfId="3053" xr:uid="{00000000-0005-0000-0000-0000EC0B0000}"/>
    <cellStyle name="통화 [0] 3 7 8" xfId="3054" xr:uid="{00000000-0005-0000-0000-0000ED0B0000}"/>
    <cellStyle name="통화 [0] 3 7 8 2" xfId="3055" xr:uid="{00000000-0005-0000-0000-0000EE0B0000}"/>
    <cellStyle name="통화 [0] 3 7 9" xfId="3056" xr:uid="{00000000-0005-0000-0000-0000EF0B0000}"/>
    <cellStyle name="통화 [0] 3 7 9 2" xfId="3057" xr:uid="{00000000-0005-0000-0000-0000F00B0000}"/>
    <cellStyle name="통화 [0] 3 8" xfId="3058" xr:uid="{00000000-0005-0000-0000-0000F10B0000}"/>
    <cellStyle name="통화 [0] 3 8 10" xfId="3059" xr:uid="{00000000-0005-0000-0000-0000F20B0000}"/>
    <cellStyle name="통화 [0] 3 8 2" xfId="3060" xr:uid="{00000000-0005-0000-0000-0000F30B0000}"/>
    <cellStyle name="통화 [0] 3 8 2 2" xfId="3061" xr:uid="{00000000-0005-0000-0000-0000F40B0000}"/>
    <cellStyle name="통화 [0] 3 8 2 3" xfId="3062" xr:uid="{00000000-0005-0000-0000-0000F50B0000}"/>
    <cellStyle name="통화 [0] 3 8 2 3 2" xfId="3063" xr:uid="{00000000-0005-0000-0000-0000F60B0000}"/>
    <cellStyle name="통화 [0] 3 8 2 4" xfId="3064" xr:uid="{00000000-0005-0000-0000-0000F70B0000}"/>
    <cellStyle name="통화 [0] 3 8 2 4 2" xfId="3065" xr:uid="{00000000-0005-0000-0000-0000F80B0000}"/>
    <cellStyle name="통화 [0] 3 8 2 5" xfId="3066" xr:uid="{00000000-0005-0000-0000-0000F90B0000}"/>
    <cellStyle name="통화 [0] 3 8 2 5 2" xfId="3067" xr:uid="{00000000-0005-0000-0000-0000FA0B0000}"/>
    <cellStyle name="통화 [0] 3 8 2 6" xfId="3068" xr:uid="{00000000-0005-0000-0000-0000FB0B0000}"/>
    <cellStyle name="통화 [0] 3 8 2 6 2" xfId="3069" xr:uid="{00000000-0005-0000-0000-0000FC0B0000}"/>
    <cellStyle name="통화 [0] 3 8 2 7" xfId="3070" xr:uid="{00000000-0005-0000-0000-0000FD0B0000}"/>
    <cellStyle name="통화 [0] 3 8 2 7 2" xfId="3071" xr:uid="{00000000-0005-0000-0000-0000FE0B0000}"/>
    <cellStyle name="통화 [0] 3 8 2 8" xfId="3072" xr:uid="{00000000-0005-0000-0000-0000FF0B0000}"/>
    <cellStyle name="통화 [0] 3 8 2 8 2" xfId="3073" xr:uid="{00000000-0005-0000-0000-0000000C0000}"/>
    <cellStyle name="통화 [0] 3 8 2 9" xfId="3074" xr:uid="{00000000-0005-0000-0000-0000010C0000}"/>
    <cellStyle name="통화 [0] 3 8 3" xfId="3075" xr:uid="{00000000-0005-0000-0000-0000020C0000}"/>
    <cellStyle name="통화 [0] 3 8 3 2" xfId="3076" xr:uid="{00000000-0005-0000-0000-0000030C0000}"/>
    <cellStyle name="통화 [0] 3 8 3 3" xfId="3077" xr:uid="{00000000-0005-0000-0000-0000040C0000}"/>
    <cellStyle name="통화 [0] 3 8 3 3 2" xfId="3078" xr:uid="{00000000-0005-0000-0000-0000050C0000}"/>
    <cellStyle name="통화 [0] 3 8 4" xfId="3079" xr:uid="{00000000-0005-0000-0000-0000060C0000}"/>
    <cellStyle name="통화 [0] 3 8 4 2" xfId="3080" xr:uid="{00000000-0005-0000-0000-0000070C0000}"/>
    <cellStyle name="통화 [0] 3 8 5" xfId="3081" xr:uid="{00000000-0005-0000-0000-0000080C0000}"/>
    <cellStyle name="통화 [0] 3 8 5 2" xfId="3082" xr:uid="{00000000-0005-0000-0000-0000090C0000}"/>
    <cellStyle name="통화 [0] 3 8 6" xfId="3083" xr:uid="{00000000-0005-0000-0000-00000A0C0000}"/>
    <cellStyle name="통화 [0] 3 8 6 2" xfId="3084" xr:uid="{00000000-0005-0000-0000-00000B0C0000}"/>
    <cellStyle name="통화 [0] 3 8 7" xfId="3085" xr:uid="{00000000-0005-0000-0000-00000C0C0000}"/>
    <cellStyle name="통화 [0] 3 8 7 2" xfId="3086" xr:uid="{00000000-0005-0000-0000-00000D0C0000}"/>
    <cellStyle name="통화 [0] 3 8 8" xfId="3087" xr:uid="{00000000-0005-0000-0000-00000E0C0000}"/>
    <cellStyle name="통화 [0] 3 8 8 2" xfId="3088" xr:uid="{00000000-0005-0000-0000-00000F0C0000}"/>
    <cellStyle name="통화 [0] 3 8 9" xfId="3089" xr:uid="{00000000-0005-0000-0000-0000100C0000}"/>
    <cellStyle name="통화 [0] 3 8 9 2" xfId="3090" xr:uid="{00000000-0005-0000-0000-0000110C0000}"/>
    <cellStyle name="통화 [0] 3 9" xfId="3091" xr:uid="{00000000-0005-0000-0000-0000120C0000}"/>
    <cellStyle name="통화 [0] 3 9 2" xfId="3092" xr:uid="{00000000-0005-0000-0000-0000130C0000}"/>
    <cellStyle name="통화 [0] 3 9 3" xfId="3093" xr:uid="{00000000-0005-0000-0000-0000140C0000}"/>
    <cellStyle name="통화 [0] 3 9 3 2" xfId="3094" xr:uid="{00000000-0005-0000-0000-0000150C0000}"/>
    <cellStyle name="통화 [0] 4" xfId="3095" xr:uid="{00000000-0005-0000-0000-0000160C0000}"/>
    <cellStyle name="통화 [0] 4 10" xfId="3096" xr:uid="{00000000-0005-0000-0000-0000170C0000}"/>
    <cellStyle name="통화 [0] 4 10 2" xfId="3097" xr:uid="{00000000-0005-0000-0000-0000180C0000}"/>
    <cellStyle name="통화 [0] 4 11" xfId="3098" xr:uid="{00000000-0005-0000-0000-0000190C0000}"/>
    <cellStyle name="통화 [0] 4 11 2" xfId="3099" xr:uid="{00000000-0005-0000-0000-00001A0C0000}"/>
    <cellStyle name="통화 [0] 4 12" xfId="3100" xr:uid="{00000000-0005-0000-0000-00001B0C0000}"/>
    <cellStyle name="통화 [0] 4 12 2" xfId="3101" xr:uid="{00000000-0005-0000-0000-00001C0C0000}"/>
    <cellStyle name="통화 [0] 4 13" xfId="3102" xr:uid="{00000000-0005-0000-0000-00001D0C0000}"/>
    <cellStyle name="통화 [0] 4 2" xfId="3103" xr:uid="{00000000-0005-0000-0000-00001E0C0000}"/>
    <cellStyle name="통화 [0] 4 2 2" xfId="3104" xr:uid="{00000000-0005-0000-0000-00001F0C0000}"/>
    <cellStyle name="통화 [0] 4 2 2 2" xfId="3105" xr:uid="{00000000-0005-0000-0000-0000200C0000}"/>
    <cellStyle name="통화 [0] 4 2 3" xfId="3106" xr:uid="{00000000-0005-0000-0000-0000210C0000}"/>
    <cellStyle name="통화 [0] 4 2 3 2" xfId="3107" xr:uid="{00000000-0005-0000-0000-0000220C0000}"/>
    <cellStyle name="통화 [0] 4 2 4" xfId="3108" xr:uid="{00000000-0005-0000-0000-0000230C0000}"/>
    <cellStyle name="통화 [0] 4 2 4 2" xfId="3109" xr:uid="{00000000-0005-0000-0000-0000240C0000}"/>
    <cellStyle name="통화 [0] 4 2 5" xfId="3110" xr:uid="{00000000-0005-0000-0000-0000250C0000}"/>
    <cellStyle name="통화 [0] 4 2 6" xfId="3111" xr:uid="{00000000-0005-0000-0000-0000260C0000}"/>
    <cellStyle name="통화 [0] 4 2 6 2" xfId="3112" xr:uid="{00000000-0005-0000-0000-0000270C0000}"/>
    <cellStyle name="통화 [0] 4 3" xfId="3113" xr:uid="{00000000-0005-0000-0000-0000280C0000}"/>
    <cellStyle name="통화 [0] 4 3 10" xfId="3114" xr:uid="{00000000-0005-0000-0000-0000290C0000}"/>
    <cellStyle name="통화 [0] 4 3 10 2" xfId="3115" xr:uid="{00000000-0005-0000-0000-00002A0C0000}"/>
    <cellStyle name="통화 [0] 4 3 11" xfId="3116" xr:uid="{00000000-0005-0000-0000-00002B0C0000}"/>
    <cellStyle name="통화 [0] 4 3 2" xfId="3117" xr:uid="{00000000-0005-0000-0000-00002C0C0000}"/>
    <cellStyle name="통화 [0] 4 3 2 2" xfId="3118" xr:uid="{00000000-0005-0000-0000-00002D0C0000}"/>
    <cellStyle name="통화 [0] 4 3 2 3" xfId="3119" xr:uid="{00000000-0005-0000-0000-00002E0C0000}"/>
    <cellStyle name="통화 [0] 4 3 2 3 2" xfId="3120" xr:uid="{00000000-0005-0000-0000-00002F0C0000}"/>
    <cellStyle name="통화 [0] 4 3 3" xfId="3121" xr:uid="{00000000-0005-0000-0000-0000300C0000}"/>
    <cellStyle name="통화 [0] 4 3 3 2" xfId="3122" xr:uid="{00000000-0005-0000-0000-0000310C0000}"/>
    <cellStyle name="통화 [0] 4 3 4" xfId="3123" xr:uid="{00000000-0005-0000-0000-0000320C0000}"/>
    <cellStyle name="통화 [0] 4 3 4 2" xfId="3124" xr:uid="{00000000-0005-0000-0000-0000330C0000}"/>
    <cellStyle name="통화 [0] 4 3 5" xfId="3125" xr:uid="{00000000-0005-0000-0000-0000340C0000}"/>
    <cellStyle name="통화 [0] 4 3 5 2" xfId="3126" xr:uid="{00000000-0005-0000-0000-0000350C0000}"/>
    <cellStyle name="통화 [0] 4 3 6" xfId="3127" xr:uid="{00000000-0005-0000-0000-0000360C0000}"/>
    <cellStyle name="통화 [0] 4 3 6 2" xfId="3128" xr:uid="{00000000-0005-0000-0000-0000370C0000}"/>
    <cellStyle name="통화 [0] 4 3 7" xfId="3129" xr:uid="{00000000-0005-0000-0000-0000380C0000}"/>
    <cellStyle name="통화 [0] 4 3 7 2" xfId="3130" xr:uid="{00000000-0005-0000-0000-0000390C0000}"/>
    <cellStyle name="통화 [0] 4 3 8" xfId="3131" xr:uid="{00000000-0005-0000-0000-00003A0C0000}"/>
    <cellStyle name="통화 [0] 4 3 8 2" xfId="3132" xr:uid="{00000000-0005-0000-0000-00003B0C0000}"/>
    <cellStyle name="통화 [0] 4 3 9" xfId="3133" xr:uid="{00000000-0005-0000-0000-00003C0C0000}"/>
    <cellStyle name="통화 [0] 4 3 9 2" xfId="3134" xr:uid="{00000000-0005-0000-0000-00003D0C0000}"/>
    <cellStyle name="통화 [0] 4 4" xfId="3135" xr:uid="{00000000-0005-0000-0000-00003E0C0000}"/>
    <cellStyle name="통화 [0] 4 4 2" xfId="3136" xr:uid="{00000000-0005-0000-0000-00003F0C0000}"/>
    <cellStyle name="통화 [0] 4 4 2 2" xfId="3137" xr:uid="{00000000-0005-0000-0000-0000400C0000}"/>
    <cellStyle name="통화 [0] 4 4 3" xfId="3138" xr:uid="{00000000-0005-0000-0000-0000410C0000}"/>
    <cellStyle name="통화 [0] 4 4 3 2" xfId="3139" xr:uid="{00000000-0005-0000-0000-0000420C0000}"/>
    <cellStyle name="통화 [0] 4 4 4" xfId="3140" xr:uid="{00000000-0005-0000-0000-0000430C0000}"/>
    <cellStyle name="통화 [0] 4 4 5" xfId="3141" xr:uid="{00000000-0005-0000-0000-0000440C0000}"/>
    <cellStyle name="통화 [0] 4 4 5 2" xfId="3142" xr:uid="{00000000-0005-0000-0000-0000450C0000}"/>
    <cellStyle name="통화 [0] 4 5" xfId="3143" xr:uid="{00000000-0005-0000-0000-0000460C0000}"/>
    <cellStyle name="통화 [0] 4 5 2" xfId="3144" xr:uid="{00000000-0005-0000-0000-0000470C0000}"/>
    <cellStyle name="통화 [0] 4 6" xfId="3145" xr:uid="{00000000-0005-0000-0000-0000480C0000}"/>
    <cellStyle name="통화 [0] 4 6 2" xfId="3146" xr:uid="{00000000-0005-0000-0000-0000490C0000}"/>
    <cellStyle name="통화 [0] 4 7" xfId="3147" xr:uid="{00000000-0005-0000-0000-00004A0C0000}"/>
    <cellStyle name="통화 [0] 4 7 2" xfId="3148" xr:uid="{00000000-0005-0000-0000-00004B0C0000}"/>
    <cellStyle name="통화 [0] 4 8" xfId="3149" xr:uid="{00000000-0005-0000-0000-00004C0C0000}"/>
    <cellStyle name="통화 [0] 4 8 2" xfId="3150" xr:uid="{00000000-0005-0000-0000-00004D0C0000}"/>
    <cellStyle name="통화 [0] 4 9" xfId="3151" xr:uid="{00000000-0005-0000-0000-00004E0C0000}"/>
    <cellStyle name="통화 [0] 4 9 2" xfId="3152" xr:uid="{00000000-0005-0000-0000-00004F0C0000}"/>
    <cellStyle name="통화 [0] 5" xfId="3153" xr:uid="{00000000-0005-0000-0000-0000500C0000}"/>
    <cellStyle name="통화 [0] 5 10" xfId="3154" xr:uid="{00000000-0005-0000-0000-0000510C0000}"/>
    <cellStyle name="통화 [0] 5 10 2" xfId="3155" xr:uid="{00000000-0005-0000-0000-0000520C0000}"/>
    <cellStyle name="통화 [0] 5 11" xfId="3156" xr:uid="{00000000-0005-0000-0000-0000530C0000}"/>
    <cellStyle name="통화 [0] 5 11 2" xfId="3157" xr:uid="{00000000-0005-0000-0000-0000540C0000}"/>
    <cellStyle name="통화 [0] 5 12" xfId="3158" xr:uid="{00000000-0005-0000-0000-0000550C0000}"/>
    <cellStyle name="통화 [0] 5 12 2" xfId="3159" xr:uid="{00000000-0005-0000-0000-0000560C0000}"/>
    <cellStyle name="통화 [0] 5 13" xfId="3160" xr:uid="{00000000-0005-0000-0000-0000570C0000}"/>
    <cellStyle name="통화 [0] 5 2" xfId="3161" xr:uid="{00000000-0005-0000-0000-0000580C0000}"/>
    <cellStyle name="통화 [0] 5 2 10" xfId="3162" xr:uid="{00000000-0005-0000-0000-0000590C0000}"/>
    <cellStyle name="통화 [0] 5 2 10 2" xfId="3163" xr:uid="{00000000-0005-0000-0000-00005A0C0000}"/>
    <cellStyle name="통화 [0] 5 2 11" xfId="3164" xr:uid="{00000000-0005-0000-0000-00005B0C0000}"/>
    <cellStyle name="통화 [0] 5 2 2" xfId="3165" xr:uid="{00000000-0005-0000-0000-00005C0C0000}"/>
    <cellStyle name="통화 [0] 5 2 2 2" xfId="3166" xr:uid="{00000000-0005-0000-0000-00005D0C0000}"/>
    <cellStyle name="통화 [0] 5 2 2 3" xfId="3167" xr:uid="{00000000-0005-0000-0000-00005E0C0000}"/>
    <cellStyle name="통화 [0] 5 2 2 3 2" xfId="3168" xr:uid="{00000000-0005-0000-0000-00005F0C0000}"/>
    <cellStyle name="통화 [0] 5 2 3" xfId="3169" xr:uid="{00000000-0005-0000-0000-0000600C0000}"/>
    <cellStyle name="통화 [0] 5 2 3 2" xfId="3170" xr:uid="{00000000-0005-0000-0000-0000610C0000}"/>
    <cellStyle name="통화 [0] 5 2 4" xfId="3171" xr:uid="{00000000-0005-0000-0000-0000620C0000}"/>
    <cellStyle name="통화 [0] 5 2 4 2" xfId="3172" xr:uid="{00000000-0005-0000-0000-0000630C0000}"/>
    <cellStyle name="통화 [0] 5 2 5" xfId="3173" xr:uid="{00000000-0005-0000-0000-0000640C0000}"/>
    <cellStyle name="통화 [0] 5 2 5 2" xfId="3174" xr:uid="{00000000-0005-0000-0000-0000650C0000}"/>
    <cellStyle name="통화 [0] 5 2 6" xfId="3175" xr:uid="{00000000-0005-0000-0000-0000660C0000}"/>
    <cellStyle name="통화 [0] 5 2 6 2" xfId="3176" xr:uid="{00000000-0005-0000-0000-0000670C0000}"/>
    <cellStyle name="통화 [0] 5 2 7" xfId="3177" xr:uid="{00000000-0005-0000-0000-0000680C0000}"/>
    <cellStyle name="통화 [0] 5 2 7 2" xfId="3178" xr:uid="{00000000-0005-0000-0000-0000690C0000}"/>
    <cellStyle name="통화 [0] 5 2 8" xfId="3179" xr:uid="{00000000-0005-0000-0000-00006A0C0000}"/>
    <cellStyle name="통화 [0] 5 2 8 2" xfId="3180" xr:uid="{00000000-0005-0000-0000-00006B0C0000}"/>
    <cellStyle name="통화 [0] 5 2 9" xfId="3181" xr:uid="{00000000-0005-0000-0000-00006C0C0000}"/>
    <cellStyle name="통화 [0] 5 2 9 2" xfId="3182" xr:uid="{00000000-0005-0000-0000-00006D0C0000}"/>
    <cellStyle name="통화 [0] 5 3" xfId="3183" xr:uid="{00000000-0005-0000-0000-00006E0C0000}"/>
    <cellStyle name="통화 [0] 5 3 2" xfId="3184" xr:uid="{00000000-0005-0000-0000-00006F0C0000}"/>
    <cellStyle name="통화 [0] 5 3 2 2" xfId="3185" xr:uid="{00000000-0005-0000-0000-0000700C0000}"/>
    <cellStyle name="통화 [0] 5 3 3" xfId="3186" xr:uid="{00000000-0005-0000-0000-0000710C0000}"/>
    <cellStyle name="통화 [0] 5 3 3 2" xfId="3187" xr:uid="{00000000-0005-0000-0000-0000720C0000}"/>
    <cellStyle name="통화 [0] 5 3 4" xfId="3188" xr:uid="{00000000-0005-0000-0000-0000730C0000}"/>
    <cellStyle name="통화 [0] 5 3 4 2" xfId="3189" xr:uid="{00000000-0005-0000-0000-0000740C0000}"/>
    <cellStyle name="통화 [0] 5 3 5" xfId="3190" xr:uid="{00000000-0005-0000-0000-0000750C0000}"/>
    <cellStyle name="통화 [0] 5 3 6" xfId="3191" xr:uid="{00000000-0005-0000-0000-0000760C0000}"/>
    <cellStyle name="통화 [0] 5 3 6 2" xfId="3192" xr:uid="{00000000-0005-0000-0000-0000770C0000}"/>
    <cellStyle name="통화 [0] 5 4" xfId="3193" xr:uid="{00000000-0005-0000-0000-0000780C0000}"/>
    <cellStyle name="통화 [0] 5 4 2" xfId="3194" xr:uid="{00000000-0005-0000-0000-0000790C0000}"/>
    <cellStyle name="통화 [0] 5 4 2 2" xfId="3195" xr:uid="{00000000-0005-0000-0000-00007A0C0000}"/>
    <cellStyle name="통화 [0] 5 4 3" xfId="3196" xr:uid="{00000000-0005-0000-0000-00007B0C0000}"/>
    <cellStyle name="통화 [0] 5 4 3 2" xfId="3197" xr:uid="{00000000-0005-0000-0000-00007C0C0000}"/>
    <cellStyle name="통화 [0] 5 4 4" xfId="3198" xr:uid="{00000000-0005-0000-0000-00007D0C0000}"/>
    <cellStyle name="통화 [0] 5 5" xfId="3199" xr:uid="{00000000-0005-0000-0000-00007E0C0000}"/>
    <cellStyle name="통화 [0] 5 5 2" xfId="3200" xr:uid="{00000000-0005-0000-0000-00007F0C0000}"/>
    <cellStyle name="통화 [0] 5 6" xfId="3201" xr:uid="{00000000-0005-0000-0000-0000800C0000}"/>
    <cellStyle name="통화 [0] 5 6 2" xfId="3202" xr:uid="{00000000-0005-0000-0000-0000810C0000}"/>
    <cellStyle name="통화 [0] 5 7" xfId="3203" xr:uid="{00000000-0005-0000-0000-0000820C0000}"/>
    <cellStyle name="통화 [0] 5 7 2" xfId="3204" xr:uid="{00000000-0005-0000-0000-0000830C0000}"/>
    <cellStyle name="통화 [0] 5 8" xfId="3205" xr:uid="{00000000-0005-0000-0000-0000840C0000}"/>
    <cellStyle name="통화 [0] 5 8 2" xfId="3206" xr:uid="{00000000-0005-0000-0000-0000850C0000}"/>
    <cellStyle name="통화 [0] 5 9" xfId="3207" xr:uid="{00000000-0005-0000-0000-0000860C0000}"/>
    <cellStyle name="통화 [0] 5 9 2" xfId="3208" xr:uid="{00000000-0005-0000-0000-0000870C0000}"/>
    <cellStyle name="통화 [0] 6" xfId="3209" xr:uid="{00000000-0005-0000-0000-0000880C0000}"/>
    <cellStyle name="통화 [0] 6 10" xfId="3210" xr:uid="{00000000-0005-0000-0000-0000890C0000}"/>
    <cellStyle name="통화 [0] 6 10 2" xfId="3211" xr:uid="{00000000-0005-0000-0000-00008A0C0000}"/>
    <cellStyle name="통화 [0] 6 11" xfId="3212" xr:uid="{00000000-0005-0000-0000-00008B0C0000}"/>
    <cellStyle name="통화 [0] 6 11 2" xfId="3213" xr:uid="{00000000-0005-0000-0000-00008C0C0000}"/>
    <cellStyle name="통화 [0] 6 12" xfId="3214" xr:uid="{00000000-0005-0000-0000-00008D0C0000}"/>
    <cellStyle name="통화 [0] 6 12 2" xfId="3215" xr:uid="{00000000-0005-0000-0000-00008E0C0000}"/>
    <cellStyle name="통화 [0] 6 13" xfId="3216" xr:uid="{00000000-0005-0000-0000-00008F0C0000}"/>
    <cellStyle name="통화 [0] 6 2" xfId="3217" xr:uid="{00000000-0005-0000-0000-0000900C0000}"/>
    <cellStyle name="통화 [0] 6 2 10" xfId="3218" xr:uid="{00000000-0005-0000-0000-0000910C0000}"/>
    <cellStyle name="통화 [0] 6 2 10 2" xfId="3219" xr:uid="{00000000-0005-0000-0000-0000920C0000}"/>
    <cellStyle name="통화 [0] 6 2 11" xfId="3220" xr:uid="{00000000-0005-0000-0000-0000930C0000}"/>
    <cellStyle name="통화 [0] 6 2 2" xfId="3221" xr:uid="{00000000-0005-0000-0000-0000940C0000}"/>
    <cellStyle name="통화 [0] 6 2 2 2" xfId="3222" xr:uid="{00000000-0005-0000-0000-0000950C0000}"/>
    <cellStyle name="통화 [0] 6 2 2 3" xfId="3223" xr:uid="{00000000-0005-0000-0000-0000960C0000}"/>
    <cellStyle name="통화 [0] 6 2 2 3 2" xfId="3224" xr:uid="{00000000-0005-0000-0000-0000970C0000}"/>
    <cellStyle name="통화 [0] 6 2 3" xfId="3225" xr:uid="{00000000-0005-0000-0000-0000980C0000}"/>
    <cellStyle name="통화 [0] 6 2 3 2" xfId="3226" xr:uid="{00000000-0005-0000-0000-0000990C0000}"/>
    <cellStyle name="통화 [0] 6 2 4" xfId="3227" xr:uid="{00000000-0005-0000-0000-00009A0C0000}"/>
    <cellStyle name="통화 [0] 6 2 4 2" xfId="3228" xr:uid="{00000000-0005-0000-0000-00009B0C0000}"/>
    <cellStyle name="통화 [0] 6 2 5" xfId="3229" xr:uid="{00000000-0005-0000-0000-00009C0C0000}"/>
    <cellStyle name="통화 [0] 6 2 5 2" xfId="3230" xr:uid="{00000000-0005-0000-0000-00009D0C0000}"/>
    <cellStyle name="통화 [0] 6 2 6" xfId="3231" xr:uid="{00000000-0005-0000-0000-00009E0C0000}"/>
    <cellStyle name="통화 [0] 6 2 6 2" xfId="3232" xr:uid="{00000000-0005-0000-0000-00009F0C0000}"/>
    <cellStyle name="통화 [0] 6 2 7" xfId="3233" xr:uid="{00000000-0005-0000-0000-0000A00C0000}"/>
    <cellStyle name="통화 [0] 6 2 7 2" xfId="3234" xr:uid="{00000000-0005-0000-0000-0000A10C0000}"/>
    <cellStyle name="통화 [0] 6 2 8" xfId="3235" xr:uid="{00000000-0005-0000-0000-0000A20C0000}"/>
    <cellStyle name="통화 [0] 6 2 8 2" xfId="3236" xr:uid="{00000000-0005-0000-0000-0000A30C0000}"/>
    <cellStyle name="통화 [0] 6 2 9" xfId="3237" xr:uid="{00000000-0005-0000-0000-0000A40C0000}"/>
    <cellStyle name="통화 [0] 6 2 9 2" xfId="3238" xr:uid="{00000000-0005-0000-0000-0000A50C0000}"/>
    <cellStyle name="통화 [0] 6 3" xfId="3239" xr:uid="{00000000-0005-0000-0000-0000A60C0000}"/>
    <cellStyle name="통화 [0] 6 3 2" xfId="3240" xr:uid="{00000000-0005-0000-0000-0000A70C0000}"/>
    <cellStyle name="통화 [0] 6 3 2 2" xfId="3241" xr:uid="{00000000-0005-0000-0000-0000A80C0000}"/>
    <cellStyle name="통화 [0] 6 3 3" xfId="3242" xr:uid="{00000000-0005-0000-0000-0000A90C0000}"/>
    <cellStyle name="통화 [0] 6 3 3 2" xfId="3243" xr:uid="{00000000-0005-0000-0000-0000AA0C0000}"/>
    <cellStyle name="통화 [0] 6 3 4" xfId="3244" xr:uid="{00000000-0005-0000-0000-0000AB0C0000}"/>
    <cellStyle name="통화 [0] 6 3 4 2" xfId="3245" xr:uid="{00000000-0005-0000-0000-0000AC0C0000}"/>
    <cellStyle name="통화 [0] 6 3 5" xfId="3246" xr:uid="{00000000-0005-0000-0000-0000AD0C0000}"/>
    <cellStyle name="통화 [0] 6 3 6" xfId="3247" xr:uid="{00000000-0005-0000-0000-0000AE0C0000}"/>
    <cellStyle name="통화 [0] 6 3 6 2" xfId="3248" xr:uid="{00000000-0005-0000-0000-0000AF0C0000}"/>
    <cellStyle name="통화 [0] 6 4" xfId="3249" xr:uid="{00000000-0005-0000-0000-0000B00C0000}"/>
    <cellStyle name="통화 [0] 6 4 2" xfId="3250" xr:uid="{00000000-0005-0000-0000-0000B10C0000}"/>
    <cellStyle name="통화 [0] 6 4 2 2" xfId="3251" xr:uid="{00000000-0005-0000-0000-0000B20C0000}"/>
    <cellStyle name="통화 [0] 6 4 3" xfId="3252" xr:uid="{00000000-0005-0000-0000-0000B30C0000}"/>
    <cellStyle name="통화 [0] 6 4 3 2" xfId="3253" xr:uid="{00000000-0005-0000-0000-0000B40C0000}"/>
    <cellStyle name="통화 [0] 6 4 4" xfId="3254" xr:uid="{00000000-0005-0000-0000-0000B50C0000}"/>
    <cellStyle name="통화 [0] 6 5" xfId="3255" xr:uid="{00000000-0005-0000-0000-0000B60C0000}"/>
    <cellStyle name="통화 [0] 6 5 2" xfId="3256" xr:uid="{00000000-0005-0000-0000-0000B70C0000}"/>
    <cellStyle name="통화 [0] 6 6" xfId="3257" xr:uid="{00000000-0005-0000-0000-0000B80C0000}"/>
    <cellStyle name="통화 [0] 6 6 2" xfId="3258" xr:uid="{00000000-0005-0000-0000-0000B90C0000}"/>
    <cellStyle name="통화 [0] 6 7" xfId="3259" xr:uid="{00000000-0005-0000-0000-0000BA0C0000}"/>
    <cellStyle name="통화 [0] 6 7 2" xfId="3260" xr:uid="{00000000-0005-0000-0000-0000BB0C0000}"/>
    <cellStyle name="통화 [0] 6 8" xfId="3261" xr:uid="{00000000-0005-0000-0000-0000BC0C0000}"/>
    <cellStyle name="통화 [0] 6 8 2" xfId="3262" xr:uid="{00000000-0005-0000-0000-0000BD0C0000}"/>
    <cellStyle name="통화 [0] 6 9" xfId="3263" xr:uid="{00000000-0005-0000-0000-0000BE0C0000}"/>
    <cellStyle name="통화 [0] 6 9 2" xfId="3264" xr:uid="{00000000-0005-0000-0000-0000BF0C0000}"/>
    <cellStyle name="통화 [0] 7" xfId="3265" xr:uid="{00000000-0005-0000-0000-0000C00C0000}"/>
    <cellStyle name="통화 [0] 7 10" xfId="3266" xr:uid="{00000000-0005-0000-0000-0000C10C0000}"/>
    <cellStyle name="통화 [0] 7 10 2" xfId="3267" xr:uid="{00000000-0005-0000-0000-0000C20C0000}"/>
    <cellStyle name="통화 [0] 7 11" xfId="3268" xr:uid="{00000000-0005-0000-0000-0000C30C0000}"/>
    <cellStyle name="통화 [0] 7 11 2" xfId="3269" xr:uid="{00000000-0005-0000-0000-0000C40C0000}"/>
    <cellStyle name="통화 [0] 7 12" xfId="3270" xr:uid="{00000000-0005-0000-0000-0000C50C0000}"/>
    <cellStyle name="통화 [0] 7 12 2" xfId="3271" xr:uid="{00000000-0005-0000-0000-0000C60C0000}"/>
    <cellStyle name="통화 [0] 7 13" xfId="3272" xr:uid="{00000000-0005-0000-0000-0000C70C0000}"/>
    <cellStyle name="통화 [0] 7 2" xfId="3273" xr:uid="{00000000-0005-0000-0000-0000C80C0000}"/>
    <cellStyle name="통화 [0] 7 2 10" xfId="3274" xr:uid="{00000000-0005-0000-0000-0000C90C0000}"/>
    <cellStyle name="통화 [0] 7 2 10 2" xfId="3275" xr:uid="{00000000-0005-0000-0000-0000CA0C0000}"/>
    <cellStyle name="통화 [0] 7 2 11" xfId="3276" xr:uid="{00000000-0005-0000-0000-0000CB0C0000}"/>
    <cellStyle name="통화 [0] 7 2 2" xfId="3277" xr:uid="{00000000-0005-0000-0000-0000CC0C0000}"/>
    <cellStyle name="통화 [0] 7 2 2 2" xfId="3278" xr:uid="{00000000-0005-0000-0000-0000CD0C0000}"/>
    <cellStyle name="통화 [0] 7 2 2 3" xfId="3279" xr:uid="{00000000-0005-0000-0000-0000CE0C0000}"/>
    <cellStyle name="통화 [0] 7 2 2 3 2" xfId="3280" xr:uid="{00000000-0005-0000-0000-0000CF0C0000}"/>
    <cellStyle name="통화 [0] 7 2 3" xfId="3281" xr:uid="{00000000-0005-0000-0000-0000D00C0000}"/>
    <cellStyle name="통화 [0] 7 2 3 2" xfId="3282" xr:uid="{00000000-0005-0000-0000-0000D10C0000}"/>
    <cellStyle name="통화 [0] 7 2 4" xfId="3283" xr:uid="{00000000-0005-0000-0000-0000D20C0000}"/>
    <cellStyle name="통화 [0] 7 2 4 2" xfId="3284" xr:uid="{00000000-0005-0000-0000-0000D30C0000}"/>
    <cellStyle name="통화 [0] 7 2 5" xfId="3285" xr:uid="{00000000-0005-0000-0000-0000D40C0000}"/>
    <cellStyle name="통화 [0] 7 2 5 2" xfId="3286" xr:uid="{00000000-0005-0000-0000-0000D50C0000}"/>
    <cellStyle name="통화 [0] 7 2 6" xfId="3287" xr:uid="{00000000-0005-0000-0000-0000D60C0000}"/>
    <cellStyle name="통화 [0] 7 2 6 2" xfId="3288" xr:uid="{00000000-0005-0000-0000-0000D70C0000}"/>
    <cellStyle name="통화 [0] 7 2 7" xfId="3289" xr:uid="{00000000-0005-0000-0000-0000D80C0000}"/>
    <cellStyle name="통화 [0] 7 2 7 2" xfId="3290" xr:uid="{00000000-0005-0000-0000-0000D90C0000}"/>
    <cellStyle name="통화 [0] 7 2 8" xfId="3291" xr:uid="{00000000-0005-0000-0000-0000DA0C0000}"/>
    <cellStyle name="통화 [0] 7 2 8 2" xfId="3292" xr:uid="{00000000-0005-0000-0000-0000DB0C0000}"/>
    <cellStyle name="통화 [0] 7 2 9" xfId="3293" xr:uid="{00000000-0005-0000-0000-0000DC0C0000}"/>
    <cellStyle name="통화 [0] 7 2 9 2" xfId="3294" xr:uid="{00000000-0005-0000-0000-0000DD0C0000}"/>
    <cellStyle name="통화 [0] 7 3" xfId="3295" xr:uid="{00000000-0005-0000-0000-0000DE0C0000}"/>
    <cellStyle name="통화 [0] 7 3 2" xfId="3296" xr:uid="{00000000-0005-0000-0000-0000DF0C0000}"/>
    <cellStyle name="통화 [0] 7 3 2 2" xfId="3297" xr:uid="{00000000-0005-0000-0000-0000E00C0000}"/>
    <cellStyle name="통화 [0] 7 3 3" xfId="3298" xr:uid="{00000000-0005-0000-0000-0000E10C0000}"/>
    <cellStyle name="통화 [0] 7 3 3 2" xfId="3299" xr:uid="{00000000-0005-0000-0000-0000E20C0000}"/>
    <cellStyle name="통화 [0] 7 3 4" xfId="3300" xr:uid="{00000000-0005-0000-0000-0000E30C0000}"/>
    <cellStyle name="통화 [0] 7 3 4 2" xfId="3301" xr:uid="{00000000-0005-0000-0000-0000E40C0000}"/>
    <cellStyle name="통화 [0] 7 3 5" xfId="3302" xr:uid="{00000000-0005-0000-0000-0000E50C0000}"/>
    <cellStyle name="통화 [0] 7 3 6" xfId="3303" xr:uid="{00000000-0005-0000-0000-0000E60C0000}"/>
    <cellStyle name="통화 [0] 7 3 6 2" xfId="3304" xr:uid="{00000000-0005-0000-0000-0000E70C0000}"/>
    <cellStyle name="통화 [0] 7 4" xfId="3305" xr:uid="{00000000-0005-0000-0000-0000E80C0000}"/>
    <cellStyle name="통화 [0] 7 4 2" xfId="3306" xr:uid="{00000000-0005-0000-0000-0000E90C0000}"/>
    <cellStyle name="통화 [0] 7 4 2 2" xfId="3307" xr:uid="{00000000-0005-0000-0000-0000EA0C0000}"/>
    <cellStyle name="통화 [0] 7 4 3" xfId="3308" xr:uid="{00000000-0005-0000-0000-0000EB0C0000}"/>
    <cellStyle name="통화 [0] 7 4 3 2" xfId="3309" xr:uid="{00000000-0005-0000-0000-0000EC0C0000}"/>
    <cellStyle name="통화 [0] 7 4 4" xfId="3310" xr:uid="{00000000-0005-0000-0000-0000ED0C0000}"/>
    <cellStyle name="통화 [0] 7 5" xfId="3311" xr:uid="{00000000-0005-0000-0000-0000EE0C0000}"/>
    <cellStyle name="통화 [0] 7 5 2" xfId="3312" xr:uid="{00000000-0005-0000-0000-0000EF0C0000}"/>
    <cellStyle name="통화 [0] 7 6" xfId="3313" xr:uid="{00000000-0005-0000-0000-0000F00C0000}"/>
    <cellStyle name="통화 [0] 7 6 2" xfId="3314" xr:uid="{00000000-0005-0000-0000-0000F10C0000}"/>
    <cellStyle name="통화 [0] 7 7" xfId="3315" xr:uid="{00000000-0005-0000-0000-0000F20C0000}"/>
    <cellStyle name="통화 [0] 7 7 2" xfId="3316" xr:uid="{00000000-0005-0000-0000-0000F30C0000}"/>
    <cellStyle name="통화 [0] 7 8" xfId="3317" xr:uid="{00000000-0005-0000-0000-0000F40C0000}"/>
    <cellStyle name="통화 [0] 7 8 2" xfId="3318" xr:uid="{00000000-0005-0000-0000-0000F50C0000}"/>
    <cellStyle name="통화 [0] 7 9" xfId="3319" xr:uid="{00000000-0005-0000-0000-0000F60C0000}"/>
    <cellStyle name="통화 [0] 7 9 2" xfId="3320" xr:uid="{00000000-0005-0000-0000-0000F70C0000}"/>
    <cellStyle name="통화 [0] 8" xfId="3321" xr:uid="{00000000-0005-0000-0000-0000F80C0000}"/>
    <cellStyle name="통화 [0] 8 10" xfId="3322" xr:uid="{00000000-0005-0000-0000-0000F90C0000}"/>
    <cellStyle name="통화 [0] 8 10 2" xfId="3323" xr:uid="{00000000-0005-0000-0000-0000FA0C0000}"/>
    <cellStyle name="통화 [0] 8 11" xfId="3324" xr:uid="{00000000-0005-0000-0000-0000FB0C0000}"/>
    <cellStyle name="통화 [0] 8 11 2" xfId="3325" xr:uid="{00000000-0005-0000-0000-0000FC0C0000}"/>
    <cellStyle name="통화 [0] 8 12" xfId="3326" xr:uid="{00000000-0005-0000-0000-0000FD0C0000}"/>
    <cellStyle name="통화 [0] 8 12 2" xfId="3327" xr:uid="{00000000-0005-0000-0000-0000FE0C0000}"/>
    <cellStyle name="통화 [0] 8 13" xfId="3328" xr:uid="{00000000-0005-0000-0000-0000FF0C0000}"/>
    <cellStyle name="통화 [0] 8 2" xfId="3329" xr:uid="{00000000-0005-0000-0000-0000000D0000}"/>
    <cellStyle name="통화 [0] 8 2 10" xfId="3330" xr:uid="{00000000-0005-0000-0000-0000010D0000}"/>
    <cellStyle name="통화 [0] 8 2 10 2" xfId="3331" xr:uid="{00000000-0005-0000-0000-0000020D0000}"/>
    <cellStyle name="통화 [0] 8 2 11" xfId="3332" xr:uid="{00000000-0005-0000-0000-0000030D0000}"/>
    <cellStyle name="통화 [0] 8 2 2" xfId="3333" xr:uid="{00000000-0005-0000-0000-0000040D0000}"/>
    <cellStyle name="통화 [0] 8 2 2 2" xfId="3334" xr:uid="{00000000-0005-0000-0000-0000050D0000}"/>
    <cellStyle name="통화 [0] 8 2 2 3" xfId="3335" xr:uid="{00000000-0005-0000-0000-0000060D0000}"/>
    <cellStyle name="통화 [0] 8 2 2 3 2" xfId="3336" xr:uid="{00000000-0005-0000-0000-0000070D0000}"/>
    <cellStyle name="통화 [0] 8 2 3" xfId="3337" xr:uid="{00000000-0005-0000-0000-0000080D0000}"/>
    <cellStyle name="통화 [0] 8 2 3 2" xfId="3338" xr:uid="{00000000-0005-0000-0000-0000090D0000}"/>
    <cellStyle name="통화 [0] 8 2 4" xfId="3339" xr:uid="{00000000-0005-0000-0000-00000A0D0000}"/>
    <cellStyle name="통화 [0] 8 2 4 2" xfId="3340" xr:uid="{00000000-0005-0000-0000-00000B0D0000}"/>
    <cellStyle name="통화 [0] 8 2 5" xfId="3341" xr:uid="{00000000-0005-0000-0000-00000C0D0000}"/>
    <cellStyle name="통화 [0] 8 2 5 2" xfId="3342" xr:uid="{00000000-0005-0000-0000-00000D0D0000}"/>
    <cellStyle name="통화 [0] 8 2 6" xfId="3343" xr:uid="{00000000-0005-0000-0000-00000E0D0000}"/>
    <cellStyle name="통화 [0] 8 2 6 2" xfId="3344" xr:uid="{00000000-0005-0000-0000-00000F0D0000}"/>
    <cellStyle name="통화 [0] 8 2 7" xfId="3345" xr:uid="{00000000-0005-0000-0000-0000100D0000}"/>
    <cellStyle name="통화 [0] 8 2 7 2" xfId="3346" xr:uid="{00000000-0005-0000-0000-0000110D0000}"/>
    <cellStyle name="통화 [0] 8 2 8" xfId="3347" xr:uid="{00000000-0005-0000-0000-0000120D0000}"/>
    <cellStyle name="통화 [0] 8 2 8 2" xfId="3348" xr:uid="{00000000-0005-0000-0000-0000130D0000}"/>
    <cellStyle name="통화 [0] 8 2 9" xfId="3349" xr:uid="{00000000-0005-0000-0000-0000140D0000}"/>
    <cellStyle name="통화 [0] 8 2 9 2" xfId="3350" xr:uid="{00000000-0005-0000-0000-0000150D0000}"/>
    <cellStyle name="통화 [0] 8 3" xfId="3351" xr:uid="{00000000-0005-0000-0000-0000160D0000}"/>
    <cellStyle name="통화 [0] 8 3 2" xfId="3352" xr:uid="{00000000-0005-0000-0000-0000170D0000}"/>
    <cellStyle name="통화 [0] 8 3 2 2" xfId="3353" xr:uid="{00000000-0005-0000-0000-0000180D0000}"/>
    <cellStyle name="통화 [0] 8 3 3" xfId="3354" xr:uid="{00000000-0005-0000-0000-0000190D0000}"/>
    <cellStyle name="통화 [0] 8 3 3 2" xfId="3355" xr:uid="{00000000-0005-0000-0000-00001A0D0000}"/>
    <cellStyle name="통화 [0] 8 3 4" xfId="3356" xr:uid="{00000000-0005-0000-0000-00001B0D0000}"/>
    <cellStyle name="통화 [0] 8 3 4 2" xfId="3357" xr:uid="{00000000-0005-0000-0000-00001C0D0000}"/>
    <cellStyle name="통화 [0] 8 3 5" xfId="3358" xr:uid="{00000000-0005-0000-0000-00001D0D0000}"/>
    <cellStyle name="통화 [0] 8 3 6" xfId="3359" xr:uid="{00000000-0005-0000-0000-00001E0D0000}"/>
    <cellStyle name="통화 [0] 8 3 6 2" xfId="3360" xr:uid="{00000000-0005-0000-0000-00001F0D0000}"/>
    <cellStyle name="통화 [0] 8 4" xfId="3361" xr:uid="{00000000-0005-0000-0000-0000200D0000}"/>
    <cellStyle name="통화 [0] 8 4 2" xfId="3362" xr:uid="{00000000-0005-0000-0000-0000210D0000}"/>
    <cellStyle name="통화 [0] 8 4 2 2" xfId="3363" xr:uid="{00000000-0005-0000-0000-0000220D0000}"/>
    <cellStyle name="통화 [0] 8 4 3" xfId="3364" xr:uid="{00000000-0005-0000-0000-0000230D0000}"/>
    <cellStyle name="통화 [0] 8 4 3 2" xfId="3365" xr:uid="{00000000-0005-0000-0000-0000240D0000}"/>
    <cellStyle name="통화 [0] 8 4 4" xfId="3366" xr:uid="{00000000-0005-0000-0000-0000250D0000}"/>
    <cellStyle name="통화 [0] 8 5" xfId="3367" xr:uid="{00000000-0005-0000-0000-0000260D0000}"/>
    <cellStyle name="통화 [0] 8 5 2" xfId="3368" xr:uid="{00000000-0005-0000-0000-0000270D0000}"/>
    <cellStyle name="통화 [0] 8 6" xfId="3369" xr:uid="{00000000-0005-0000-0000-0000280D0000}"/>
    <cellStyle name="통화 [0] 8 6 2" xfId="3370" xr:uid="{00000000-0005-0000-0000-0000290D0000}"/>
    <cellStyle name="통화 [0] 8 7" xfId="3371" xr:uid="{00000000-0005-0000-0000-00002A0D0000}"/>
    <cellStyle name="통화 [0] 8 7 2" xfId="3372" xr:uid="{00000000-0005-0000-0000-00002B0D0000}"/>
    <cellStyle name="통화 [0] 8 8" xfId="3373" xr:uid="{00000000-0005-0000-0000-00002C0D0000}"/>
    <cellStyle name="통화 [0] 8 8 2" xfId="3374" xr:uid="{00000000-0005-0000-0000-00002D0D0000}"/>
    <cellStyle name="통화 [0] 8 9" xfId="3375" xr:uid="{00000000-0005-0000-0000-00002E0D0000}"/>
    <cellStyle name="통화 [0] 8 9 2" xfId="3376" xr:uid="{00000000-0005-0000-0000-00002F0D0000}"/>
    <cellStyle name="통화 [0] 9" xfId="3377" xr:uid="{00000000-0005-0000-0000-0000300D0000}"/>
    <cellStyle name="통화 [0] 9 2" xfId="3378" xr:uid="{00000000-0005-0000-0000-0000310D0000}"/>
    <cellStyle name="통화 [0] 9 3" xfId="3379" xr:uid="{00000000-0005-0000-0000-0000320D0000}"/>
    <cellStyle name="표준" xfId="0" builtinId="0"/>
    <cellStyle name="표준 10" xfId="3380" xr:uid="{00000000-0005-0000-0000-0000340D0000}"/>
    <cellStyle name="표준 10 2" xfId="3381" xr:uid="{00000000-0005-0000-0000-0000350D0000}"/>
    <cellStyle name="표준 11" xfId="3382" xr:uid="{00000000-0005-0000-0000-0000360D0000}"/>
    <cellStyle name="표준 11 10" xfId="3383" xr:uid="{00000000-0005-0000-0000-0000370D0000}"/>
    <cellStyle name="표준 11 10 2" xfId="3384" xr:uid="{00000000-0005-0000-0000-0000380D0000}"/>
    <cellStyle name="표준 11 11" xfId="3385" xr:uid="{00000000-0005-0000-0000-0000390D0000}"/>
    <cellStyle name="표준 11 11 2" xfId="3386" xr:uid="{00000000-0005-0000-0000-00003A0D0000}"/>
    <cellStyle name="표준 11 12" xfId="3387" xr:uid="{00000000-0005-0000-0000-00003B0D0000}"/>
    <cellStyle name="표준 11 12 2" xfId="3388" xr:uid="{00000000-0005-0000-0000-00003C0D0000}"/>
    <cellStyle name="표준 11 13" xfId="3389" xr:uid="{00000000-0005-0000-0000-00003D0D0000}"/>
    <cellStyle name="표준 11 14" xfId="3390" xr:uid="{00000000-0005-0000-0000-00003E0D0000}"/>
    <cellStyle name="표준 11 2" xfId="3391" xr:uid="{00000000-0005-0000-0000-00003F0D0000}"/>
    <cellStyle name="표준 11 2 10" xfId="3392" xr:uid="{00000000-0005-0000-0000-0000400D0000}"/>
    <cellStyle name="표준 11 2 10 2" xfId="3393" xr:uid="{00000000-0005-0000-0000-0000410D0000}"/>
    <cellStyle name="표준 11 2 11" xfId="3394" xr:uid="{00000000-0005-0000-0000-0000420D0000}"/>
    <cellStyle name="표준 11 2 2" xfId="3395" xr:uid="{00000000-0005-0000-0000-0000430D0000}"/>
    <cellStyle name="표준 11 2 2 2" xfId="3396" xr:uid="{00000000-0005-0000-0000-0000440D0000}"/>
    <cellStyle name="표준 11 2 2 3" xfId="3397" xr:uid="{00000000-0005-0000-0000-0000450D0000}"/>
    <cellStyle name="표준 11 2 2 3 2" xfId="3398" xr:uid="{00000000-0005-0000-0000-0000460D0000}"/>
    <cellStyle name="표준 11 2 3" xfId="3399" xr:uid="{00000000-0005-0000-0000-0000470D0000}"/>
    <cellStyle name="표준 11 2 3 2" xfId="3400" xr:uid="{00000000-0005-0000-0000-0000480D0000}"/>
    <cellStyle name="표준 11 2 4" xfId="3401" xr:uid="{00000000-0005-0000-0000-0000490D0000}"/>
    <cellStyle name="표준 11 2 4 2" xfId="3402" xr:uid="{00000000-0005-0000-0000-00004A0D0000}"/>
    <cellStyle name="표준 11 2 5" xfId="3403" xr:uid="{00000000-0005-0000-0000-00004B0D0000}"/>
    <cellStyle name="표준 11 2 5 2" xfId="3404" xr:uid="{00000000-0005-0000-0000-00004C0D0000}"/>
    <cellStyle name="표준 11 2 6" xfId="3405" xr:uid="{00000000-0005-0000-0000-00004D0D0000}"/>
    <cellStyle name="표준 11 2 6 2" xfId="3406" xr:uid="{00000000-0005-0000-0000-00004E0D0000}"/>
    <cellStyle name="표준 11 2 7" xfId="3407" xr:uid="{00000000-0005-0000-0000-00004F0D0000}"/>
    <cellStyle name="표준 11 2 7 2" xfId="3408" xr:uid="{00000000-0005-0000-0000-0000500D0000}"/>
    <cellStyle name="표준 11 2 8" xfId="3409" xr:uid="{00000000-0005-0000-0000-0000510D0000}"/>
    <cellStyle name="표준 11 2 8 2" xfId="3410" xr:uid="{00000000-0005-0000-0000-0000520D0000}"/>
    <cellStyle name="표준 11 2 9" xfId="3411" xr:uid="{00000000-0005-0000-0000-0000530D0000}"/>
    <cellStyle name="표준 11 2 9 2" xfId="3412" xr:uid="{00000000-0005-0000-0000-0000540D0000}"/>
    <cellStyle name="표준 11 3" xfId="3413" xr:uid="{00000000-0005-0000-0000-0000550D0000}"/>
    <cellStyle name="표준 11 3 2" xfId="3414" xr:uid="{00000000-0005-0000-0000-0000560D0000}"/>
    <cellStyle name="표준 11 3 2 2" xfId="3415" xr:uid="{00000000-0005-0000-0000-0000570D0000}"/>
    <cellStyle name="표준 11 3 3" xfId="3416" xr:uid="{00000000-0005-0000-0000-0000580D0000}"/>
    <cellStyle name="표준 11 3 3 2" xfId="3417" xr:uid="{00000000-0005-0000-0000-0000590D0000}"/>
    <cellStyle name="표준 11 3 4" xfId="3418" xr:uid="{00000000-0005-0000-0000-00005A0D0000}"/>
    <cellStyle name="표준 11 3 4 2" xfId="3419" xr:uid="{00000000-0005-0000-0000-00005B0D0000}"/>
    <cellStyle name="표준 11 3 5" xfId="3420" xr:uid="{00000000-0005-0000-0000-00005C0D0000}"/>
    <cellStyle name="표준 11 3 6" xfId="3421" xr:uid="{00000000-0005-0000-0000-00005D0D0000}"/>
    <cellStyle name="표준 11 3 6 2" xfId="3422" xr:uid="{00000000-0005-0000-0000-00005E0D0000}"/>
    <cellStyle name="표준 11 4" xfId="3423" xr:uid="{00000000-0005-0000-0000-00005F0D0000}"/>
    <cellStyle name="표준 11 4 2" xfId="3424" xr:uid="{00000000-0005-0000-0000-0000600D0000}"/>
    <cellStyle name="표준 11 4 2 2" xfId="3425" xr:uid="{00000000-0005-0000-0000-0000610D0000}"/>
    <cellStyle name="표준 11 4 3" xfId="3426" xr:uid="{00000000-0005-0000-0000-0000620D0000}"/>
    <cellStyle name="표준 11 4 3 2" xfId="3427" xr:uid="{00000000-0005-0000-0000-0000630D0000}"/>
    <cellStyle name="표준 11 4 4" xfId="3428" xr:uid="{00000000-0005-0000-0000-0000640D0000}"/>
    <cellStyle name="표준 11 4 5" xfId="3429" xr:uid="{00000000-0005-0000-0000-0000650D0000}"/>
    <cellStyle name="표준 11 4 5 2" xfId="3430" xr:uid="{00000000-0005-0000-0000-0000660D0000}"/>
    <cellStyle name="표준 11 5" xfId="3431" xr:uid="{00000000-0005-0000-0000-0000670D0000}"/>
    <cellStyle name="표준 11 5 2" xfId="3432" xr:uid="{00000000-0005-0000-0000-0000680D0000}"/>
    <cellStyle name="표준 11 5 3" xfId="3433" xr:uid="{00000000-0005-0000-0000-0000690D0000}"/>
    <cellStyle name="표준 11 5 3 2" xfId="3434" xr:uid="{00000000-0005-0000-0000-00006A0D0000}"/>
    <cellStyle name="표준 11 6" xfId="3435" xr:uid="{00000000-0005-0000-0000-00006B0D0000}"/>
    <cellStyle name="표준 11 6 2" xfId="3436" xr:uid="{00000000-0005-0000-0000-00006C0D0000}"/>
    <cellStyle name="표준 11 7" xfId="3437" xr:uid="{00000000-0005-0000-0000-00006D0D0000}"/>
    <cellStyle name="표준 11 7 2" xfId="3438" xr:uid="{00000000-0005-0000-0000-00006E0D0000}"/>
    <cellStyle name="표준 11 8" xfId="3439" xr:uid="{00000000-0005-0000-0000-00006F0D0000}"/>
    <cellStyle name="표준 11 8 2" xfId="3440" xr:uid="{00000000-0005-0000-0000-0000700D0000}"/>
    <cellStyle name="표준 11 9" xfId="3441" xr:uid="{00000000-0005-0000-0000-0000710D0000}"/>
    <cellStyle name="표준 11 9 2" xfId="3442" xr:uid="{00000000-0005-0000-0000-0000720D0000}"/>
    <cellStyle name="표준 12" xfId="3443" xr:uid="{00000000-0005-0000-0000-0000730D0000}"/>
    <cellStyle name="표준 12 10" xfId="3444" xr:uid="{00000000-0005-0000-0000-0000740D0000}"/>
    <cellStyle name="표준 12 10 2" xfId="3445" xr:uid="{00000000-0005-0000-0000-0000750D0000}"/>
    <cellStyle name="표준 12 11" xfId="3446" xr:uid="{00000000-0005-0000-0000-0000760D0000}"/>
    <cellStyle name="표준 12 11 2" xfId="3447" xr:uid="{00000000-0005-0000-0000-0000770D0000}"/>
    <cellStyle name="표준 12 12" xfId="3448" xr:uid="{00000000-0005-0000-0000-0000780D0000}"/>
    <cellStyle name="표준 12 12 2" xfId="3449" xr:uid="{00000000-0005-0000-0000-0000790D0000}"/>
    <cellStyle name="표준 12 13" xfId="3450" xr:uid="{00000000-0005-0000-0000-00007A0D0000}"/>
    <cellStyle name="표준 12 14" xfId="3451" xr:uid="{00000000-0005-0000-0000-00007B0D0000}"/>
    <cellStyle name="표준 12 2" xfId="3452" xr:uid="{00000000-0005-0000-0000-00007C0D0000}"/>
    <cellStyle name="표준 12 2 10" xfId="3453" xr:uid="{00000000-0005-0000-0000-00007D0D0000}"/>
    <cellStyle name="표준 12 2 10 2" xfId="3454" xr:uid="{00000000-0005-0000-0000-00007E0D0000}"/>
    <cellStyle name="표준 12 2 11" xfId="3455" xr:uid="{00000000-0005-0000-0000-00007F0D0000}"/>
    <cellStyle name="표준 12 2 2" xfId="3456" xr:uid="{00000000-0005-0000-0000-0000800D0000}"/>
    <cellStyle name="표준 12 2 2 2" xfId="3457" xr:uid="{00000000-0005-0000-0000-0000810D0000}"/>
    <cellStyle name="표준 12 2 2 3" xfId="3458" xr:uid="{00000000-0005-0000-0000-0000820D0000}"/>
    <cellStyle name="표준 12 2 2 3 2" xfId="3459" xr:uid="{00000000-0005-0000-0000-0000830D0000}"/>
    <cellStyle name="표준 12 2 3" xfId="3460" xr:uid="{00000000-0005-0000-0000-0000840D0000}"/>
    <cellStyle name="표준 12 2 3 2" xfId="3461" xr:uid="{00000000-0005-0000-0000-0000850D0000}"/>
    <cellStyle name="표준 12 2 4" xfId="3462" xr:uid="{00000000-0005-0000-0000-0000860D0000}"/>
    <cellStyle name="표준 12 2 4 2" xfId="3463" xr:uid="{00000000-0005-0000-0000-0000870D0000}"/>
    <cellStyle name="표준 12 2 5" xfId="3464" xr:uid="{00000000-0005-0000-0000-0000880D0000}"/>
    <cellStyle name="표준 12 2 5 2" xfId="3465" xr:uid="{00000000-0005-0000-0000-0000890D0000}"/>
    <cellStyle name="표준 12 2 6" xfId="3466" xr:uid="{00000000-0005-0000-0000-00008A0D0000}"/>
    <cellStyle name="표준 12 2 6 2" xfId="3467" xr:uid="{00000000-0005-0000-0000-00008B0D0000}"/>
    <cellStyle name="표준 12 2 7" xfId="3468" xr:uid="{00000000-0005-0000-0000-00008C0D0000}"/>
    <cellStyle name="표준 12 2 7 2" xfId="3469" xr:uid="{00000000-0005-0000-0000-00008D0D0000}"/>
    <cellStyle name="표준 12 2 8" xfId="3470" xr:uid="{00000000-0005-0000-0000-00008E0D0000}"/>
    <cellStyle name="표준 12 2 8 2" xfId="3471" xr:uid="{00000000-0005-0000-0000-00008F0D0000}"/>
    <cellStyle name="표준 12 2 9" xfId="3472" xr:uid="{00000000-0005-0000-0000-0000900D0000}"/>
    <cellStyle name="표준 12 2 9 2" xfId="3473" xr:uid="{00000000-0005-0000-0000-0000910D0000}"/>
    <cellStyle name="표준 12 3" xfId="3474" xr:uid="{00000000-0005-0000-0000-0000920D0000}"/>
    <cellStyle name="표준 12 3 2" xfId="3475" xr:uid="{00000000-0005-0000-0000-0000930D0000}"/>
    <cellStyle name="표준 12 3 2 2" xfId="3476" xr:uid="{00000000-0005-0000-0000-0000940D0000}"/>
    <cellStyle name="표준 12 3 3" xfId="3477" xr:uid="{00000000-0005-0000-0000-0000950D0000}"/>
    <cellStyle name="표준 12 3 3 2" xfId="3478" xr:uid="{00000000-0005-0000-0000-0000960D0000}"/>
    <cellStyle name="표준 12 3 4" xfId="3479" xr:uid="{00000000-0005-0000-0000-0000970D0000}"/>
    <cellStyle name="표준 12 3 4 2" xfId="3480" xr:uid="{00000000-0005-0000-0000-0000980D0000}"/>
    <cellStyle name="표준 12 3 5" xfId="3481" xr:uid="{00000000-0005-0000-0000-0000990D0000}"/>
    <cellStyle name="표준 12 3 6" xfId="3482" xr:uid="{00000000-0005-0000-0000-00009A0D0000}"/>
    <cellStyle name="표준 12 3 6 2" xfId="3483" xr:uid="{00000000-0005-0000-0000-00009B0D0000}"/>
    <cellStyle name="표준 12 4" xfId="3484" xr:uid="{00000000-0005-0000-0000-00009C0D0000}"/>
    <cellStyle name="표준 12 4 2" xfId="3485" xr:uid="{00000000-0005-0000-0000-00009D0D0000}"/>
    <cellStyle name="표준 12 4 2 2" xfId="3486" xr:uid="{00000000-0005-0000-0000-00009E0D0000}"/>
    <cellStyle name="표준 12 4 3" xfId="3487" xr:uid="{00000000-0005-0000-0000-00009F0D0000}"/>
    <cellStyle name="표준 12 4 3 2" xfId="3488" xr:uid="{00000000-0005-0000-0000-0000A00D0000}"/>
    <cellStyle name="표준 12 4 4" xfId="3489" xr:uid="{00000000-0005-0000-0000-0000A10D0000}"/>
    <cellStyle name="표준 12 4 5" xfId="3490" xr:uid="{00000000-0005-0000-0000-0000A20D0000}"/>
    <cellStyle name="표준 12 4 5 2" xfId="3491" xr:uid="{00000000-0005-0000-0000-0000A30D0000}"/>
    <cellStyle name="표준 12 5" xfId="3492" xr:uid="{00000000-0005-0000-0000-0000A40D0000}"/>
    <cellStyle name="표준 12 5 2" xfId="3493" xr:uid="{00000000-0005-0000-0000-0000A50D0000}"/>
    <cellStyle name="표준 12 6" xfId="3494" xr:uid="{00000000-0005-0000-0000-0000A60D0000}"/>
    <cellStyle name="표준 12 6 2" xfId="3495" xr:uid="{00000000-0005-0000-0000-0000A70D0000}"/>
    <cellStyle name="표준 12 7" xfId="3496" xr:uid="{00000000-0005-0000-0000-0000A80D0000}"/>
    <cellStyle name="표준 12 7 2" xfId="3497" xr:uid="{00000000-0005-0000-0000-0000A90D0000}"/>
    <cellStyle name="표준 12 8" xfId="3498" xr:uid="{00000000-0005-0000-0000-0000AA0D0000}"/>
    <cellStyle name="표준 12 8 2" xfId="3499" xr:uid="{00000000-0005-0000-0000-0000AB0D0000}"/>
    <cellStyle name="표준 12 9" xfId="3500" xr:uid="{00000000-0005-0000-0000-0000AC0D0000}"/>
    <cellStyle name="표준 12 9 2" xfId="3501" xr:uid="{00000000-0005-0000-0000-0000AD0D0000}"/>
    <cellStyle name="표준 13" xfId="3502" xr:uid="{00000000-0005-0000-0000-0000AE0D0000}"/>
    <cellStyle name="표준 13 10" xfId="3503" xr:uid="{00000000-0005-0000-0000-0000AF0D0000}"/>
    <cellStyle name="표준 13 10 2" xfId="3504" xr:uid="{00000000-0005-0000-0000-0000B00D0000}"/>
    <cellStyle name="표준 13 11" xfId="3505" xr:uid="{00000000-0005-0000-0000-0000B10D0000}"/>
    <cellStyle name="표준 13 11 2" xfId="3506" xr:uid="{00000000-0005-0000-0000-0000B20D0000}"/>
    <cellStyle name="표준 13 12" xfId="3507" xr:uid="{00000000-0005-0000-0000-0000B30D0000}"/>
    <cellStyle name="표준 13 12 2" xfId="3508" xr:uid="{00000000-0005-0000-0000-0000B40D0000}"/>
    <cellStyle name="표준 13 13" xfId="3509" xr:uid="{00000000-0005-0000-0000-0000B50D0000}"/>
    <cellStyle name="표준 13 14" xfId="3510" xr:uid="{00000000-0005-0000-0000-0000B60D0000}"/>
    <cellStyle name="표준 13 2" xfId="3511" xr:uid="{00000000-0005-0000-0000-0000B70D0000}"/>
    <cellStyle name="표준 13 2 10" xfId="3512" xr:uid="{00000000-0005-0000-0000-0000B80D0000}"/>
    <cellStyle name="표준 13 2 10 2" xfId="3513" xr:uid="{00000000-0005-0000-0000-0000B90D0000}"/>
    <cellStyle name="표준 13 2 11" xfId="3514" xr:uid="{00000000-0005-0000-0000-0000BA0D0000}"/>
    <cellStyle name="표준 13 2 2" xfId="3515" xr:uid="{00000000-0005-0000-0000-0000BB0D0000}"/>
    <cellStyle name="표준 13 2 2 2" xfId="3516" xr:uid="{00000000-0005-0000-0000-0000BC0D0000}"/>
    <cellStyle name="표준 13 2 2 3" xfId="3517" xr:uid="{00000000-0005-0000-0000-0000BD0D0000}"/>
    <cellStyle name="표준 13 2 2 3 2" xfId="3518" xr:uid="{00000000-0005-0000-0000-0000BE0D0000}"/>
    <cellStyle name="표준 13 2 3" xfId="3519" xr:uid="{00000000-0005-0000-0000-0000BF0D0000}"/>
    <cellStyle name="표준 13 2 3 2" xfId="3520" xr:uid="{00000000-0005-0000-0000-0000C00D0000}"/>
    <cellStyle name="표준 13 2 4" xfId="3521" xr:uid="{00000000-0005-0000-0000-0000C10D0000}"/>
    <cellStyle name="표준 13 2 4 2" xfId="3522" xr:uid="{00000000-0005-0000-0000-0000C20D0000}"/>
    <cellStyle name="표준 13 2 5" xfId="3523" xr:uid="{00000000-0005-0000-0000-0000C30D0000}"/>
    <cellStyle name="표준 13 2 5 2" xfId="3524" xr:uid="{00000000-0005-0000-0000-0000C40D0000}"/>
    <cellStyle name="표준 13 2 6" xfId="3525" xr:uid="{00000000-0005-0000-0000-0000C50D0000}"/>
    <cellStyle name="표준 13 2 6 2" xfId="3526" xr:uid="{00000000-0005-0000-0000-0000C60D0000}"/>
    <cellStyle name="표준 13 2 7" xfId="3527" xr:uid="{00000000-0005-0000-0000-0000C70D0000}"/>
    <cellStyle name="표준 13 2 7 2" xfId="3528" xr:uid="{00000000-0005-0000-0000-0000C80D0000}"/>
    <cellStyle name="표준 13 2 8" xfId="3529" xr:uid="{00000000-0005-0000-0000-0000C90D0000}"/>
    <cellStyle name="표준 13 2 8 2" xfId="3530" xr:uid="{00000000-0005-0000-0000-0000CA0D0000}"/>
    <cellStyle name="표준 13 2 9" xfId="3531" xr:uid="{00000000-0005-0000-0000-0000CB0D0000}"/>
    <cellStyle name="표준 13 2 9 2" xfId="3532" xr:uid="{00000000-0005-0000-0000-0000CC0D0000}"/>
    <cellStyle name="표준 13 3" xfId="3533" xr:uid="{00000000-0005-0000-0000-0000CD0D0000}"/>
    <cellStyle name="표준 13 3 2" xfId="3534" xr:uid="{00000000-0005-0000-0000-0000CE0D0000}"/>
    <cellStyle name="표준 13 3 2 2" xfId="3535" xr:uid="{00000000-0005-0000-0000-0000CF0D0000}"/>
    <cellStyle name="표준 13 3 3" xfId="3536" xr:uid="{00000000-0005-0000-0000-0000D00D0000}"/>
    <cellStyle name="표준 13 3 3 2" xfId="3537" xr:uid="{00000000-0005-0000-0000-0000D10D0000}"/>
    <cellStyle name="표준 13 3 4" xfId="3538" xr:uid="{00000000-0005-0000-0000-0000D20D0000}"/>
    <cellStyle name="표준 13 3 4 2" xfId="3539" xr:uid="{00000000-0005-0000-0000-0000D30D0000}"/>
    <cellStyle name="표준 13 3 5" xfId="3540" xr:uid="{00000000-0005-0000-0000-0000D40D0000}"/>
    <cellStyle name="표준 13 3 6" xfId="3541" xr:uid="{00000000-0005-0000-0000-0000D50D0000}"/>
    <cellStyle name="표준 13 3 6 2" xfId="3542" xr:uid="{00000000-0005-0000-0000-0000D60D0000}"/>
    <cellStyle name="표준 13 4" xfId="3543" xr:uid="{00000000-0005-0000-0000-0000D70D0000}"/>
    <cellStyle name="표준 13 4 2" xfId="3544" xr:uid="{00000000-0005-0000-0000-0000D80D0000}"/>
    <cellStyle name="표준 13 4 2 2" xfId="3545" xr:uid="{00000000-0005-0000-0000-0000D90D0000}"/>
    <cellStyle name="표준 13 4 3" xfId="3546" xr:uid="{00000000-0005-0000-0000-0000DA0D0000}"/>
    <cellStyle name="표준 13 4 3 2" xfId="3547" xr:uid="{00000000-0005-0000-0000-0000DB0D0000}"/>
    <cellStyle name="표준 13 4 4" xfId="3548" xr:uid="{00000000-0005-0000-0000-0000DC0D0000}"/>
    <cellStyle name="표준 13 4 5" xfId="3549" xr:uid="{00000000-0005-0000-0000-0000DD0D0000}"/>
    <cellStyle name="표준 13 4 5 2" xfId="3550" xr:uid="{00000000-0005-0000-0000-0000DE0D0000}"/>
    <cellStyle name="표준 13 5" xfId="3551" xr:uid="{00000000-0005-0000-0000-0000DF0D0000}"/>
    <cellStyle name="표준 13 5 2" xfId="3552" xr:uid="{00000000-0005-0000-0000-0000E00D0000}"/>
    <cellStyle name="표준 13 6" xfId="3553" xr:uid="{00000000-0005-0000-0000-0000E10D0000}"/>
    <cellStyle name="표준 13 6 2" xfId="3554" xr:uid="{00000000-0005-0000-0000-0000E20D0000}"/>
    <cellStyle name="표준 13 7" xfId="3555" xr:uid="{00000000-0005-0000-0000-0000E30D0000}"/>
    <cellStyle name="표준 13 7 2" xfId="3556" xr:uid="{00000000-0005-0000-0000-0000E40D0000}"/>
    <cellStyle name="표준 13 8" xfId="3557" xr:uid="{00000000-0005-0000-0000-0000E50D0000}"/>
    <cellStyle name="표준 13 8 2" xfId="3558" xr:uid="{00000000-0005-0000-0000-0000E60D0000}"/>
    <cellStyle name="표준 13 9" xfId="3559" xr:uid="{00000000-0005-0000-0000-0000E70D0000}"/>
    <cellStyle name="표준 13 9 2" xfId="3560" xr:uid="{00000000-0005-0000-0000-0000E80D0000}"/>
    <cellStyle name="표준 14" xfId="3561" xr:uid="{00000000-0005-0000-0000-0000E90D0000}"/>
    <cellStyle name="표준 14 10" xfId="3562" xr:uid="{00000000-0005-0000-0000-0000EA0D0000}"/>
    <cellStyle name="표준 14 10 2" xfId="3563" xr:uid="{00000000-0005-0000-0000-0000EB0D0000}"/>
    <cellStyle name="표준 14 11" xfId="3564" xr:uid="{00000000-0005-0000-0000-0000EC0D0000}"/>
    <cellStyle name="표준 14 11 2" xfId="3565" xr:uid="{00000000-0005-0000-0000-0000ED0D0000}"/>
    <cellStyle name="표준 14 12" xfId="3566" xr:uid="{00000000-0005-0000-0000-0000EE0D0000}"/>
    <cellStyle name="표준 14 12 2" xfId="3567" xr:uid="{00000000-0005-0000-0000-0000EF0D0000}"/>
    <cellStyle name="표준 14 13" xfId="3568" xr:uid="{00000000-0005-0000-0000-0000F00D0000}"/>
    <cellStyle name="표준 14 14" xfId="3569" xr:uid="{00000000-0005-0000-0000-0000F10D0000}"/>
    <cellStyle name="표준 14 2" xfId="3570" xr:uid="{00000000-0005-0000-0000-0000F20D0000}"/>
    <cellStyle name="표준 14 2 10" xfId="3571" xr:uid="{00000000-0005-0000-0000-0000F30D0000}"/>
    <cellStyle name="표준 14 2 10 2" xfId="3572" xr:uid="{00000000-0005-0000-0000-0000F40D0000}"/>
    <cellStyle name="표준 14 2 11" xfId="3573" xr:uid="{00000000-0005-0000-0000-0000F50D0000}"/>
    <cellStyle name="표준 14 2 2" xfId="3574" xr:uid="{00000000-0005-0000-0000-0000F60D0000}"/>
    <cellStyle name="표준 14 2 2 2" xfId="3575" xr:uid="{00000000-0005-0000-0000-0000F70D0000}"/>
    <cellStyle name="표준 14 2 2 3" xfId="3576" xr:uid="{00000000-0005-0000-0000-0000F80D0000}"/>
    <cellStyle name="표준 14 2 2 3 2" xfId="3577" xr:uid="{00000000-0005-0000-0000-0000F90D0000}"/>
    <cellStyle name="표준 14 2 3" xfId="3578" xr:uid="{00000000-0005-0000-0000-0000FA0D0000}"/>
    <cellStyle name="표준 14 2 3 2" xfId="3579" xr:uid="{00000000-0005-0000-0000-0000FB0D0000}"/>
    <cellStyle name="표준 14 2 4" xfId="3580" xr:uid="{00000000-0005-0000-0000-0000FC0D0000}"/>
    <cellStyle name="표준 14 2 4 2" xfId="3581" xr:uid="{00000000-0005-0000-0000-0000FD0D0000}"/>
    <cellStyle name="표준 14 2 5" xfId="3582" xr:uid="{00000000-0005-0000-0000-0000FE0D0000}"/>
    <cellStyle name="표준 14 2 5 2" xfId="3583" xr:uid="{00000000-0005-0000-0000-0000FF0D0000}"/>
    <cellStyle name="표준 14 2 6" xfId="3584" xr:uid="{00000000-0005-0000-0000-0000000E0000}"/>
    <cellStyle name="표준 14 2 6 2" xfId="3585" xr:uid="{00000000-0005-0000-0000-0000010E0000}"/>
    <cellStyle name="표준 14 2 7" xfId="3586" xr:uid="{00000000-0005-0000-0000-0000020E0000}"/>
    <cellStyle name="표준 14 2 7 2" xfId="3587" xr:uid="{00000000-0005-0000-0000-0000030E0000}"/>
    <cellStyle name="표준 14 2 8" xfId="3588" xr:uid="{00000000-0005-0000-0000-0000040E0000}"/>
    <cellStyle name="표준 14 2 8 2" xfId="3589" xr:uid="{00000000-0005-0000-0000-0000050E0000}"/>
    <cellStyle name="표준 14 2 9" xfId="3590" xr:uid="{00000000-0005-0000-0000-0000060E0000}"/>
    <cellStyle name="표준 14 2 9 2" xfId="3591" xr:uid="{00000000-0005-0000-0000-0000070E0000}"/>
    <cellStyle name="표준 14 3" xfId="3592" xr:uid="{00000000-0005-0000-0000-0000080E0000}"/>
    <cellStyle name="표준 14 3 2" xfId="3593" xr:uid="{00000000-0005-0000-0000-0000090E0000}"/>
    <cellStyle name="표준 14 3 2 2" xfId="3594" xr:uid="{00000000-0005-0000-0000-00000A0E0000}"/>
    <cellStyle name="표준 14 3 3" xfId="3595" xr:uid="{00000000-0005-0000-0000-00000B0E0000}"/>
    <cellStyle name="표준 14 3 3 2" xfId="3596" xr:uid="{00000000-0005-0000-0000-00000C0E0000}"/>
    <cellStyle name="표준 14 3 4" xfId="3597" xr:uid="{00000000-0005-0000-0000-00000D0E0000}"/>
    <cellStyle name="표준 14 3 4 2" xfId="3598" xr:uid="{00000000-0005-0000-0000-00000E0E0000}"/>
    <cellStyle name="표준 14 3 5" xfId="3599" xr:uid="{00000000-0005-0000-0000-00000F0E0000}"/>
    <cellStyle name="표준 14 3 6" xfId="3600" xr:uid="{00000000-0005-0000-0000-0000100E0000}"/>
    <cellStyle name="표준 14 3 6 2" xfId="3601" xr:uid="{00000000-0005-0000-0000-0000110E0000}"/>
    <cellStyle name="표준 14 4" xfId="3602" xr:uid="{00000000-0005-0000-0000-0000120E0000}"/>
    <cellStyle name="표준 14 4 2" xfId="3603" xr:uid="{00000000-0005-0000-0000-0000130E0000}"/>
    <cellStyle name="표준 14 4 2 2" xfId="3604" xr:uid="{00000000-0005-0000-0000-0000140E0000}"/>
    <cellStyle name="표준 14 4 3" xfId="3605" xr:uid="{00000000-0005-0000-0000-0000150E0000}"/>
    <cellStyle name="표준 14 4 3 2" xfId="3606" xr:uid="{00000000-0005-0000-0000-0000160E0000}"/>
    <cellStyle name="표준 14 4 4" xfId="3607" xr:uid="{00000000-0005-0000-0000-0000170E0000}"/>
    <cellStyle name="표준 14 4 5" xfId="3608" xr:uid="{00000000-0005-0000-0000-0000180E0000}"/>
    <cellStyle name="표준 14 4 5 2" xfId="3609" xr:uid="{00000000-0005-0000-0000-0000190E0000}"/>
    <cellStyle name="표준 14 5" xfId="3610" xr:uid="{00000000-0005-0000-0000-00001A0E0000}"/>
    <cellStyle name="표준 14 5 2" xfId="3611" xr:uid="{00000000-0005-0000-0000-00001B0E0000}"/>
    <cellStyle name="표준 14 6" xfId="3612" xr:uid="{00000000-0005-0000-0000-00001C0E0000}"/>
    <cellStyle name="표준 14 6 2" xfId="3613" xr:uid="{00000000-0005-0000-0000-00001D0E0000}"/>
    <cellStyle name="표준 14 7" xfId="3614" xr:uid="{00000000-0005-0000-0000-00001E0E0000}"/>
    <cellStyle name="표준 14 7 2" xfId="3615" xr:uid="{00000000-0005-0000-0000-00001F0E0000}"/>
    <cellStyle name="표준 14 8" xfId="3616" xr:uid="{00000000-0005-0000-0000-0000200E0000}"/>
    <cellStyle name="표준 14 8 2" xfId="3617" xr:uid="{00000000-0005-0000-0000-0000210E0000}"/>
    <cellStyle name="표준 14 9" xfId="3618" xr:uid="{00000000-0005-0000-0000-0000220E0000}"/>
    <cellStyle name="표준 14 9 2" xfId="3619" xr:uid="{00000000-0005-0000-0000-0000230E0000}"/>
    <cellStyle name="표준 15" xfId="3620" xr:uid="{00000000-0005-0000-0000-0000240E0000}"/>
    <cellStyle name="표준 15 10" xfId="3621" xr:uid="{00000000-0005-0000-0000-0000250E0000}"/>
    <cellStyle name="표준 15 10 2" xfId="3622" xr:uid="{00000000-0005-0000-0000-0000260E0000}"/>
    <cellStyle name="표준 15 11" xfId="3623" xr:uid="{00000000-0005-0000-0000-0000270E0000}"/>
    <cellStyle name="표준 15 11 2" xfId="3624" xr:uid="{00000000-0005-0000-0000-0000280E0000}"/>
    <cellStyle name="표준 15 12" xfId="3625" xr:uid="{00000000-0005-0000-0000-0000290E0000}"/>
    <cellStyle name="표준 15 12 2" xfId="3626" xr:uid="{00000000-0005-0000-0000-00002A0E0000}"/>
    <cellStyle name="표준 15 13" xfId="3627" xr:uid="{00000000-0005-0000-0000-00002B0E0000}"/>
    <cellStyle name="표준 15 14" xfId="3628" xr:uid="{00000000-0005-0000-0000-00002C0E0000}"/>
    <cellStyle name="표준 15 2" xfId="3629" xr:uid="{00000000-0005-0000-0000-00002D0E0000}"/>
    <cellStyle name="표준 15 2 10" xfId="3630" xr:uid="{00000000-0005-0000-0000-00002E0E0000}"/>
    <cellStyle name="표준 15 2 10 2" xfId="3631" xr:uid="{00000000-0005-0000-0000-00002F0E0000}"/>
    <cellStyle name="표준 15 2 11" xfId="3632" xr:uid="{00000000-0005-0000-0000-0000300E0000}"/>
    <cellStyle name="표준 15 2 2" xfId="3633" xr:uid="{00000000-0005-0000-0000-0000310E0000}"/>
    <cellStyle name="표준 15 2 2 2" xfId="3634" xr:uid="{00000000-0005-0000-0000-0000320E0000}"/>
    <cellStyle name="표준 15 2 2 3" xfId="3635" xr:uid="{00000000-0005-0000-0000-0000330E0000}"/>
    <cellStyle name="표준 15 2 2 3 2" xfId="3636" xr:uid="{00000000-0005-0000-0000-0000340E0000}"/>
    <cellStyle name="표준 15 2 3" xfId="3637" xr:uid="{00000000-0005-0000-0000-0000350E0000}"/>
    <cellStyle name="표준 15 2 3 2" xfId="3638" xr:uid="{00000000-0005-0000-0000-0000360E0000}"/>
    <cellStyle name="표준 15 2 4" xfId="3639" xr:uid="{00000000-0005-0000-0000-0000370E0000}"/>
    <cellStyle name="표준 15 2 4 2" xfId="3640" xr:uid="{00000000-0005-0000-0000-0000380E0000}"/>
    <cellStyle name="표준 15 2 5" xfId="3641" xr:uid="{00000000-0005-0000-0000-0000390E0000}"/>
    <cellStyle name="표준 15 2 5 2" xfId="3642" xr:uid="{00000000-0005-0000-0000-00003A0E0000}"/>
    <cellStyle name="표준 15 2 6" xfId="3643" xr:uid="{00000000-0005-0000-0000-00003B0E0000}"/>
    <cellStyle name="표준 15 2 6 2" xfId="3644" xr:uid="{00000000-0005-0000-0000-00003C0E0000}"/>
    <cellStyle name="표준 15 2 7" xfId="3645" xr:uid="{00000000-0005-0000-0000-00003D0E0000}"/>
    <cellStyle name="표준 15 2 7 2" xfId="3646" xr:uid="{00000000-0005-0000-0000-00003E0E0000}"/>
    <cellStyle name="표준 15 2 8" xfId="3647" xr:uid="{00000000-0005-0000-0000-00003F0E0000}"/>
    <cellStyle name="표준 15 2 8 2" xfId="3648" xr:uid="{00000000-0005-0000-0000-0000400E0000}"/>
    <cellStyle name="표준 15 2 9" xfId="3649" xr:uid="{00000000-0005-0000-0000-0000410E0000}"/>
    <cellStyle name="표준 15 2 9 2" xfId="3650" xr:uid="{00000000-0005-0000-0000-0000420E0000}"/>
    <cellStyle name="표준 15 3" xfId="3651" xr:uid="{00000000-0005-0000-0000-0000430E0000}"/>
    <cellStyle name="표준 15 3 2" xfId="3652" xr:uid="{00000000-0005-0000-0000-0000440E0000}"/>
    <cellStyle name="표준 15 3 2 2" xfId="3653" xr:uid="{00000000-0005-0000-0000-0000450E0000}"/>
    <cellStyle name="표준 15 3 3" xfId="3654" xr:uid="{00000000-0005-0000-0000-0000460E0000}"/>
    <cellStyle name="표준 15 3 3 2" xfId="3655" xr:uid="{00000000-0005-0000-0000-0000470E0000}"/>
    <cellStyle name="표준 15 3 4" xfId="3656" xr:uid="{00000000-0005-0000-0000-0000480E0000}"/>
    <cellStyle name="표준 15 3 4 2" xfId="3657" xr:uid="{00000000-0005-0000-0000-0000490E0000}"/>
    <cellStyle name="표준 15 3 5" xfId="3658" xr:uid="{00000000-0005-0000-0000-00004A0E0000}"/>
    <cellStyle name="표준 15 3 6" xfId="3659" xr:uid="{00000000-0005-0000-0000-00004B0E0000}"/>
    <cellStyle name="표준 15 3 6 2" xfId="3660" xr:uid="{00000000-0005-0000-0000-00004C0E0000}"/>
    <cellStyle name="표준 15 4" xfId="3661" xr:uid="{00000000-0005-0000-0000-00004D0E0000}"/>
    <cellStyle name="표준 15 4 2" xfId="3662" xr:uid="{00000000-0005-0000-0000-00004E0E0000}"/>
    <cellStyle name="표준 15 4 2 2" xfId="3663" xr:uid="{00000000-0005-0000-0000-00004F0E0000}"/>
    <cellStyle name="표준 15 4 3" xfId="3664" xr:uid="{00000000-0005-0000-0000-0000500E0000}"/>
    <cellStyle name="표준 15 4 3 2" xfId="3665" xr:uid="{00000000-0005-0000-0000-0000510E0000}"/>
    <cellStyle name="표준 15 4 4" xfId="3666" xr:uid="{00000000-0005-0000-0000-0000520E0000}"/>
    <cellStyle name="표준 15 4 5" xfId="3667" xr:uid="{00000000-0005-0000-0000-0000530E0000}"/>
    <cellStyle name="표준 15 4 5 2" xfId="3668" xr:uid="{00000000-0005-0000-0000-0000540E0000}"/>
    <cellStyle name="표준 15 5" xfId="3669" xr:uid="{00000000-0005-0000-0000-0000550E0000}"/>
    <cellStyle name="표준 15 5 2" xfId="3670" xr:uid="{00000000-0005-0000-0000-0000560E0000}"/>
    <cellStyle name="표준 15 6" xfId="3671" xr:uid="{00000000-0005-0000-0000-0000570E0000}"/>
    <cellStyle name="표준 15 6 2" xfId="3672" xr:uid="{00000000-0005-0000-0000-0000580E0000}"/>
    <cellStyle name="표준 15 7" xfId="3673" xr:uid="{00000000-0005-0000-0000-0000590E0000}"/>
    <cellStyle name="표준 15 7 2" xfId="3674" xr:uid="{00000000-0005-0000-0000-00005A0E0000}"/>
    <cellStyle name="표준 15 8" xfId="3675" xr:uid="{00000000-0005-0000-0000-00005B0E0000}"/>
    <cellStyle name="표준 15 8 2" xfId="3676" xr:uid="{00000000-0005-0000-0000-00005C0E0000}"/>
    <cellStyle name="표준 15 9" xfId="3677" xr:uid="{00000000-0005-0000-0000-00005D0E0000}"/>
    <cellStyle name="표준 15 9 2" xfId="3678" xr:uid="{00000000-0005-0000-0000-00005E0E0000}"/>
    <cellStyle name="표준 16" xfId="3679" xr:uid="{00000000-0005-0000-0000-00005F0E0000}"/>
    <cellStyle name="표준 16 10" xfId="3680" xr:uid="{00000000-0005-0000-0000-0000600E0000}"/>
    <cellStyle name="표준 16 10 2" xfId="3681" xr:uid="{00000000-0005-0000-0000-0000610E0000}"/>
    <cellStyle name="표준 16 11" xfId="3682" xr:uid="{00000000-0005-0000-0000-0000620E0000}"/>
    <cellStyle name="표준 16 11 2" xfId="3683" xr:uid="{00000000-0005-0000-0000-0000630E0000}"/>
    <cellStyle name="표준 16 12" xfId="3684" xr:uid="{00000000-0005-0000-0000-0000640E0000}"/>
    <cellStyle name="표준 16 12 2" xfId="3685" xr:uid="{00000000-0005-0000-0000-0000650E0000}"/>
    <cellStyle name="표준 16 13" xfId="3686" xr:uid="{00000000-0005-0000-0000-0000660E0000}"/>
    <cellStyle name="표준 16 14" xfId="3687" xr:uid="{00000000-0005-0000-0000-0000670E0000}"/>
    <cellStyle name="표준 16 2" xfId="3688" xr:uid="{00000000-0005-0000-0000-0000680E0000}"/>
    <cellStyle name="표준 16 2 10" xfId="3689" xr:uid="{00000000-0005-0000-0000-0000690E0000}"/>
    <cellStyle name="표준 16 2 10 2" xfId="3690" xr:uid="{00000000-0005-0000-0000-00006A0E0000}"/>
    <cellStyle name="표준 16 2 11" xfId="3691" xr:uid="{00000000-0005-0000-0000-00006B0E0000}"/>
    <cellStyle name="표준 16 2 2" xfId="3692" xr:uid="{00000000-0005-0000-0000-00006C0E0000}"/>
    <cellStyle name="표준 16 2 2 2" xfId="3693" xr:uid="{00000000-0005-0000-0000-00006D0E0000}"/>
    <cellStyle name="표준 16 2 2 3" xfId="3694" xr:uid="{00000000-0005-0000-0000-00006E0E0000}"/>
    <cellStyle name="표준 16 2 2 3 2" xfId="3695" xr:uid="{00000000-0005-0000-0000-00006F0E0000}"/>
    <cellStyle name="표준 16 2 3" xfId="3696" xr:uid="{00000000-0005-0000-0000-0000700E0000}"/>
    <cellStyle name="표준 16 2 3 2" xfId="3697" xr:uid="{00000000-0005-0000-0000-0000710E0000}"/>
    <cellStyle name="표준 16 2 4" xfId="3698" xr:uid="{00000000-0005-0000-0000-0000720E0000}"/>
    <cellStyle name="표준 16 2 4 2" xfId="3699" xr:uid="{00000000-0005-0000-0000-0000730E0000}"/>
    <cellStyle name="표준 16 2 5" xfId="3700" xr:uid="{00000000-0005-0000-0000-0000740E0000}"/>
    <cellStyle name="표준 16 2 5 2" xfId="3701" xr:uid="{00000000-0005-0000-0000-0000750E0000}"/>
    <cellStyle name="표준 16 2 6" xfId="3702" xr:uid="{00000000-0005-0000-0000-0000760E0000}"/>
    <cellStyle name="표준 16 2 6 2" xfId="3703" xr:uid="{00000000-0005-0000-0000-0000770E0000}"/>
    <cellStyle name="표준 16 2 7" xfId="3704" xr:uid="{00000000-0005-0000-0000-0000780E0000}"/>
    <cellStyle name="표준 16 2 7 2" xfId="3705" xr:uid="{00000000-0005-0000-0000-0000790E0000}"/>
    <cellStyle name="표준 16 2 8" xfId="3706" xr:uid="{00000000-0005-0000-0000-00007A0E0000}"/>
    <cellStyle name="표준 16 2 8 2" xfId="3707" xr:uid="{00000000-0005-0000-0000-00007B0E0000}"/>
    <cellStyle name="표준 16 2 9" xfId="3708" xr:uid="{00000000-0005-0000-0000-00007C0E0000}"/>
    <cellStyle name="표준 16 2 9 2" xfId="3709" xr:uid="{00000000-0005-0000-0000-00007D0E0000}"/>
    <cellStyle name="표준 16 3" xfId="3710" xr:uid="{00000000-0005-0000-0000-00007E0E0000}"/>
    <cellStyle name="표준 16 3 2" xfId="3711" xr:uid="{00000000-0005-0000-0000-00007F0E0000}"/>
    <cellStyle name="표준 16 3 2 2" xfId="3712" xr:uid="{00000000-0005-0000-0000-0000800E0000}"/>
    <cellStyle name="표준 16 3 3" xfId="3713" xr:uid="{00000000-0005-0000-0000-0000810E0000}"/>
    <cellStyle name="표준 16 3 3 2" xfId="3714" xr:uid="{00000000-0005-0000-0000-0000820E0000}"/>
    <cellStyle name="표준 16 3 4" xfId="3715" xr:uid="{00000000-0005-0000-0000-0000830E0000}"/>
    <cellStyle name="표준 16 3 4 2" xfId="3716" xr:uid="{00000000-0005-0000-0000-0000840E0000}"/>
    <cellStyle name="표준 16 3 5" xfId="3717" xr:uid="{00000000-0005-0000-0000-0000850E0000}"/>
    <cellStyle name="표준 16 3 6" xfId="3718" xr:uid="{00000000-0005-0000-0000-0000860E0000}"/>
    <cellStyle name="표준 16 3 6 2" xfId="3719" xr:uid="{00000000-0005-0000-0000-0000870E0000}"/>
    <cellStyle name="표준 16 4" xfId="3720" xr:uid="{00000000-0005-0000-0000-0000880E0000}"/>
    <cellStyle name="표준 16 4 2" xfId="3721" xr:uid="{00000000-0005-0000-0000-0000890E0000}"/>
    <cellStyle name="표준 16 4 2 2" xfId="3722" xr:uid="{00000000-0005-0000-0000-00008A0E0000}"/>
    <cellStyle name="표준 16 4 3" xfId="3723" xr:uid="{00000000-0005-0000-0000-00008B0E0000}"/>
    <cellStyle name="표준 16 4 3 2" xfId="3724" xr:uid="{00000000-0005-0000-0000-00008C0E0000}"/>
    <cellStyle name="표준 16 4 4" xfId="3725" xr:uid="{00000000-0005-0000-0000-00008D0E0000}"/>
    <cellStyle name="표준 16 4 5" xfId="3726" xr:uid="{00000000-0005-0000-0000-00008E0E0000}"/>
    <cellStyle name="표준 16 4 5 2" xfId="3727" xr:uid="{00000000-0005-0000-0000-00008F0E0000}"/>
    <cellStyle name="표준 16 5" xfId="3728" xr:uid="{00000000-0005-0000-0000-0000900E0000}"/>
    <cellStyle name="표준 16 5 2" xfId="3729" xr:uid="{00000000-0005-0000-0000-0000910E0000}"/>
    <cellStyle name="표준 16 6" xfId="3730" xr:uid="{00000000-0005-0000-0000-0000920E0000}"/>
    <cellStyle name="표준 16 6 2" xfId="3731" xr:uid="{00000000-0005-0000-0000-0000930E0000}"/>
    <cellStyle name="표준 16 7" xfId="3732" xr:uid="{00000000-0005-0000-0000-0000940E0000}"/>
    <cellStyle name="표준 16 7 2" xfId="3733" xr:uid="{00000000-0005-0000-0000-0000950E0000}"/>
    <cellStyle name="표준 16 8" xfId="3734" xr:uid="{00000000-0005-0000-0000-0000960E0000}"/>
    <cellStyle name="표준 16 8 2" xfId="3735" xr:uid="{00000000-0005-0000-0000-0000970E0000}"/>
    <cellStyle name="표준 16 9" xfId="3736" xr:uid="{00000000-0005-0000-0000-0000980E0000}"/>
    <cellStyle name="표준 16 9 2" xfId="3737" xr:uid="{00000000-0005-0000-0000-0000990E0000}"/>
    <cellStyle name="표준 17" xfId="3738" xr:uid="{00000000-0005-0000-0000-00009A0E0000}"/>
    <cellStyle name="표준 17 10" xfId="3739" xr:uid="{00000000-0005-0000-0000-00009B0E0000}"/>
    <cellStyle name="표준 17 10 2" xfId="3740" xr:uid="{00000000-0005-0000-0000-00009C0E0000}"/>
    <cellStyle name="표준 17 11" xfId="3741" xr:uid="{00000000-0005-0000-0000-00009D0E0000}"/>
    <cellStyle name="표준 17 11 2" xfId="3742" xr:uid="{00000000-0005-0000-0000-00009E0E0000}"/>
    <cellStyle name="표준 17 12" xfId="3743" xr:uid="{00000000-0005-0000-0000-00009F0E0000}"/>
    <cellStyle name="표준 17 12 2" xfId="3744" xr:uid="{00000000-0005-0000-0000-0000A00E0000}"/>
    <cellStyle name="표준 17 13" xfId="3745" xr:uid="{00000000-0005-0000-0000-0000A10E0000}"/>
    <cellStyle name="표준 17 14" xfId="3746" xr:uid="{00000000-0005-0000-0000-0000A20E0000}"/>
    <cellStyle name="표준 17 2" xfId="3747" xr:uid="{00000000-0005-0000-0000-0000A30E0000}"/>
    <cellStyle name="표준 17 2 10" xfId="3748" xr:uid="{00000000-0005-0000-0000-0000A40E0000}"/>
    <cellStyle name="표준 17 2 10 2" xfId="3749" xr:uid="{00000000-0005-0000-0000-0000A50E0000}"/>
    <cellStyle name="표준 17 2 11" xfId="3750" xr:uid="{00000000-0005-0000-0000-0000A60E0000}"/>
    <cellStyle name="표준 17 2 2" xfId="3751" xr:uid="{00000000-0005-0000-0000-0000A70E0000}"/>
    <cellStyle name="표준 17 2 2 2" xfId="3752" xr:uid="{00000000-0005-0000-0000-0000A80E0000}"/>
    <cellStyle name="표준 17 2 2 3" xfId="3753" xr:uid="{00000000-0005-0000-0000-0000A90E0000}"/>
    <cellStyle name="표준 17 2 2 3 2" xfId="3754" xr:uid="{00000000-0005-0000-0000-0000AA0E0000}"/>
    <cellStyle name="표준 17 2 3" xfId="3755" xr:uid="{00000000-0005-0000-0000-0000AB0E0000}"/>
    <cellStyle name="표준 17 2 3 2" xfId="3756" xr:uid="{00000000-0005-0000-0000-0000AC0E0000}"/>
    <cellStyle name="표준 17 2 4" xfId="3757" xr:uid="{00000000-0005-0000-0000-0000AD0E0000}"/>
    <cellStyle name="표준 17 2 4 2" xfId="3758" xr:uid="{00000000-0005-0000-0000-0000AE0E0000}"/>
    <cellStyle name="표준 17 2 5" xfId="3759" xr:uid="{00000000-0005-0000-0000-0000AF0E0000}"/>
    <cellStyle name="표준 17 2 5 2" xfId="3760" xr:uid="{00000000-0005-0000-0000-0000B00E0000}"/>
    <cellStyle name="표준 17 2 6" xfId="3761" xr:uid="{00000000-0005-0000-0000-0000B10E0000}"/>
    <cellStyle name="표준 17 2 6 2" xfId="3762" xr:uid="{00000000-0005-0000-0000-0000B20E0000}"/>
    <cellStyle name="표준 17 2 7" xfId="3763" xr:uid="{00000000-0005-0000-0000-0000B30E0000}"/>
    <cellStyle name="표준 17 2 7 2" xfId="3764" xr:uid="{00000000-0005-0000-0000-0000B40E0000}"/>
    <cellStyle name="표준 17 2 8" xfId="3765" xr:uid="{00000000-0005-0000-0000-0000B50E0000}"/>
    <cellStyle name="표준 17 2 8 2" xfId="3766" xr:uid="{00000000-0005-0000-0000-0000B60E0000}"/>
    <cellStyle name="표준 17 2 9" xfId="3767" xr:uid="{00000000-0005-0000-0000-0000B70E0000}"/>
    <cellStyle name="표준 17 2 9 2" xfId="3768" xr:uid="{00000000-0005-0000-0000-0000B80E0000}"/>
    <cellStyle name="표준 17 3" xfId="3769" xr:uid="{00000000-0005-0000-0000-0000B90E0000}"/>
    <cellStyle name="표준 17 3 2" xfId="3770" xr:uid="{00000000-0005-0000-0000-0000BA0E0000}"/>
    <cellStyle name="표준 17 3 2 2" xfId="3771" xr:uid="{00000000-0005-0000-0000-0000BB0E0000}"/>
    <cellStyle name="표준 17 3 3" xfId="3772" xr:uid="{00000000-0005-0000-0000-0000BC0E0000}"/>
    <cellStyle name="표준 17 3 3 2" xfId="3773" xr:uid="{00000000-0005-0000-0000-0000BD0E0000}"/>
    <cellStyle name="표준 17 3 4" xfId="3774" xr:uid="{00000000-0005-0000-0000-0000BE0E0000}"/>
    <cellStyle name="표준 17 3 4 2" xfId="3775" xr:uid="{00000000-0005-0000-0000-0000BF0E0000}"/>
    <cellStyle name="표준 17 3 5" xfId="3776" xr:uid="{00000000-0005-0000-0000-0000C00E0000}"/>
    <cellStyle name="표준 17 3 6" xfId="3777" xr:uid="{00000000-0005-0000-0000-0000C10E0000}"/>
    <cellStyle name="표준 17 3 6 2" xfId="3778" xr:uid="{00000000-0005-0000-0000-0000C20E0000}"/>
    <cellStyle name="표준 17 4" xfId="3779" xr:uid="{00000000-0005-0000-0000-0000C30E0000}"/>
    <cellStyle name="표준 17 4 2" xfId="3780" xr:uid="{00000000-0005-0000-0000-0000C40E0000}"/>
    <cellStyle name="표준 17 4 2 2" xfId="3781" xr:uid="{00000000-0005-0000-0000-0000C50E0000}"/>
    <cellStyle name="표준 17 4 3" xfId="3782" xr:uid="{00000000-0005-0000-0000-0000C60E0000}"/>
    <cellStyle name="표준 17 4 3 2" xfId="3783" xr:uid="{00000000-0005-0000-0000-0000C70E0000}"/>
    <cellStyle name="표준 17 4 4" xfId="3784" xr:uid="{00000000-0005-0000-0000-0000C80E0000}"/>
    <cellStyle name="표준 17 4 5" xfId="3785" xr:uid="{00000000-0005-0000-0000-0000C90E0000}"/>
    <cellStyle name="표준 17 4 5 2" xfId="3786" xr:uid="{00000000-0005-0000-0000-0000CA0E0000}"/>
    <cellStyle name="표준 17 5" xfId="3787" xr:uid="{00000000-0005-0000-0000-0000CB0E0000}"/>
    <cellStyle name="표준 17 5 2" xfId="3788" xr:uid="{00000000-0005-0000-0000-0000CC0E0000}"/>
    <cellStyle name="표준 17 6" xfId="3789" xr:uid="{00000000-0005-0000-0000-0000CD0E0000}"/>
    <cellStyle name="표준 17 6 2" xfId="3790" xr:uid="{00000000-0005-0000-0000-0000CE0E0000}"/>
    <cellStyle name="표준 17 7" xfId="3791" xr:uid="{00000000-0005-0000-0000-0000CF0E0000}"/>
    <cellStyle name="표준 17 7 2" xfId="3792" xr:uid="{00000000-0005-0000-0000-0000D00E0000}"/>
    <cellStyle name="표준 17 8" xfId="3793" xr:uid="{00000000-0005-0000-0000-0000D10E0000}"/>
    <cellStyle name="표준 17 8 2" xfId="3794" xr:uid="{00000000-0005-0000-0000-0000D20E0000}"/>
    <cellStyle name="표준 17 9" xfId="3795" xr:uid="{00000000-0005-0000-0000-0000D30E0000}"/>
    <cellStyle name="표준 17 9 2" xfId="3796" xr:uid="{00000000-0005-0000-0000-0000D40E0000}"/>
    <cellStyle name="표준 18" xfId="3797" xr:uid="{00000000-0005-0000-0000-0000D50E0000}"/>
    <cellStyle name="표준 18 10" xfId="3798" xr:uid="{00000000-0005-0000-0000-0000D60E0000}"/>
    <cellStyle name="표준 18 10 2" xfId="3799" xr:uid="{00000000-0005-0000-0000-0000D70E0000}"/>
    <cellStyle name="표준 18 11" xfId="3800" xr:uid="{00000000-0005-0000-0000-0000D80E0000}"/>
    <cellStyle name="표준 18 11 2" xfId="3801" xr:uid="{00000000-0005-0000-0000-0000D90E0000}"/>
    <cellStyle name="표준 18 12" xfId="3802" xr:uid="{00000000-0005-0000-0000-0000DA0E0000}"/>
    <cellStyle name="표준 18 12 2" xfId="3803" xr:uid="{00000000-0005-0000-0000-0000DB0E0000}"/>
    <cellStyle name="표준 18 13" xfId="3804" xr:uid="{00000000-0005-0000-0000-0000DC0E0000}"/>
    <cellStyle name="표준 18 14" xfId="3805" xr:uid="{00000000-0005-0000-0000-0000DD0E0000}"/>
    <cellStyle name="표준 18 2" xfId="3806" xr:uid="{00000000-0005-0000-0000-0000DE0E0000}"/>
    <cellStyle name="표준 18 2 10" xfId="3807" xr:uid="{00000000-0005-0000-0000-0000DF0E0000}"/>
    <cellStyle name="표준 18 2 10 2" xfId="3808" xr:uid="{00000000-0005-0000-0000-0000E00E0000}"/>
    <cellStyle name="표준 18 2 11" xfId="3809" xr:uid="{00000000-0005-0000-0000-0000E10E0000}"/>
    <cellStyle name="표준 18 2 2" xfId="3810" xr:uid="{00000000-0005-0000-0000-0000E20E0000}"/>
    <cellStyle name="표준 18 2 2 2" xfId="3811" xr:uid="{00000000-0005-0000-0000-0000E30E0000}"/>
    <cellStyle name="표준 18 2 2 3" xfId="3812" xr:uid="{00000000-0005-0000-0000-0000E40E0000}"/>
    <cellStyle name="표준 18 2 2 3 2" xfId="3813" xr:uid="{00000000-0005-0000-0000-0000E50E0000}"/>
    <cellStyle name="표준 18 2 3" xfId="3814" xr:uid="{00000000-0005-0000-0000-0000E60E0000}"/>
    <cellStyle name="표준 18 2 3 2" xfId="3815" xr:uid="{00000000-0005-0000-0000-0000E70E0000}"/>
    <cellStyle name="표준 18 2 4" xfId="3816" xr:uid="{00000000-0005-0000-0000-0000E80E0000}"/>
    <cellStyle name="표준 18 2 4 2" xfId="3817" xr:uid="{00000000-0005-0000-0000-0000E90E0000}"/>
    <cellStyle name="표준 18 2 5" xfId="3818" xr:uid="{00000000-0005-0000-0000-0000EA0E0000}"/>
    <cellStyle name="표준 18 2 5 2" xfId="3819" xr:uid="{00000000-0005-0000-0000-0000EB0E0000}"/>
    <cellStyle name="표준 18 2 6" xfId="3820" xr:uid="{00000000-0005-0000-0000-0000EC0E0000}"/>
    <cellStyle name="표준 18 2 6 2" xfId="3821" xr:uid="{00000000-0005-0000-0000-0000ED0E0000}"/>
    <cellStyle name="표준 18 2 7" xfId="3822" xr:uid="{00000000-0005-0000-0000-0000EE0E0000}"/>
    <cellStyle name="표준 18 2 7 2" xfId="3823" xr:uid="{00000000-0005-0000-0000-0000EF0E0000}"/>
    <cellStyle name="표준 18 2 8" xfId="3824" xr:uid="{00000000-0005-0000-0000-0000F00E0000}"/>
    <cellStyle name="표준 18 2 8 2" xfId="3825" xr:uid="{00000000-0005-0000-0000-0000F10E0000}"/>
    <cellStyle name="표준 18 2 9" xfId="3826" xr:uid="{00000000-0005-0000-0000-0000F20E0000}"/>
    <cellStyle name="표준 18 2 9 2" xfId="3827" xr:uid="{00000000-0005-0000-0000-0000F30E0000}"/>
    <cellStyle name="표준 18 3" xfId="3828" xr:uid="{00000000-0005-0000-0000-0000F40E0000}"/>
    <cellStyle name="표준 18 3 2" xfId="3829" xr:uid="{00000000-0005-0000-0000-0000F50E0000}"/>
    <cellStyle name="표준 18 3 2 2" xfId="3830" xr:uid="{00000000-0005-0000-0000-0000F60E0000}"/>
    <cellStyle name="표준 18 3 3" xfId="3831" xr:uid="{00000000-0005-0000-0000-0000F70E0000}"/>
    <cellStyle name="표준 18 3 3 2" xfId="3832" xr:uid="{00000000-0005-0000-0000-0000F80E0000}"/>
    <cellStyle name="표준 18 3 4" xfId="3833" xr:uid="{00000000-0005-0000-0000-0000F90E0000}"/>
    <cellStyle name="표준 18 3 4 2" xfId="3834" xr:uid="{00000000-0005-0000-0000-0000FA0E0000}"/>
    <cellStyle name="표준 18 3 5" xfId="3835" xr:uid="{00000000-0005-0000-0000-0000FB0E0000}"/>
    <cellStyle name="표준 18 3 6" xfId="3836" xr:uid="{00000000-0005-0000-0000-0000FC0E0000}"/>
    <cellStyle name="표준 18 3 6 2" xfId="3837" xr:uid="{00000000-0005-0000-0000-0000FD0E0000}"/>
    <cellStyle name="표준 18 4" xfId="3838" xr:uid="{00000000-0005-0000-0000-0000FE0E0000}"/>
    <cellStyle name="표준 18 4 2" xfId="3839" xr:uid="{00000000-0005-0000-0000-0000FF0E0000}"/>
    <cellStyle name="표준 18 4 2 2" xfId="3840" xr:uid="{00000000-0005-0000-0000-0000000F0000}"/>
    <cellStyle name="표준 18 4 3" xfId="3841" xr:uid="{00000000-0005-0000-0000-0000010F0000}"/>
    <cellStyle name="표준 18 4 3 2" xfId="3842" xr:uid="{00000000-0005-0000-0000-0000020F0000}"/>
    <cellStyle name="표준 18 4 4" xfId="3843" xr:uid="{00000000-0005-0000-0000-0000030F0000}"/>
    <cellStyle name="표준 18 4 5" xfId="3844" xr:uid="{00000000-0005-0000-0000-0000040F0000}"/>
    <cellStyle name="표준 18 4 5 2" xfId="3845" xr:uid="{00000000-0005-0000-0000-0000050F0000}"/>
    <cellStyle name="표준 18 5" xfId="3846" xr:uid="{00000000-0005-0000-0000-0000060F0000}"/>
    <cellStyle name="표준 18 5 2" xfId="3847" xr:uid="{00000000-0005-0000-0000-0000070F0000}"/>
    <cellStyle name="표준 18 6" xfId="3848" xr:uid="{00000000-0005-0000-0000-0000080F0000}"/>
    <cellStyle name="표준 18 6 2" xfId="3849" xr:uid="{00000000-0005-0000-0000-0000090F0000}"/>
    <cellStyle name="표준 18 7" xfId="3850" xr:uid="{00000000-0005-0000-0000-00000A0F0000}"/>
    <cellStyle name="표준 18 7 2" xfId="3851" xr:uid="{00000000-0005-0000-0000-00000B0F0000}"/>
    <cellStyle name="표준 18 8" xfId="3852" xr:uid="{00000000-0005-0000-0000-00000C0F0000}"/>
    <cellStyle name="표준 18 8 2" xfId="3853" xr:uid="{00000000-0005-0000-0000-00000D0F0000}"/>
    <cellStyle name="표준 18 9" xfId="3854" xr:uid="{00000000-0005-0000-0000-00000E0F0000}"/>
    <cellStyle name="표준 18 9 2" xfId="3855" xr:uid="{00000000-0005-0000-0000-00000F0F0000}"/>
    <cellStyle name="표준 19" xfId="3856" xr:uid="{00000000-0005-0000-0000-0000100F0000}"/>
    <cellStyle name="표준 19 10" xfId="3857" xr:uid="{00000000-0005-0000-0000-0000110F0000}"/>
    <cellStyle name="표준 19 11" xfId="3858" xr:uid="{00000000-0005-0000-0000-0000120F0000}"/>
    <cellStyle name="표준 19 2" xfId="3859" xr:uid="{00000000-0005-0000-0000-0000130F0000}"/>
    <cellStyle name="표준 19 2 2" xfId="3860" xr:uid="{00000000-0005-0000-0000-0000140F0000}"/>
    <cellStyle name="표준 19 2 3" xfId="3861" xr:uid="{00000000-0005-0000-0000-0000150F0000}"/>
    <cellStyle name="표준 19 2 3 2" xfId="3862" xr:uid="{00000000-0005-0000-0000-0000160F0000}"/>
    <cellStyle name="표준 19 2 4" xfId="3863" xr:uid="{00000000-0005-0000-0000-0000170F0000}"/>
    <cellStyle name="표준 19 2 4 2" xfId="3864" xr:uid="{00000000-0005-0000-0000-0000180F0000}"/>
    <cellStyle name="표준 19 2 5" xfId="3865" xr:uid="{00000000-0005-0000-0000-0000190F0000}"/>
    <cellStyle name="표준 19 2 5 2" xfId="3866" xr:uid="{00000000-0005-0000-0000-00001A0F0000}"/>
    <cellStyle name="표준 19 2 6" xfId="3867" xr:uid="{00000000-0005-0000-0000-00001B0F0000}"/>
    <cellStyle name="표준 19 2 6 2" xfId="3868" xr:uid="{00000000-0005-0000-0000-00001C0F0000}"/>
    <cellStyle name="표준 19 2 7" xfId="3869" xr:uid="{00000000-0005-0000-0000-00001D0F0000}"/>
    <cellStyle name="표준 19 2 7 2" xfId="3870" xr:uid="{00000000-0005-0000-0000-00001E0F0000}"/>
    <cellStyle name="표준 19 2 8" xfId="3871" xr:uid="{00000000-0005-0000-0000-00001F0F0000}"/>
    <cellStyle name="표준 19 3" xfId="3872" xr:uid="{00000000-0005-0000-0000-0000200F0000}"/>
    <cellStyle name="표준 19 4" xfId="3873" xr:uid="{00000000-0005-0000-0000-0000210F0000}"/>
    <cellStyle name="표준 19 5" xfId="3874" xr:uid="{00000000-0005-0000-0000-0000220F0000}"/>
    <cellStyle name="표준 19 5 2" xfId="3875" xr:uid="{00000000-0005-0000-0000-0000230F0000}"/>
    <cellStyle name="표준 19 6" xfId="3876" xr:uid="{00000000-0005-0000-0000-0000240F0000}"/>
    <cellStyle name="표준 19 6 2" xfId="3877" xr:uid="{00000000-0005-0000-0000-0000250F0000}"/>
    <cellStyle name="표준 19 7" xfId="3878" xr:uid="{00000000-0005-0000-0000-0000260F0000}"/>
    <cellStyle name="표준 19 7 2" xfId="3879" xr:uid="{00000000-0005-0000-0000-0000270F0000}"/>
    <cellStyle name="표준 19 8" xfId="3880" xr:uid="{00000000-0005-0000-0000-0000280F0000}"/>
    <cellStyle name="표준 19 8 2" xfId="3881" xr:uid="{00000000-0005-0000-0000-0000290F0000}"/>
    <cellStyle name="표준 19 9" xfId="3882" xr:uid="{00000000-0005-0000-0000-00002A0F0000}"/>
    <cellStyle name="표준 19 9 2" xfId="3883" xr:uid="{00000000-0005-0000-0000-00002B0F0000}"/>
    <cellStyle name="표준 2" xfId="3884" xr:uid="{00000000-0005-0000-0000-00002C0F0000}"/>
    <cellStyle name="표준 2 2" xfId="3885" xr:uid="{00000000-0005-0000-0000-00002D0F0000}"/>
    <cellStyle name="표준 2 2 2" xfId="3886" xr:uid="{00000000-0005-0000-0000-00002E0F0000}"/>
    <cellStyle name="표준 2 2 2 2" xfId="3887" xr:uid="{00000000-0005-0000-0000-00002F0F0000}"/>
    <cellStyle name="표준 2 2 3" xfId="3888" xr:uid="{00000000-0005-0000-0000-0000300F0000}"/>
    <cellStyle name="표준 2 2 4" xfId="3889" xr:uid="{00000000-0005-0000-0000-0000310F0000}"/>
    <cellStyle name="표준 2 2 5" xfId="3890" xr:uid="{00000000-0005-0000-0000-0000320F0000}"/>
    <cellStyle name="표준 2 2 6" xfId="3891" xr:uid="{00000000-0005-0000-0000-0000330F0000}"/>
    <cellStyle name="표준 2 2 7" xfId="3892" xr:uid="{00000000-0005-0000-0000-0000340F0000}"/>
    <cellStyle name="표준 2 2 8" xfId="3893" xr:uid="{00000000-0005-0000-0000-0000350F0000}"/>
    <cellStyle name="표준 2 3" xfId="3894" xr:uid="{00000000-0005-0000-0000-0000360F0000}"/>
    <cellStyle name="표준 2 4" xfId="3895" xr:uid="{00000000-0005-0000-0000-0000370F0000}"/>
    <cellStyle name="표준 2 4 2" xfId="3896" xr:uid="{00000000-0005-0000-0000-0000380F0000}"/>
    <cellStyle name="표준 2 4 3" xfId="3897" xr:uid="{00000000-0005-0000-0000-0000390F0000}"/>
    <cellStyle name="표준 2 4 4" xfId="3898" xr:uid="{00000000-0005-0000-0000-00003A0F0000}"/>
    <cellStyle name="표준 2 5" xfId="3899" xr:uid="{00000000-0005-0000-0000-00003B0F0000}"/>
    <cellStyle name="표준 2 6" xfId="3900" xr:uid="{00000000-0005-0000-0000-00003C0F0000}"/>
    <cellStyle name="표준 2 7" xfId="3901" xr:uid="{00000000-0005-0000-0000-00003D0F0000}"/>
    <cellStyle name="표준 2 8" xfId="3902" xr:uid="{00000000-0005-0000-0000-00003E0F0000}"/>
    <cellStyle name="표준 2 9" xfId="3903" xr:uid="{00000000-0005-0000-0000-00003F0F0000}"/>
    <cellStyle name="표준 20" xfId="3904" xr:uid="{00000000-0005-0000-0000-0000400F0000}"/>
    <cellStyle name="표준 20 2" xfId="3905" xr:uid="{00000000-0005-0000-0000-0000410F0000}"/>
    <cellStyle name="표준 20 3" xfId="3906" xr:uid="{00000000-0005-0000-0000-0000420F0000}"/>
    <cellStyle name="표준 20 4" xfId="3907" xr:uid="{00000000-0005-0000-0000-0000430F0000}"/>
    <cellStyle name="표준 21" xfId="3908" xr:uid="{00000000-0005-0000-0000-0000440F0000}"/>
    <cellStyle name="표준 21 10" xfId="3909" xr:uid="{00000000-0005-0000-0000-0000450F0000}"/>
    <cellStyle name="표준 21 11" xfId="3910" xr:uid="{00000000-0005-0000-0000-0000460F0000}"/>
    <cellStyle name="표준 21 2" xfId="3911" xr:uid="{00000000-0005-0000-0000-0000470F0000}"/>
    <cellStyle name="표준 21 2 2" xfId="3912" xr:uid="{00000000-0005-0000-0000-0000480F0000}"/>
    <cellStyle name="표준 21 2 3" xfId="3913" xr:uid="{00000000-0005-0000-0000-0000490F0000}"/>
    <cellStyle name="표준 21 2 3 2" xfId="3914" xr:uid="{00000000-0005-0000-0000-00004A0F0000}"/>
    <cellStyle name="표준 21 2 4" xfId="3915" xr:uid="{00000000-0005-0000-0000-00004B0F0000}"/>
    <cellStyle name="표준 21 2 4 2" xfId="3916" xr:uid="{00000000-0005-0000-0000-00004C0F0000}"/>
    <cellStyle name="표준 21 2 5" xfId="3917" xr:uid="{00000000-0005-0000-0000-00004D0F0000}"/>
    <cellStyle name="표준 21 2 5 2" xfId="3918" xr:uid="{00000000-0005-0000-0000-00004E0F0000}"/>
    <cellStyle name="표준 21 2 6" xfId="3919" xr:uid="{00000000-0005-0000-0000-00004F0F0000}"/>
    <cellStyle name="표준 21 2 6 2" xfId="3920" xr:uid="{00000000-0005-0000-0000-0000500F0000}"/>
    <cellStyle name="표준 21 2 7" xfId="3921" xr:uid="{00000000-0005-0000-0000-0000510F0000}"/>
    <cellStyle name="표준 21 2 7 2" xfId="3922" xr:uid="{00000000-0005-0000-0000-0000520F0000}"/>
    <cellStyle name="표준 21 2 8" xfId="3923" xr:uid="{00000000-0005-0000-0000-0000530F0000}"/>
    <cellStyle name="표준 21 3" xfId="3924" xr:uid="{00000000-0005-0000-0000-0000540F0000}"/>
    <cellStyle name="표준 21 4" xfId="3925" xr:uid="{00000000-0005-0000-0000-0000550F0000}"/>
    <cellStyle name="표준 21 5" xfId="3926" xr:uid="{00000000-0005-0000-0000-0000560F0000}"/>
    <cellStyle name="표준 21 5 2" xfId="3927" xr:uid="{00000000-0005-0000-0000-0000570F0000}"/>
    <cellStyle name="표준 21 6" xfId="3928" xr:uid="{00000000-0005-0000-0000-0000580F0000}"/>
    <cellStyle name="표준 21 6 2" xfId="3929" xr:uid="{00000000-0005-0000-0000-0000590F0000}"/>
    <cellStyle name="표준 21 7" xfId="3930" xr:uid="{00000000-0005-0000-0000-00005A0F0000}"/>
    <cellStyle name="표준 21 7 2" xfId="3931" xr:uid="{00000000-0005-0000-0000-00005B0F0000}"/>
    <cellStyle name="표준 21 8" xfId="3932" xr:uid="{00000000-0005-0000-0000-00005C0F0000}"/>
    <cellStyle name="표준 21 8 2" xfId="3933" xr:uid="{00000000-0005-0000-0000-00005D0F0000}"/>
    <cellStyle name="표준 21 9" xfId="3934" xr:uid="{00000000-0005-0000-0000-00005E0F0000}"/>
    <cellStyle name="표준 21 9 2" xfId="3935" xr:uid="{00000000-0005-0000-0000-00005F0F0000}"/>
    <cellStyle name="표준 22" xfId="3936" xr:uid="{00000000-0005-0000-0000-0000600F0000}"/>
    <cellStyle name="표준 22 10" xfId="3937" xr:uid="{00000000-0005-0000-0000-0000610F0000}"/>
    <cellStyle name="표준 22 11" xfId="3938" xr:uid="{00000000-0005-0000-0000-0000620F0000}"/>
    <cellStyle name="표준 22 2" xfId="3939" xr:uid="{00000000-0005-0000-0000-0000630F0000}"/>
    <cellStyle name="표준 22 2 2" xfId="3940" xr:uid="{00000000-0005-0000-0000-0000640F0000}"/>
    <cellStyle name="표준 22 2 3" xfId="3941" xr:uid="{00000000-0005-0000-0000-0000650F0000}"/>
    <cellStyle name="표준 22 2 3 2" xfId="3942" xr:uid="{00000000-0005-0000-0000-0000660F0000}"/>
    <cellStyle name="표준 22 2 4" xfId="3943" xr:uid="{00000000-0005-0000-0000-0000670F0000}"/>
    <cellStyle name="표준 22 2 4 2" xfId="3944" xr:uid="{00000000-0005-0000-0000-0000680F0000}"/>
    <cellStyle name="표준 22 2 5" xfId="3945" xr:uid="{00000000-0005-0000-0000-0000690F0000}"/>
    <cellStyle name="표준 22 2 5 2" xfId="3946" xr:uid="{00000000-0005-0000-0000-00006A0F0000}"/>
    <cellStyle name="표준 22 2 6" xfId="3947" xr:uid="{00000000-0005-0000-0000-00006B0F0000}"/>
    <cellStyle name="표준 22 2 6 2" xfId="3948" xr:uid="{00000000-0005-0000-0000-00006C0F0000}"/>
    <cellStyle name="표준 22 2 7" xfId="3949" xr:uid="{00000000-0005-0000-0000-00006D0F0000}"/>
    <cellStyle name="표준 22 2 7 2" xfId="3950" xr:uid="{00000000-0005-0000-0000-00006E0F0000}"/>
    <cellStyle name="표준 22 2 8" xfId="3951" xr:uid="{00000000-0005-0000-0000-00006F0F0000}"/>
    <cellStyle name="표준 22 3" xfId="3952" xr:uid="{00000000-0005-0000-0000-0000700F0000}"/>
    <cellStyle name="표준 22 4" xfId="3953" xr:uid="{00000000-0005-0000-0000-0000710F0000}"/>
    <cellStyle name="표준 22 5" xfId="3954" xr:uid="{00000000-0005-0000-0000-0000720F0000}"/>
    <cellStyle name="표준 22 5 2" xfId="3955" xr:uid="{00000000-0005-0000-0000-0000730F0000}"/>
    <cellStyle name="표준 22 6" xfId="3956" xr:uid="{00000000-0005-0000-0000-0000740F0000}"/>
    <cellStyle name="표준 22 6 2" xfId="3957" xr:uid="{00000000-0005-0000-0000-0000750F0000}"/>
    <cellStyle name="표준 22 7" xfId="3958" xr:uid="{00000000-0005-0000-0000-0000760F0000}"/>
    <cellStyle name="표준 22 7 2" xfId="3959" xr:uid="{00000000-0005-0000-0000-0000770F0000}"/>
    <cellStyle name="표준 22 8" xfId="3960" xr:uid="{00000000-0005-0000-0000-0000780F0000}"/>
    <cellStyle name="표준 22 8 2" xfId="3961" xr:uid="{00000000-0005-0000-0000-0000790F0000}"/>
    <cellStyle name="표준 22 9" xfId="3962" xr:uid="{00000000-0005-0000-0000-00007A0F0000}"/>
    <cellStyle name="표준 22 9 2" xfId="3963" xr:uid="{00000000-0005-0000-0000-00007B0F0000}"/>
    <cellStyle name="표준 23" xfId="3964" xr:uid="{00000000-0005-0000-0000-00007C0F0000}"/>
    <cellStyle name="표준 23 10" xfId="3965" xr:uid="{00000000-0005-0000-0000-00007D0F0000}"/>
    <cellStyle name="표준 23 11" xfId="3966" xr:uid="{00000000-0005-0000-0000-00007E0F0000}"/>
    <cellStyle name="표준 23 2" xfId="3967" xr:uid="{00000000-0005-0000-0000-00007F0F0000}"/>
    <cellStyle name="표준 23 2 2" xfId="3968" xr:uid="{00000000-0005-0000-0000-0000800F0000}"/>
    <cellStyle name="표준 23 2 3" xfId="3969" xr:uid="{00000000-0005-0000-0000-0000810F0000}"/>
    <cellStyle name="표준 23 2 3 2" xfId="3970" xr:uid="{00000000-0005-0000-0000-0000820F0000}"/>
    <cellStyle name="표준 23 2 4" xfId="3971" xr:uid="{00000000-0005-0000-0000-0000830F0000}"/>
    <cellStyle name="표준 23 2 4 2" xfId="3972" xr:uid="{00000000-0005-0000-0000-0000840F0000}"/>
    <cellStyle name="표준 23 2 5" xfId="3973" xr:uid="{00000000-0005-0000-0000-0000850F0000}"/>
    <cellStyle name="표준 23 2 5 2" xfId="3974" xr:uid="{00000000-0005-0000-0000-0000860F0000}"/>
    <cellStyle name="표준 23 2 6" xfId="3975" xr:uid="{00000000-0005-0000-0000-0000870F0000}"/>
    <cellStyle name="표준 23 2 6 2" xfId="3976" xr:uid="{00000000-0005-0000-0000-0000880F0000}"/>
    <cellStyle name="표준 23 2 7" xfId="3977" xr:uid="{00000000-0005-0000-0000-0000890F0000}"/>
    <cellStyle name="표준 23 2 7 2" xfId="3978" xr:uid="{00000000-0005-0000-0000-00008A0F0000}"/>
    <cellStyle name="표준 23 2 8" xfId="3979" xr:uid="{00000000-0005-0000-0000-00008B0F0000}"/>
    <cellStyle name="표준 23 3" xfId="3980" xr:uid="{00000000-0005-0000-0000-00008C0F0000}"/>
    <cellStyle name="표준 23 4" xfId="3981" xr:uid="{00000000-0005-0000-0000-00008D0F0000}"/>
    <cellStyle name="표준 23 5" xfId="3982" xr:uid="{00000000-0005-0000-0000-00008E0F0000}"/>
    <cellStyle name="표준 23 5 2" xfId="3983" xr:uid="{00000000-0005-0000-0000-00008F0F0000}"/>
    <cellStyle name="표준 23 6" xfId="3984" xr:uid="{00000000-0005-0000-0000-0000900F0000}"/>
    <cellStyle name="표준 23 6 2" xfId="3985" xr:uid="{00000000-0005-0000-0000-0000910F0000}"/>
    <cellStyle name="표준 23 7" xfId="3986" xr:uid="{00000000-0005-0000-0000-0000920F0000}"/>
    <cellStyle name="표준 23 7 2" xfId="3987" xr:uid="{00000000-0005-0000-0000-0000930F0000}"/>
    <cellStyle name="표준 23 8" xfId="3988" xr:uid="{00000000-0005-0000-0000-0000940F0000}"/>
    <cellStyle name="표준 23 8 2" xfId="3989" xr:uid="{00000000-0005-0000-0000-0000950F0000}"/>
    <cellStyle name="표준 23 9" xfId="3990" xr:uid="{00000000-0005-0000-0000-0000960F0000}"/>
    <cellStyle name="표준 23 9 2" xfId="3991" xr:uid="{00000000-0005-0000-0000-0000970F0000}"/>
    <cellStyle name="표준 24" xfId="3992" xr:uid="{00000000-0005-0000-0000-0000980F0000}"/>
    <cellStyle name="표준 24 10" xfId="3993" xr:uid="{00000000-0005-0000-0000-0000990F0000}"/>
    <cellStyle name="표준 24 11" xfId="3994" xr:uid="{00000000-0005-0000-0000-00009A0F0000}"/>
    <cellStyle name="표준 24 2" xfId="3995" xr:uid="{00000000-0005-0000-0000-00009B0F0000}"/>
    <cellStyle name="표준 24 2 2" xfId="3996" xr:uid="{00000000-0005-0000-0000-00009C0F0000}"/>
    <cellStyle name="표준 24 2 3" xfId="3997" xr:uid="{00000000-0005-0000-0000-00009D0F0000}"/>
    <cellStyle name="표준 24 2 3 2" xfId="3998" xr:uid="{00000000-0005-0000-0000-00009E0F0000}"/>
    <cellStyle name="표준 24 2 4" xfId="3999" xr:uid="{00000000-0005-0000-0000-00009F0F0000}"/>
    <cellStyle name="표준 24 2 4 2" xfId="4000" xr:uid="{00000000-0005-0000-0000-0000A00F0000}"/>
    <cellStyle name="표준 24 2 5" xfId="4001" xr:uid="{00000000-0005-0000-0000-0000A10F0000}"/>
    <cellStyle name="표준 24 2 5 2" xfId="4002" xr:uid="{00000000-0005-0000-0000-0000A20F0000}"/>
    <cellStyle name="표준 24 2 6" xfId="4003" xr:uid="{00000000-0005-0000-0000-0000A30F0000}"/>
    <cellStyle name="표준 24 2 6 2" xfId="4004" xr:uid="{00000000-0005-0000-0000-0000A40F0000}"/>
    <cellStyle name="표준 24 2 7" xfId="4005" xr:uid="{00000000-0005-0000-0000-0000A50F0000}"/>
    <cellStyle name="표준 24 2 7 2" xfId="4006" xr:uid="{00000000-0005-0000-0000-0000A60F0000}"/>
    <cellStyle name="표준 24 2 8" xfId="4007" xr:uid="{00000000-0005-0000-0000-0000A70F0000}"/>
    <cellStyle name="표준 24 3" xfId="4008" xr:uid="{00000000-0005-0000-0000-0000A80F0000}"/>
    <cellStyle name="표준 24 4" xfId="4009" xr:uid="{00000000-0005-0000-0000-0000A90F0000}"/>
    <cellStyle name="표준 24 5" xfId="4010" xr:uid="{00000000-0005-0000-0000-0000AA0F0000}"/>
    <cellStyle name="표준 24 5 2" xfId="4011" xr:uid="{00000000-0005-0000-0000-0000AB0F0000}"/>
    <cellStyle name="표준 24 6" xfId="4012" xr:uid="{00000000-0005-0000-0000-0000AC0F0000}"/>
    <cellStyle name="표준 24 6 2" xfId="4013" xr:uid="{00000000-0005-0000-0000-0000AD0F0000}"/>
    <cellStyle name="표준 24 7" xfId="4014" xr:uid="{00000000-0005-0000-0000-0000AE0F0000}"/>
    <cellStyle name="표준 24 7 2" xfId="4015" xr:uid="{00000000-0005-0000-0000-0000AF0F0000}"/>
    <cellStyle name="표준 24 8" xfId="4016" xr:uid="{00000000-0005-0000-0000-0000B00F0000}"/>
    <cellStyle name="표준 24 8 2" xfId="4017" xr:uid="{00000000-0005-0000-0000-0000B10F0000}"/>
    <cellStyle name="표준 24 9" xfId="4018" xr:uid="{00000000-0005-0000-0000-0000B20F0000}"/>
    <cellStyle name="표준 24 9 2" xfId="4019" xr:uid="{00000000-0005-0000-0000-0000B30F0000}"/>
    <cellStyle name="표준 25" xfId="4020" xr:uid="{00000000-0005-0000-0000-0000B40F0000}"/>
    <cellStyle name="표준 25 2" xfId="4021" xr:uid="{00000000-0005-0000-0000-0000B50F0000}"/>
    <cellStyle name="표준 26" xfId="4022" xr:uid="{00000000-0005-0000-0000-0000B60F0000}"/>
    <cellStyle name="표준 26 2" xfId="4023" xr:uid="{00000000-0005-0000-0000-0000B70F0000}"/>
    <cellStyle name="표준 26 3" xfId="4024" xr:uid="{00000000-0005-0000-0000-0000B80F0000}"/>
    <cellStyle name="표준 26 3 2" xfId="4025" xr:uid="{00000000-0005-0000-0000-0000B90F0000}"/>
    <cellStyle name="표준 26 4" xfId="4026" xr:uid="{00000000-0005-0000-0000-0000BA0F0000}"/>
    <cellStyle name="표준 26 4 2" xfId="4027" xr:uid="{00000000-0005-0000-0000-0000BB0F0000}"/>
    <cellStyle name="표준 26 5" xfId="4028" xr:uid="{00000000-0005-0000-0000-0000BC0F0000}"/>
    <cellStyle name="표준 26 5 2" xfId="4029" xr:uid="{00000000-0005-0000-0000-0000BD0F0000}"/>
    <cellStyle name="표준 26 6" xfId="4030" xr:uid="{00000000-0005-0000-0000-0000BE0F0000}"/>
    <cellStyle name="표준 26 6 2" xfId="4031" xr:uid="{00000000-0005-0000-0000-0000BF0F0000}"/>
    <cellStyle name="표준 26 7" xfId="4032" xr:uid="{00000000-0005-0000-0000-0000C00F0000}"/>
    <cellStyle name="표준 26 7 2" xfId="4033" xr:uid="{00000000-0005-0000-0000-0000C10F0000}"/>
    <cellStyle name="표준 26 8" xfId="4034" xr:uid="{00000000-0005-0000-0000-0000C20F0000}"/>
    <cellStyle name="표준 26 9" xfId="4035" xr:uid="{00000000-0005-0000-0000-0000C30F0000}"/>
    <cellStyle name="표준 27" xfId="4036" xr:uid="{00000000-0005-0000-0000-0000C40F0000}"/>
    <cellStyle name="표준 27 2" xfId="4037" xr:uid="{00000000-0005-0000-0000-0000C50F0000}"/>
    <cellStyle name="표준 28" xfId="4038" xr:uid="{00000000-0005-0000-0000-0000C60F0000}"/>
    <cellStyle name="표준 28 2" xfId="4039" xr:uid="{00000000-0005-0000-0000-0000C70F0000}"/>
    <cellStyle name="표준 29" xfId="4040" xr:uid="{00000000-0005-0000-0000-0000C80F0000}"/>
    <cellStyle name="표준 29 2" xfId="4041" xr:uid="{00000000-0005-0000-0000-0000C90F0000}"/>
    <cellStyle name="표준 3" xfId="4042" xr:uid="{00000000-0005-0000-0000-0000CA0F0000}"/>
    <cellStyle name="표준 3 2" xfId="4043" xr:uid="{00000000-0005-0000-0000-0000CB0F0000}"/>
    <cellStyle name="표준 3 2 10" xfId="4044" xr:uid="{00000000-0005-0000-0000-0000CC0F0000}"/>
    <cellStyle name="표준 3 2 10 2" xfId="4045" xr:uid="{00000000-0005-0000-0000-0000CD0F0000}"/>
    <cellStyle name="표준 3 2 11" xfId="4046" xr:uid="{00000000-0005-0000-0000-0000CE0F0000}"/>
    <cellStyle name="표준 3 2 11 2" xfId="4047" xr:uid="{00000000-0005-0000-0000-0000CF0F0000}"/>
    <cellStyle name="표준 3 2 12" xfId="4048" xr:uid="{00000000-0005-0000-0000-0000D00F0000}"/>
    <cellStyle name="표준 3 2 13" xfId="4049" xr:uid="{00000000-0005-0000-0000-0000D10F0000}"/>
    <cellStyle name="표준 3 2 2" xfId="4050" xr:uid="{00000000-0005-0000-0000-0000D20F0000}"/>
    <cellStyle name="표준 3 2 2 2" xfId="4051" xr:uid="{00000000-0005-0000-0000-0000D30F0000}"/>
    <cellStyle name="표준 3 2 2 2 2" xfId="4052" xr:uid="{00000000-0005-0000-0000-0000D40F0000}"/>
    <cellStyle name="표준 3 2 2 2 3" xfId="4053" xr:uid="{00000000-0005-0000-0000-0000D50F0000}"/>
    <cellStyle name="표준 3 2 2 2 3 2" xfId="4054" xr:uid="{00000000-0005-0000-0000-0000D60F0000}"/>
    <cellStyle name="표준 3 2 2 2 4" xfId="4055" xr:uid="{00000000-0005-0000-0000-0000D70F0000}"/>
    <cellStyle name="표준 3 2 2 2 4 2" xfId="4056" xr:uid="{00000000-0005-0000-0000-0000D80F0000}"/>
    <cellStyle name="표준 3 2 2 2 5" xfId="4057" xr:uid="{00000000-0005-0000-0000-0000D90F0000}"/>
    <cellStyle name="표준 3 2 2 2 5 2" xfId="4058" xr:uid="{00000000-0005-0000-0000-0000DA0F0000}"/>
    <cellStyle name="표준 3 2 2 2 6" xfId="4059" xr:uid="{00000000-0005-0000-0000-0000DB0F0000}"/>
    <cellStyle name="표준 3 2 2 2 6 2" xfId="4060" xr:uid="{00000000-0005-0000-0000-0000DC0F0000}"/>
    <cellStyle name="표준 3 2 2 2 7" xfId="4061" xr:uid="{00000000-0005-0000-0000-0000DD0F0000}"/>
    <cellStyle name="표준 3 2 2 2 7 2" xfId="4062" xr:uid="{00000000-0005-0000-0000-0000DE0F0000}"/>
    <cellStyle name="표준 3 2 2 2 8" xfId="4063" xr:uid="{00000000-0005-0000-0000-0000DF0F0000}"/>
    <cellStyle name="표준 3 2 2 3" xfId="4064" xr:uid="{00000000-0005-0000-0000-0000E00F0000}"/>
    <cellStyle name="표준 3 2 2 4" xfId="4065" xr:uid="{00000000-0005-0000-0000-0000E10F0000}"/>
    <cellStyle name="표준 3 2 2 4 2" xfId="4066" xr:uid="{00000000-0005-0000-0000-0000E20F0000}"/>
    <cellStyle name="표준 3 2 2 5" xfId="4067" xr:uid="{00000000-0005-0000-0000-0000E30F0000}"/>
    <cellStyle name="표준 3 2 2 5 2" xfId="4068" xr:uid="{00000000-0005-0000-0000-0000E40F0000}"/>
    <cellStyle name="표준 3 2 2 6" xfId="4069" xr:uid="{00000000-0005-0000-0000-0000E50F0000}"/>
    <cellStyle name="표준 3 2 2 6 2" xfId="4070" xr:uid="{00000000-0005-0000-0000-0000E60F0000}"/>
    <cellStyle name="표준 3 2 2 7" xfId="4071" xr:uid="{00000000-0005-0000-0000-0000E70F0000}"/>
    <cellStyle name="표준 3 2 2 7 2" xfId="4072" xr:uid="{00000000-0005-0000-0000-0000E80F0000}"/>
    <cellStyle name="표준 3 2 2 8" xfId="4073" xr:uid="{00000000-0005-0000-0000-0000E90F0000}"/>
    <cellStyle name="표준 3 2 2 8 2" xfId="4074" xr:uid="{00000000-0005-0000-0000-0000EA0F0000}"/>
    <cellStyle name="표준 3 2 2 9" xfId="4075" xr:uid="{00000000-0005-0000-0000-0000EB0F0000}"/>
    <cellStyle name="표준 3 2 3" xfId="4076" xr:uid="{00000000-0005-0000-0000-0000EC0F0000}"/>
    <cellStyle name="표준 3 2 3 2" xfId="4077" xr:uid="{00000000-0005-0000-0000-0000ED0F0000}"/>
    <cellStyle name="표준 3 2 3 2 2" xfId="4078" xr:uid="{00000000-0005-0000-0000-0000EE0F0000}"/>
    <cellStyle name="표준 3 2 3 2 3" xfId="4079" xr:uid="{00000000-0005-0000-0000-0000EF0F0000}"/>
    <cellStyle name="표준 3 2 3 2 3 2" xfId="4080" xr:uid="{00000000-0005-0000-0000-0000F00F0000}"/>
    <cellStyle name="표준 3 2 3 2 4" xfId="4081" xr:uid="{00000000-0005-0000-0000-0000F10F0000}"/>
    <cellStyle name="표준 3 2 3 2 4 2" xfId="4082" xr:uid="{00000000-0005-0000-0000-0000F20F0000}"/>
    <cellStyle name="표준 3 2 3 2 5" xfId="4083" xr:uid="{00000000-0005-0000-0000-0000F30F0000}"/>
    <cellStyle name="표준 3 2 3 2 5 2" xfId="4084" xr:uid="{00000000-0005-0000-0000-0000F40F0000}"/>
    <cellStyle name="표준 3 2 3 2 6" xfId="4085" xr:uid="{00000000-0005-0000-0000-0000F50F0000}"/>
    <cellStyle name="표준 3 2 3 2 6 2" xfId="4086" xr:uid="{00000000-0005-0000-0000-0000F60F0000}"/>
    <cellStyle name="표준 3 2 3 2 7" xfId="4087" xr:uid="{00000000-0005-0000-0000-0000F70F0000}"/>
    <cellStyle name="표준 3 2 3 2 7 2" xfId="4088" xr:uid="{00000000-0005-0000-0000-0000F80F0000}"/>
    <cellStyle name="표준 3 2 3 2 8" xfId="4089" xr:uid="{00000000-0005-0000-0000-0000F90F0000}"/>
    <cellStyle name="표준 3 2 3 3" xfId="4090" xr:uid="{00000000-0005-0000-0000-0000FA0F0000}"/>
    <cellStyle name="표준 3 2 3 4" xfId="4091" xr:uid="{00000000-0005-0000-0000-0000FB0F0000}"/>
    <cellStyle name="표준 3 2 3 4 2" xfId="4092" xr:uid="{00000000-0005-0000-0000-0000FC0F0000}"/>
    <cellStyle name="표준 3 2 3 5" xfId="4093" xr:uid="{00000000-0005-0000-0000-0000FD0F0000}"/>
    <cellStyle name="표준 3 2 3 5 2" xfId="4094" xr:uid="{00000000-0005-0000-0000-0000FE0F0000}"/>
    <cellStyle name="표준 3 2 3 6" xfId="4095" xr:uid="{00000000-0005-0000-0000-0000FF0F0000}"/>
    <cellStyle name="표준 3 2 3 6 2" xfId="4096" xr:uid="{00000000-0005-0000-0000-000000100000}"/>
    <cellStyle name="표준 3 2 3 7" xfId="4097" xr:uid="{00000000-0005-0000-0000-000001100000}"/>
    <cellStyle name="표준 3 2 3 7 2" xfId="4098" xr:uid="{00000000-0005-0000-0000-000002100000}"/>
    <cellStyle name="표준 3 2 3 8" xfId="4099" xr:uid="{00000000-0005-0000-0000-000003100000}"/>
    <cellStyle name="표준 3 2 3 8 2" xfId="4100" xr:uid="{00000000-0005-0000-0000-000004100000}"/>
    <cellStyle name="표준 3 2 3 9" xfId="4101" xr:uid="{00000000-0005-0000-0000-000005100000}"/>
    <cellStyle name="표준 3 2 4" xfId="4102" xr:uid="{00000000-0005-0000-0000-000006100000}"/>
    <cellStyle name="표준 3 2 4 2" xfId="4103" xr:uid="{00000000-0005-0000-0000-000007100000}"/>
    <cellStyle name="표준 3 2 4 2 2" xfId="4104" xr:uid="{00000000-0005-0000-0000-000008100000}"/>
    <cellStyle name="표준 3 2 4 2 2 2" xfId="4105" xr:uid="{00000000-0005-0000-0000-000009100000}"/>
    <cellStyle name="표준 3 2 4 2 3" xfId="4106" xr:uid="{00000000-0005-0000-0000-00000A100000}"/>
    <cellStyle name="표준 3 2 4 2 3 2" xfId="4107" xr:uid="{00000000-0005-0000-0000-00000B100000}"/>
    <cellStyle name="표준 3 2 4 2 4" xfId="4108" xr:uid="{00000000-0005-0000-0000-00000C100000}"/>
    <cellStyle name="표준 3 2 4 2 4 2" xfId="4109" xr:uid="{00000000-0005-0000-0000-00000D100000}"/>
    <cellStyle name="표준 3 2 4 2 5" xfId="4110" xr:uid="{00000000-0005-0000-0000-00000E100000}"/>
    <cellStyle name="표준 3 2 4 2 5 2" xfId="4111" xr:uid="{00000000-0005-0000-0000-00000F100000}"/>
    <cellStyle name="표준 3 2 4 2 6" xfId="4112" xr:uid="{00000000-0005-0000-0000-000010100000}"/>
    <cellStyle name="표준 3 2 4 2 6 2" xfId="4113" xr:uid="{00000000-0005-0000-0000-000011100000}"/>
    <cellStyle name="표준 3 2 4 2 7" xfId="4114" xr:uid="{00000000-0005-0000-0000-000012100000}"/>
    <cellStyle name="표준 3 2 4 3" xfId="4115" xr:uid="{00000000-0005-0000-0000-000013100000}"/>
    <cellStyle name="표준 3 2 4 4" xfId="4116" xr:uid="{00000000-0005-0000-0000-000014100000}"/>
    <cellStyle name="표준 3 2 4 4 2" xfId="4117" xr:uid="{00000000-0005-0000-0000-000015100000}"/>
    <cellStyle name="표준 3 2 4 5" xfId="4118" xr:uid="{00000000-0005-0000-0000-000016100000}"/>
    <cellStyle name="표준 3 2 4 5 2" xfId="4119" xr:uid="{00000000-0005-0000-0000-000017100000}"/>
    <cellStyle name="표준 3 2 4 6" xfId="4120" xr:uid="{00000000-0005-0000-0000-000018100000}"/>
    <cellStyle name="표준 3 2 4 6 2" xfId="4121" xr:uid="{00000000-0005-0000-0000-000019100000}"/>
    <cellStyle name="표준 3 2 4 7" xfId="4122" xr:uid="{00000000-0005-0000-0000-00001A100000}"/>
    <cellStyle name="표준 3 2 4 7 2" xfId="4123" xr:uid="{00000000-0005-0000-0000-00001B100000}"/>
    <cellStyle name="표준 3 2 4 8" xfId="4124" xr:uid="{00000000-0005-0000-0000-00001C100000}"/>
    <cellStyle name="표준 3 2 4 8 2" xfId="4125" xr:uid="{00000000-0005-0000-0000-00001D100000}"/>
    <cellStyle name="표준 3 2 4 9" xfId="4126" xr:uid="{00000000-0005-0000-0000-00001E100000}"/>
    <cellStyle name="표준 3 2 5" xfId="4127" xr:uid="{00000000-0005-0000-0000-00001F100000}"/>
    <cellStyle name="표준 3 2 5 2" xfId="4128" xr:uid="{00000000-0005-0000-0000-000020100000}"/>
    <cellStyle name="표준 3 2 5 2 2" xfId="4129" xr:uid="{00000000-0005-0000-0000-000021100000}"/>
    <cellStyle name="표준 3 2 5 3" xfId="4130" xr:uid="{00000000-0005-0000-0000-000022100000}"/>
    <cellStyle name="표준 3 2 5 3 2" xfId="4131" xr:uid="{00000000-0005-0000-0000-000023100000}"/>
    <cellStyle name="표준 3 2 5 4" xfId="4132" xr:uid="{00000000-0005-0000-0000-000024100000}"/>
    <cellStyle name="표준 3 2 5 4 2" xfId="4133" xr:uid="{00000000-0005-0000-0000-000025100000}"/>
    <cellStyle name="표준 3 2 5 5" xfId="4134" xr:uid="{00000000-0005-0000-0000-000026100000}"/>
    <cellStyle name="표준 3 2 5 5 2" xfId="4135" xr:uid="{00000000-0005-0000-0000-000027100000}"/>
    <cellStyle name="표준 3 2 5 6" xfId="4136" xr:uid="{00000000-0005-0000-0000-000028100000}"/>
    <cellStyle name="표준 3 2 5 6 2" xfId="4137" xr:uid="{00000000-0005-0000-0000-000029100000}"/>
    <cellStyle name="표준 3 2 5 7" xfId="4138" xr:uid="{00000000-0005-0000-0000-00002A100000}"/>
    <cellStyle name="표준 3 2 6" xfId="4139" xr:uid="{00000000-0005-0000-0000-00002B100000}"/>
    <cellStyle name="표준 3 2 7" xfId="4140" xr:uid="{00000000-0005-0000-0000-00002C100000}"/>
    <cellStyle name="표준 3 2 7 2" xfId="4141" xr:uid="{00000000-0005-0000-0000-00002D100000}"/>
    <cellStyle name="표준 3 2 7 2 2" xfId="4142" xr:uid="{00000000-0005-0000-0000-00002E100000}"/>
    <cellStyle name="표준 3 2 7 3" xfId="4143" xr:uid="{00000000-0005-0000-0000-00002F100000}"/>
    <cellStyle name="표준 3 2 7 3 2" xfId="4144" xr:uid="{00000000-0005-0000-0000-000030100000}"/>
    <cellStyle name="표준 3 2 7 4" xfId="4145" xr:uid="{00000000-0005-0000-0000-000031100000}"/>
    <cellStyle name="표준 3 2 8" xfId="4146" xr:uid="{00000000-0005-0000-0000-000032100000}"/>
    <cellStyle name="표준 3 2 8 2" xfId="4147" xr:uid="{00000000-0005-0000-0000-000033100000}"/>
    <cellStyle name="표준 3 2 8 2 2" xfId="4148" xr:uid="{00000000-0005-0000-0000-000034100000}"/>
    <cellStyle name="표준 3 2 8 3" xfId="4149" xr:uid="{00000000-0005-0000-0000-000035100000}"/>
    <cellStyle name="표준 3 2 8 3 2" xfId="4150" xr:uid="{00000000-0005-0000-0000-000036100000}"/>
    <cellStyle name="표준 3 2 8 4" xfId="4151" xr:uid="{00000000-0005-0000-0000-000037100000}"/>
    <cellStyle name="표준 3 2 9" xfId="4152" xr:uid="{00000000-0005-0000-0000-000038100000}"/>
    <cellStyle name="표준 3 2 9 2" xfId="4153" xr:uid="{00000000-0005-0000-0000-000039100000}"/>
    <cellStyle name="표준 3 3" xfId="4154" xr:uid="{00000000-0005-0000-0000-00003A100000}"/>
    <cellStyle name="표준 3 3 10" xfId="4155" xr:uid="{00000000-0005-0000-0000-00003B100000}"/>
    <cellStyle name="표준 3 3 2" xfId="4156" xr:uid="{00000000-0005-0000-0000-00003C100000}"/>
    <cellStyle name="표준 3 3 2 2" xfId="4157" xr:uid="{00000000-0005-0000-0000-00003D100000}"/>
    <cellStyle name="표준 3 3 2 3" xfId="4158" xr:uid="{00000000-0005-0000-0000-00003E100000}"/>
    <cellStyle name="표준 3 3 2 3 2" xfId="4159" xr:uid="{00000000-0005-0000-0000-00003F100000}"/>
    <cellStyle name="표준 3 3 2 4" xfId="4160" xr:uid="{00000000-0005-0000-0000-000040100000}"/>
    <cellStyle name="표준 3 3 2 4 2" xfId="4161" xr:uid="{00000000-0005-0000-0000-000041100000}"/>
    <cellStyle name="표준 3 3 2 5" xfId="4162" xr:uid="{00000000-0005-0000-0000-000042100000}"/>
    <cellStyle name="표준 3 3 2 5 2" xfId="4163" xr:uid="{00000000-0005-0000-0000-000043100000}"/>
    <cellStyle name="표준 3 3 2 6" xfId="4164" xr:uid="{00000000-0005-0000-0000-000044100000}"/>
    <cellStyle name="표준 3 3 2 6 2" xfId="4165" xr:uid="{00000000-0005-0000-0000-000045100000}"/>
    <cellStyle name="표준 3 3 2 7" xfId="4166" xr:uid="{00000000-0005-0000-0000-000046100000}"/>
    <cellStyle name="표준 3 3 2 7 2" xfId="4167" xr:uid="{00000000-0005-0000-0000-000047100000}"/>
    <cellStyle name="표준 3 3 2 8" xfId="4168" xr:uid="{00000000-0005-0000-0000-000048100000}"/>
    <cellStyle name="표준 3 3 3" xfId="4169" xr:uid="{00000000-0005-0000-0000-000049100000}"/>
    <cellStyle name="표준 3 3 4" xfId="4170" xr:uid="{00000000-0005-0000-0000-00004A100000}"/>
    <cellStyle name="표준 3 3 4 2" xfId="4171" xr:uid="{00000000-0005-0000-0000-00004B100000}"/>
    <cellStyle name="표준 3 3 5" xfId="4172" xr:uid="{00000000-0005-0000-0000-00004C100000}"/>
    <cellStyle name="표준 3 3 5 2" xfId="4173" xr:uid="{00000000-0005-0000-0000-00004D100000}"/>
    <cellStyle name="표준 3 3 6" xfId="4174" xr:uid="{00000000-0005-0000-0000-00004E100000}"/>
    <cellStyle name="표준 3 3 6 2" xfId="4175" xr:uid="{00000000-0005-0000-0000-00004F100000}"/>
    <cellStyle name="표준 3 3 7" xfId="4176" xr:uid="{00000000-0005-0000-0000-000050100000}"/>
    <cellStyle name="표준 3 3 7 2" xfId="4177" xr:uid="{00000000-0005-0000-0000-000051100000}"/>
    <cellStyle name="표준 3 3 8" xfId="4178" xr:uid="{00000000-0005-0000-0000-000052100000}"/>
    <cellStyle name="표준 3 3 8 2" xfId="4179" xr:uid="{00000000-0005-0000-0000-000053100000}"/>
    <cellStyle name="표준 3 3 9" xfId="4180" xr:uid="{00000000-0005-0000-0000-000054100000}"/>
    <cellStyle name="표준 3 4" xfId="4181" xr:uid="{00000000-0005-0000-0000-000055100000}"/>
    <cellStyle name="표준 3 4 2" xfId="4182" xr:uid="{00000000-0005-0000-0000-000056100000}"/>
    <cellStyle name="표준 3 4 2 2" xfId="4183" xr:uid="{00000000-0005-0000-0000-000057100000}"/>
    <cellStyle name="표준 3 4 2 2 2" xfId="4184" xr:uid="{00000000-0005-0000-0000-000058100000}"/>
    <cellStyle name="표준 3 4 2 3" xfId="4185" xr:uid="{00000000-0005-0000-0000-000059100000}"/>
    <cellStyle name="표준 3 4 2 3 2" xfId="4186" xr:uid="{00000000-0005-0000-0000-00005A100000}"/>
    <cellStyle name="표준 3 4 2 4" xfId="4187" xr:uid="{00000000-0005-0000-0000-00005B100000}"/>
    <cellStyle name="표준 3 4 2 4 2" xfId="4188" xr:uid="{00000000-0005-0000-0000-00005C100000}"/>
    <cellStyle name="표준 3 4 2 5" xfId="4189" xr:uid="{00000000-0005-0000-0000-00005D100000}"/>
    <cellStyle name="표준 3 4 2 5 2" xfId="4190" xr:uid="{00000000-0005-0000-0000-00005E100000}"/>
    <cellStyle name="표준 3 4 2 6" xfId="4191" xr:uid="{00000000-0005-0000-0000-00005F100000}"/>
    <cellStyle name="표준 3 4 2 6 2" xfId="4192" xr:uid="{00000000-0005-0000-0000-000060100000}"/>
    <cellStyle name="표준 3 4 2 7" xfId="4193" xr:uid="{00000000-0005-0000-0000-000061100000}"/>
    <cellStyle name="표준 3 4 3" xfId="4194" xr:uid="{00000000-0005-0000-0000-000062100000}"/>
    <cellStyle name="표준 3 4 3 2" xfId="4195" xr:uid="{00000000-0005-0000-0000-000063100000}"/>
    <cellStyle name="표준 3 4 4" xfId="4196" xr:uid="{00000000-0005-0000-0000-000064100000}"/>
    <cellStyle name="표준 3 4 4 2" xfId="4197" xr:uid="{00000000-0005-0000-0000-000065100000}"/>
    <cellStyle name="표준 3 4 5" xfId="4198" xr:uid="{00000000-0005-0000-0000-000066100000}"/>
    <cellStyle name="표준 3 4 5 2" xfId="4199" xr:uid="{00000000-0005-0000-0000-000067100000}"/>
    <cellStyle name="표준 3 4 6" xfId="4200" xr:uid="{00000000-0005-0000-0000-000068100000}"/>
    <cellStyle name="표준 3 4 6 2" xfId="4201" xr:uid="{00000000-0005-0000-0000-000069100000}"/>
    <cellStyle name="표준 3 4 7" xfId="4202" xr:uid="{00000000-0005-0000-0000-00006A100000}"/>
    <cellStyle name="표준 3 4 7 2" xfId="4203" xr:uid="{00000000-0005-0000-0000-00006B100000}"/>
    <cellStyle name="표준 3 4 8" xfId="4204" xr:uid="{00000000-0005-0000-0000-00006C100000}"/>
    <cellStyle name="표준 3 4 9" xfId="4205" xr:uid="{00000000-0005-0000-0000-00006D100000}"/>
    <cellStyle name="표준 3 5" xfId="4206" xr:uid="{00000000-0005-0000-0000-00006E100000}"/>
    <cellStyle name="표준 3 5 2" xfId="4207" xr:uid="{00000000-0005-0000-0000-00006F100000}"/>
    <cellStyle name="표준 3 5 2 2" xfId="4208" xr:uid="{00000000-0005-0000-0000-000070100000}"/>
    <cellStyle name="표준 3 5 3" xfId="4209" xr:uid="{00000000-0005-0000-0000-000071100000}"/>
    <cellStyle name="표준 3 6" xfId="4210" xr:uid="{00000000-0005-0000-0000-000072100000}"/>
    <cellStyle name="표준 3 6 2" xfId="4211" xr:uid="{00000000-0005-0000-0000-000073100000}"/>
    <cellStyle name="표준 3 6 2 2" xfId="4212" xr:uid="{00000000-0005-0000-0000-000074100000}"/>
    <cellStyle name="표준 3 6 3" xfId="4213" xr:uid="{00000000-0005-0000-0000-000075100000}"/>
    <cellStyle name="표준 3 7" xfId="4214" xr:uid="{00000000-0005-0000-0000-000076100000}"/>
    <cellStyle name="표준 30" xfId="4215" xr:uid="{00000000-0005-0000-0000-000077100000}"/>
    <cellStyle name="표준 30 2" xfId="4216" xr:uid="{00000000-0005-0000-0000-000078100000}"/>
    <cellStyle name="표준 31" xfId="4217" xr:uid="{00000000-0005-0000-0000-000079100000}"/>
    <cellStyle name="표준 31 2" xfId="4218" xr:uid="{00000000-0005-0000-0000-00007A100000}"/>
    <cellStyle name="표준 32" xfId="4219" xr:uid="{00000000-0005-0000-0000-00007B100000}"/>
    <cellStyle name="표준 32 2" xfId="4220" xr:uid="{00000000-0005-0000-0000-00007C100000}"/>
    <cellStyle name="표준 33" xfId="4221" xr:uid="{00000000-0005-0000-0000-00007D100000}"/>
    <cellStyle name="표준 33 2" xfId="4222" xr:uid="{00000000-0005-0000-0000-00007E100000}"/>
    <cellStyle name="표준 34" xfId="4223" xr:uid="{00000000-0005-0000-0000-00007F100000}"/>
    <cellStyle name="표준 34 2" xfId="4224" xr:uid="{00000000-0005-0000-0000-000080100000}"/>
    <cellStyle name="표준 35" xfId="4225" xr:uid="{00000000-0005-0000-0000-000081100000}"/>
    <cellStyle name="표준 35 2" xfId="4226" xr:uid="{00000000-0005-0000-0000-000082100000}"/>
    <cellStyle name="표준 36" xfId="4227" xr:uid="{00000000-0005-0000-0000-000083100000}"/>
    <cellStyle name="표준 36 2" xfId="4228" xr:uid="{00000000-0005-0000-0000-000084100000}"/>
    <cellStyle name="표준 37" xfId="4229" xr:uid="{00000000-0005-0000-0000-000085100000}"/>
    <cellStyle name="표준 37 2" xfId="4230" xr:uid="{00000000-0005-0000-0000-000086100000}"/>
    <cellStyle name="표준 37 3" xfId="4231" xr:uid="{00000000-0005-0000-0000-000087100000}"/>
    <cellStyle name="표준 38" xfId="4232" xr:uid="{00000000-0005-0000-0000-000088100000}"/>
    <cellStyle name="표준 39" xfId="4233" xr:uid="{00000000-0005-0000-0000-000089100000}"/>
    <cellStyle name="표준 4" xfId="1" xr:uid="{00000000-0005-0000-0000-00008A100000}"/>
    <cellStyle name="표준 4 2" xfId="2" xr:uid="{00000000-0005-0000-0000-00008B100000}"/>
    <cellStyle name="표준 4 2 2" xfId="4234" xr:uid="{00000000-0005-0000-0000-00008C100000}"/>
    <cellStyle name="표준 4 3" xfId="4235" xr:uid="{00000000-0005-0000-0000-00008D100000}"/>
    <cellStyle name="표준 4 4" xfId="4236" xr:uid="{00000000-0005-0000-0000-00008E100000}"/>
    <cellStyle name="표준 40" xfId="4237" xr:uid="{00000000-0005-0000-0000-00008F100000}"/>
    <cellStyle name="표준 41" xfId="4238" xr:uid="{00000000-0005-0000-0000-000090100000}"/>
    <cellStyle name="표준 42" xfId="4239" xr:uid="{00000000-0005-0000-0000-000091100000}"/>
    <cellStyle name="표준 43" xfId="4240" xr:uid="{00000000-0005-0000-0000-000092100000}"/>
    <cellStyle name="표준 44" xfId="4241" xr:uid="{00000000-0005-0000-0000-000093100000}"/>
    <cellStyle name="표준 45" xfId="4242" xr:uid="{00000000-0005-0000-0000-000094100000}"/>
    <cellStyle name="표준 46" xfId="4243" xr:uid="{00000000-0005-0000-0000-000095100000}"/>
    <cellStyle name="표준 47" xfId="4244" xr:uid="{00000000-0005-0000-0000-000096100000}"/>
    <cellStyle name="표준 48" xfId="4245" xr:uid="{00000000-0005-0000-0000-000097100000}"/>
    <cellStyle name="표준 49" xfId="4246" xr:uid="{00000000-0005-0000-0000-000098100000}"/>
    <cellStyle name="표준 5" xfId="4247" xr:uid="{00000000-0005-0000-0000-000099100000}"/>
    <cellStyle name="표준 5 2" xfId="4248" xr:uid="{00000000-0005-0000-0000-00009A100000}"/>
    <cellStyle name="표준 5 2 2" xfId="4249" xr:uid="{00000000-0005-0000-0000-00009B100000}"/>
    <cellStyle name="표준 5 3" xfId="4250" xr:uid="{00000000-0005-0000-0000-00009C100000}"/>
    <cellStyle name="표준 50" xfId="4251" xr:uid="{00000000-0005-0000-0000-00009D100000}"/>
    <cellStyle name="표준 51" xfId="4252" xr:uid="{00000000-0005-0000-0000-00009E100000}"/>
    <cellStyle name="표준 52" xfId="4253" xr:uid="{00000000-0005-0000-0000-00009F100000}"/>
    <cellStyle name="표준 53" xfId="4254" xr:uid="{00000000-0005-0000-0000-0000A0100000}"/>
    <cellStyle name="표준 54" xfId="4255" xr:uid="{00000000-0005-0000-0000-0000A1100000}"/>
    <cellStyle name="표준 55" xfId="4256" xr:uid="{00000000-0005-0000-0000-0000A2100000}"/>
    <cellStyle name="표준 56" xfId="4257" xr:uid="{00000000-0005-0000-0000-0000A3100000}"/>
    <cellStyle name="표준 57" xfId="4258" xr:uid="{00000000-0005-0000-0000-0000A4100000}"/>
    <cellStyle name="표준 58" xfId="4259" xr:uid="{00000000-0005-0000-0000-0000A5100000}"/>
    <cellStyle name="표준 59" xfId="4260" xr:uid="{00000000-0005-0000-0000-0000A6100000}"/>
    <cellStyle name="표준 6" xfId="4261" xr:uid="{00000000-0005-0000-0000-0000A7100000}"/>
    <cellStyle name="표준 6 2" xfId="4262" xr:uid="{00000000-0005-0000-0000-0000A8100000}"/>
    <cellStyle name="표준 60" xfId="4263" xr:uid="{00000000-0005-0000-0000-0000A9100000}"/>
    <cellStyle name="표준 61" xfId="4264" xr:uid="{00000000-0005-0000-0000-0000AA100000}"/>
    <cellStyle name="표준 62" xfId="4265" xr:uid="{00000000-0005-0000-0000-0000AB100000}"/>
    <cellStyle name="표준 62 2" xfId="4266" xr:uid="{00000000-0005-0000-0000-0000AC100000}"/>
    <cellStyle name="표준 62 2 2" xfId="4267" xr:uid="{00000000-0005-0000-0000-0000AD100000}"/>
    <cellStyle name="표준 62 3" xfId="4268" xr:uid="{00000000-0005-0000-0000-0000AE100000}"/>
    <cellStyle name="표준 62 3 2" xfId="4269" xr:uid="{00000000-0005-0000-0000-0000AF100000}"/>
    <cellStyle name="표준 62 4" xfId="4270" xr:uid="{00000000-0005-0000-0000-0000B0100000}"/>
    <cellStyle name="표준 62 4 2" xfId="4271" xr:uid="{00000000-0005-0000-0000-0000B1100000}"/>
    <cellStyle name="표준 62 5" xfId="4272" xr:uid="{00000000-0005-0000-0000-0000B2100000}"/>
    <cellStyle name="표준 62 5 2" xfId="4273" xr:uid="{00000000-0005-0000-0000-0000B3100000}"/>
    <cellStyle name="표준 62 6" xfId="4274" xr:uid="{00000000-0005-0000-0000-0000B4100000}"/>
    <cellStyle name="표준 62 6 2" xfId="4275" xr:uid="{00000000-0005-0000-0000-0000B5100000}"/>
    <cellStyle name="표준 62 7" xfId="4276" xr:uid="{00000000-0005-0000-0000-0000B6100000}"/>
    <cellStyle name="표준 63" xfId="4277" xr:uid="{00000000-0005-0000-0000-0000B7100000}"/>
    <cellStyle name="표준 64" xfId="4278" xr:uid="{00000000-0005-0000-0000-0000B8100000}"/>
    <cellStyle name="표준 64 2" xfId="4279" xr:uid="{00000000-0005-0000-0000-0000B9100000}"/>
    <cellStyle name="표준 64 2 2" xfId="4280" xr:uid="{00000000-0005-0000-0000-0000BA100000}"/>
    <cellStyle name="표준 64 3" xfId="4281" xr:uid="{00000000-0005-0000-0000-0000BB100000}"/>
    <cellStyle name="표준 64 3 2" xfId="4282" xr:uid="{00000000-0005-0000-0000-0000BC100000}"/>
    <cellStyle name="표준 64 4" xfId="4283" xr:uid="{00000000-0005-0000-0000-0000BD100000}"/>
    <cellStyle name="표준 64 4 2" xfId="4284" xr:uid="{00000000-0005-0000-0000-0000BE100000}"/>
    <cellStyle name="표준 64 5" xfId="4285" xr:uid="{00000000-0005-0000-0000-0000BF100000}"/>
    <cellStyle name="표준 64 5 2" xfId="4286" xr:uid="{00000000-0005-0000-0000-0000C0100000}"/>
    <cellStyle name="표준 64 6" xfId="4287" xr:uid="{00000000-0005-0000-0000-0000C1100000}"/>
    <cellStyle name="표준 64 6 2" xfId="4288" xr:uid="{00000000-0005-0000-0000-0000C2100000}"/>
    <cellStyle name="표준 64 7" xfId="4289" xr:uid="{00000000-0005-0000-0000-0000C3100000}"/>
    <cellStyle name="표준 65" xfId="4290" xr:uid="{00000000-0005-0000-0000-0000C4100000}"/>
    <cellStyle name="표준 65 2" xfId="4291" xr:uid="{00000000-0005-0000-0000-0000C5100000}"/>
    <cellStyle name="표준 65 2 2" xfId="4292" xr:uid="{00000000-0005-0000-0000-0000C6100000}"/>
    <cellStyle name="표준 65 3" xfId="4293" xr:uid="{00000000-0005-0000-0000-0000C7100000}"/>
    <cellStyle name="표준 65 3 2" xfId="4294" xr:uid="{00000000-0005-0000-0000-0000C8100000}"/>
    <cellStyle name="표준 65 4" xfId="4295" xr:uid="{00000000-0005-0000-0000-0000C9100000}"/>
    <cellStyle name="표준 65 4 2" xfId="4296" xr:uid="{00000000-0005-0000-0000-0000CA100000}"/>
    <cellStyle name="표준 65 5" xfId="4297" xr:uid="{00000000-0005-0000-0000-0000CB100000}"/>
    <cellStyle name="표준 66" xfId="4298" xr:uid="{00000000-0005-0000-0000-0000CC100000}"/>
    <cellStyle name="표준 66 2" xfId="4299" xr:uid="{00000000-0005-0000-0000-0000CD100000}"/>
    <cellStyle name="표준 66 2 2" xfId="4300" xr:uid="{00000000-0005-0000-0000-0000CE100000}"/>
    <cellStyle name="표준 66 3" xfId="4301" xr:uid="{00000000-0005-0000-0000-0000CF100000}"/>
    <cellStyle name="표준 67" xfId="4302" xr:uid="{00000000-0005-0000-0000-0000D0100000}"/>
    <cellStyle name="표준 68" xfId="4303" xr:uid="{00000000-0005-0000-0000-0000D1100000}"/>
    <cellStyle name="표준 68 2" xfId="4304" xr:uid="{00000000-0005-0000-0000-0000D2100000}"/>
    <cellStyle name="표준 69" xfId="4305" xr:uid="{00000000-0005-0000-0000-0000D3100000}"/>
    <cellStyle name="표준 7" xfId="4306" xr:uid="{00000000-0005-0000-0000-0000D4100000}"/>
    <cellStyle name="표준 7 2" xfId="4307" xr:uid="{00000000-0005-0000-0000-0000D5100000}"/>
    <cellStyle name="표준 7 2 10" xfId="4308" xr:uid="{00000000-0005-0000-0000-0000D6100000}"/>
    <cellStyle name="표준 7 2 2" xfId="4309" xr:uid="{00000000-0005-0000-0000-0000D7100000}"/>
    <cellStyle name="표준 7 2 2 2" xfId="4310" xr:uid="{00000000-0005-0000-0000-0000D8100000}"/>
    <cellStyle name="표준 7 2 2 3" xfId="4311" xr:uid="{00000000-0005-0000-0000-0000D9100000}"/>
    <cellStyle name="표준 7 2 2 3 2" xfId="4312" xr:uid="{00000000-0005-0000-0000-0000DA100000}"/>
    <cellStyle name="표준 7 2 2 4" xfId="4313" xr:uid="{00000000-0005-0000-0000-0000DB100000}"/>
    <cellStyle name="표준 7 2 2 4 2" xfId="4314" xr:uid="{00000000-0005-0000-0000-0000DC100000}"/>
    <cellStyle name="표준 7 2 2 5" xfId="4315" xr:uid="{00000000-0005-0000-0000-0000DD100000}"/>
    <cellStyle name="표준 7 2 2 5 2" xfId="4316" xr:uid="{00000000-0005-0000-0000-0000DE100000}"/>
    <cellStyle name="표준 7 2 2 6" xfId="4317" xr:uid="{00000000-0005-0000-0000-0000DF100000}"/>
    <cellStyle name="표준 7 2 2 6 2" xfId="4318" xr:uid="{00000000-0005-0000-0000-0000E0100000}"/>
    <cellStyle name="표준 7 2 2 7" xfId="4319" xr:uid="{00000000-0005-0000-0000-0000E1100000}"/>
    <cellStyle name="표준 7 2 2 7 2" xfId="4320" xr:uid="{00000000-0005-0000-0000-0000E2100000}"/>
    <cellStyle name="표준 7 2 2 8" xfId="4321" xr:uid="{00000000-0005-0000-0000-0000E3100000}"/>
    <cellStyle name="표준 7 2 3" xfId="4322" xr:uid="{00000000-0005-0000-0000-0000E4100000}"/>
    <cellStyle name="표준 7 2 4" xfId="4323" xr:uid="{00000000-0005-0000-0000-0000E5100000}"/>
    <cellStyle name="표준 7 2 4 2" xfId="4324" xr:uid="{00000000-0005-0000-0000-0000E6100000}"/>
    <cellStyle name="표준 7 2 5" xfId="4325" xr:uid="{00000000-0005-0000-0000-0000E7100000}"/>
    <cellStyle name="표준 7 2 5 2" xfId="4326" xr:uid="{00000000-0005-0000-0000-0000E8100000}"/>
    <cellStyle name="표준 7 2 6" xfId="4327" xr:uid="{00000000-0005-0000-0000-0000E9100000}"/>
    <cellStyle name="표준 7 2 6 2" xfId="4328" xr:uid="{00000000-0005-0000-0000-0000EA100000}"/>
    <cellStyle name="표준 7 2 7" xfId="4329" xr:uid="{00000000-0005-0000-0000-0000EB100000}"/>
    <cellStyle name="표준 7 2 7 2" xfId="4330" xr:uid="{00000000-0005-0000-0000-0000EC100000}"/>
    <cellStyle name="표준 7 2 8" xfId="4331" xr:uid="{00000000-0005-0000-0000-0000ED100000}"/>
    <cellStyle name="표준 7 2 8 2" xfId="4332" xr:uid="{00000000-0005-0000-0000-0000EE100000}"/>
    <cellStyle name="표준 7 2 9" xfId="4333" xr:uid="{00000000-0005-0000-0000-0000EF100000}"/>
    <cellStyle name="표준 7 3" xfId="4334" xr:uid="{00000000-0005-0000-0000-0000F0100000}"/>
    <cellStyle name="표준 7 3 2" xfId="4335" xr:uid="{00000000-0005-0000-0000-0000F1100000}"/>
    <cellStyle name="표준 7 3 2 2" xfId="4336" xr:uid="{00000000-0005-0000-0000-0000F2100000}"/>
    <cellStyle name="표준 7 3 2 2 2" xfId="4337" xr:uid="{00000000-0005-0000-0000-0000F3100000}"/>
    <cellStyle name="표준 7 3 2 3" xfId="4338" xr:uid="{00000000-0005-0000-0000-0000F4100000}"/>
    <cellStyle name="표준 7 3 2 3 2" xfId="4339" xr:uid="{00000000-0005-0000-0000-0000F5100000}"/>
    <cellStyle name="표준 7 3 2 4" xfId="4340" xr:uid="{00000000-0005-0000-0000-0000F6100000}"/>
    <cellStyle name="표준 7 3 2 4 2" xfId="4341" xr:uid="{00000000-0005-0000-0000-0000F7100000}"/>
    <cellStyle name="표준 7 3 2 5" xfId="4342" xr:uid="{00000000-0005-0000-0000-0000F8100000}"/>
    <cellStyle name="표준 7 3 2 5 2" xfId="4343" xr:uid="{00000000-0005-0000-0000-0000F9100000}"/>
    <cellStyle name="표준 7 3 2 6" xfId="4344" xr:uid="{00000000-0005-0000-0000-0000FA100000}"/>
    <cellStyle name="표준 7 3 2 6 2" xfId="4345" xr:uid="{00000000-0005-0000-0000-0000FB100000}"/>
    <cellStyle name="표준 7 3 2 7" xfId="4346" xr:uid="{00000000-0005-0000-0000-0000FC100000}"/>
    <cellStyle name="표준 7 3 3" xfId="4347" xr:uid="{00000000-0005-0000-0000-0000FD100000}"/>
    <cellStyle name="표준 7 3 3 2" xfId="4348" xr:uid="{00000000-0005-0000-0000-0000FE100000}"/>
    <cellStyle name="표준 7 3 4" xfId="4349" xr:uid="{00000000-0005-0000-0000-0000FF100000}"/>
    <cellStyle name="표준 7 3 4 2" xfId="4350" xr:uid="{00000000-0005-0000-0000-000000110000}"/>
    <cellStyle name="표준 7 3 5" xfId="4351" xr:uid="{00000000-0005-0000-0000-000001110000}"/>
    <cellStyle name="표준 7 3 5 2" xfId="4352" xr:uid="{00000000-0005-0000-0000-000002110000}"/>
    <cellStyle name="표준 7 3 6" xfId="4353" xr:uid="{00000000-0005-0000-0000-000003110000}"/>
    <cellStyle name="표준 7 3 6 2" xfId="4354" xr:uid="{00000000-0005-0000-0000-000004110000}"/>
    <cellStyle name="표준 7 3 7" xfId="4355" xr:uid="{00000000-0005-0000-0000-000005110000}"/>
    <cellStyle name="표준 7 3 7 2" xfId="4356" xr:uid="{00000000-0005-0000-0000-000006110000}"/>
    <cellStyle name="표준 7 3 8" xfId="4357" xr:uid="{00000000-0005-0000-0000-000007110000}"/>
    <cellStyle name="표준 7 4" xfId="4358" xr:uid="{00000000-0005-0000-0000-000008110000}"/>
    <cellStyle name="표준 7 4 2" xfId="4359" xr:uid="{00000000-0005-0000-0000-000009110000}"/>
    <cellStyle name="표준 7 4 2 2" xfId="4360" xr:uid="{00000000-0005-0000-0000-00000A110000}"/>
    <cellStyle name="표준 7 4 3" xfId="4361" xr:uid="{00000000-0005-0000-0000-00000B110000}"/>
    <cellStyle name="표준 7 5" xfId="4362" xr:uid="{00000000-0005-0000-0000-00000C110000}"/>
    <cellStyle name="표준 7 5 2" xfId="4363" xr:uid="{00000000-0005-0000-0000-00000D110000}"/>
    <cellStyle name="표준 7 5 2 2" xfId="4364" xr:uid="{00000000-0005-0000-0000-00000E110000}"/>
    <cellStyle name="표준 7 5 3" xfId="4365" xr:uid="{00000000-0005-0000-0000-00000F110000}"/>
    <cellStyle name="표준 7 6" xfId="4366" xr:uid="{00000000-0005-0000-0000-000010110000}"/>
    <cellStyle name="표준 70" xfId="4619" xr:uid="{00000000-0005-0000-0000-000011110000}"/>
    <cellStyle name="표준 8" xfId="4367" xr:uid="{00000000-0005-0000-0000-000012110000}"/>
    <cellStyle name="표준 8 10" xfId="4368" xr:uid="{00000000-0005-0000-0000-000013110000}"/>
    <cellStyle name="표준 8 10 2" xfId="4369" xr:uid="{00000000-0005-0000-0000-000014110000}"/>
    <cellStyle name="표준 8 11" xfId="4370" xr:uid="{00000000-0005-0000-0000-000015110000}"/>
    <cellStyle name="표준 8 11 2" xfId="4371" xr:uid="{00000000-0005-0000-0000-000016110000}"/>
    <cellStyle name="표준 8 12" xfId="4372" xr:uid="{00000000-0005-0000-0000-000017110000}"/>
    <cellStyle name="표준 8 12 2" xfId="4373" xr:uid="{00000000-0005-0000-0000-000018110000}"/>
    <cellStyle name="표준 8 13" xfId="4374" xr:uid="{00000000-0005-0000-0000-000019110000}"/>
    <cellStyle name="표준 8 13 2" xfId="4375" xr:uid="{00000000-0005-0000-0000-00001A110000}"/>
    <cellStyle name="표준 8 14" xfId="4376" xr:uid="{00000000-0005-0000-0000-00001B110000}"/>
    <cellStyle name="표준 8 15" xfId="4377" xr:uid="{00000000-0005-0000-0000-00001C110000}"/>
    <cellStyle name="표준 8 2" xfId="4378" xr:uid="{00000000-0005-0000-0000-00001D110000}"/>
    <cellStyle name="표준 8 2 10" xfId="4379" xr:uid="{00000000-0005-0000-0000-00001E110000}"/>
    <cellStyle name="표준 8 2 10 2" xfId="4380" xr:uid="{00000000-0005-0000-0000-00001F110000}"/>
    <cellStyle name="표준 8 2 11" xfId="4381" xr:uid="{00000000-0005-0000-0000-000020110000}"/>
    <cellStyle name="표준 8 2 11 2" xfId="4382" xr:uid="{00000000-0005-0000-0000-000021110000}"/>
    <cellStyle name="표준 8 2 12" xfId="4383" xr:uid="{00000000-0005-0000-0000-000022110000}"/>
    <cellStyle name="표준 8 2 12 2" xfId="4384" xr:uid="{00000000-0005-0000-0000-000023110000}"/>
    <cellStyle name="표준 8 2 13" xfId="4385" xr:uid="{00000000-0005-0000-0000-000024110000}"/>
    <cellStyle name="표준 8 2 2" xfId="4386" xr:uid="{00000000-0005-0000-0000-000025110000}"/>
    <cellStyle name="표준 8 2 2 10" xfId="4387" xr:uid="{00000000-0005-0000-0000-000026110000}"/>
    <cellStyle name="표준 8 2 2 10 2" xfId="4388" xr:uid="{00000000-0005-0000-0000-000027110000}"/>
    <cellStyle name="표준 8 2 2 11" xfId="4389" xr:uid="{00000000-0005-0000-0000-000028110000}"/>
    <cellStyle name="표준 8 2 2 2" xfId="4390" xr:uid="{00000000-0005-0000-0000-000029110000}"/>
    <cellStyle name="표준 8 2 2 2 2" xfId="4391" xr:uid="{00000000-0005-0000-0000-00002A110000}"/>
    <cellStyle name="표준 8 2 2 2 3" xfId="4392" xr:uid="{00000000-0005-0000-0000-00002B110000}"/>
    <cellStyle name="표준 8 2 2 2 3 2" xfId="4393" xr:uid="{00000000-0005-0000-0000-00002C110000}"/>
    <cellStyle name="표준 8 2 2 3" xfId="4394" xr:uid="{00000000-0005-0000-0000-00002D110000}"/>
    <cellStyle name="표준 8 2 2 3 2" xfId="4395" xr:uid="{00000000-0005-0000-0000-00002E110000}"/>
    <cellStyle name="표준 8 2 2 4" xfId="4396" xr:uid="{00000000-0005-0000-0000-00002F110000}"/>
    <cellStyle name="표준 8 2 2 4 2" xfId="4397" xr:uid="{00000000-0005-0000-0000-000030110000}"/>
    <cellStyle name="표준 8 2 2 5" xfId="4398" xr:uid="{00000000-0005-0000-0000-000031110000}"/>
    <cellStyle name="표준 8 2 2 5 2" xfId="4399" xr:uid="{00000000-0005-0000-0000-000032110000}"/>
    <cellStyle name="표준 8 2 2 6" xfId="4400" xr:uid="{00000000-0005-0000-0000-000033110000}"/>
    <cellStyle name="표준 8 2 2 6 2" xfId="4401" xr:uid="{00000000-0005-0000-0000-000034110000}"/>
    <cellStyle name="표준 8 2 2 7" xfId="4402" xr:uid="{00000000-0005-0000-0000-000035110000}"/>
    <cellStyle name="표준 8 2 2 7 2" xfId="4403" xr:uid="{00000000-0005-0000-0000-000036110000}"/>
    <cellStyle name="표준 8 2 2 8" xfId="4404" xr:uid="{00000000-0005-0000-0000-000037110000}"/>
    <cellStyle name="표준 8 2 2 8 2" xfId="4405" xr:uid="{00000000-0005-0000-0000-000038110000}"/>
    <cellStyle name="표준 8 2 2 9" xfId="4406" xr:uid="{00000000-0005-0000-0000-000039110000}"/>
    <cellStyle name="표준 8 2 2 9 2" xfId="4407" xr:uid="{00000000-0005-0000-0000-00003A110000}"/>
    <cellStyle name="표준 8 2 3" xfId="4408" xr:uid="{00000000-0005-0000-0000-00003B110000}"/>
    <cellStyle name="표준 8 2 3 2" xfId="4409" xr:uid="{00000000-0005-0000-0000-00003C110000}"/>
    <cellStyle name="표준 8 2 3 2 2" xfId="4410" xr:uid="{00000000-0005-0000-0000-00003D110000}"/>
    <cellStyle name="표준 8 2 3 3" xfId="4411" xr:uid="{00000000-0005-0000-0000-00003E110000}"/>
    <cellStyle name="표준 8 2 3 3 2" xfId="4412" xr:uid="{00000000-0005-0000-0000-00003F110000}"/>
    <cellStyle name="표준 8 2 3 4" xfId="4413" xr:uid="{00000000-0005-0000-0000-000040110000}"/>
    <cellStyle name="표준 8 2 3 4 2" xfId="4414" xr:uid="{00000000-0005-0000-0000-000041110000}"/>
    <cellStyle name="표준 8 2 3 5" xfId="4415" xr:uid="{00000000-0005-0000-0000-000042110000}"/>
    <cellStyle name="표준 8 2 3 6" xfId="4416" xr:uid="{00000000-0005-0000-0000-000043110000}"/>
    <cellStyle name="표준 8 2 3 6 2" xfId="4417" xr:uid="{00000000-0005-0000-0000-000044110000}"/>
    <cellStyle name="표준 8 2 4" xfId="4418" xr:uid="{00000000-0005-0000-0000-000045110000}"/>
    <cellStyle name="표준 8 2 4 2" xfId="4419" xr:uid="{00000000-0005-0000-0000-000046110000}"/>
    <cellStyle name="표준 8 2 4 2 2" xfId="4420" xr:uid="{00000000-0005-0000-0000-000047110000}"/>
    <cellStyle name="표준 8 2 4 3" xfId="4421" xr:uid="{00000000-0005-0000-0000-000048110000}"/>
    <cellStyle name="표준 8 2 4 3 2" xfId="4422" xr:uid="{00000000-0005-0000-0000-000049110000}"/>
    <cellStyle name="표준 8 2 4 4" xfId="4423" xr:uid="{00000000-0005-0000-0000-00004A110000}"/>
    <cellStyle name="표준 8 2 4 5" xfId="4424" xr:uid="{00000000-0005-0000-0000-00004B110000}"/>
    <cellStyle name="표준 8 2 4 5 2" xfId="4425" xr:uid="{00000000-0005-0000-0000-00004C110000}"/>
    <cellStyle name="표준 8 2 5" xfId="4426" xr:uid="{00000000-0005-0000-0000-00004D110000}"/>
    <cellStyle name="표준 8 2 5 2" xfId="4427" xr:uid="{00000000-0005-0000-0000-00004E110000}"/>
    <cellStyle name="표준 8 2 5 3" xfId="4428" xr:uid="{00000000-0005-0000-0000-00004F110000}"/>
    <cellStyle name="표준 8 2 5 3 2" xfId="4429" xr:uid="{00000000-0005-0000-0000-000050110000}"/>
    <cellStyle name="표준 8 2 6" xfId="4430" xr:uid="{00000000-0005-0000-0000-000051110000}"/>
    <cellStyle name="표준 8 2 6 2" xfId="4431" xr:uid="{00000000-0005-0000-0000-000052110000}"/>
    <cellStyle name="표준 8 2 6 3" xfId="4432" xr:uid="{00000000-0005-0000-0000-000053110000}"/>
    <cellStyle name="표준 8 2 6 3 2" xfId="4433" xr:uid="{00000000-0005-0000-0000-000054110000}"/>
    <cellStyle name="표준 8 2 7" xfId="4434" xr:uid="{00000000-0005-0000-0000-000055110000}"/>
    <cellStyle name="표준 8 2 7 2" xfId="4435" xr:uid="{00000000-0005-0000-0000-000056110000}"/>
    <cellStyle name="표준 8 2 8" xfId="4436" xr:uid="{00000000-0005-0000-0000-000057110000}"/>
    <cellStyle name="표준 8 2 8 2" xfId="4437" xr:uid="{00000000-0005-0000-0000-000058110000}"/>
    <cellStyle name="표준 8 2 9" xfId="4438" xr:uid="{00000000-0005-0000-0000-000059110000}"/>
    <cellStyle name="표준 8 2 9 2" xfId="4439" xr:uid="{00000000-0005-0000-0000-00005A110000}"/>
    <cellStyle name="표준 8 3" xfId="4440" xr:uid="{00000000-0005-0000-0000-00005B110000}"/>
    <cellStyle name="표준 8 3 10" xfId="4441" xr:uid="{00000000-0005-0000-0000-00005C110000}"/>
    <cellStyle name="표준 8 3 10 2" xfId="4442" xr:uid="{00000000-0005-0000-0000-00005D110000}"/>
    <cellStyle name="표준 8 3 11" xfId="4443" xr:uid="{00000000-0005-0000-0000-00005E110000}"/>
    <cellStyle name="표준 8 3 2" xfId="4444" xr:uid="{00000000-0005-0000-0000-00005F110000}"/>
    <cellStyle name="표준 8 3 2 2" xfId="4445" xr:uid="{00000000-0005-0000-0000-000060110000}"/>
    <cellStyle name="표준 8 3 2 3" xfId="4446" xr:uid="{00000000-0005-0000-0000-000061110000}"/>
    <cellStyle name="표준 8 3 2 3 2" xfId="4447" xr:uid="{00000000-0005-0000-0000-000062110000}"/>
    <cellStyle name="표준 8 3 3" xfId="4448" xr:uid="{00000000-0005-0000-0000-000063110000}"/>
    <cellStyle name="표준 8 3 3 2" xfId="4449" xr:uid="{00000000-0005-0000-0000-000064110000}"/>
    <cellStyle name="표준 8 3 4" xfId="4450" xr:uid="{00000000-0005-0000-0000-000065110000}"/>
    <cellStyle name="표준 8 3 4 2" xfId="4451" xr:uid="{00000000-0005-0000-0000-000066110000}"/>
    <cellStyle name="표준 8 3 5" xfId="4452" xr:uid="{00000000-0005-0000-0000-000067110000}"/>
    <cellStyle name="표준 8 3 5 2" xfId="4453" xr:uid="{00000000-0005-0000-0000-000068110000}"/>
    <cellStyle name="표준 8 3 6" xfId="4454" xr:uid="{00000000-0005-0000-0000-000069110000}"/>
    <cellStyle name="표준 8 3 6 2" xfId="4455" xr:uid="{00000000-0005-0000-0000-00006A110000}"/>
    <cellStyle name="표준 8 3 7" xfId="4456" xr:uid="{00000000-0005-0000-0000-00006B110000}"/>
    <cellStyle name="표준 8 3 7 2" xfId="4457" xr:uid="{00000000-0005-0000-0000-00006C110000}"/>
    <cellStyle name="표준 8 3 8" xfId="4458" xr:uid="{00000000-0005-0000-0000-00006D110000}"/>
    <cellStyle name="표준 8 3 8 2" xfId="4459" xr:uid="{00000000-0005-0000-0000-00006E110000}"/>
    <cellStyle name="표준 8 3 9" xfId="4460" xr:uid="{00000000-0005-0000-0000-00006F110000}"/>
    <cellStyle name="표준 8 3 9 2" xfId="4461" xr:uid="{00000000-0005-0000-0000-000070110000}"/>
    <cellStyle name="표준 8 4" xfId="4462" xr:uid="{00000000-0005-0000-0000-000071110000}"/>
    <cellStyle name="표준 8 4 2" xfId="4463" xr:uid="{00000000-0005-0000-0000-000072110000}"/>
    <cellStyle name="표준 8 4 2 2" xfId="4464" xr:uid="{00000000-0005-0000-0000-000073110000}"/>
    <cellStyle name="표준 8 4 3" xfId="4465" xr:uid="{00000000-0005-0000-0000-000074110000}"/>
    <cellStyle name="표준 8 4 3 2" xfId="4466" xr:uid="{00000000-0005-0000-0000-000075110000}"/>
    <cellStyle name="표준 8 4 4" xfId="4467" xr:uid="{00000000-0005-0000-0000-000076110000}"/>
    <cellStyle name="표준 8 4 4 2" xfId="4468" xr:uid="{00000000-0005-0000-0000-000077110000}"/>
    <cellStyle name="표준 8 4 5" xfId="4469" xr:uid="{00000000-0005-0000-0000-000078110000}"/>
    <cellStyle name="표준 8 4 6" xfId="4470" xr:uid="{00000000-0005-0000-0000-000079110000}"/>
    <cellStyle name="표준 8 4 6 2" xfId="4471" xr:uid="{00000000-0005-0000-0000-00007A110000}"/>
    <cellStyle name="표준 8 5" xfId="4472" xr:uid="{00000000-0005-0000-0000-00007B110000}"/>
    <cellStyle name="표준 8 5 2" xfId="4473" xr:uid="{00000000-0005-0000-0000-00007C110000}"/>
    <cellStyle name="표준 8 5 2 2" xfId="4474" xr:uid="{00000000-0005-0000-0000-00007D110000}"/>
    <cellStyle name="표준 8 5 3" xfId="4475" xr:uid="{00000000-0005-0000-0000-00007E110000}"/>
    <cellStyle name="표준 8 5 3 2" xfId="4476" xr:uid="{00000000-0005-0000-0000-00007F110000}"/>
    <cellStyle name="표준 8 5 4" xfId="4477" xr:uid="{00000000-0005-0000-0000-000080110000}"/>
    <cellStyle name="표준 8 5 5" xfId="4478" xr:uid="{00000000-0005-0000-0000-000081110000}"/>
    <cellStyle name="표준 8 5 5 2" xfId="4479" xr:uid="{00000000-0005-0000-0000-000082110000}"/>
    <cellStyle name="표준 8 6" xfId="4480" xr:uid="{00000000-0005-0000-0000-000083110000}"/>
    <cellStyle name="표준 8 6 2" xfId="4481" xr:uid="{00000000-0005-0000-0000-000084110000}"/>
    <cellStyle name="표준 8 6 3" xfId="4482" xr:uid="{00000000-0005-0000-0000-000085110000}"/>
    <cellStyle name="표준 8 6 3 2" xfId="4483" xr:uid="{00000000-0005-0000-0000-000086110000}"/>
    <cellStyle name="표준 8 7" xfId="4484" xr:uid="{00000000-0005-0000-0000-000087110000}"/>
    <cellStyle name="표준 8 7 2" xfId="4485" xr:uid="{00000000-0005-0000-0000-000088110000}"/>
    <cellStyle name="표준 8 7 3" xfId="4486" xr:uid="{00000000-0005-0000-0000-000089110000}"/>
    <cellStyle name="표준 8 7 3 2" xfId="4487" xr:uid="{00000000-0005-0000-0000-00008A110000}"/>
    <cellStyle name="표준 8 8" xfId="4488" xr:uid="{00000000-0005-0000-0000-00008B110000}"/>
    <cellStyle name="표준 8 8 2" xfId="4489" xr:uid="{00000000-0005-0000-0000-00008C110000}"/>
    <cellStyle name="표준 8 9" xfId="4490" xr:uid="{00000000-0005-0000-0000-00008D110000}"/>
    <cellStyle name="표준 8 9 2" xfId="4491" xr:uid="{00000000-0005-0000-0000-00008E110000}"/>
    <cellStyle name="표준 84" xfId="4492" xr:uid="{00000000-0005-0000-0000-00008F110000}"/>
    <cellStyle name="표준 9" xfId="4493" xr:uid="{00000000-0005-0000-0000-000090110000}"/>
    <cellStyle name="표준 9 10" xfId="4494" xr:uid="{00000000-0005-0000-0000-000091110000}"/>
    <cellStyle name="표준 9 10 2" xfId="4495" xr:uid="{00000000-0005-0000-0000-000092110000}"/>
    <cellStyle name="표준 9 11" xfId="4496" xr:uid="{00000000-0005-0000-0000-000093110000}"/>
    <cellStyle name="표준 9 11 2" xfId="4497" xr:uid="{00000000-0005-0000-0000-000094110000}"/>
    <cellStyle name="표준 9 12" xfId="4498" xr:uid="{00000000-0005-0000-0000-000095110000}"/>
    <cellStyle name="표준 9 12 2" xfId="4499" xr:uid="{00000000-0005-0000-0000-000096110000}"/>
    <cellStyle name="표준 9 13" xfId="4500" xr:uid="{00000000-0005-0000-0000-000097110000}"/>
    <cellStyle name="표준 9 13 2" xfId="4501" xr:uid="{00000000-0005-0000-0000-000098110000}"/>
    <cellStyle name="표준 9 14" xfId="4502" xr:uid="{00000000-0005-0000-0000-000099110000}"/>
    <cellStyle name="표준 9 15" xfId="4503" xr:uid="{00000000-0005-0000-0000-00009A110000}"/>
    <cellStyle name="표준 9 2" xfId="4504" xr:uid="{00000000-0005-0000-0000-00009B110000}"/>
    <cellStyle name="표준 9 2 10" xfId="4505" xr:uid="{00000000-0005-0000-0000-00009C110000}"/>
    <cellStyle name="표준 9 2 10 2" xfId="4506" xr:uid="{00000000-0005-0000-0000-00009D110000}"/>
    <cellStyle name="표준 9 2 11" xfId="4507" xr:uid="{00000000-0005-0000-0000-00009E110000}"/>
    <cellStyle name="표준 9 2 11 2" xfId="4508" xr:uid="{00000000-0005-0000-0000-00009F110000}"/>
    <cellStyle name="표준 9 2 12" xfId="4509" xr:uid="{00000000-0005-0000-0000-0000A0110000}"/>
    <cellStyle name="표준 9 2 12 2" xfId="4510" xr:uid="{00000000-0005-0000-0000-0000A1110000}"/>
    <cellStyle name="표준 9 2 13" xfId="4511" xr:uid="{00000000-0005-0000-0000-0000A2110000}"/>
    <cellStyle name="표준 9 2 2" xfId="4512" xr:uid="{00000000-0005-0000-0000-0000A3110000}"/>
    <cellStyle name="표준 9 2 2 10" xfId="4513" xr:uid="{00000000-0005-0000-0000-0000A4110000}"/>
    <cellStyle name="표준 9 2 2 10 2" xfId="4514" xr:uid="{00000000-0005-0000-0000-0000A5110000}"/>
    <cellStyle name="표준 9 2 2 11" xfId="4515" xr:uid="{00000000-0005-0000-0000-0000A6110000}"/>
    <cellStyle name="표준 9 2 2 2" xfId="4516" xr:uid="{00000000-0005-0000-0000-0000A7110000}"/>
    <cellStyle name="표준 9 2 2 2 2" xfId="4517" xr:uid="{00000000-0005-0000-0000-0000A8110000}"/>
    <cellStyle name="표준 9 2 2 2 3" xfId="4518" xr:uid="{00000000-0005-0000-0000-0000A9110000}"/>
    <cellStyle name="표준 9 2 2 2 3 2" xfId="4519" xr:uid="{00000000-0005-0000-0000-0000AA110000}"/>
    <cellStyle name="표준 9 2 2 3" xfId="4520" xr:uid="{00000000-0005-0000-0000-0000AB110000}"/>
    <cellStyle name="표준 9 2 2 3 2" xfId="4521" xr:uid="{00000000-0005-0000-0000-0000AC110000}"/>
    <cellStyle name="표준 9 2 2 4" xfId="4522" xr:uid="{00000000-0005-0000-0000-0000AD110000}"/>
    <cellStyle name="표준 9 2 2 4 2" xfId="4523" xr:uid="{00000000-0005-0000-0000-0000AE110000}"/>
    <cellStyle name="표준 9 2 2 5" xfId="4524" xr:uid="{00000000-0005-0000-0000-0000AF110000}"/>
    <cellStyle name="표준 9 2 2 5 2" xfId="4525" xr:uid="{00000000-0005-0000-0000-0000B0110000}"/>
    <cellStyle name="표준 9 2 2 6" xfId="4526" xr:uid="{00000000-0005-0000-0000-0000B1110000}"/>
    <cellStyle name="표준 9 2 2 6 2" xfId="4527" xr:uid="{00000000-0005-0000-0000-0000B2110000}"/>
    <cellStyle name="표준 9 2 2 7" xfId="4528" xr:uid="{00000000-0005-0000-0000-0000B3110000}"/>
    <cellStyle name="표준 9 2 2 7 2" xfId="4529" xr:uid="{00000000-0005-0000-0000-0000B4110000}"/>
    <cellStyle name="표준 9 2 2 8" xfId="4530" xr:uid="{00000000-0005-0000-0000-0000B5110000}"/>
    <cellStyle name="표준 9 2 2 8 2" xfId="4531" xr:uid="{00000000-0005-0000-0000-0000B6110000}"/>
    <cellStyle name="표준 9 2 2 9" xfId="4532" xr:uid="{00000000-0005-0000-0000-0000B7110000}"/>
    <cellStyle name="표준 9 2 2 9 2" xfId="4533" xr:uid="{00000000-0005-0000-0000-0000B8110000}"/>
    <cellStyle name="표준 9 2 3" xfId="4534" xr:uid="{00000000-0005-0000-0000-0000B9110000}"/>
    <cellStyle name="표준 9 2 3 2" xfId="4535" xr:uid="{00000000-0005-0000-0000-0000BA110000}"/>
    <cellStyle name="표준 9 2 3 2 2" xfId="4536" xr:uid="{00000000-0005-0000-0000-0000BB110000}"/>
    <cellStyle name="표준 9 2 3 3" xfId="4537" xr:uid="{00000000-0005-0000-0000-0000BC110000}"/>
    <cellStyle name="표준 9 2 3 3 2" xfId="4538" xr:uid="{00000000-0005-0000-0000-0000BD110000}"/>
    <cellStyle name="표준 9 2 3 4" xfId="4539" xr:uid="{00000000-0005-0000-0000-0000BE110000}"/>
    <cellStyle name="표준 9 2 3 4 2" xfId="4540" xr:uid="{00000000-0005-0000-0000-0000BF110000}"/>
    <cellStyle name="표준 9 2 3 5" xfId="4541" xr:uid="{00000000-0005-0000-0000-0000C0110000}"/>
    <cellStyle name="표준 9 2 3 6" xfId="4542" xr:uid="{00000000-0005-0000-0000-0000C1110000}"/>
    <cellStyle name="표준 9 2 3 6 2" xfId="4543" xr:uid="{00000000-0005-0000-0000-0000C2110000}"/>
    <cellStyle name="표준 9 2 4" xfId="4544" xr:uid="{00000000-0005-0000-0000-0000C3110000}"/>
    <cellStyle name="표준 9 2 4 2" xfId="4545" xr:uid="{00000000-0005-0000-0000-0000C4110000}"/>
    <cellStyle name="표준 9 2 4 2 2" xfId="4546" xr:uid="{00000000-0005-0000-0000-0000C5110000}"/>
    <cellStyle name="표준 9 2 4 3" xfId="4547" xr:uid="{00000000-0005-0000-0000-0000C6110000}"/>
    <cellStyle name="표준 9 2 4 3 2" xfId="4548" xr:uid="{00000000-0005-0000-0000-0000C7110000}"/>
    <cellStyle name="표준 9 2 4 4" xfId="4549" xr:uid="{00000000-0005-0000-0000-0000C8110000}"/>
    <cellStyle name="표준 9 2 4 5" xfId="4550" xr:uid="{00000000-0005-0000-0000-0000C9110000}"/>
    <cellStyle name="표준 9 2 4 5 2" xfId="4551" xr:uid="{00000000-0005-0000-0000-0000CA110000}"/>
    <cellStyle name="표준 9 2 5" xfId="4552" xr:uid="{00000000-0005-0000-0000-0000CB110000}"/>
    <cellStyle name="표준 9 2 5 2" xfId="4553" xr:uid="{00000000-0005-0000-0000-0000CC110000}"/>
    <cellStyle name="표준 9 2 5 3" xfId="4554" xr:uid="{00000000-0005-0000-0000-0000CD110000}"/>
    <cellStyle name="표준 9 2 5 3 2" xfId="4555" xr:uid="{00000000-0005-0000-0000-0000CE110000}"/>
    <cellStyle name="표준 9 2 6" xfId="4556" xr:uid="{00000000-0005-0000-0000-0000CF110000}"/>
    <cellStyle name="표준 9 2 6 2" xfId="4557" xr:uid="{00000000-0005-0000-0000-0000D0110000}"/>
    <cellStyle name="표준 9 2 6 3" xfId="4558" xr:uid="{00000000-0005-0000-0000-0000D1110000}"/>
    <cellStyle name="표준 9 2 6 3 2" xfId="4559" xr:uid="{00000000-0005-0000-0000-0000D2110000}"/>
    <cellStyle name="표준 9 2 7" xfId="4560" xr:uid="{00000000-0005-0000-0000-0000D3110000}"/>
    <cellStyle name="표준 9 2 7 2" xfId="4561" xr:uid="{00000000-0005-0000-0000-0000D4110000}"/>
    <cellStyle name="표준 9 2 8" xfId="4562" xr:uid="{00000000-0005-0000-0000-0000D5110000}"/>
    <cellStyle name="표준 9 2 8 2" xfId="4563" xr:uid="{00000000-0005-0000-0000-0000D6110000}"/>
    <cellStyle name="표준 9 2 9" xfId="4564" xr:uid="{00000000-0005-0000-0000-0000D7110000}"/>
    <cellStyle name="표준 9 2 9 2" xfId="4565" xr:uid="{00000000-0005-0000-0000-0000D8110000}"/>
    <cellStyle name="표준 9 3" xfId="4566" xr:uid="{00000000-0005-0000-0000-0000D9110000}"/>
    <cellStyle name="표준 9 3 10" xfId="4567" xr:uid="{00000000-0005-0000-0000-0000DA110000}"/>
    <cellStyle name="표준 9 3 10 2" xfId="4568" xr:uid="{00000000-0005-0000-0000-0000DB110000}"/>
    <cellStyle name="표준 9 3 11" xfId="4569" xr:uid="{00000000-0005-0000-0000-0000DC110000}"/>
    <cellStyle name="표준 9 3 2" xfId="4570" xr:uid="{00000000-0005-0000-0000-0000DD110000}"/>
    <cellStyle name="표준 9 3 2 2" xfId="4571" xr:uid="{00000000-0005-0000-0000-0000DE110000}"/>
    <cellStyle name="표준 9 3 2 3" xfId="4572" xr:uid="{00000000-0005-0000-0000-0000DF110000}"/>
    <cellStyle name="표준 9 3 2 3 2" xfId="4573" xr:uid="{00000000-0005-0000-0000-0000E0110000}"/>
    <cellStyle name="표준 9 3 3" xfId="4574" xr:uid="{00000000-0005-0000-0000-0000E1110000}"/>
    <cellStyle name="표준 9 3 3 2" xfId="4575" xr:uid="{00000000-0005-0000-0000-0000E2110000}"/>
    <cellStyle name="표준 9 3 4" xfId="4576" xr:uid="{00000000-0005-0000-0000-0000E3110000}"/>
    <cellStyle name="표준 9 3 4 2" xfId="4577" xr:uid="{00000000-0005-0000-0000-0000E4110000}"/>
    <cellStyle name="표준 9 3 5" xfId="4578" xr:uid="{00000000-0005-0000-0000-0000E5110000}"/>
    <cellStyle name="표준 9 3 5 2" xfId="4579" xr:uid="{00000000-0005-0000-0000-0000E6110000}"/>
    <cellStyle name="표준 9 3 6" xfId="4580" xr:uid="{00000000-0005-0000-0000-0000E7110000}"/>
    <cellStyle name="표준 9 3 6 2" xfId="4581" xr:uid="{00000000-0005-0000-0000-0000E8110000}"/>
    <cellStyle name="표준 9 3 7" xfId="4582" xr:uid="{00000000-0005-0000-0000-0000E9110000}"/>
    <cellStyle name="표준 9 3 7 2" xfId="4583" xr:uid="{00000000-0005-0000-0000-0000EA110000}"/>
    <cellStyle name="표준 9 3 8" xfId="4584" xr:uid="{00000000-0005-0000-0000-0000EB110000}"/>
    <cellStyle name="표준 9 3 8 2" xfId="4585" xr:uid="{00000000-0005-0000-0000-0000EC110000}"/>
    <cellStyle name="표준 9 3 9" xfId="4586" xr:uid="{00000000-0005-0000-0000-0000ED110000}"/>
    <cellStyle name="표준 9 3 9 2" xfId="4587" xr:uid="{00000000-0005-0000-0000-0000EE110000}"/>
    <cellStyle name="표준 9 4" xfId="4588" xr:uid="{00000000-0005-0000-0000-0000EF110000}"/>
    <cellStyle name="표준 9 4 2" xfId="4589" xr:uid="{00000000-0005-0000-0000-0000F0110000}"/>
    <cellStyle name="표준 9 4 2 2" xfId="4590" xr:uid="{00000000-0005-0000-0000-0000F1110000}"/>
    <cellStyle name="표준 9 4 3" xfId="4591" xr:uid="{00000000-0005-0000-0000-0000F2110000}"/>
    <cellStyle name="표준 9 4 3 2" xfId="4592" xr:uid="{00000000-0005-0000-0000-0000F3110000}"/>
    <cellStyle name="표준 9 4 4" xfId="4593" xr:uid="{00000000-0005-0000-0000-0000F4110000}"/>
    <cellStyle name="표준 9 4 4 2" xfId="4594" xr:uid="{00000000-0005-0000-0000-0000F5110000}"/>
    <cellStyle name="표준 9 4 5" xfId="4595" xr:uid="{00000000-0005-0000-0000-0000F6110000}"/>
    <cellStyle name="표준 9 4 6" xfId="4596" xr:uid="{00000000-0005-0000-0000-0000F7110000}"/>
    <cellStyle name="표준 9 4 6 2" xfId="4597" xr:uid="{00000000-0005-0000-0000-0000F8110000}"/>
    <cellStyle name="표준 9 5" xfId="4598" xr:uid="{00000000-0005-0000-0000-0000F9110000}"/>
    <cellStyle name="표준 9 5 2" xfId="4599" xr:uid="{00000000-0005-0000-0000-0000FA110000}"/>
    <cellStyle name="표준 9 5 2 2" xfId="4600" xr:uid="{00000000-0005-0000-0000-0000FB110000}"/>
    <cellStyle name="표준 9 5 3" xfId="4601" xr:uid="{00000000-0005-0000-0000-0000FC110000}"/>
    <cellStyle name="표준 9 5 3 2" xfId="4602" xr:uid="{00000000-0005-0000-0000-0000FD110000}"/>
    <cellStyle name="표준 9 5 4" xfId="4603" xr:uid="{00000000-0005-0000-0000-0000FE110000}"/>
    <cellStyle name="표준 9 5 5" xfId="4604" xr:uid="{00000000-0005-0000-0000-0000FF110000}"/>
    <cellStyle name="표준 9 5 5 2" xfId="4605" xr:uid="{00000000-0005-0000-0000-000000120000}"/>
    <cellStyle name="표준 9 6" xfId="4606" xr:uid="{00000000-0005-0000-0000-000001120000}"/>
    <cellStyle name="표준 9 6 2" xfId="4607" xr:uid="{00000000-0005-0000-0000-000002120000}"/>
    <cellStyle name="표준 9 6 3" xfId="4608" xr:uid="{00000000-0005-0000-0000-000003120000}"/>
    <cellStyle name="표준 9 6 3 2" xfId="4609" xr:uid="{00000000-0005-0000-0000-000004120000}"/>
    <cellStyle name="표준 9 7" xfId="4610" xr:uid="{00000000-0005-0000-0000-000005120000}"/>
    <cellStyle name="표준 9 7 2" xfId="4611" xr:uid="{00000000-0005-0000-0000-000006120000}"/>
    <cellStyle name="표준 9 7 3" xfId="4612" xr:uid="{00000000-0005-0000-0000-000007120000}"/>
    <cellStyle name="표준 9 7 3 2" xfId="4613" xr:uid="{00000000-0005-0000-0000-000008120000}"/>
    <cellStyle name="표준 9 8" xfId="4614" xr:uid="{00000000-0005-0000-0000-000009120000}"/>
    <cellStyle name="표준 9 8 2" xfId="4615" xr:uid="{00000000-0005-0000-0000-00000A120000}"/>
    <cellStyle name="표준 9 9" xfId="4616" xr:uid="{00000000-0005-0000-0000-00000B120000}"/>
    <cellStyle name="표준 9 9 2" xfId="4617" xr:uid="{00000000-0005-0000-0000-00000C120000}"/>
    <cellStyle name="하이퍼링크 2" xfId="4618" xr:uid="{00000000-0005-0000-0000-00000D1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</xdr:colOff>
      <xdr:row>85</xdr:row>
      <xdr:rowOff>70485</xdr:rowOff>
    </xdr:from>
    <xdr:to>
      <xdr:col>5</xdr:col>
      <xdr:colOff>1735044</xdr:colOff>
      <xdr:row>94</xdr:row>
      <xdr:rowOff>169544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1E3E3DE-1350-4B98-B862-A829DDBC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7405985"/>
          <a:ext cx="5586954" cy="19850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904875</xdr:colOff>
      <xdr:row>84</xdr:row>
      <xdr:rowOff>64770</xdr:rowOff>
    </xdr:from>
    <xdr:to>
      <xdr:col>10</xdr:col>
      <xdr:colOff>415290</xdr:colOff>
      <xdr:row>95</xdr:row>
      <xdr:rowOff>11431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C1709D-9E2A-4D90-954C-AB5031B2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16800195"/>
          <a:ext cx="4072890" cy="225171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67</xdr:row>
      <xdr:rowOff>104775</xdr:rowOff>
    </xdr:from>
    <xdr:to>
      <xdr:col>8</xdr:col>
      <xdr:colOff>46623</xdr:colOff>
      <xdr:row>81</xdr:row>
      <xdr:rowOff>104408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BA626A40-8657-491B-89F8-C080354FDA7F}"/>
            </a:ext>
          </a:extLst>
        </xdr:cNvPr>
        <xdr:cNvGrpSpPr/>
      </xdr:nvGrpSpPr>
      <xdr:grpSpPr>
        <a:xfrm>
          <a:off x="161925" y="13046075"/>
          <a:ext cx="7999998" cy="3022233"/>
          <a:chOff x="161925" y="13430250"/>
          <a:chExt cx="8019048" cy="2933333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F5538921-5A26-448D-8851-851A46816E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1925" y="13430250"/>
            <a:ext cx="8019048" cy="293333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FC093C6-4A2A-4980-8703-0A0C271948FC}"/>
              </a:ext>
            </a:extLst>
          </xdr:cNvPr>
          <xdr:cNvSpPr/>
        </xdr:nvSpPr>
        <xdr:spPr>
          <a:xfrm>
            <a:off x="5876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18107A0B-748C-42F2-AA66-41F98F433CAB}"/>
              </a:ext>
            </a:extLst>
          </xdr:cNvPr>
          <xdr:cNvSpPr/>
        </xdr:nvSpPr>
        <xdr:spPr>
          <a:xfrm>
            <a:off x="6638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6"/>
  <sheetViews>
    <sheetView showGridLines="0" view="pageBreakPreview" topLeftCell="A6" zoomScale="70" zoomScaleNormal="90" zoomScaleSheetLayoutView="70" workbookViewId="0">
      <selection activeCell="E32" sqref="E32"/>
    </sheetView>
  </sheetViews>
  <sheetFormatPr baseColWidth="10" defaultColWidth="9" defaultRowHeight="27" customHeight="1"/>
  <cols>
    <col min="1" max="9" width="14.6640625" style="1" customWidth="1"/>
    <col min="10" max="10" width="6" style="1" customWidth="1"/>
    <col min="11" max="11" width="11.1640625" style="1" customWidth="1"/>
    <col min="12" max="12" width="9.6640625" style="1" bestFit="1" customWidth="1"/>
    <col min="13" max="16384" width="9" style="1"/>
  </cols>
  <sheetData>
    <row r="1" spans="1:12" ht="25.25" customHeight="1">
      <c r="A1" s="2" t="s">
        <v>52</v>
      </c>
      <c r="B1" s="4"/>
      <c r="C1" s="5"/>
      <c r="D1" s="5"/>
      <c r="E1" s="5"/>
      <c r="F1" s="5"/>
      <c r="G1" s="5"/>
      <c r="H1" s="5"/>
      <c r="I1" s="5"/>
    </row>
    <row r="2" spans="1:12" ht="25.25" customHeight="1">
      <c r="A2" s="6" t="s">
        <v>37</v>
      </c>
      <c r="B2" s="4"/>
      <c r="C2" s="5"/>
      <c r="D2" s="5"/>
      <c r="E2" s="5"/>
      <c r="F2" s="5"/>
      <c r="G2" s="5"/>
      <c r="H2" s="5"/>
      <c r="I2" s="32" t="s">
        <v>0</v>
      </c>
    </row>
    <row r="3" spans="1:12" ht="25.25" customHeight="1">
      <c r="A3" s="233" t="s">
        <v>41</v>
      </c>
      <c r="B3" s="234" t="s">
        <v>32</v>
      </c>
      <c r="C3" s="235" t="s">
        <v>42</v>
      </c>
      <c r="D3" s="235"/>
      <c r="E3" s="235"/>
      <c r="F3" s="235"/>
      <c r="G3" s="235"/>
      <c r="H3" s="235"/>
      <c r="I3" s="235"/>
    </row>
    <row r="4" spans="1:12" ht="25.25" customHeight="1">
      <c r="A4" s="233"/>
      <c r="B4" s="234"/>
      <c r="C4" s="235" t="s">
        <v>2</v>
      </c>
      <c r="D4" s="235"/>
      <c r="E4" s="235" t="s">
        <v>3</v>
      </c>
      <c r="F4" s="235"/>
      <c r="G4" s="235" t="s">
        <v>4</v>
      </c>
      <c r="H4" s="235"/>
      <c r="I4" s="33" t="s">
        <v>5</v>
      </c>
    </row>
    <row r="5" spans="1:12" ht="25.25" customHeight="1">
      <c r="A5" s="242" t="s">
        <v>6</v>
      </c>
      <c r="B5" s="19" t="s">
        <v>31</v>
      </c>
      <c r="C5" s="236"/>
      <c r="D5" s="236"/>
      <c r="E5" s="236"/>
      <c r="F5" s="236"/>
      <c r="G5" s="236"/>
      <c r="H5" s="236"/>
      <c r="I5" s="26">
        <f>E5-G5</f>
        <v>0</v>
      </c>
    </row>
    <row r="6" spans="1:12" ht="25.25" customHeight="1">
      <c r="A6" s="242"/>
      <c r="B6" s="19" t="s">
        <v>25</v>
      </c>
      <c r="C6" s="236"/>
      <c r="D6" s="236"/>
      <c r="E6" s="236"/>
      <c r="F6" s="236"/>
      <c r="G6" s="236"/>
      <c r="H6" s="236"/>
      <c r="I6" s="26">
        <f>E6-G6</f>
        <v>0</v>
      </c>
    </row>
    <row r="7" spans="1:12" ht="25.25" customHeight="1">
      <c r="A7" s="242"/>
      <c r="B7" s="19" t="s">
        <v>33</v>
      </c>
      <c r="C7" s="236"/>
      <c r="D7" s="236"/>
      <c r="E7" s="236"/>
      <c r="F7" s="236"/>
      <c r="G7" s="236"/>
      <c r="H7" s="236"/>
      <c r="I7" s="26">
        <f>E7-G7</f>
        <v>0</v>
      </c>
    </row>
    <row r="8" spans="1:12" ht="25.25" customHeight="1">
      <c r="A8" s="242"/>
      <c r="B8" s="19" t="s">
        <v>34</v>
      </c>
      <c r="C8" s="236"/>
      <c r="D8" s="236"/>
      <c r="E8" s="236"/>
      <c r="F8" s="236"/>
      <c r="G8" s="236"/>
      <c r="H8" s="236"/>
      <c r="I8" s="26">
        <f>E8-G8</f>
        <v>0</v>
      </c>
    </row>
    <row r="9" spans="1:12" ht="25.25" customHeight="1">
      <c r="A9" s="242"/>
      <c r="B9" s="19" t="s">
        <v>7</v>
      </c>
      <c r="C9" s="236"/>
      <c r="D9" s="236"/>
      <c r="E9" s="236"/>
      <c r="F9" s="236"/>
      <c r="G9" s="236"/>
      <c r="H9" s="236"/>
      <c r="I9" s="26">
        <f>E9-G9</f>
        <v>0</v>
      </c>
    </row>
    <row r="10" spans="1:12" ht="25.25" customHeight="1">
      <c r="A10" s="242"/>
      <c r="B10" s="19" t="s">
        <v>8</v>
      </c>
      <c r="C10" s="237">
        <f>SUM(C5:D9)</f>
        <v>0</v>
      </c>
      <c r="D10" s="237"/>
      <c r="E10" s="237">
        <f>SUM(E5:F9)</f>
        <v>0</v>
      </c>
      <c r="F10" s="237"/>
      <c r="G10" s="237">
        <f>SUM(G5:H9)</f>
        <v>0</v>
      </c>
      <c r="H10" s="237"/>
      <c r="I10" s="26">
        <f>SUM(I5:I9)</f>
        <v>0</v>
      </c>
      <c r="K10" s="7" t="e">
        <f>C10=#REF!+#REF!+#REF!</f>
        <v>#REF!</v>
      </c>
      <c r="L10" s="1" t="b">
        <f>C10=E10</f>
        <v>1</v>
      </c>
    </row>
    <row r="11" spans="1:12" ht="25.25" customHeight="1">
      <c r="A11" s="3"/>
      <c r="B11" s="4"/>
      <c r="C11" s="8"/>
      <c r="D11" s="8"/>
      <c r="E11" s="8"/>
      <c r="F11" s="8"/>
      <c r="G11" s="8"/>
      <c r="H11" s="8"/>
      <c r="I11" s="8"/>
    </row>
    <row r="12" spans="1:12" ht="25.25" customHeight="1">
      <c r="A12" s="238" t="s">
        <v>35</v>
      </c>
      <c r="B12" s="238"/>
      <c r="C12" s="9"/>
      <c r="D12" s="9"/>
      <c r="E12" s="9"/>
      <c r="F12" s="9"/>
      <c r="G12" s="9"/>
      <c r="H12" s="9"/>
      <c r="I12" s="9"/>
    </row>
    <row r="13" spans="1:12" ht="40.25" customHeight="1">
      <c r="A13" s="233" t="s">
        <v>26</v>
      </c>
      <c r="B13" s="29" t="s">
        <v>39</v>
      </c>
      <c r="C13" s="29" t="s">
        <v>9</v>
      </c>
      <c r="D13" s="29" t="s">
        <v>10</v>
      </c>
      <c r="E13" s="30" t="s">
        <v>40</v>
      </c>
      <c r="F13" s="30" t="s">
        <v>11</v>
      </c>
      <c r="G13" s="30" t="s">
        <v>12</v>
      </c>
      <c r="H13" s="30" t="s">
        <v>13</v>
      </c>
      <c r="I13" s="30" t="s">
        <v>14</v>
      </c>
    </row>
    <row r="14" spans="1:12" ht="25.25" customHeight="1">
      <c r="A14" s="233"/>
      <c r="B14" s="27"/>
      <c r="C14" s="19"/>
      <c r="D14" s="19"/>
      <c r="E14" s="26"/>
      <c r="F14" s="26"/>
      <c r="G14" s="26"/>
      <c r="H14" s="26"/>
      <c r="I14" s="26"/>
    </row>
    <row r="15" spans="1:12" ht="25.25" customHeight="1">
      <c r="A15" s="233"/>
      <c r="B15" s="27"/>
      <c r="C15" s="19"/>
      <c r="D15" s="239" t="s">
        <v>15</v>
      </c>
      <c r="E15" s="240"/>
      <c r="F15" s="240"/>
      <c r="G15" s="241"/>
      <c r="H15" s="20"/>
      <c r="I15" s="26"/>
    </row>
    <row r="16" spans="1:12" ht="25.25" customHeight="1">
      <c r="A16" s="233"/>
      <c r="B16" s="27"/>
      <c r="C16" s="19"/>
      <c r="D16" s="19"/>
      <c r="E16" s="26"/>
      <c r="F16" s="26"/>
      <c r="G16" s="26"/>
      <c r="H16" s="26"/>
      <c r="I16" s="26"/>
    </row>
    <row r="17" spans="1:15" ht="25.25" customHeight="1">
      <c r="A17" s="3"/>
      <c r="B17" s="3"/>
      <c r="C17" s="4"/>
      <c r="D17" s="8"/>
      <c r="E17" s="8"/>
      <c r="F17" s="8"/>
      <c r="G17" s="8"/>
      <c r="H17" s="8"/>
      <c r="I17" s="8"/>
    </row>
    <row r="18" spans="1:15" ht="25.25" customHeight="1">
      <c r="A18" s="6" t="s">
        <v>38</v>
      </c>
      <c r="B18" s="4"/>
      <c r="C18" s="8"/>
      <c r="D18" s="8"/>
      <c r="E18" s="8"/>
      <c r="F18" s="8"/>
      <c r="G18" s="8"/>
      <c r="H18" s="8"/>
      <c r="I18" s="32" t="s">
        <v>0</v>
      </c>
    </row>
    <row r="19" spans="1:15" ht="25.25" customHeight="1">
      <c r="A19" s="243" t="s">
        <v>43</v>
      </c>
      <c r="B19" s="244"/>
      <c r="C19" s="243" t="s">
        <v>44</v>
      </c>
      <c r="D19" s="244"/>
      <c r="E19" s="245" t="s">
        <v>45</v>
      </c>
      <c r="F19" s="244"/>
      <c r="G19" s="24" t="s">
        <v>46</v>
      </c>
      <c r="H19" s="243" t="s">
        <v>47</v>
      </c>
      <c r="I19" s="244"/>
    </row>
    <row r="20" spans="1:15" s="10" customFormat="1" ht="25.25" customHeight="1">
      <c r="A20" s="246"/>
      <c r="B20" s="247"/>
      <c r="C20" s="248"/>
      <c r="D20" s="247"/>
      <c r="E20" s="246">
        <v>19341</v>
      </c>
      <c r="F20" s="247"/>
      <c r="G20" s="25">
        <v>0</v>
      </c>
      <c r="H20" s="249">
        <f>A20+C20</f>
        <v>0</v>
      </c>
      <c r="I20" s="244"/>
      <c r="K20" s="10" t="b">
        <f>H20=E10</f>
        <v>1</v>
      </c>
    </row>
    <row r="21" spans="1:15" ht="40.25" customHeight="1">
      <c r="A21" s="250" t="s">
        <v>16</v>
      </c>
      <c r="B21" s="251"/>
      <c r="C21" s="252" t="e">
        <f>ROUNDDOWN(A20/(A20+C20),4)</f>
        <v>#DIV/0!</v>
      </c>
      <c r="D21" s="253"/>
      <c r="E21" s="243" t="s">
        <v>17</v>
      </c>
      <c r="F21" s="243"/>
      <c r="G21" s="243"/>
      <c r="H21" s="254" t="e">
        <f>1-C21</f>
        <v>#DIV/0!</v>
      </c>
      <c r="I21" s="254"/>
    </row>
    <row r="22" spans="1:15" ht="40.25" customHeight="1">
      <c r="A22" s="255" t="s">
        <v>4</v>
      </c>
      <c r="B22" s="241"/>
      <c r="C22" s="250" t="s">
        <v>18</v>
      </c>
      <c r="D22" s="256"/>
      <c r="E22" s="253"/>
      <c r="F22" s="255" t="s">
        <v>19</v>
      </c>
      <c r="G22" s="240"/>
      <c r="H22" s="241"/>
      <c r="I22" s="23"/>
      <c r="L22" s="11"/>
      <c r="M22" s="11"/>
      <c r="N22" s="7"/>
      <c r="O22" s="11"/>
    </row>
    <row r="23" spans="1:15" ht="40.25" customHeight="1">
      <c r="A23" s="24" t="s">
        <v>48</v>
      </c>
      <c r="B23" s="24" t="s">
        <v>20</v>
      </c>
      <c r="C23" s="24" t="s">
        <v>21</v>
      </c>
      <c r="D23" s="24" t="s">
        <v>49</v>
      </c>
      <c r="E23" s="24" t="s">
        <v>50</v>
      </c>
      <c r="F23" s="24" t="s">
        <v>22</v>
      </c>
      <c r="G23" s="24" t="s">
        <v>51</v>
      </c>
      <c r="H23" s="24" t="s">
        <v>23</v>
      </c>
      <c r="I23" s="24"/>
      <c r="N23" s="11"/>
      <c r="O23" s="11"/>
    </row>
    <row r="24" spans="1:15" ht="25.25" customHeight="1">
      <c r="A24" s="25">
        <f>B24</f>
        <v>0</v>
      </c>
      <c r="B24" s="31">
        <f>G10</f>
        <v>0</v>
      </c>
      <c r="C24" s="25">
        <f>H20-A24</f>
        <v>0</v>
      </c>
      <c r="D24" s="22" t="e">
        <f>IF(C24&lt;0,0,C24*C21)</f>
        <v>#DIV/0!</v>
      </c>
      <c r="E24" s="22" t="e">
        <f>IF(C24&lt;0,C24,C24*$H21)</f>
        <v>#DIV/0!</v>
      </c>
      <c r="F24" s="28">
        <v>0</v>
      </c>
      <c r="G24" s="21" t="e">
        <f>F24*C21</f>
        <v>#DIV/0!</v>
      </c>
      <c r="H24" s="34">
        <v>0</v>
      </c>
      <c r="I24" s="22"/>
      <c r="K24" s="12"/>
      <c r="M24" s="12"/>
    </row>
    <row r="25" spans="1:15" ht="25.25" customHeight="1">
      <c r="A25" s="257" t="s">
        <v>24</v>
      </c>
      <c r="B25" s="261" t="s">
        <v>36</v>
      </c>
      <c r="C25" s="262"/>
      <c r="D25" s="262"/>
      <c r="E25" s="262"/>
      <c r="F25" s="262"/>
      <c r="G25" s="262"/>
      <c r="H25" s="262"/>
      <c r="I25" s="263"/>
      <c r="J25" s="13"/>
      <c r="K25" s="7"/>
    </row>
    <row r="26" spans="1:15" ht="25.25" customHeight="1">
      <c r="A26" s="258"/>
      <c r="B26" s="264"/>
      <c r="C26" s="265"/>
      <c r="D26" s="265"/>
      <c r="E26" s="265"/>
      <c r="F26" s="265"/>
      <c r="G26" s="265"/>
      <c r="H26" s="265"/>
      <c r="I26" s="266"/>
      <c r="J26" s="13"/>
      <c r="K26" s="7"/>
    </row>
    <row r="27" spans="1:15" ht="25.25" customHeight="1">
      <c r="A27" s="259"/>
      <c r="B27" s="264"/>
      <c r="C27" s="265"/>
      <c r="D27" s="265"/>
      <c r="E27" s="265"/>
      <c r="F27" s="265"/>
      <c r="G27" s="265"/>
      <c r="H27" s="265"/>
      <c r="I27" s="266"/>
      <c r="J27" s="13"/>
      <c r="K27" s="7"/>
    </row>
    <row r="28" spans="1:15" ht="25.25" customHeight="1">
      <c r="A28" s="260"/>
      <c r="B28" s="267" t="s">
        <v>27</v>
      </c>
      <c r="C28" s="268"/>
      <c r="D28" s="268"/>
      <c r="E28" s="268"/>
      <c r="F28" s="268"/>
      <c r="G28" s="268"/>
      <c r="H28" s="268"/>
      <c r="I28" s="269"/>
    </row>
    <row r="29" spans="1:15" ht="25.25" customHeight="1">
      <c r="A29" s="14"/>
    </row>
    <row r="30" spans="1:15" ht="25.25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spans="1:15" ht="25.2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spans="1:15" ht="25.25" customHeight="1">
      <c r="A32" s="15"/>
      <c r="B32" s="15"/>
      <c r="C32" s="15"/>
      <c r="D32" s="15"/>
      <c r="E32" s="15"/>
      <c r="F32" s="15"/>
      <c r="G32" s="15"/>
      <c r="H32" s="15"/>
      <c r="I32" s="15"/>
    </row>
    <row r="33" ht="25.25" customHeight="1"/>
    <row r="34" ht="25.25" customHeight="1"/>
    <row r="35" ht="25.25" customHeight="1"/>
    <row r="36" ht="25.25" customHeight="1"/>
    <row r="37" ht="25.25" customHeight="1"/>
    <row r="38" ht="25.25" customHeight="1"/>
    <row r="39" ht="25.25" customHeight="1"/>
    <row r="40" ht="25.25" customHeight="1"/>
    <row r="41" ht="25.25" customHeight="1"/>
    <row r="42" ht="25.25" customHeight="1"/>
    <row r="43" ht="25.25" customHeight="1"/>
    <row r="44" ht="25.25" customHeight="1"/>
    <row r="45" ht="25.25" customHeight="1"/>
    <row r="46" ht="25.25" customHeight="1"/>
    <row r="47" ht="25.25" customHeight="1"/>
    <row r="48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</sheetData>
  <mergeCells count="48">
    <mergeCell ref="A25:A28"/>
    <mergeCell ref="B25:I25"/>
    <mergeCell ref="B26:I26"/>
    <mergeCell ref="B27:I27"/>
    <mergeCell ref="B28:I28"/>
    <mergeCell ref="A21:B21"/>
    <mergeCell ref="C21:D21"/>
    <mergeCell ref="E21:G21"/>
    <mergeCell ref="H21:I21"/>
    <mergeCell ref="A22:B22"/>
    <mergeCell ref="C22:E22"/>
    <mergeCell ref="F22:H22"/>
    <mergeCell ref="A19:B19"/>
    <mergeCell ref="C19:D19"/>
    <mergeCell ref="E19:F19"/>
    <mergeCell ref="H19:I19"/>
    <mergeCell ref="A20:B20"/>
    <mergeCell ref="C20:D20"/>
    <mergeCell ref="E20:F20"/>
    <mergeCell ref="H20:I20"/>
    <mergeCell ref="C10:D10"/>
    <mergeCell ref="E10:F10"/>
    <mergeCell ref="G10:H10"/>
    <mergeCell ref="A12:B12"/>
    <mergeCell ref="A13:A16"/>
    <mergeCell ref="D15:G15"/>
    <mergeCell ref="A5:A10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A3:A4"/>
    <mergeCell ref="B3:B4"/>
    <mergeCell ref="C3:I3"/>
    <mergeCell ref="C4:D4"/>
    <mergeCell ref="E4:F4"/>
    <mergeCell ref="G4:H4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1" fitToHeight="0" pageOrder="overThenDown" orientation="portrait" r:id="rId1"/>
  <headerFooter alignWithMargins="0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4"/>
  <sheetViews>
    <sheetView showGridLines="0" view="pageBreakPreview" topLeftCell="A16" zoomScaleNormal="100" zoomScaleSheetLayoutView="100" workbookViewId="0">
      <selection activeCell="E37" sqref="E37:I37"/>
    </sheetView>
  </sheetViews>
  <sheetFormatPr baseColWidth="10" defaultColWidth="9" defaultRowHeight="17"/>
  <cols>
    <col min="1" max="1" width="1.5" style="71" customWidth="1"/>
    <col min="2" max="2" width="7.5" style="71" customWidth="1"/>
    <col min="3" max="3" width="11.33203125" style="71" customWidth="1"/>
    <col min="4" max="4" width="17.83203125" style="71" customWidth="1"/>
    <col min="5" max="5" width="15.6640625" style="71" customWidth="1"/>
    <col min="6" max="6" width="23.6640625" style="71" customWidth="1"/>
    <col min="7" max="8" width="14.5" style="71" customWidth="1"/>
    <col min="9" max="9" width="16.33203125" style="71" customWidth="1"/>
    <col min="10" max="11" width="14.5" style="71" customWidth="1"/>
    <col min="12" max="12" width="11.6640625" style="71" customWidth="1"/>
    <col min="13" max="16384" width="9" style="71"/>
  </cols>
  <sheetData>
    <row r="1" spans="1:13" ht="3.75" customHeight="1"/>
    <row r="2" spans="1:13" ht="20">
      <c r="A2" s="131"/>
      <c r="B2" s="130" t="s">
        <v>151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4.5" customHeight="1"/>
    <row r="4" spans="1:13">
      <c r="B4" s="42" t="s">
        <v>152</v>
      </c>
    </row>
    <row r="5" spans="1:13">
      <c r="B5" s="71" t="s">
        <v>153</v>
      </c>
    </row>
    <row r="6" spans="1:13">
      <c r="B6" s="71" t="s">
        <v>132</v>
      </c>
    </row>
    <row r="7" spans="1:13" ht="1.5" customHeight="1"/>
    <row r="8" spans="1:13">
      <c r="B8" s="47" t="s">
        <v>154</v>
      </c>
    </row>
    <row r="9" spans="1:13" ht="27.75" customHeight="1">
      <c r="B9" s="294" t="s">
        <v>91</v>
      </c>
      <c r="C9" s="294"/>
      <c r="D9" s="294"/>
      <c r="E9" s="294"/>
      <c r="F9" s="294" t="s">
        <v>92</v>
      </c>
      <c r="G9" s="294"/>
      <c r="H9" s="294"/>
      <c r="I9" s="294"/>
      <c r="J9" s="294"/>
      <c r="K9" s="294"/>
    </row>
    <row r="10" spans="1:13" ht="18.75" customHeight="1">
      <c r="B10" s="72" t="s">
        <v>90</v>
      </c>
      <c r="C10" s="73"/>
      <c r="D10" s="73"/>
      <c r="E10" s="74"/>
      <c r="F10" s="75" t="s">
        <v>96</v>
      </c>
      <c r="G10" s="73"/>
      <c r="H10" s="73"/>
      <c r="I10" s="73"/>
      <c r="J10" s="73"/>
      <c r="K10" s="74"/>
    </row>
    <row r="11" spans="1:13" ht="18.75" customHeight="1">
      <c r="B11" s="76"/>
      <c r="E11" s="77"/>
      <c r="F11" s="76" t="s">
        <v>94</v>
      </c>
      <c r="K11" s="77"/>
    </row>
    <row r="12" spans="1:13" ht="18.75" customHeight="1">
      <c r="B12" s="76"/>
      <c r="E12" s="77"/>
      <c r="F12" s="76" t="s">
        <v>95</v>
      </c>
      <c r="K12" s="77"/>
    </row>
    <row r="13" spans="1:13" ht="18.75" customHeight="1">
      <c r="B13" s="78" t="s">
        <v>93</v>
      </c>
      <c r="C13" s="79"/>
      <c r="D13" s="79"/>
      <c r="E13" s="80"/>
      <c r="F13" s="164" t="s">
        <v>155</v>
      </c>
      <c r="G13" s="79"/>
      <c r="H13" s="79"/>
      <c r="I13" s="79"/>
      <c r="J13" s="79"/>
      <c r="K13" s="80"/>
    </row>
    <row r="15" spans="1:13">
      <c r="B15" s="42" t="s">
        <v>108</v>
      </c>
    </row>
    <row r="16" spans="1:13">
      <c r="B16" s="71" t="s">
        <v>107</v>
      </c>
    </row>
    <row r="17" spans="2:11">
      <c r="B17" s="71" t="s">
        <v>73</v>
      </c>
    </row>
    <row r="18" spans="2:11">
      <c r="B18" s="71" t="s">
        <v>74</v>
      </c>
    </row>
    <row r="19" spans="2:11">
      <c r="B19" s="71" t="s">
        <v>75</v>
      </c>
    </row>
    <row r="20" spans="2:11">
      <c r="B20" s="47" t="s">
        <v>164</v>
      </c>
      <c r="C20" s="47"/>
      <c r="D20" s="47"/>
      <c r="E20" s="47"/>
      <c r="F20" s="47"/>
      <c r="G20" s="47"/>
    </row>
    <row r="21" spans="2:11">
      <c r="B21" s="47"/>
      <c r="C21" s="95" t="s">
        <v>163</v>
      </c>
      <c r="D21" s="47"/>
      <c r="E21" s="47"/>
      <c r="F21" s="47"/>
      <c r="G21" s="47"/>
    </row>
    <row r="22" spans="2:11" ht="3" customHeight="1">
      <c r="B22" s="47"/>
      <c r="C22" s="95"/>
      <c r="D22" s="47"/>
      <c r="E22" s="47"/>
      <c r="F22" s="47"/>
      <c r="G22" s="47"/>
    </row>
    <row r="23" spans="2:11">
      <c r="B23" s="165" t="s">
        <v>199</v>
      </c>
      <c r="C23" s="166"/>
      <c r="D23" s="167"/>
      <c r="E23" s="167"/>
      <c r="F23" s="167"/>
      <c r="G23" s="167"/>
      <c r="H23" s="168"/>
      <c r="I23" s="168"/>
      <c r="J23" s="168"/>
      <c r="K23" s="169"/>
    </row>
    <row r="24" spans="2:11">
      <c r="B24" s="170" t="s">
        <v>210</v>
      </c>
      <c r="C24" s="171"/>
      <c r="D24" s="172"/>
      <c r="E24" s="172"/>
      <c r="F24" s="172"/>
      <c r="G24" s="172"/>
      <c r="H24" s="173"/>
      <c r="I24" s="173"/>
      <c r="J24" s="173"/>
      <c r="K24" s="174"/>
    </row>
    <row r="25" spans="2:11">
      <c r="B25" s="175" t="s">
        <v>202</v>
      </c>
      <c r="C25" s="176"/>
      <c r="D25" s="177"/>
      <c r="E25" s="177"/>
      <c r="F25" s="177"/>
      <c r="G25" s="177"/>
      <c r="H25" s="178"/>
      <c r="I25" s="178"/>
      <c r="J25" s="178"/>
      <c r="K25" s="179"/>
    </row>
    <row r="26" spans="2:11">
      <c r="B26" s="47"/>
      <c r="C26" s="95"/>
      <c r="D26" s="47"/>
      <c r="E26" s="47"/>
      <c r="F26" s="47"/>
      <c r="G26" s="47"/>
    </row>
    <row r="27" spans="2:11">
      <c r="B27" s="47"/>
      <c r="C27" s="47"/>
      <c r="D27" s="47"/>
      <c r="E27" s="47"/>
      <c r="F27" s="47"/>
      <c r="G27" s="47"/>
    </row>
    <row r="29" spans="2:11">
      <c r="B29" s="42" t="s">
        <v>109</v>
      </c>
    </row>
    <row r="30" spans="2:11" ht="21" customHeight="1">
      <c r="B30" s="272" t="s">
        <v>110</v>
      </c>
      <c r="C30" s="272"/>
      <c r="D30" s="272"/>
      <c r="E30" s="272" t="s">
        <v>133</v>
      </c>
      <c r="F30" s="272"/>
      <c r="G30" s="272"/>
      <c r="H30" s="272"/>
      <c r="I30" s="272"/>
      <c r="J30" s="67" t="s">
        <v>134</v>
      </c>
    </row>
    <row r="31" spans="2:11" ht="21" customHeight="1">
      <c r="B31" s="274" t="s">
        <v>135</v>
      </c>
      <c r="C31" s="274"/>
      <c r="D31" s="274"/>
      <c r="E31" s="273" t="s">
        <v>156</v>
      </c>
      <c r="F31" s="273"/>
      <c r="G31" s="273"/>
      <c r="H31" s="273"/>
      <c r="I31" s="273"/>
      <c r="J31" s="68"/>
    </row>
    <row r="32" spans="2:11" ht="21" customHeight="1">
      <c r="B32" s="275" t="s">
        <v>136</v>
      </c>
      <c r="C32" s="275"/>
      <c r="D32" s="275"/>
      <c r="E32" s="271" t="s">
        <v>137</v>
      </c>
      <c r="F32" s="271"/>
      <c r="G32" s="271"/>
      <c r="H32" s="271"/>
      <c r="I32" s="271"/>
      <c r="J32" s="69"/>
    </row>
    <row r="33" spans="2:12" ht="39.75" customHeight="1">
      <c r="B33" s="275" t="s">
        <v>138</v>
      </c>
      <c r="C33" s="275"/>
      <c r="D33" s="275"/>
      <c r="E33" s="271" t="s">
        <v>162</v>
      </c>
      <c r="F33" s="271"/>
      <c r="G33" s="271"/>
      <c r="H33" s="271"/>
      <c r="I33" s="271"/>
      <c r="J33" s="69" t="s">
        <v>139</v>
      </c>
    </row>
    <row r="34" spans="2:12" ht="36.75" customHeight="1">
      <c r="B34" s="275" t="s">
        <v>140</v>
      </c>
      <c r="C34" s="275"/>
      <c r="D34" s="275"/>
      <c r="E34" s="271" t="s">
        <v>200</v>
      </c>
      <c r="F34" s="271"/>
      <c r="G34" s="271"/>
      <c r="H34" s="271"/>
      <c r="I34" s="271"/>
      <c r="J34" s="69"/>
    </row>
    <row r="35" spans="2:12" ht="21" customHeight="1">
      <c r="B35" s="285" t="s">
        <v>141</v>
      </c>
      <c r="C35" s="286"/>
      <c r="D35" s="287"/>
      <c r="E35" s="270" t="s">
        <v>142</v>
      </c>
      <c r="F35" s="270"/>
      <c r="G35" s="270"/>
      <c r="H35" s="270"/>
      <c r="I35" s="270"/>
      <c r="J35" s="180" t="s">
        <v>143</v>
      </c>
    </row>
    <row r="36" spans="2:12" ht="21" customHeight="1">
      <c r="B36" s="288"/>
      <c r="C36" s="289"/>
      <c r="D36" s="290"/>
      <c r="E36" s="291" t="s">
        <v>218</v>
      </c>
      <c r="F36" s="292"/>
      <c r="G36" s="292"/>
      <c r="H36" s="292"/>
      <c r="I36" s="293"/>
      <c r="J36" s="181"/>
    </row>
    <row r="37" spans="2:12" ht="39.75" customHeight="1">
      <c r="B37" s="275" t="s">
        <v>145</v>
      </c>
      <c r="C37" s="275"/>
      <c r="D37" s="275"/>
      <c r="E37" s="271" t="s">
        <v>166</v>
      </c>
      <c r="F37" s="271"/>
      <c r="G37" s="271"/>
      <c r="H37" s="271"/>
      <c r="I37" s="271"/>
      <c r="J37" s="69" t="s">
        <v>144</v>
      </c>
    </row>
    <row r="38" spans="2:12" ht="21" customHeight="1">
      <c r="B38" s="275" t="s">
        <v>167</v>
      </c>
      <c r="C38" s="275"/>
      <c r="D38" s="275"/>
      <c r="E38" s="271" t="s">
        <v>168</v>
      </c>
      <c r="F38" s="271"/>
      <c r="G38" s="271"/>
      <c r="H38" s="271"/>
      <c r="I38" s="271"/>
      <c r="J38" s="69"/>
    </row>
    <row r="39" spans="2:12" ht="21" customHeight="1">
      <c r="B39" s="275" t="s">
        <v>146</v>
      </c>
      <c r="C39" s="275"/>
      <c r="D39" s="275"/>
      <c r="E39" s="271" t="s">
        <v>169</v>
      </c>
      <c r="F39" s="271"/>
      <c r="G39" s="271"/>
      <c r="H39" s="271"/>
      <c r="I39" s="271"/>
      <c r="J39" s="69"/>
    </row>
    <row r="40" spans="2:12" ht="21" customHeight="1">
      <c r="B40" s="275" t="s">
        <v>147</v>
      </c>
      <c r="C40" s="275"/>
      <c r="D40" s="275"/>
      <c r="E40" s="271" t="s">
        <v>170</v>
      </c>
      <c r="F40" s="271"/>
      <c r="G40" s="271"/>
      <c r="H40" s="271"/>
      <c r="I40" s="271"/>
      <c r="J40" s="69"/>
    </row>
    <row r="41" spans="2:12" ht="21" customHeight="1">
      <c r="B41" s="300" t="s">
        <v>148</v>
      </c>
      <c r="C41" s="300"/>
      <c r="D41" s="300"/>
      <c r="E41" s="284" t="s">
        <v>171</v>
      </c>
      <c r="F41" s="284"/>
      <c r="G41" s="284"/>
      <c r="H41" s="284"/>
      <c r="I41" s="284"/>
      <c r="J41" s="70"/>
    </row>
    <row r="43" spans="2:12">
      <c r="B43" s="42" t="s">
        <v>131</v>
      </c>
    </row>
    <row r="44" spans="2:12" ht="16.5" customHeight="1">
      <c r="B44" s="276" t="s">
        <v>53</v>
      </c>
      <c r="C44" s="276" t="s">
        <v>55</v>
      </c>
      <c r="D44" s="301" t="s">
        <v>103</v>
      </c>
      <c r="E44" s="276" t="s">
        <v>56</v>
      </c>
      <c r="F44" s="276" t="s">
        <v>29</v>
      </c>
      <c r="G44" s="276" t="s">
        <v>62</v>
      </c>
      <c r="H44" s="276"/>
      <c r="I44" s="276"/>
      <c r="J44" s="276"/>
      <c r="K44" s="276"/>
      <c r="L44" s="276"/>
    </row>
    <row r="45" spans="2:12" ht="18">
      <c r="B45" s="276"/>
      <c r="C45" s="276"/>
      <c r="D45" s="302"/>
      <c r="E45" s="276"/>
      <c r="F45" s="276"/>
      <c r="G45" s="81" t="s">
        <v>204</v>
      </c>
      <c r="H45" s="81" t="s">
        <v>205</v>
      </c>
      <c r="I45" s="81" t="s">
        <v>206</v>
      </c>
      <c r="J45" s="81" t="s">
        <v>207</v>
      </c>
      <c r="K45" s="81" t="s">
        <v>208</v>
      </c>
      <c r="L45" s="81" t="s">
        <v>209</v>
      </c>
    </row>
    <row r="46" spans="2:12" ht="24.75" customHeight="1">
      <c r="B46" s="295" t="s">
        <v>72</v>
      </c>
      <c r="C46" s="295" t="s">
        <v>55</v>
      </c>
      <c r="D46" s="123"/>
      <c r="E46" s="298" t="s">
        <v>149</v>
      </c>
      <c r="F46" s="82" t="s">
        <v>58</v>
      </c>
      <c r="G46" s="124">
        <v>1500000</v>
      </c>
      <c r="H46" s="124">
        <v>1500000</v>
      </c>
      <c r="I46" s="124">
        <v>1500000</v>
      </c>
      <c r="J46" s="124">
        <v>1500000</v>
      </c>
      <c r="K46" s="124">
        <v>1500000</v>
      </c>
      <c r="L46" s="124">
        <v>1500000</v>
      </c>
    </row>
    <row r="47" spans="2:12" ht="24.75" customHeight="1">
      <c r="B47" s="296"/>
      <c r="C47" s="296"/>
      <c r="D47" s="125" t="s">
        <v>105</v>
      </c>
      <c r="E47" s="299"/>
      <c r="F47" s="82" t="s">
        <v>57</v>
      </c>
      <c r="G47" s="124">
        <v>1400000</v>
      </c>
      <c r="H47" s="124">
        <v>1400000</v>
      </c>
      <c r="I47" s="124">
        <v>1400000</v>
      </c>
      <c r="J47" s="124">
        <v>1400000</v>
      </c>
      <c r="K47" s="124">
        <v>1400000</v>
      </c>
      <c r="L47" s="124">
        <v>1400000</v>
      </c>
    </row>
    <row r="48" spans="2:12" ht="24.75" customHeight="1">
      <c r="B48" s="296"/>
      <c r="C48" s="296"/>
      <c r="D48" s="126">
        <v>1200000</v>
      </c>
      <c r="E48" s="299"/>
      <c r="F48" s="82" t="s">
        <v>64</v>
      </c>
      <c r="G48" s="127">
        <v>0.3</v>
      </c>
      <c r="H48" s="127">
        <v>0.2</v>
      </c>
      <c r="I48" s="127">
        <v>0.2</v>
      </c>
      <c r="J48" s="127">
        <v>0.2</v>
      </c>
      <c r="K48" s="127">
        <v>0.2</v>
      </c>
      <c r="L48" s="127">
        <v>0.2</v>
      </c>
    </row>
    <row r="49" spans="2:12" ht="24.75" customHeight="1">
      <c r="B49" s="296"/>
      <c r="C49" s="296"/>
      <c r="D49" s="125" t="s">
        <v>106</v>
      </c>
      <c r="E49" s="299"/>
      <c r="F49" s="128" t="s">
        <v>59</v>
      </c>
      <c r="G49" s="129">
        <f>G46*G48</f>
        <v>450000</v>
      </c>
      <c r="H49" s="129">
        <f t="shared" ref="H49:L49" si="0">H46*H48</f>
        <v>300000</v>
      </c>
      <c r="I49" s="129">
        <f t="shared" si="0"/>
        <v>300000</v>
      </c>
      <c r="J49" s="129">
        <f t="shared" si="0"/>
        <v>300000</v>
      </c>
      <c r="K49" s="129">
        <f t="shared" si="0"/>
        <v>300000</v>
      </c>
      <c r="L49" s="129">
        <f t="shared" si="0"/>
        <v>300000</v>
      </c>
    </row>
    <row r="50" spans="2:12" ht="24.75" customHeight="1">
      <c r="B50" s="296"/>
      <c r="C50" s="296"/>
      <c r="D50" s="126">
        <v>2400000</v>
      </c>
      <c r="E50" s="299"/>
      <c r="F50" s="82" t="s">
        <v>104</v>
      </c>
      <c r="G50" s="124">
        <f>D48/12</f>
        <v>100000</v>
      </c>
      <c r="H50" s="124">
        <f>G50</f>
        <v>100000</v>
      </c>
      <c r="I50" s="124">
        <f t="shared" ref="I50:L50" si="1">H50</f>
        <v>100000</v>
      </c>
      <c r="J50" s="124">
        <f t="shared" si="1"/>
        <v>100000</v>
      </c>
      <c r="K50" s="124">
        <f t="shared" si="1"/>
        <v>100000</v>
      </c>
      <c r="L50" s="124">
        <f t="shared" si="1"/>
        <v>100000</v>
      </c>
    </row>
    <row r="51" spans="2:12" ht="24.75" customHeight="1">
      <c r="B51" s="297"/>
      <c r="C51" s="297"/>
      <c r="D51" s="102"/>
      <c r="E51" s="299"/>
      <c r="F51" s="82" t="s">
        <v>100</v>
      </c>
      <c r="G51" s="124">
        <f>D50/12</f>
        <v>200000</v>
      </c>
      <c r="H51" s="124">
        <v>200000</v>
      </c>
      <c r="I51" s="124">
        <v>300000</v>
      </c>
      <c r="J51" s="124">
        <v>300000</v>
      </c>
      <c r="K51" s="124">
        <v>300000</v>
      </c>
      <c r="L51" s="124">
        <v>300000</v>
      </c>
    </row>
    <row r="53" spans="2:12" hidden="1">
      <c r="B53" s="71" t="s">
        <v>86</v>
      </c>
    </row>
    <row r="54" spans="2:12" hidden="1">
      <c r="B54" s="276" t="s">
        <v>53</v>
      </c>
      <c r="C54" s="276" t="s">
        <v>55</v>
      </c>
      <c r="D54" s="276" t="s">
        <v>56</v>
      </c>
      <c r="E54" s="276" t="s">
        <v>29</v>
      </c>
      <c r="F54" s="282" t="s">
        <v>62</v>
      </c>
      <c r="G54" s="283"/>
      <c r="H54" s="276" t="s">
        <v>67</v>
      </c>
    </row>
    <row r="55" spans="2:12" ht="18" hidden="1">
      <c r="B55" s="276"/>
      <c r="C55" s="276"/>
      <c r="D55" s="276"/>
      <c r="E55" s="276"/>
      <c r="F55" s="83" t="s">
        <v>70</v>
      </c>
      <c r="G55" s="83" t="s">
        <v>71</v>
      </c>
      <c r="H55" s="276"/>
    </row>
    <row r="56" spans="2:12" hidden="1">
      <c r="B56" s="277" t="s">
        <v>72</v>
      </c>
      <c r="C56" s="277" t="s">
        <v>87</v>
      </c>
      <c r="D56" s="280" t="s">
        <v>76</v>
      </c>
      <c r="E56" s="82" t="s">
        <v>58</v>
      </c>
      <c r="F56" s="84">
        <v>1500000</v>
      </c>
      <c r="G56" s="84">
        <v>1500000</v>
      </c>
      <c r="H56" s="41" t="s">
        <v>68</v>
      </c>
    </row>
    <row r="57" spans="2:12" hidden="1">
      <c r="B57" s="278"/>
      <c r="C57" s="278"/>
      <c r="D57" s="281"/>
      <c r="E57" s="82" t="s">
        <v>57</v>
      </c>
      <c r="F57" s="84">
        <v>1400000</v>
      </c>
      <c r="G57" s="84">
        <v>1425000</v>
      </c>
      <c r="H57" s="41" t="s">
        <v>69</v>
      </c>
    </row>
    <row r="58" spans="2:12" hidden="1">
      <c r="B58" s="278"/>
      <c r="C58" s="278"/>
      <c r="D58" s="281"/>
      <c r="E58" s="82" t="s">
        <v>82</v>
      </c>
      <c r="F58" s="84">
        <v>100000</v>
      </c>
      <c r="G58" s="84">
        <v>100000</v>
      </c>
      <c r="H58" s="41" t="s">
        <v>88</v>
      </c>
    </row>
    <row r="59" spans="2:12" hidden="1">
      <c r="B59" s="278"/>
      <c r="C59" s="278"/>
      <c r="D59" s="281"/>
      <c r="E59" s="82" t="s">
        <v>85</v>
      </c>
      <c r="F59" s="84">
        <v>120000</v>
      </c>
      <c r="G59" s="84">
        <v>120000</v>
      </c>
      <c r="H59" s="41" t="s">
        <v>89</v>
      </c>
    </row>
    <row r="60" spans="2:12" hidden="1">
      <c r="B60" s="278"/>
      <c r="C60" s="278"/>
      <c r="D60" s="281"/>
      <c r="E60" s="82" t="s">
        <v>83</v>
      </c>
      <c r="F60" s="85">
        <v>0.33500000000000002</v>
      </c>
      <c r="G60" s="85">
        <v>0.2</v>
      </c>
      <c r="H60" s="41" t="s">
        <v>77</v>
      </c>
    </row>
    <row r="61" spans="2:12" hidden="1">
      <c r="B61" s="278"/>
      <c r="C61" s="278"/>
      <c r="D61" s="281"/>
      <c r="E61" s="86" t="s">
        <v>84</v>
      </c>
      <c r="F61" s="87">
        <f>(F56+F58+F59)*F60</f>
        <v>576200</v>
      </c>
      <c r="G61" s="87">
        <f>(G56+G58+G59)*G60</f>
        <v>344000</v>
      </c>
      <c r="H61" s="41"/>
    </row>
    <row r="62" spans="2:12" hidden="1">
      <c r="B62" s="278"/>
      <c r="C62" s="278"/>
      <c r="D62" s="281"/>
      <c r="E62" s="82" t="s">
        <v>65</v>
      </c>
      <c r="F62" s="84">
        <v>500000</v>
      </c>
      <c r="G62" s="84">
        <v>300000</v>
      </c>
      <c r="H62" s="41" t="s">
        <v>78</v>
      </c>
    </row>
    <row r="63" spans="2:12" hidden="1">
      <c r="B63" s="279"/>
      <c r="C63" s="279"/>
      <c r="D63" s="281"/>
      <c r="E63" s="82" t="s">
        <v>66</v>
      </c>
      <c r="F63" s="84"/>
      <c r="G63" s="84"/>
      <c r="H63" s="41" t="s">
        <v>79</v>
      </c>
    </row>
    <row r="64" spans="2:12" hidden="1"/>
    <row r="65" spans="2:2" hidden="1"/>
    <row r="67" spans="2:2">
      <c r="B67" s="47" t="s">
        <v>129</v>
      </c>
    </row>
    <row r="84" spans="2:8">
      <c r="B84" s="47" t="s">
        <v>128</v>
      </c>
      <c r="H84" s="47" t="s">
        <v>130</v>
      </c>
    </row>
  </sheetData>
  <mergeCells count="43">
    <mergeCell ref="B35:D36"/>
    <mergeCell ref="E36:I36"/>
    <mergeCell ref="B9:E9"/>
    <mergeCell ref="F9:K9"/>
    <mergeCell ref="B46:B51"/>
    <mergeCell ref="C46:C51"/>
    <mergeCell ref="E46:E51"/>
    <mergeCell ref="F44:F45"/>
    <mergeCell ref="B44:B45"/>
    <mergeCell ref="C44:C45"/>
    <mergeCell ref="E44:E45"/>
    <mergeCell ref="B41:D41"/>
    <mergeCell ref="D44:D45"/>
    <mergeCell ref="B37:D37"/>
    <mergeCell ref="B38:D38"/>
    <mergeCell ref="B39:D39"/>
    <mergeCell ref="B40:D40"/>
    <mergeCell ref="H54:H55"/>
    <mergeCell ref="B56:B63"/>
    <mergeCell ref="C56:C63"/>
    <mergeCell ref="D56:D63"/>
    <mergeCell ref="B54:B55"/>
    <mergeCell ref="C54:C55"/>
    <mergeCell ref="D54:D55"/>
    <mergeCell ref="E54:E55"/>
    <mergeCell ref="F54:G54"/>
    <mergeCell ref="E41:I41"/>
    <mergeCell ref="G44:L44"/>
    <mergeCell ref="B30:D30"/>
    <mergeCell ref="B31:D31"/>
    <mergeCell ref="B32:D32"/>
    <mergeCell ref="B33:D33"/>
    <mergeCell ref="B34:D34"/>
    <mergeCell ref="E30:I30"/>
    <mergeCell ref="E31:I31"/>
    <mergeCell ref="E32:I32"/>
    <mergeCell ref="E33:I33"/>
    <mergeCell ref="E34:I34"/>
    <mergeCell ref="E35:I35"/>
    <mergeCell ref="E37:I37"/>
    <mergeCell ref="E38:I38"/>
    <mergeCell ref="E39:I39"/>
    <mergeCell ref="E40:I4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530E-B1A4-48A2-87FB-5D33EE607A99}">
  <dimension ref="B2:N26"/>
  <sheetViews>
    <sheetView showGridLines="0" workbookViewId="0">
      <selection activeCell="H6" sqref="H6"/>
    </sheetView>
  </sheetViews>
  <sheetFormatPr baseColWidth="10" defaultColWidth="9" defaultRowHeight="17"/>
  <cols>
    <col min="1" max="1" width="9" style="52"/>
    <col min="2" max="2" width="8.1640625" style="52" customWidth="1"/>
    <col min="3" max="5" width="9" style="52"/>
    <col min="6" max="6" width="5.5" style="52" bestFit="1" customWidth="1"/>
    <col min="7" max="7" width="14.1640625" style="52" bestFit="1" customWidth="1"/>
    <col min="8" max="9" width="9.1640625" style="52" bestFit="1" customWidth="1"/>
    <col min="10" max="12" width="10" style="52" bestFit="1" customWidth="1"/>
    <col min="13" max="13" width="9" style="52"/>
    <col min="14" max="14" width="10.83203125" style="52" bestFit="1" customWidth="1"/>
    <col min="15" max="16384" width="9" style="52"/>
  </cols>
  <sheetData>
    <row r="2" spans="2:14" ht="20">
      <c r="B2" s="66" t="s">
        <v>126</v>
      </c>
      <c r="L2" s="65" t="s">
        <v>127</v>
      </c>
    </row>
    <row r="3" spans="2:14" ht="18" thickBot="1"/>
    <row r="4" spans="2:14" ht="31.5" customHeight="1">
      <c r="B4" s="314" t="s">
        <v>111</v>
      </c>
      <c r="C4" s="305"/>
      <c r="D4" s="305" t="s">
        <v>113</v>
      </c>
      <c r="E4" s="305" t="s">
        <v>116</v>
      </c>
      <c r="F4" s="305" t="s">
        <v>117</v>
      </c>
      <c r="G4" s="303" t="s">
        <v>121</v>
      </c>
      <c r="H4" s="303" t="s">
        <v>122</v>
      </c>
      <c r="I4" s="303" t="s">
        <v>123</v>
      </c>
      <c r="J4" s="305" t="s">
        <v>124</v>
      </c>
      <c r="K4" s="305"/>
      <c r="L4" s="306"/>
    </row>
    <row r="5" spans="2:14" ht="31.5" customHeight="1" thickBot="1">
      <c r="B5" s="315"/>
      <c r="C5" s="316"/>
      <c r="D5" s="316"/>
      <c r="E5" s="316"/>
      <c r="F5" s="316"/>
      <c r="G5" s="304"/>
      <c r="H5" s="304"/>
      <c r="I5" s="304"/>
      <c r="J5" s="57" t="s">
        <v>101</v>
      </c>
      <c r="K5" s="57" t="s">
        <v>1</v>
      </c>
      <c r="L5" s="58" t="s">
        <v>8</v>
      </c>
    </row>
    <row r="6" spans="2:14" ht="31.5" customHeight="1" thickTop="1">
      <c r="B6" s="307" t="s">
        <v>125</v>
      </c>
      <c r="C6" s="310" t="s">
        <v>112</v>
      </c>
      <c r="D6" s="313" t="s">
        <v>114</v>
      </c>
      <c r="E6" s="55" t="s">
        <v>72</v>
      </c>
      <c r="F6" s="55" t="s">
        <v>118</v>
      </c>
      <c r="G6" s="56">
        <v>1000</v>
      </c>
      <c r="H6" s="56">
        <v>30</v>
      </c>
      <c r="I6" s="55">
        <v>12</v>
      </c>
      <c r="J6" s="59">
        <v>1200</v>
      </c>
      <c r="K6" s="59">
        <v>2400</v>
      </c>
      <c r="L6" s="60">
        <f>SUM(J6:K6)</f>
        <v>3600</v>
      </c>
      <c r="N6" s="53"/>
    </row>
    <row r="7" spans="2:14" ht="31.5" customHeight="1">
      <c r="B7" s="308"/>
      <c r="C7" s="311"/>
      <c r="D7" s="310"/>
      <c r="E7" s="54"/>
      <c r="F7" s="54"/>
      <c r="G7" s="54"/>
      <c r="H7" s="54"/>
      <c r="I7" s="54"/>
      <c r="J7" s="61"/>
      <c r="K7" s="61"/>
      <c r="L7" s="62"/>
    </row>
    <row r="8" spans="2:14" ht="31.5" customHeight="1">
      <c r="B8" s="308"/>
      <c r="C8" s="311"/>
      <c r="D8" s="54" t="s">
        <v>115</v>
      </c>
      <c r="E8" s="54" t="s">
        <v>119</v>
      </c>
      <c r="F8" s="54" t="s">
        <v>120</v>
      </c>
      <c r="G8" s="54"/>
      <c r="H8" s="54"/>
      <c r="I8" s="54"/>
      <c r="J8" s="61"/>
      <c r="K8" s="61"/>
      <c r="L8" s="62"/>
    </row>
    <row r="9" spans="2:14" ht="31.5" customHeight="1" thickBot="1">
      <c r="B9" s="309"/>
      <c r="C9" s="312" t="s">
        <v>63</v>
      </c>
      <c r="D9" s="312"/>
      <c r="E9" s="312"/>
      <c r="F9" s="312"/>
      <c r="G9" s="312"/>
      <c r="H9" s="312"/>
      <c r="I9" s="312"/>
      <c r="J9" s="63">
        <f>SUM(J6:J8)</f>
        <v>1200</v>
      </c>
      <c r="K9" s="63">
        <f t="shared" ref="K9:L9" si="0">SUM(K6:K8)</f>
        <v>2400</v>
      </c>
      <c r="L9" s="64">
        <f t="shared" si="0"/>
        <v>3600</v>
      </c>
    </row>
    <row r="10" spans="2:14" ht="31.5" customHeight="1"/>
    <row r="11" spans="2:14" ht="31.5" customHeight="1"/>
    <row r="12" spans="2:14" ht="31.5" customHeight="1"/>
    <row r="13" spans="2:14" ht="31.5" customHeight="1"/>
    <row r="14" spans="2:14" ht="31.5" customHeight="1"/>
    <row r="15" spans="2:14" ht="31.5" customHeight="1"/>
    <row r="16" spans="2:14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</sheetData>
  <mergeCells count="12">
    <mergeCell ref="I4:I5"/>
    <mergeCell ref="J4:L4"/>
    <mergeCell ref="B6:B9"/>
    <mergeCell ref="C6:C8"/>
    <mergeCell ref="C9:I9"/>
    <mergeCell ref="D6:D7"/>
    <mergeCell ref="B4:C5"/>
    <mergeCell ref="D4:D5"/>
    <mergeCell ref="E4:E5"/>
    <mergeCell ref="F4:F5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BDF9-9D92-4A64-898A-7A05EDFAC057}">
  <dimension ref="A1:U59"/>
  <sheetViews>
    <sheetView showGridLines="0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W51" sqref="W51"/>
    </sheetView>
  </sheetViews>
  <sheetFormatPr baseColWidth="10" defaultColWidth="8.83203125" defaultRowHeight="17"/>
  <cols>
    <col min="2" max="3" width="10" customWidth="1"/>
    <col min="5" max="6" width="10.1640625" customWidth="1"/>
    <col min="7" max="7" width="12.6640625" customWidth="1"/>
    <col min="8" max="9" width="10.1640625" customWidth="1"/>
    <col min="10" max="12" width="14" customWidth="1"/>
    <col min="14" max="15" width="10.1640625" customWidth="1"/>
    <col min="16" max="16" width="12" customWidth="1"/>
    <col min="17" max="18" width="10.1640625" customWidth="1"/>
    <col min="19" max="21" width="14" customWidth="1"/>
  </cols>
  <sheetData>
    <row r="1" spans="1:21" ht="27.75" customHeight="1"/>
    <row r="2" spans="1:21" ht="20">
      <c r="A2" s="48" t="s">
        <v>174</v>
      </c>
      <c r="F2" s="47" t="s">
        <v>223</v>
      </c>
      <c r="U2" s="103" t="s">
        <v>60</v>
      </c>
    </row>
    <row r="3" spans="1:21" ht="18" thickBot="1">
      <c r="U3" s="104" t="s">
        <v>211</v>
      </c>
    </row>
    <row r="4" spans="1:21" ht="18" thickTop="1">
      <c r="A4" s="325" t="s">
        <v>175</v>
      </c>
      <c r="B4" s="326"/>
      <c r="C4" s="326"/>
      <c r="D4" s="331" t="s">
        <v>176</v>
      </c>
      <c r="E4" s="332"/>
      <c r="F4" s="332"/>
      <c r="G4" s="332"/>
      <c r="H4" s="332"/>
      <c r="I4" s="332"/>
      <c r="J4" s="332"/>
      <c r="K4" s="332"/>
      <c r="L4" s="332"/>
      <c r="M4" s="333" t="s">
        <v>177</v>
      </c>
      <c r="N4" s="334"/>
      <c r="O4" s="334"/>
      <c r="P4" s="334"/>
      <c r="Q4" s="334"/>
      <c r="R4" s="334"/>
      <c r="S4" s="334"/>
      <c r="T4" s="334"/>
      <c r="U4" s="335"/>
    </row>
    <row r="5" spans="1:21">
      <c r="A5" s="327"/>
      <c r="B5" s="328"/>
      <c r="C5" s="328"/>
      <c r="D5" s="336" t="s">
        <v>178</v>
      </c>
      <c r="E5" s="132"/>
      <c r="F5" s="132"/>
      <c r="G5" s="132" t="s">
        <v>179</v>
      </c>
      <c r="H5" s="132" t="s">
        <v>180</v>
      </c>
      <c r="I5" s="132" t="s">
        <v>181</v>
      </c>
      <c r="J5" s="339" t="s">
        <v>182</v>
      </c>
      <c r="K5" s="340"/>
      <c r="L5" s="340"/>
      <c r="M5" s="343" t="s">
        <v>178</v>
      </c>
      <c r="N5" s="132"/>
      <c r="O5" s="132"/>
      <c r="P5" s="132" t="s">
        <v>179</v>
      </c>
      <c r="Q5" s="132" t="s">
        <v>180</v>
      </c>
      <c r="R5" s="132" t="s">
        <v>181</v>
      </c>
      <c r="S5" s="339" t="s">
        <v>182</v>
      </c>
      <c r="T5" s="340"/>
      <c r="U5" s="346"/>
    </row>
    <row r="6" spans="1:21">
      <c r="A6" s="327"/>
      <c r="B6" s="328"/>
      <c r="C6" s="328"/>
      <c r="D6" s="337"/>
      <c r="E6" s="133" t="s">
        <v>116</v>
      </c>
      <c r="F6" s="133" t="s">
        <v>117</v>
      </c>
      <c r="G6" s="133" t="s">
        <v>183</v>
      </c>
      <c r="H6" s="133" t="s">
        <v>184</v>
      </c>
      <c r="I6" s="133" t="s">
        <v>185</v>
      </c>
      <c r="J6" s="341"/>
      <c r="K6" s="342"/>
      <c r="L6" s="342"/>
      <c r="M6" s="344"/>
      <c r="N6" s="133" t="s">
        <v>116</v>
      </c>
      <c r="O6" s="133" t="s">
        <v>117</v>
      </c>
      <c r="P6" s="133" t="s">
        <v>183</v>
      </c>
      <c r="Q6" s="133" t="s">
        <v>184</v>
      </c>
      <c r="R6" s="133" t="s">
        <v>185</v>
      </c>
      <c r="S6" s="341"/>
      <c r="T6" s="342"/>
      <c r="U6" s="347"/>
    </row>
    <row r="7" spans="1:21" ht="18" thickBot="1">
      <c r="A7" s="329"/>
      <c r="B7" s="330"/>
      <c r="C7" s="330"/>
      <c r="D7" s="338"/>
      <c r="E7" s="134"/>
      <c r="F7" s="134"/>
      <c r="G7" s="134" t="s">
        <v>186</v>
      </c>
      <c r="H7" s="134" t="s">
        <v>187</v>
      </c>
      <c r="I7" s="135" t="s">
        <v>188</v>
      </c>
      <c r="J7" s="136" t="s">
        <v>101</v>
      </c>
      <c r="K7" s="136" t="s">
        <v>1</v>
      </c>
      <c r="L7" s="137" t="s">
        <v>8</v>
      </c>
      <c r="M7" s="345"/>
      <c r="N7" s="134"/>
      <c r="O7" s="134"/>
      <c r="P7" s="134" t="s">
        <v>186</v>
      </c>
      <c r="Q7" s="134" t="s">
        <v>187</v>
      </c>
      <c r="R7" s="135" t="s">
        <v>188</v>
      </c>
      <c r="S7" s="136" t="s">
        <v>101</v>
      </c>
      <c r="T7" s="136" t="s">
        <v>1</v>
      </c>
      <c r="U7" s="138" t="s">
        <v>8</v>
      </c>
    </row>
    <row r="8" spans="1:21" ht="18" thickTop="1">
      <c r="A8" s="372" t="s">
        <v>189</v>
      </c>
      <c r="B8" s="374" t="s">
        <v>190</v>
      </c>
      <c r="C8" s="376" t="s">
        <v>190</v>
      </c>
      <c r="D8" s="377" t="s">
        <v>114</v>
      </c>
      <c r="E8" s="100" t="s">
        <v>229</v>
      </c>
      <c r="F8" s="100" t="s">
        <v>191</v>
      </c>
      <c r="G8" s="105">
        <v>10000000</v>
      </c>
      <c r="H8" s="106">
        <v>0.46</v>
      </c>
      <c r="I8" s="100">
        <v>5</v>
      </c>
      <c r="J8" s="107">
        <v>5000000</v>
      </c>
      <c r="K8" s="107">
        <v>18000000</v>
      </c>
      <c r="L8" s="108">
        <f>J8+K8</f>
        <v>23000000</v>
      </c>
      <c r="M8" s="378" t="s">
        <v>114</v>
      </c>
      <c r="N8" s="100" t="s">
        <v>232</v>
      </c>
      <c r="O8" s="100" t="s">
        <v>233</v>
      </c>
      <c r="P8" s="105">
        <v>10000</v>
      </c>
      <c r="Q8" s="109">
        <v>0.46</v>
      </c>
      <c r="R8" s="100">
        <v>4</v>
      </c>
      <c r="S8" s="107">
        <v>4000000</v>
      </c>
      <c r="T8" s="107">
        <v>14400000</v>
      </c>
      <c r="U8" s="110">
        <f>S8+T8</f>
        <v>18400000</v>
      </c>
    </row>
    <row r="9" spans="1:21">
      <c r="A9" s="372"/>
      <c r="B9" s="374"/>
      <c r="C9" s="376"/>
      <c r="D9" s="377"/>
      <c r="E9" s="100"/>
      <c r="F9" s="100"/>
      <c r="G9" s="105"/>
      <c r="H9" s="106"/>
      <c r="I9" s="100"/>
      <c r="J9" s="107"/>
      <c r="K9" s="107"/>
      <c r="L9" s="108">
        <f t="shared" ref="L9:L17" si="0">J9+K9</f>
        <v>0</v>
      </c>
      <c r="M9" s="378"/>
      <c r="N9" s="100" t="s">
        <v>232</v>
      </c>
      <c r="O9" s="100" t="s">
        <v>233</v>
      </c>
      <c r="P9" s="105">
        <v>10000</v>
      </c>
      <c r="Q9" s="109">
        <v>0.71</v>
      </c>
      <c r="R9" s="100">
        <v>1</v>
      </c>
      <c r="S9" s="107">
        <v>3500000</v>
      </c>
      <c r="T9" s="107">
        <v>3600000</v>
      </c>
      <c r="U9" s="110">
        <f>S9+T9</f>
        <v>7100000</v>
      </c>
    </row>
    <row r="10" spans="1:21">
      <c r="A10" s="372"/>
      <c r="B10" s="374"/>
      <c r="C10" s="376"/>
      <c r="D10" s="377"/>
      <c r="E10" s="100"/>
      <c r="F10" s="100"/>
      <c r="G10" s="105"/>
      <c r="H10" s="106"/>
      <c r="I10" s="100"/>
      <c r="J10" s="107"/>
      <c r="K10" s="107"/>
      <c r="L10" s="108">
        <f t="shared" si="0"/>
        <v>0</v>
      </c>
      <c r="M10" s="378"/>
      <c r="N10" s="100"/>
      <c r="O10" s="100"/>
      <c r="P10" s="105"/>
      <c r="Q10" s="109"/>
      <c r="R10" s="100"/>
      <c r="S10" s="107"/>
      <c r="T10" s="107"/>
      <c r="U10" s="110"/>
    </row>
    <row r="11" spans="1:21">
      <c r="A11" s="372"/>
      <c r="B11" s="374"/>
      <c r="C11" s="376"/>
      <c r="D11" s="377"/>
      <c r="E11" s="100"/>
      <c r="F11" s="100"/>
      <c r="G11" s="105"/>
      <c r="H11" s="109"/>
      <c r="I11" s="100"/>
      <c r="J11" s="107"/>
      <c r="K11" s="107"/>
      <c r="L11" s="108"/>
      <c r="M11" s="378"/>
      <c r="N11" s="100"/>
      <c r="O11" s="100"/>
      <c r="P11" s="105"/>
      <c r="Q11" s="109"/>
      <c r="R11" s="100"/>
      <c r="S11" s="107"/>
      <c r="T11" s="107"/>
      <c r="U11" s="110"/>
    </row>
    <row r="12" spans="1:21">
      <c r="A12" s="372"/>
      <c r="B12" s="374"/>
      <c r="C12" s="376"/>
      <c r="D12" s="377"/>
      <c r="E12" s="100"/>
      <c r="F12" s="100"/>
      <c r="G12" s="105"/>
      <c r="H12" s="109"/>
      <c r="I12" s="100"/>
      <c r="J12" s="107"/>
      <c r="K12" s="107"/>
      <c r="L12" s="108"/>
      <c r="M12" s="378"/>
      <c r="N12" s="100"/>
      <c r="O12" s="100"/>
      <c r="P12" s="105"/>
      <c r="Q12" s="109"/>
      <c r="R12" s="100"/>
      <c r="S12" s="107"/>
      <c r="T12" s="107"/>
      <c r="U12" s="110"/>
    </row>
    <row r="13" spans="1:21">
      <c r="A13" s="372"/>
      <c r="B13" s="374"/>
      <c r="C13" s="376"/>
      <c r="D13" s="377"/>
      <c r="E13" s="100"/>
      <c r="F13" s="100"/>
      <c r="G13" s="105"/>
      <c r="H13" s="109"/>
      <c r="I13" s="100"/>
      <c r="J13" s="107"/>
      <c r="K13" s="107"/>
      <c r="L13" s="108"/>
      <c r="M13" s="378"/>
      <c r="N13" s="100"/>
      <c r="O13" s="100"/>
      <c r="P13" s="105"/>
      <c r="Q13" s="109"/>
      <c r="R13" s="100"/>
      <c r="S13" s="107"/>
      <c r="T13" s="107"/>
      <c r="U13" s="110"/>
    </row>
    <row r="14" spans="1:21" ht="18" thickBot="1">
      <c r="A14" s="372"/>
      <c r="B14" s="374"/>
      <c r="C14" s="376"/>
      <c r="D14" s="377"/>
      <c r="E14" s="348" t="s">
        <v>201</v>
      </c>
      <c r="F14" s="349"/>
      <c r="G14" s="349"/>
      <c r="H14" s="349"/>
      <c r="I14" s="350"/>
      <c r="J14" s="148">
        <f>SUM(J8:J13)</f>
        <v>5000000</v>
      </c>
      <c r="K14" s="148">
        <f t="shared" ref="K14:L14" si="1">SUM(K8:K13)</f>
        <v>18000000</v>
      </c>
      <c r="L14" s="149">
        <f t="shared" si="1"/>
        <v>23000000</v>
      </c>
      <c r="M14" s="378"/>
      <c r="N14" s="348" t="s">
        <v>201</v>
      </c>
      <c r="O14" s="349"/>
      <c r="P14" s="349"/>
      <c r="Q14" s="349"/>
      <c r="R14" s="350"/>
      <c r="S14" s="148">
        <f>SUM(S8:S13)</f>
        <v>7500000</v>
      </c>
      <c r="T14" s="148">
        <f t="shared" ref="T14:U14" si="2">SUM(T8:T13)</f>
        <v>18000000</v>
      </c>
      <c r="U14" s="150">
        <f t="shared" si="2"/>
        <v>25500000</v>
      </c>
    </row>
    <row r="15" spans="1:21" ht="16.5" customHeight="1" thickBot="1">
      <c r="A15" s="372"/>
      <c r="B15" s="374"/>
      <c r="C15" s="376"/>
      <c r="D15" s="379" t="s">
        <v>224</v>
      </c>
      <c r="E15" s="154" t="s">
        <v>226</v>
      </c>
      <c r="F15" s="154" t="s">
        <v>230</v>
      </c>
      <c r="G15" s="155">
        <v>7500000</v>
      </c>
      <c r="H15" s="156">
        <v>0.55000000000000004</v>
      </c>
      <c r="I15" s="154">
        <v>5</v>
      </c>
      <c r="J15" s="157">
        <v>20625000</v>
      </c>
      <c r="K15" s="157"/>
      <c r="L15" s="158">
        <f t="shared" si="0"/>
        <v>20625000</v>
      </c>
      <c r="M15" s="379" t="s">
        <v>224</v>
      </c>
      <c r="N15" s="154" t="s">
        <v>234</v>
      </c>
      <c r="O15" s="154" t="s">
        <v>235</v>
      </c>
      <c r="P15" s="155">
        <v>7500000</v>
      </c>
      <c r="Q15" s="156">
        <v>0.55000000000000004</v>
      </c>
      <c r="R15" s="154">
        <v>4</v>
      </c>
      <c r="S15" s="157">
        <v>16500000</v>
      </c>
      <c r="T15" s="157">
        <v>0</v>
      </c>
      <c r="U15" s="159">
        <f>S15+T15</f>
        <v>16500000</v>
      </c>
    </row>
    <row r="16" spans="1:21" ht="18" thickBot="1">
      <c r="A16" s="372"/>
      <c r="B16" s="374"/>
      <c r="C16" s="376"/>
      <c r="D16" s="380"/>
      <c r="E16" s="100" t="s">
        <v>227</v>
      </c>
      <c r="F16" s="100" t="s">
        <v>230</v>
      </c>
      <c r="G16" s="105">
        <v>6666666</v>
      </c>
      <c r="H16" s="109">
        <v>0.55000000000000004</v>
      </c>
      <c r="I16" s="100">
        <v>5</v>
      </c>
      <c r="J16" s="107">
        <v>18333000</v>
      </c>
      <c r="K16" s="107"/>
      <c r="L16" s="108">
        <f t="shared" si="0"/>
        <v>18333000</v>
      </c>
      <c r="M16" s="380"/>
      <c r="N16" s="154" t="s">
        <v>234</v>
      </c>
      <c r="O16" s="154" t="s">
        <v>235</v>
      </c>
      <c r="P16" s="155">
        <v>7500000</v>
      </c>
      <c r="Q16" s="109">
        <v>0.4</v>
      </c>
      <c r="R16" s="100">
        <v>1</v>
      </c>
      <c r="S16" s="107">
        <v>3000000</v>
      </c>
      <c r="T16" s="107">
        <v>0</v>
      </c>
      <c r="U16" s="159">
        <f>S16+T16</f>
        <v>3000000</v>
      </c>
    </row>
    <row r="17" spans="1:21" ht="18" thickBot="1">
      <c r="A17" s="372"/>
      <c r="B17" s="374"/>
      <c r="C17" s="376"/>
      <c r="D17" s="380"/>
      <c r="E17" s="100" t="s">
        <v>228</v>
      </c>
      <c r="F17" s="100" t="s">
        <v>231</v>
      </c>
      <c r="G17" s="105">
        <v>4583333</v>
      </c>
      <c r="H17" s="109">
        <v>0.3</v>
      </c>
      <c r="I17" s="100">
        <v>5</v>
      </c>
      <c r="J17" s="107">
        <v>6875000</v>
      </c>
      <c r="K17" s="107"/>
      <c r="L17" s="108">
        <f t="shared" si="0"/>
        <v>6875000</v>
      </c>
      <c r="M17" s="380"/>
      <c r="N17" s="154" t="s">
        <v>236</v>
      </c>
      <c r="O17" s="154" t="s">
        <v>235</v>
      </c>
      <c r="P17" s="155">
        <v>6666666</v>
      </c>
      <c r="Q17" s="109">
        <v>0.55000000000000004</v>
      </c>
      <c r="R17" s="100">
        <v>5</v>
      </c>
      <c r="S17" s="107">
        <v>18333000</v>
      </c>
      <c r="T17" s="107">
        <v>0</v>
      </c>
      <c r="U17" s="159">
        <f>S17+T17</f>
        <v>18333000</v>
      </c>
    </row>
    <row r="18" spans="1:21">
      <c r="A18" s="372"/>
      <c r="B18" s="374"/>
      <c r="C18" s="376"/>
      <c r="D18" s="380"/>
      <c r="E18" s="100"/>
      <c r="F18" s="100"/>
      <c r="G18" s="105"/>
      <c r="H18" s="109"/>
      <c r="I18" s="100"/>
      <c r="J18" s="107"/>
      <c r="K18" s="107"/>
      <c r="L18" s="108"/>
      <c r="M18" s="380"/>
      <c r="N18" s="100" t="s">
        <v>237</v>
      </c>
      <c r="O18" s="100" t="s">
        <v>238</v>
      </c>
      <c r="P18" s="105">
        <v>4583333</v>
      </c>
      <c r="Q18" s="109">
        <v>0.3</v>
      </c>
      <c r="R18" s="100">
        <v>4</v>
      </c>
      <c r="S18" s="107">
        <v>5500000</v>
      </c>
      <c r="T18" s="107">
        <v>0</v>
      </c>
      <c r="U18" s="159">
        <f>S18+T18</f>
        <v>5500000</v>
      </c>
    </row>
    <row r="19" spans="1:21">
      <c r="A19" s="372"/>
      <c r="B19" s="374"/>
      <c r="C19" s="376"/>
      <c r="D19" s="380"/>
      <c r="E19" s="100"/>
      <c r="F19" s="100"/>
      <c r="G19" s="105"/>
      <c r="H19" s="109"/>
      <c r="I19" s="100"/>
      <c r="J19" s="107"/>
      <c r="K19" s="107"/>
      <c r="L19" s="108"/>
      <c r="M19" s="380"/>
      <c r="N19" s="100"/>
      <c r="O19" s="100"/>
      <c r="P19" s="105"/>
      <c r="Q19" s="109"/>
      <c r="R19" s="100"/>
      <c r="S19" s="107"/>
      <c r="T19" s="107"/>
      <c r="U19" s="110"/>
    </row>
    <row r="20" spans="1:21">
      <c r="A20" s="372"/>
      <c r="B20" s="374"/>
      <c r="C20" s="376"/>
      <c r="D20" s="380"/>
      <c r="E20" s="100"/>
      <c r="F20" s="100"/>
      <c r="G20" s="105"/>
      <c r="H20" s="109"/>
      <c r="I20" s="100"/>
      <c r="J20" s="107"/>
      <c r="K20" s="107"/>
      <c r="L20" s="108"/>
      <c r="M20" s="380"/>
      <c r="N20" s="100"/>
      <c r="O20" s="100"/>
      <c r="P20" s="105"/>
      <c r="Q20" s="109"/>
      <c r="R20" s="100"/>
      <c r="S20" s="107"/>
      <c r="T20" s="107"/>
      <c r="U20" s="110"/>
    </row>
    <row r="21" spans="1:21">
      <c r="A21" s="372"/>
      <c r="B21" s="374"/>
      <c r="C21" s="376"/>
      <c r="D21" s="380"/>
      <c r="E21" s="100"/>
      <c r="F21" s="100"/>
      <c r="G21" s="105"/>
      <c r="H21" s="109"/>
      <c r="I21" s="100"/>
      <c r="J21" s="107"/>
      <c r="K21" s="107"/>
      <c r="L21" s="108"/>
      <c r="M21" s="380"/>
      <c r="N21" s="100"/>
      <c r="O21" s="100"/>
      <c r="P21" s="105"/>
      <c r="Q21" s="109"/>
      <c r="R21" s="100"/>
      <c r="S21" s="107"/>
      <c r="T21" s="107"/>
      <c r="U21" s="110"/>
    </row>
    <row r="22" spans="1:21">
      <c r="A22" s="372"/>
      <c r="B22" s="374"/>
      <c r="C22" s="376"/>
      <c r="D22" s="380"/>
      <c r="E22" s="100"/>
      <c r="F22" s="100"/>
      <c r="G22" s="105"/>
      <c r="H22" s="109"/>
      <c r="I22" s="100"/>
      <c r="J22" s="107"/>
      <c r="K22" s="107"/>
      <c r="L22" s="108"/>
      <c r="M22" s="380"/>
      <c r="N22" s="100"/>
      <c r="O22" s="100"/>
      <c r="P22" s="145"/>
      <c r="Q22" s="109"/>
      <c r="R22" s="100"/>
      <c r="S22" s="107"/>
      <c r="T22" s="107"/>
      <c r="U22" s="110"/>
    </row>
    <row r="23" spans="1:21" ht="18" thickBot="1">
      <c r="A23" s="372"/>
      <c r="B23" s="374"/>
      <c r="C23" s="376"/>
      <c r="D23" s="381"/>
      <c r="E23" s="351" t="s">
        <v>201</v>
      </c>
      <c r="F23" s="352"/>
      <c r="G23" s="352"/>
      <c r="H23" s="352"/>
      <c r="I23" s="353"/>
      <c r="J23" s="160">
        <f>SUM(J15:J22)</f>
        <v>45833000</v>
      </c>
      <c r="K23" s="160">
        <f t="shared" ref="K23:L23" si="3">SUM(K15:K22)</f>
        <v>0</v>
      </c>
      <c r="L23" s="161">
        <f t="shared" si="3"/>
        <v>45833000</v>
      </c>
      <c r="M23" s="381"/>
      <c r="N23" s="351" t="s">
        <v>201</v>
      </c>
      <c r="O23" s="352"/>
      <c r="P23" s="352"/>
      <c r="Q23" s="352"/>
      <c r="R23" s="353"/>
      <c r="S23" s="160">
        <f>SUM(S15:S22)</f>
        <v>43333000</v>
      </c>
      <c r="T23" s="160">
        <f t="shared" ref="T23:U23" si="4">SUM(T15:T22)</f>
        <v>0</v>
      </c>
      <c r="U23" s="162">
        <f t="shared" si="4"/>
        <v>43333000</v>
      </c>
    </row>
    <row r="24" spans="1:21">
      <c r="A24" s="372"/>
      <c r="B24" s="375"/>
      <c r="C24" s="323"/>
      <c r="D24" s="317" t="s">
        <v>192</v>
      </c>
      <c r="E24" s="318"/>
      <c r="F24" s="318"/>
      <c r="G24" s="318"/>
      <c r="H24" s="318"/>
      <c r="I24" s="319"/>
      <c r="J24" s="151">
        <f>J14+J23</f>
        <v>50833000</v>
      </c>
      <c r="K24" s="151">
        <f t="shared" ref="K24:L24" si="5">K14+K23</f>
        <v>18000000</v>
      </c>
      <c r="L24" s="152">
        <f t="shared" si="5"/>
        <v>68833000</v>
      </c>
      <c r="M24" s="320" t="s">
        <v>192</v>
      </c>
      <c r="N24" s="318"/>
      <c r="O24" s="318"/>
      <c r="P24" s="318"/>
      <c r="Q24" s="318"/>
      <c r="R24" s="319"/>
      <c r="S24" s="151">
        <f>S14+S23</f>
        <v>50833000</v>
      </c>
      <c r="T24" s="151">
        <f t="shared" ref="T24:U24" si="6">T14+T23</f>
        <v>18000000</v>
      </c>
      <c r="U24" s="153">
        <f t="shared" si="6"/>
        <v>68833000</v>
      </c>
    </row>
    <row r="25" spans="1:21" ht="18" thickBot="1">
      <c r="A25" s="372"/>
      <c r="B25" s="321" t="s">
        <v>193</v>
      </c>
      <c r="C25" s="322"/>
      <c r="D25" s="354" t="s">
        <v>194</v>
      </c>
      <c r="E25" s="355"/>
      <c r="F25" s="111" t="s">
        <v>194</v>
      </c>
      <c r="G25" s="111" t="s">
        <v>194</v>
      </c>
      <c r="H25" s="111" t="s">
        <v>194</v>
      </c>
      <c r="I25" s="111" t="s">
        <v>194</v>
      </c>
      <c r="J25" s="112" t="s">
        <v>194</v>
      </c>
      <c r="K25" s="112" t="s">
        <v>194</v>
      </c>
      <c r="L25" s="116" t="s">
        <v>194</v>
      </c>
      <c r="M25" s="356" t="s">
        <v>194</v>
      </c>
      <c r="N25" s="355"/>
      <c r="O25" s="111" t="s">
        <v>194</v>
      </c>
      <c r="P25" s="111" t="s">
        <v>194</v>
      </c>
      <c r="Q25" s="111" t="s">
        <v>194</v>
      </c>
      <c r="R25" s="111" t="s">
        <v>194</v>
      </c>
      <c r="S25" s="112" t="s">
        <v>194</v>
      </c>
      <c r="T25" s="112" t="s">
        <v>194</v>
      </c>
      <c r="U25" s="117" t="s">
        <v>194</v>
      </c>
    </row>
    <row r="26" spans="1:21" ht="18" thickTop="1">
      <c r="A26" s="372"/>
      <c r="B26" s="323"/>
      <c r="C26" s="324"/>
      <c r="D26" s="357" t="s">
        <v>192</v>
      </c>
      <c r="E26" s="358"/>
      <c r="F26" s="358"/>
      <c r="G26" s="358"/>
      <c r="H26" s="358"/>
      <c r="I26" s="359"/>
      <c r="J26" s="113"/>
      <c r="K26" s="113"/>
      <c r="L26" s="114"/>
      <c r="M26" s="360" t="s">
        <v>192</v>
      </c>
      <c r="N26" s="358"/>
      <c r="O26" s="358"/>
      <c r="P26" s="358"/>
      <c r="Q26" s="358"/>
      <c r="R26" s="359"/>
      <c r="S26" s="113"/>
      <c r="T26" s="113"/>
      <c r="U26" s="115"/>
    </row>
    <row r="27" spans="1:21">
      <c r="A27" s="372"/>
      <c r="B27" s="321" t="s">
        <v>195</v>
      </c>
      <c r="C27" s="322"/>
      <c r="D27" s="361" t="s">
        <v>194</v>
      </c>
      <c r="E27" s="253"/>
      <c r="F27" s="100" t="s">
        <v>194</v>
      </c>
      <c r="G27" s="100" t="s">
        <v>194</v>
      </c>
      <c r="H27" s="100" t="s">
        <v>194</v>
      </c>
      <c r="I27" s="100" t="s">
        <v>194</v>
      </c>
      <c r="J27" s="105" t="s">
        <v>194</v>
      </c>
      <c r="K27" s="105" t="s">
        <v>194</v>
      </c>
      <c r="L27" s="118" t="s">
        <v>194</v>
      </c>
      <c r="M27" s="362" t="s">
        <v>194</v>
      </c>
      <c r="N27" s="253"/>
      <c r="O27" s="100" t="s">
        <v>194</v>
      </c>
      <c r="P27" s="100" t="s">
        <v>194</v>
      </c>
      <c r="Q27" s="100" t="s">
        <v>194</v>
      </c>
      <c r="R27" s="100" t="s">
        <v>194</v>
      </c>
      <c r="S27" s="105" t="s">
        <v>194</v>
      </c>
      <c r="T27" s="105" t="s">
        <v>194</v>
      </c>
      <c r="U27" s="119" t="s">
        <v>194</v>
      </c>
    </row>
    <row r="28" spans="1:21">
      <c r="A28" s="372"/>
      <c r="B28" s="323"/>
      <c r="C28" s="324"/>
      <c r="D28" s="361" t="s">
        <v>194</v>
      </c>
      <c r="E28" s="253"/>
      <c r="F28" s="100" t="s">
        <v>194</v>
      </c>
      <c r="G28" s="100" t="s">
        <v>194</v>
      </c>
      <c r="H28" s="100" t="s">
        <v>194</v>
      </c>
      <c r="I28" s="100" t="s">
        <v>194</v>
      </c>
      <c r="J28" s="105" t="s">
        <v>194</v>
      </c>
      <c r="K28" s="105" t="s">
        <v>194</v>
      </c>
      <c r="L28" s="118" t="s">
        <v>194</v>
      </c>
      <c r="M28" s="362" t="s">
        <v>194</v>
      </c>
      <c r="N28" s="253"/>
      <c r="O28" s="100" t="s">
        <v>194</v>
      </c>
      <c r="P28" s="100" t="s">
        <v>194</v>
      </c>
      <c r="Q28" s="100" t="s">
        <v>194</v>
      </c>
      <c r="R28" s="100" t="s">
        <v>194</v>
      </c>
      <c r="S28" s="105" t="s">
        <v>194</v>
      </c>
      <c r="T28" s="105" t="s">
        <v>194</v>
      </c>
      <c r="U28" s="119" t="s">
        <v>194</v>
      </c>
    </row>
    <row r="29" spans="1:21" ht="18" thickBot="1">
      <c r="A29" s="373"/>
      <c r="B29" s="363" t="s">
        <v>196</v>
      </c>
      <c r="C29" s="364"/>
      <c r="D29" s="364"/>
      <c r="E29" s="364"/>
      <c r="F29" s="364"/>
      <c r="G29" s="364"/>
      <c r="H29" s="364"/>
      <c r="I29" s="365"/>
      <c r="J29" s="139">
        <f>J24+J26</f>
        <v>50833000</v>
      </c>
      <c r="K29" s="139">
        <f t="shared" ref="K29:L29" si="7">K24+K26</f>
        <v>18000000</v>
      </c>
      <c r="L29" s="140">
        <f t="shared" si="7"/>
        <v>68833000</v>
      </c>
      <c r="M29" s="366" t="s">
        <v>197</v>
      </c>
      <c r="N29" s="367"/>
      <c r="O29" s="367"/>
      <c r="P29" s="367"/>
      <c r="Q29" s="367"/>
      <c r="R29" s="368"/>
      <c r="S29" s="141">
        <f>S24+S26</f>
        <v>50833000</v>
      </c>
      <c r="T29" s="141">
        <f t="shared" ref="T29:U29" si="8">T24+T26</f>
        <v>18000000</v>
      </c>
      <c r="U29" s="142">
        <f t="shared" si="8"/>
        <v>68833000</v>
      </c>
    </row>
    <row r="30" spans="1:21" ht="18" thickTop="1"/>
    <row r="31" spans="1:21">
      <c r="U31" s="103" t="s">
        <v>60</v>
      </c>
    </row>
    <row r="32" spans="1:21" ht="18" thickBot="1">
      <c r="U32" s="104" t="s">
        <v>240</v>
      </c>
    </row>
    <row r="33" spans="1:21" ht="18" thickTop="1">
      <c r="A33" s="325" t="s">
        <v>175</v>
      </c>
      <c r="B33" s="326"/>
      <c r="C33" s="326"/>
      <c r="D33" s="331" t="s">
        <v>176</v>
      </c>
      <c r="E33" s="332"/>
      <c r="F33" s="332"/>
      <c r="G33" s="332"/>
      <c r="H33" s="332"/>
      <c r="I33" s="332"/>
      <c r="J33" s="332"/>
      <c r="K33" s="332"/>
      <c r="L33" s="369"/>
      <c r="M33" s="331" t="s">
        <v>177</v>
      </c>
      <c r="N33" s="332"/>
      <c r="O33" s="332"/>
      <c r="P33" s="332"/>
      <c r="Q33" s="332"/>
      <c r="R33" s="332"/>
      <c r="S33" s="332"/>
      <c r="T33" s="332"/>
      <c r="U33" s="369"/>
    </row>
    <row r="34" spans="1:21">
      <c r="A34" s="327"/>
      <c r="B34" s="328"/>
      <c r="C34" s="328"/>
      <c r="D34" s="336" t="s">
        <v>178</v>
      </c>
      <c r="E34" s="132"/>
      <c r="F34" s="132"/>
      <c r="G34" s="132" t="s">
        <v>179</v>
      </c>
      <c r="H34" s="132" t="s">
        <v>180</v>
      </c>
      <c r="I34" s="132" t="s">
        <v>181</v>
      </c>
      <c r="J34" s="339" t="s">
        <v>182</v>
      </c>
      <c r="K34" s="340"/>
      <c r="L34" s="370"/>
      <c r="M34" s="336" t="s">
        <v>178</v>
      </c>
      <c r="N34" s="132"/>
      <c r="O34" s="132"/>
      <c r="P34" s="132" t="s">
        <v>179</v>
      </c>
      <c r="Q34" s="132" t="s">
        <v>180</v>
      </c>
      <c r="R34" s="132" t="s">
        <v>181</v>
      </c>
      <c r="S34" s="339" t="s">
        <v>182</v>
      </c>
      <c r="T34" s="340"/>
      <c r="U34" s="370"/>
    </row>
    <row r="35" spans="1:21">
      <c r="A35" s="327"/>
      <c r="B35" s="328"/>
      <c r="C35" s="328"/>
      <c r="D35" s="337"/>
      <c r="E35" s="133" t="s">
        <v>116</v>
      </c>
      <c r="F35" s="133" t="s">
        <v>117</v>
      </c>
      <c r="G35" s="133" t="s">
        <v>183</v>
      </c>
      <c r="H35" s="133" t="s">
        <v>184</v>
      </c>
      <c r="I35" s="133" t="s">
        <v>185</v>
      </c>
      <c r="J35" s="341"/>
      <c r="K35" s="342"/>
      <c r="L35" s="371"/>
      <c r="M35" s="337"/>
      <c r="N35" s="133" t="s">
        <v>116</v>
      </c>
      <c r="O35" s="133" t="s">
        <v>117</v>
      </c>
      <c r="P35" s="133" t="s">
        <v>183</v>
      </c>
      <c r="Q35" s="133" t="s">
        <v>184</v>
      </c>
      <c r="R35" s="133" t="s">
        <v>185</v>
      </c>
      <c r="S35" s="341"/>
      <c r="T35" s="342"/>
      <c r="U35" s="371"/>
    </row>
    <row r="36" spans="1:21" ht="18" thickBot="1">
      <c r="A36" s="329"/>
      <c r="B36" s="330"/>
      <c r="C36" s="330"/>
      <c r="D36" s="338"/>
      <c r="E36" s="134"/>
      <c r="F36" s="134"/>
      <c r="G36" s="134" t="s">
        <v>186</v>
      </c>
      <c r="H36" s="134" t="s">
        <v>187</v>
      </c>
      <c r="I36" s="135" t="s">
        <v>188</v>
      </c>
      <c r="J36" s="136" t="s">
        <v>101</v>
      </c>
      <c r="K36" s="136" t="s">
        <v>1</v>
      </c>
      <c r="L36" s="143" t="s">
        <v>8</v>
      </c>
      <c r="M36" s="338"/>
      <c r="N36" s="134"/>
      <c r="O36" s="134"/>
      <c r="P36" s="134" t="s">
        <v>186</v>
      </c>
      <c r="Q36" s="134" t="s">
        <v>187</v>
      </c>
      <c r="R36" s="135" t="s">
        <v>188</v>
      </c>
      <c r="S36" s="136" t="s">
        <v>101</v>
      </c>
      <c r="T36" s="136" t="s">
        <v>1</v>
      </c>
      <c r="U36" s="143" t="s">
        <v>8</v>
      </c>
    </row>
    <row r="37" spans="1:21" ht="17.25" customHeight="1" thickTop="1">
      <c r="A37" s="372" t="s">
        <v>198</v>
      </c>
      <c r="B37" s="374" t="s">
        <v>125</v>
      </c>
      <c r="C37" s="376" t="s">
        <v>190</v>
      </c>
      <c r="D37" s="377" t="s">
        <v>114</v>
      </c>
      <c r="E37" s="100" t="s">
        <v>229</v>
      </c>
      <c r="F37" s="100" t="s">
        <v>233</v>
      </c>
      <c r="G37" s="105">
        <v>10285714</v>
      </c>
      <c r="H37" s="106">
        <v>0.25</v>
      </c>
      <c r="I37" s="100">
        <v>7</v>
      </c>
      <c r="J37" s="107"/>
      <c r="K37" s="107">
        <v>18000000</v>
      </c>
      <c r="L37" s="108">
        <f>J37+K37</f>
        <v>18000000</v>
      </c>
      <c r="M37" s="378" t="s">
        <v>114</v>
      </c>
      <c r="N37" s="100" t="str">
        <f>E37</f>
        <v>박문식</v>
      </c>
      <c r="O37" s="100" t="str">
        <f t="shared" ref="O37" si="9">F37</f>
        <v>대표</v>
      </c>
      <c r="P37" s="105">
        <v>10000000</v>
      </c>
      <c r="Q37" s="109">
        <v>0.41</v>
      </c>
      <c r="R37" s="100">
        <v>7</v>
      </c>
      <c r="S37" s="107">
        <v>10500000</v>
      </c>
      <c r="T37" s="107">
        <v>18000000</v>
      </c>
      <c r="U37" s="110">
        <f>S37+T37</f>
        <v>28500000</v>
      </c>
    </row>
    <row r="38" spans="1:21">
      <c r="A38" s="372"/>
      <c r="B38" s="374"/>
      <c r="C38" s="376"/>
      <c r="D38" s="377"/>
      <c r="E38" s="100"/>
      <c r="F38" s="100"/>
      <c r="G38" s="105"/>
      <c r="H38" s="106"/>
      <c r="I38" s="100"/>
      <c r="J38" s="107"/>
      <c r="K38" s="107"/>
      <c r="L38" s="108"/>
      <c r="M38" s="378"/>
      <c r="N38" s="100"/>
      <c r="O38" s="100"/>
      <c r="P38" s="105"/>
      <c r="Q38" s="109"/>
      <c r="R38" s="100"/>
      <c r="S38" s="107"/>
      <c r="T38" s="107"/>
      <c r="U38" s="110">
        <f>S38+T38</f>
        <v>0</v>
      </c>
    </row>
    <row r="39" spans="1:21">
      <c r="A39" s="372"/>
      <c r="B39" s="374"/>
      <c r="C39" s="376"/>
      <c r="D39" s="377"/>
      <c r="E39" s="100"/>
      <c r="F39" s="100"/>
      <c r="G39" s="105"/>
      <c r="H39" s="106"/>
      <c r="I39" s="100"/>
      <c r="J39" s="107"/>
      <c r="K39" s="107"/>
      <c r="L39" s="108"/>
      <c r="M39" s="378"/>
      <c r="N39" s="100"/>
      <c r="O39" s="100"/>
      <c r="P39" s="105"/>
      <c r="Q39" s="109"/>
      <c r="R39" s="100"/>
      <c r="S39" s="107"/>
      <c r="T39" s="107"/>
      <c r="U39" s="110">
        <f t="shared" ref="U39" si="10">S39+T39</f>
        <v>0</v>
      </c>
    </row>
    <row r="40" spans="1:21">
      <c r="A40" s="372"/>
      <c r="B40" s="374"/>
      <c r="C40" s="376"/>
      <c r="D40" s="377"/>
      <c r="E40" s="100"/>
      <c r="F40" s="100"/>
      <c r="G40" s="105"/>
      <c r="H40" s="109"/>
      <c r="I40" s="100"/>
      <c r="J40" s="107"/>
      <c r="K40" s="107"/>
      <c r="L40" s="108"/>
      <c r="M40" s="378"/>
      <c r="N40" s="100"/>
      <c r="O40" s="100"/>
      <c r="P40" s="105"/>
      <c r="Q40" s="109"/>
      <c r="R40" s="100"/>
      <c r="S40" s="107"/>
      <c r="T40" s="107"/>
      <c r="U40" s="110"/>
    </row>
    <row r="41" spans="1:21">
      <c r="A41" s="372"/>
      <c r="B41" s="374"/>
      <c r="C41" s="376"/>
      <c r="D41" s="377"/>
      <c r="E41" s="100"/>
      <c r="F41" s="100"/>
      <c r="G41" s="105"/>
      <c r="H41" s="109"/>
      <c r="I41" s="100"/>
      <c r="J41" s="107"/>
      <c r="K41" s="107"/>
      <c r="L41" s="108"/>
      <c r="M41" s="378"/>
      <c r="N41" s="100"/>
      <c r="O41" s="100"/>
      <c r="P41" s="105"/>
      <c r="Q41" s="109"/>
      <c r="R41" s="100"/>
      <c r="S41" s="107"/>
      <c r="T41" s="107"/>
      <c r="U41" s="110"/>
    </row>
    <row r="42" spans="1:21">
      <c r="A42" s="372"/>
      <c r="B42" s="374"/>
      <c r="C42" s="376"/>
      <c r="D42" s="377"/>
      <c r="E42" s="100"/>
      <c r="F42" s="100"/>
      <c r="G42" s="105"/>
      <c r="H42" s="109"/>
      <c r="I42" s="100"/>
      <c r="J42" s="107"/>
      <c r="K42" s="107"/>
      <c r="L42" s="108"/>
      <c r="M42" s="378"/>
      <c r="N42" s="100"/>
      <c r="O42" s="100"/>
      <c r="P42" s="105"/>
      <c r="Q42" s="109"/>
      <c r="R42" s="100"/>
      <c r="S42" s="107"/>
      <c r="T42" s="107"/>
      <c r="U42" s="110"/>
    </row>
    <row r="43" spans="1:21" ht="18" thickBot="1">
      <c r="A43" s="372"/>
      <c r="B43" s="374"/>
      <c r="C43" s="376"/>
      <c r="D43" s="377"/>
      <c r="E43" s="348" t="s">
        <v>201</v>
      </c>
      <c r="F43" s="349"/>
      <c r="G43" s="349"/>
      <c r="H43" s="349"/>
      <c r="I43" s="350"/>
      <c r="J43" s="148">
        <f>SUM(J37:J42)</f>
        <v>0</v>
      </c>
      <c r="K43" s="148">
        <f t="shared" ref="K43:L43" si="11">SUM(K37:K42)</f>
        <v>18000000</v>
      </c>
      <c r="L43" s="149">
        <f t="shared" si="11"/>
        <v>18000000</v>
      </c>
      <c r="M43" s="378"/>
      <c r="N43" s="348" t="s">
        <v>201</v>
      </c>
      <c r="O43" s="349"/>
      <c r="P43" s="349"/>
      <c r="Q43" s="349"/>
      <c r="R43" s="350"/>
      <c r="S43" s="148">
        <f>SUM(S37:S42)</f>
        <v>10500000</v>
      </c>
      <c r="T43" s="148">
        <f t="shared" ref="T43:U43" si="12">SUM(T37:T42)</f>
        <v>18000000</v>
      </c>
      <c r="U43" s="150">
        <f t="shared" si="12"/>
        <v>28500000</v>
      </c>
    </row>
    <row r="44" spans="1:21" ht="17.25" customHeight="1">
      <c r="A44" s="372"/>
      <c r="B44" s="374"/>
      <c r="C44" s="376"/>
      <c r="D44" s="379" t="s">
        <v>224</v>
      </c>
      <c r="E44" s="154" t="s">
        <v>226</v>
      </c>
      <c r="F44" s="154" t="s">
        <v>230</v>
      </c>
      <c r="G44" s="155">
        <v>52500000</v>
      </c>
      <c r="H44" s="156">
        <v>0.4</v>
      </c>
      <c r="I44" s="154">
        <v>7</v>
      </c>
      <c r="J44" s="157">
        <v>21000000</v>
      </c>
      <c r="K44" s="157"/>
      <c r="L44" s="158">
        <f t="shared" ref="L44:L45" si="13">J44+K44</f>
        <v>21000000</v>
      </c>
      <c r="M44" s="379" t="s">
        <v>224</v>
      </c>
      <c r="N44" s="154" t="s">
        <v>226</v>
      </c>
      <c r="O44" s="154" t="s">
        <v>230</v>
      </c>
      <c r="P44" s="155">
        <v>52500000</v>
      </c>
      <c r="Q44" s="156">
        <v>0.4</v>
      </c>
      <c r="R44" s="154">
        <v>7</v>
      </c>
      <c r="S44" s="157">
        <v>21000000</v>
      </c>
      <c r="T44" s="157"/>
      <c r="U44" s="159">
        <f t="shared" ref="U44:U45" si="14">S44+T44</f>
        <v>21000000</v>
      </c>
    </row>
    <row r="45" spans="1:21">
      <c r="A45" s="372"/>
      <c r="B45" s="374"/>
      <c r="C45" s="376"/>
      <c r="D45" s="380"/>
      <c r="E45" s="100" t="s">
        <v>227</v>
      </c>
      <c r="F45" s="100" t="s">
        <v>230</v>
      </c>
      <c r="G45" s="105">
        <v>46666662</v>
      </c>
      <c r="H45" s="109">
        <v>0.4</v>
      </c>
      <c r="I45" s="100">
        <v>7</v>
      </c>
      <c r="J45" s="107">
        <v>18666000</v>
      </c>
      <c r="K45" s="107"/>
      <c r="L45" s="108">
        <f t="shared" si="13"/>
        <v>18666000</v>
      </c>
      <c r="M45" s="380"/>
      <c r="N45" s="100" t="s">
        <v>227</v>
      </c>
      <c r="O45" s="100" t="s">
        <v>230</v>
      </c>
      <c r="P45" s="105">
        <v>46666662</v>
      </c>
      <c r="Q45" s="109">
        <v>0.42</v>
      </c>
      <c r="R45" s="100">
        <v>7</v>
      </c>
      <c r="S45" s="107">
        <v>19600000</v>
      </c>
      <c r="T45" s="107"/>
      <c r="U45" s="110">
        <f t="shared" si="14"/>
        <v>19600000</v>
      </c>
    </row>
    <row r="46" spans="1:21">
      <c r="A46" s="372"/>
      <c r="B46" s="374"/>
      <c r="C46" s="376"/>
      <c r="D46" s="380"/>
      <c r="E46" s="100" t="s">
        <v>228</v>
      </c>
      <c r="F46" s="100" t="s">
        <v>231</v>
      </c>
      <c r="G46" s="105">
        <v>32083331</v>
      </c>
      <c r="H46" s="109">
        <v>0.35</v>
      </c>
      <c r="I46" s="100">
        <v>7</v>
      </c>
      <c r="J46" s="107">
        <v>11229000</v>
      </c>
      <c r="K46" s="107"/>
      <c r="L46" s="108">
        <f>J46</f>
        <v>11229000</v>
      </c>
      <c r="M46" s="380"/>
      <c r="N46" s="100"/>
      <c r="O46" s="100"/>
      <c r="P46" s="105"/>
      <c r="Q46" s="109"/>
      <c r="R46" s="100"/>
      <c r="S46" s="107"/>
      <c r="T46" s="107"/>
      <c r="U46" s="110"/>
    </row>
    <row r="47" spans="1:21">
      <c r="A47" s="372"/>
      <c r="B47" s="374"/>
      <c r="C47" s="376"/>
      <c r="D47" s="380"/>
      <c r="E47" s="100"/>
      <c r="F47" s="100"/>
      <c r="G47" s="105"/>
      <c r="H47" s="109"/>
      <c r="I47" s="100"/>
      <c r="J47" s="107"/>
      <c r="K47" s="107"/>
      <c r="L47" s="108"/>
      <c r="M47" s="380"/>
      <c r="N47" s="100"/>
      <c r="O47" s="100"/>
      <c r="P47" s="105"/>
      <c r="Q47" s="109"/>
      <c r="R47" s="100"/>
      <c r="S47" s="107"/>
      <c r="T47" s="107"/>
      <c r="U47" s="110"/>
    </row>
    <row r="48" spans="1:21">
      <c r="A48" s="372"/>
      <c r="B48" s="374"/>
      <c r="C48" s="376"/>
      <c r="D48" s="380"/>
      <c r="E48" s="100"/>
      <c r="F48" s="100"/>
      <c r="G48" s="105"/>
      <c r="H48" s="109"/>
      <c r="I48" s="100"/>
      <c r="J48" s="107"/>
      <c r="K48" s="107"/>
      <c r="L48" s="108"/>
      <c r="M48" s="380"/>
      <c r="N48" s="100"/>
      <c r="O48" s="100"/>
      <c r="P48" s="105"/>
      <c r="Q48" s="109"/>
      <c r="R48" s="100"/>
      <c r="S48" s="107"/>
      <c r="T48" s="107"/>
      <c r="U48" s="110"/>
    </row>
    <row r="49" spans="1:21">
      <c r="A49" s="372"/>
      <c r="B49" s="374"/>
      <c r="C49" s="376"/>
      <c r="D49" s="380"/>
      <c r="E49" s="100"/>
      <c r="F49" s="100"/>
      <c r="G49" s="105"/>
      <c r="H49" s="109"/>
      <c r="I49" s="100"/>
      <c r="J49" s="107"/>
      <c r="K49" s="107"/>
      <c r="L49" s="108"/>
      <c r="M49" s="380"/>
      <c r="N49" s="100"/>
      <c r="O49" s="100"/>
      <c r="P49" s="105"/>
      <c r="Q49" s="109"/>
      <c r="R49" s="100"/>
      <c r="S49" s="107"/>
      <c r="T49" s="107"/>
      <c r="U49" s="110"/>
    </row>
    <row r="50" spans="1:21">
      <c r="A50" s="372"/>
      <c r="B50" s="374"/>
      <c r="C50" s="376"/>
      <c r="D50" s="380"/>
      <c r="E50" s="100"/>
      <c r="F50" s="100"/>
      <c r="G50" s="105"/>
      <c r="H50" s="109"/>
      <c r="I50" s="100"/>
      <c r="J50" s="107"/>
      <c r="K50" s="107"/>
      <c r="L50" s="108"/>
      <c r="M50" s="380"/>
      <c r="N50" s="100"/>
      <c r="O50" s="100"/>
      <c r="P50" s="105"/>
      <c r="Q50" s="109"/>
      <c r="R50" s="100"/>
      <c r="S50" s="107"/>
      <c r="T50" s="107"/>
      <c r="U50" s="110"/>
    </row>
    <row r="51" spans="1:21">
      <c r="A51" s="372"/>
      <c r="B51" s="374"/>
      <c r="C51" s="376"/>
      <c r="D51" s="380"/>
      <c r="E51" s="100"/>
      <c r="F51" s="100"/>
      <c r="G51" s="105"/>
      <c r="H51" s="109"/>
      <c r="I51" s="100"/>
      <c r="J51" s="107"/>
      <c r="K51" s="107"/>
      <c r="L51" s="108"/>
      <c r="M51" s="380"/>
      <c r="N51" s="100"/>
      <c r="O51" s="100"/>
      <c r="P51" s="145"/>
      <c r="Q51" s="109"/>
      <c r="R51" s="100"/>
      <c r="S51" s="107"/>
      <c r="T51" s="107"/>
      <c r="U51" s="110"/>
    </row>
    <row r="52" spans="1:21" ht="18" thickBot="1">
      <c r="A52" s="372"/>
      <c r="B52" s="375"/>
      <c r="C52" s="323"/>
      <c r="D52" s="381"/>
      <c r="E52" s="351" t="s">
        <v>201</v>
      </c>
      <c r="F52" s="352"/>
      <c r="G52" s="352"/>
      <c r="H52" s="352"/>
      <c r="I52" s="353"/>
      <c r="J52" s="160">
        <f>SUM(J44:J51)</f>
        <v>50895000</v>
      </c>
      <c r="K52" s="160">
        <f>K43</f>
        <v>18000000</v>
      </c>
      <c r="L52" s="161">
        <f>SUM(J52:K52)</f>
        <v>68895000</v>
      </c>
      <c r="M52" s="381"/>
      <c r="N52" s="351" t="s">
        <v>201</v>
      </c>
      <c r="O52" s="352"/>
      <c r="P52" s="352"/>
      <c r="Q52" s="352"/>
      <c r="R52" s="353"/>
      <c r="S52" s="160">
        <f>SUM(S43:S46)</f>
        <v>51100000</v>
      </c>
      <c r="T52" s="160">
        <f>T43</f>
        <v>18000000</v>
      </c>
      <c r="U52" s="162">
        <f>S52+T52</f>
        <v>69100000</v>
      </c>
    </row>
    <row r="53" spans="1:21" ht="18" thickBot="1">
      <c r="A53" s="372"/>
      <c r="B53" s="321" t="s">
        <v>193</v>
      </c>
      <c r="C53" s="322"/>
      <c r="D53" s="382" t="s">
        <v>194</v>
      </c>
      <c r="E53" s="383"/>
      <c r="F53" s="146" t="s">
        <v>194</v>
      </c>
      <c r="G53" s="146" t="s">
        <v>194</v>
      </c>
      <c r="H53" s="146" t="s">
        <v>194</v>
      </c>
      <c r="I53" s="146" t="s">
        <v>194</v>
      </c>
      <c r="J53" s="147" t="s">
        <v>194</v>
      </c>
      <c r="K53" s="147" t="s">
        <v>194</v>
      </c>
      <c r="L53" s="163" t="s">
        <v>194</v>
      </c>
      <c r="M53" s="382" t="s">
        <v>194</v>
      </c>
      <c r="N53" s="383"/>
      <c r="O53" s="146" t="s">
        <v>194</v>
      </c>
      <c r="P53" s="146" t="s">
        <v>194</v>
      </c>
      <c r="Q53" s="146" t="s">
        <v>194</v>
      </c>
      <c r="R53" s="146" t="s">
        <v>194</v>
      </c>
      <c r="S53" s="147" t="s">
        <v>194</v>
      </c>
      <c r="T53" s="147" t="s">
        <v>194</v>
      </c>
      <c r="U53" s="163" t="s">
        <v>194</v>
      </c>
    </row>
    <row r="54" spans="1:21" ht="18" thickTop="1">
      <c r="A54" s="372"/>
      <c r="B54" s="323"/>
      <c r="C54" s="324"/>
      <c r="D54" s="357" t="s">
        <v>192</v>
      </c>
      <c r="E54" s="358"/>
      <c r="F54" s="358"/>
      <c r="G54" s="358"/>
      <c r="H54" s="358"/>
      <c r="I54" s="359"/>
      <c r="J54" s="113"/>
      <c r="K54" s="113"/>
      <c r="L54" s="120"/>
      <c r="M54" s="357" t="s">
        <v>192</v>
      </c>
      <c r="N54" s="358"/>
      <c r="O54" s="358"/>
      <c r="P54" s="358"/>
      <c r="Q54" s="358"/>
      <c r="R54" s="359"/>
      <c r="S54" s="113"/>
      <c r="T54" s="113"/>
      <c r="U54" s="120"/>
    </row>
    <row r="55" spans="1:21">
      <c r="A55" s="372"/>
      <c r="B55" s="321" t="s">
        <v>195</v>
      </c>
      <c r="C55" s="322"/>
      <c r="D55" s="361" t="s">
        <v>194</v>
      </c>
      <c r="E55" s="253"/>
      <c r="F55" s="100" t="s">
        <v>194</v>
      </c>
      <c r="G55" s="100" t="s">
        <v>194</v>
      </c>
      <c r="H55" s="100" t="s">
        <v>194</v>
      </c>
      <c r="I55" s="100" t="s">
        <v>194</v>
      </c>
      <c r="J55" s="105" t="s">
        <v>194</v>
      </c>
      <c r="K55" s="105" t="s">
        <v>194</v>
      </c>
      <c r="L55" s="121" t="s">
        <v>194</v>
      </c>
      <c r="M55" s="361" t="s">
        <v>194</v>
      </c>
      <c r="N55" s="253"/>
      <c r="O55" s="100" t="s">
        <v>194</v>
      </c>
      <c r="P55" s="100" t="s">
        <v>194</v>
      </c>
      <c r="Q55" s="100" t="s">
        <v>194</v>
      </c>
      <c r="R55" s="100" t="s">
        <v>194</v>
      </c>
      <c r="S55" s="105" t="s">
        <v>194</v>
      </c>
      <c r="T55" s="105" t="s">
        <v>194</v>
      </c>
      <c r="U55" s="121" t="s">
        <v>194</v>
      </c>
    </row>
    <row r="56" spans="1:21">
      <c r="A56" s="372"/>
      <c r="B56" s="323"/>
      <c r="C56" s="324"/>
      <c r="D56" s="361" t="s">
        <v>194</v>
      </c>
      <c r="E56" s="253"/>
      <c r="F56" s="100" t="s">
        <v>194</v>
      </c>
      <c r="G56" s="100" t="s">
        <v>194</v>
      </c>
      <c r="H56" s="100" t="s">
        <v>194</v>
      </c>
      <c r="I56" s="100" t="s">
        <v>194</v>
      </c>
      <c r="J56" s="105" t="s">
        <v>194</v>
      </c>
      <c r="K56" s="105" t="s">
        <v>194</v>
      </c>
      <c r="L56" s="121" t="s">
        <v>194</v>
      </c>
      <c r="M56" s="361" t="s">
        <v>194</v>
      </c>
      <c r="N56" s="253"/>
      <c r="O56" s="100" t="s">
        <v>194</v>
      </c>
      <c r="P56" s="100" t="s">
        <v>194</v>
      </c>
      <c r="Q56" s="100" t="s">
        <v>194</v>
      </c>
      <c r="R56" s="100" t="s">
        <v>194</v>
      </c>
      <c r="S56" s="105" t="s">
        <v>194</v>
      </c>
      <c r="T56" s="105" t="s">
        <v>194</v>
      </c>
      <c r="U56" s="121" t="s">
        <v>194</v>
      </c>
    </row>
    <row r="57" spans="1:21" ht="18" thickBot="1">
      <c r="A57" s="373"/>
      <c r="B57" s="363" t="s">
        <v>196</v>
      </c>
      <c r="C57" s="364"/>
      <c r="D57" s="364"/>
      <c r="E57" s="364"/>
      <c r="F57" s="364"/>
      <c r="G57" s="364"/>
      <c r="H57" s="364"/>
      <c r="I57" s="365"/>
      <c r="J57" s="139">
        <f>J52+J54</f>
        <v>50895000</v>
      </c>
      <c r="K57" s="139">
        <f t="shared" ref="K57:L57" si="15">K52+K54</f>
        <v>18000000</v>
      </c>
      <c r="L57" s="144">
        <f t="shared" si="15"/>
        <v>68895000</v>
      </c>
      <c r="M57" s="384" t="s">
        <v>197</v>
      </c>
      <c r="N57" s="385"/>
      <c r="O57" s="385"/>
      <c r="P57" s="385"/>
      <c r="Q57" s="385"/>
      <c r="R57" s="386"/>
      <c r="S57" s="139">
        <f>S52+S54</f>
        <v>51100000</v>
      </c>
      <c r="T57" s="139">
        <f t="shared" ref="T57:U57" si="16">T52+T54</f>
        <v>18000000</v>
      </c>
      <c r="U57" s="144">
        <f t="shared" si="16"/>
        <v>69100000</v>
      </c>
    </row>
    <row r="58" spans="1:21" ht="18" thickTop="1">
      <c r="S58" s="224" t="s">
        <v>239</v>
      </c>
    </row>
    <row r="59" spans="1:21">
      <c r="S59" s="122"/>
      <c r="T59" s="122"/>
    </row>
  </sheetData>
  <mergeCells count="62">
    <mergeCell ref="M55:N55"/>
    <mergeCell ref="D56:E56"/>
    <mergeCell ref="M56:N56"/>
    <mergeCell ref="B57:I57"/>
    <mergeCell ref="M57:R57"/>
    <mergeCell ref="M53:N53"/>
    <mergeCell ref="D54:I54"/>
    <mergeCell ref="M54:R54"/>
    <mergeCell ref="M37:M43"/>
    <mergeCell ref="E43:I43"/>
    <mergeCell ref="N43:R43"/>
    <mergeCell ref="D44:D52"/>
    <mergeCell ref="M44:M52"/>
    <mergeCell ref="E52:I52"/>
    <mergeCell ref="N52:R52"/>
    <mergeCell ref="A37:A57"/>
    <mergeCell ref="B37:B52"/>
    <mergeCell ref="C37:C52"/>
    <mergeCell ref="D37:D43"/>
    <mergeCell ref="B55:C56"/>
    <mergeCell ref="D55:E55"/>
    <mergeCell ref="B53:C54"/>
    <mergeCell ref="D53:E53"/>
    <mergeCell ref="B29:I29"/>
    <mergeCell ref="M29:R29"/>
    <mergeCell ref="A33:C36"/>
    <mergeCell ref="D33:L33"/>
    <mergeCell ref="M33:U33"/>
    <mergeCell ref="D34:D36"/>
    <mergeCell ref="J34:L35"/>
    <mergeCell ref="M34:M36"/>
    <mergeCell ref="S34:U35"/>
    <mergeCell ref="A8:A29"/>
    <mergeCell ref="B8:B24"/>
    <mergeCell ref="C8:C24"/>
    <mergeCell ref="D8:D14"/>
    <mergeCell ref="M8:M14"/>
    <mergeCell ref="D15:D23"/>
    <mergeCell ref="M15:M23"/>
    <mergeCell ref="D26:I26"/>
    <mergeCell ref="M26:R26"/>
    <mergeCell ref="B27:C28"/>
    <mergeCell ref="D27:E27"/>
    <mergeCell ref="M27:N27"/>
    <mergeCell ref="D28:E28"/>
    <mergeCell ref="M28:N28"/>
    <mergeCell ref="D24:I24"/>
    <mergeCell ref="M24:R24"/>
    <mergeCell ref="B25:C26"/>
    <mergeCell ref="A4:C7"/>
    <mergeCell ref="D4:L4"/>
    <mergeCell ref="M4:U4"/>
    <mergeCell ref="D5:D7"/>
    <mergeCell ref="J5:L6"/>
    <mergeCell ref="M5:M7"/>
    <mergeCell ref="S5:U6"/>
    <mergeCell ref="E14:I14"/>
    <mergeCell ref="E23:I23"/>
    <mergeCell ref="N14:R14"/>
    <mergeCell ref="N23:R23"/>
    <mergeCell ref="D25:E25"/>
    <mergeCell ref="M25:N25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CC31-4CCF-493E-B13B-158DCC2E20F5}">
  <sheetPr>
    <tabColor rgb="FF92D050"/>
  </sheetPr>
  <dimension ref="B1:V44"/>
  <sheetViews>
    <sheetView showGridLines="0" tabSelected="1" view="pageBreakPreview" topLeftCell="A17" zoomScale="137" zoomScaleNormal="70" zoomScaleSheetLayoutView="80" workbookViewId="0">
      <selection activeCell="I35" sqref="I35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</row>
    <row r="4" spans="2:22" ht="30" customHeight="1">
      <c r="B4" s="419" t="s">
        <v>157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20"/>
      <c r="T4" s="420"/>
    </row>
    <row r="6" spans="2:22" ht="20" customHeight="1">
      <c r="B6" s="43" t="s">
        <v>241</v>
      </c>
      <c r="C6" s="43"/>
      <c r="D6" s="35"/>
      <c r="E6" s="35"/>
      <c r="F6" s="35"/>
      <c r="T6" s="40" t="s">
        <v>60</v>
      </c>
    </row>
    <row r="7" spans="2:22" ht="27" customHeight="1">
      <c r="B7" s="421" t="s">
        <v>29</v>
      </c>
      <c r="C7" s="421" t="s">
        <v>53</v>
      </c>
      <c r="D7" s="421" t="s">
        <v>159</v>
      </c>
      <c r="E7" s="422" t="s">
        <v>165</v>
      </c>
      <c r="F7" s="421" t="s">
        <v>29</v>
      </c>
      <c r="G7" s="421" t="s">
        <v>62</v>
      </c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5" t="s">
        <v>30</v>
      </c>
      <c r="T7" s="425" t="s">
        <v>54</v>
      </c>
      <c r="U7" s="18"/>
      <c r="V7" s="18"/>
    </row>
    <row r="8" spans="2:22" ht="28.5" customHeight="1">
      <c r="B8" s="421"/>
      <c r="C8" s="421"/>
      <c r="D8" s="421"/>
      <c r="E8" s="423"/>
      <c r="F8" s="421"/>
      <c r="G8" s="204" t="s">
        <v>242</v>
      </c>
      <c r="H8" s="204" t="s">
        <v>243</v>
      </c>
      <c r="I8" s="204" t="s">
        <v>244</v>
      </c>
      <c r="J8" s="204" t="s">
        <v>245</v>
      </c>
      <c r="K8" s="204" t="s">
        <v>246</v>
      </c>
      <c r="L8" s="204" t="s">
        <v>247</v>
      </c>
      <c r="M8" s="204" t="s">
        <v>248</v>
      </c>
      <c r="N8" s="204" t="s">
        <v>249</v>
      </c>
      <c r="O8" s="204" t="s">
        <v>250</v>
      </c>
      <c r="P8" s="204" t="s">
        <v>251</v>
      </c>
      <c r="Q8" s="204" t="s">
        <v>252</v>
      </c>
      <c r="R8" s="204" t="s">
        <v>253</v>
      </c>
      <c r="S8" s="426"/>
      <c r="T8" s="426"/>
    </row>
    <row r="9" spans="2:22" ht="18" customHeight="1">
      <c r="B9" s="407" t="s">
        <v>219</v>
      </c>
      <c r="C9" s="407" t="s">
        <v>229</v>
      </c>
      <c r="D9" s="49"/>
      <c r="E9" s="411"/>
      <c r="F9" s="36" t="s">
        <v>58</v>
      </c>
      <c r="G9" s="44">
        <v>11800000</v>
      </c>
      <c r="H9" s="230">
        <v>10000000</v>
      </c>
      <c r="I9" s="230">
        <v>10000000</v>
      </c>
      <c r="J9" s="230">
        <v>10000000</v>
      </c>
      <c r="K9" s="230"/>
      <c r="L9" s="230"/>
      <c r="M9" s="230"/>
      <c r="N9" s="226"/>
      <c r="O9" s="226"/>
      <c r="P9" s="226"/>
      <c r="Q9" s="226"/>
      <c r="R9" s="226"/>
      <c r="S9" s="37">
        <f>SUM(G9:R9)</f>
        <v>41800000</v>
      </c>
      <c r="T9" s="90"/>
    </row>
    <row r="10" spans="2:22" ht="18" customHeight="1">
      <c r="B10" s="408"/>
      <c r="C10" s="408"/>
      <c r="D10" s="50" t="s">
        <v>101</v>
      </c>
      <c r="E10" s="408"/>
      <c r="F10" s="36" t="s">
        <v>57</v>
      </c>
      <c r="G10" s="44">
        <v>9159460</v>
      </c>
      <c r="H10" s="230">
        <v>9936860</v>
      </c>
      <c r="I10" s="230">
        <v>8066100</v>
      </c>
      <c r="J10" s="230">
        <v>8066100</v>
      </c>
      <c r="K10" s="230"/>
      <c r="L10" s="230"/>
      <c r="M10" s="230"/>
      <c r="N10" s="226"/>
      <c r="O10" s="226"/>
      <c r="P10" s="226"/>
      <c r="Q10" s="226"/>
      <c r="R10" s="226"/>
      <c r="S10" s="37">
        <f>SUM(G10:R10)</f>
        <v>35228520</v>
      </c>
      <c r="T10" s="203" t="s">
        <v>173</v>
      </c>
    </row>
    <row r="11" spans="2:22" ht="18" customHeight="1">
      <c r="B11" s="408"/>
      <c r="C11" s="408"/>
      <c r="D11" s="50">
        <v>10295000</v>
      </c>
      <c r="E11" s="408"/>
      <c r="F11" s="36" t="s">
        <v>161</v>
      </c>
      <c r="G11" s="45">
        <v>0.41</v>
      </c>
      <c r="H11" s="231">
        <v>0.41</v>
      </c>
      <c r="I11" s="231">
        <v>0.41</v>
      </c>
      <c r="J11" s="231">
        <v>0.41</v>
      </c>
      <c r="K11" s="231"/>
      <c r="L11" s="231"/>
      <c r="M11" s="231"/>
      <c r="N11" s="228"/>
      <c r="O11" s="228"/>
      <c r="P11" s="228"/>
      <c r="Q11" s="228"/>
      <c r="R11" s="228"/>
      <c r="S11" s="37"/>
      <c r="T11" s="90">
        <f>MAX(-MIN(D11,S12-S14)+S13,0)</f>
        <v>0</v>
      </c>
    </row>
    <row r="12" spans="2:22" ht="18" customHeight="1">
      <c r="B12" s="408"/>
      <c r="C12" s="408"/>
      <c r="D12" s="50" t="s">
        <v>1</v>
      </c>
      <c r="E12" s="408"/>
      <c r="F12" s="38" t="s">
        <v>59</v>
      </c>
      <c r="G12" s="46">
        <f>G9*G11</f>
        <v>4838000</v>
      </c>
      <c r="H12" s="232">
        <f t="shared" ref="H12:R12" si="0">H9*H11</f>
        <v>4099999.9999999995</v>
      </c>
      <c r="I12" s="232">
        <f t="shared" si="0"/>
        <v>4099999.9999999995</v>
      </c>
      <c r="J12" s="232">
        <f t="shared" si="0"/>
        <v>4099999.9999999995</v>
      </c>
      <c r="K12" s="232">
        <f t="shared" si="0"/>
        <v>0</v>
      </c>
      <c r="L12" s="232">
        <f t="shared" si="0"/>
        <v>0</v>
      </c>
      <c r="M12" s="232">
        <f t="shared" si="0"/>
        <v>0</v>
      </c>
      <c r="N12" s="99">
        <f t="shared" si="0"/>
        <v>0</v>
      </c>
      <c r="O12" s="99">
        <f t="shared" si="0"/>
        <v>0</v>
      </c>
      <c r="P12" s="99">
        <f t="shared" si="0"/>
        <v>0</v>
      </c>
      <c r="Q12" s="99">
        <f t="shared" si="0"/>
        <v>0</v>
      </c>
      <c r="R12" s="99">
        <f t="shared" si="0"/>
        <v>0</v>
      </c>
      <c r="S12" s="39">
        <f>SUM(G12:R12)</f>
        <v>17138000</v>
      </c>
      <c r="T12" s="90" t="s">
        <v>150</v>
      </c>
    </row>
    <row r="13" spans="2:22" ht="18" customHeight="1">
      <c r="B13" s="408"/>
      <c r="C13" s="408"/>
      <c r="D13" s="50">
        <v>18000000</v>
      </c>
      <c r="E13" s="408"/>
      <c r="F13" s="36" t="s">
        <v>98</v>
      </c>
      <c r="G13" s="44">
        <v>1500000</v>
      </c>
      <c r="H13" s="230">
        <v>1500000</v>
      </c>
      <c r="I13" s="230">
        <v>1500000</v>
      </c>
      <c r="J13" s="230">
        <v>1500000</v>
      </c>
      <c r="K13" s="230"/>
      <c r="L13" s="230"/>
      <c r="M13" s="230"/>
      <c r="N13" s="226"/>
      <c r="O13" s="226"/>
      <c r="P13" s="226"/>
      <c r="Q13" s="226"/>
      <c r="R13" s="226"/>
      <c r="S13" s="37">
        <f>SUM(G13:R13)</f>
        <v>6000000</v>
      </c>
      <c r="T13" s="202">
        <f>MAX(D13-S14,0)</f>
        <v>7600000</v>
      </c>
      <c r="V13" s="101"/>
    </row>
    <row r="14" spans="2:22" ht="18" customHeight="1">
      <c r="B14" s="409"/>
      <c r="C14" s="409"/>
      <c r="D14" s="51"/>
      <c r="E14" s="409"/>
      <c r="F14" s="36" t="s">
        <v>100</v>
      </c>
      <c r="G14" s="44">
        <v>2600000</v>
      </c>
      <c r="H14" s="230">
        <v>2600000</v>
      </c>
      <c r="I14" s="230">
        <v>2600000</v>
      </c>
      <c r="J14" s="230">
        <v>2600000</v>
      </c>
      <c r="K14" s="230"/>
      <c r="L14" s="230"/>
      <c r="M14" s="230"/>
      <c r="N14" s="226"/>
      <c r="O14" s="226"/>
      <c r="P14" s="226"/>
      <c r="Q14" s="226"/>
      <c r="R14" s="226"/>
      <c r="S14" s="37">
        <f>SUM(G14:R14)</f>
        <v>10400000</v>
      </c>
      <c r="T14" s="203"/>
    </row>
    <row r="15" spans="2:22" ht="18" customHeight="1">
      <c r="B15" s="412" t="s">
        <v>219</v>
      </c>
      <c r="C15" s="412"/>
      <c r="D15" s="211"/>
      <c r="E15" s="415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13"/>
      <c r="C16" s="413"/>
      <c r="D16" s="214"/>
      <c r="E16" s="416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13"/>
      <c r="C17" s="413"/>
      <c r="D17" s="214"/>
      <c r="E17" s="416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13"/>
      <c r="C18" s="413"/>
      <c r="D18" s="214"/>
      <c r="E18" s="416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2" si="2">SUM(G18:R18)</f>
        <v>0</v>
      </c>
      <c r="T18" s="217" t="s">
        <v>150</v>
      </c>
    </row>
    <row r="19" spans="2:20" ht="18" customHeight="1">
      <c r="B19" s="413"/>
      <c r="C19" s="413"/>
      <c r="D19" s="214"/>
      <c r="E19" s="416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14"/>
      <c r="C20" s="414"/>
      <c r="D20" s="219"/>
      <c r="E20" s="417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396" t="s">
        <v>201</v>
      </c>
      <c r="C21" s="397"/>
      <c r="D21" s="182">
        <f>D11+D17</f>
        <v>10295000</v>
      </c>
      <c r="E21" s="183"/>
      <c r="F21" s="184" t="s">
        <v>98</v>
      </c>
      <c r="G21" s="185">
        <f t="shared" ref="G21:R22" si="3">G13+G19</f>
        <v>1500000</v>
      </c>
      <c r="H21" s="185">
        <f t="shared" si="3"/>
        <v>1500000</v>
      </c>
      <c r="I21" s="185">
        <f t="shared" si="3"/>
        <v>1500000</v>
      </c>
      <c r="J21" s="185">
        <f t="shared" si="3"/>
        <v>1500000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0</v>
      </c>
      <c r="O21" s="185">
        <f t="shared" si="3"/>
        <v>0</v>
      </c>
      <c r="P21" s="185">
        <f t="shared" si="3"/>
        <v>0</v>
      </c>
      <c r="Q21" s="185">
        <f t="shared" si="3"/>
        <v>0</v>
      </c>
      <c r="R21" s="185">
        <f t="shared" si="3"/>
        <v>0</v>
      </c>
      <c r="S21" s="186">
        <f t="shared" si="2"/>
        <v>6000000</v>
      </c>
      <c r="T21" s="187"/>
    </row>
    <row r="22" spans="2:20" ht="18" customHeight="1">
      <c r="B22" s="398"/>
      <c r="C22" s="399"/>
      <c r="D22" s="182">
        <f>D13+D19</f>
        <v>18000000</v>
      </c>
      <c r="E22" s="183"/>
      <c r="F22" s="184" t="s">
        <v>100</v>
      </c>
      <c r="G22" s="185">
        <f t="shared" si="3"/>
        <v>2600000</v>
      </c>
      <c r="H22" s="185">
        <f t="shared" si="3"/>
        <v>2600000</v>
      </c>
      <c r="I22" s="185">
        <f t="shared" si="3"/>
        <v>2600000</v>
      </c>
      <c r="J22" s="185">
        <f t="shared" si="3"/>
        <v>2600000</v>
      </c>
      <c r="K22" s="185">
        <f t="shared" si="3"/>
        <v>0</v>
      </c>
      <c r="L22" s="185">
        <f t="shared" si="3"/>
        <v>0</v>
      </c>
      <c r="M22" s="185">
        <f t="shared" si="3"/>
        <v>0</v>
      </c>
      <c r="N22" s="185">
        <f t="shared" si="3"/>
        <v>0</v>
      </c>
      <c r="O22" s="185">
        <f t="shared" si="3"/>
        <v>0</v>
      </c>
      <c r="P22" s="185">
        <f t="shared" si="3"/>
        <v>0</v>
      </c>
      <c r="Q22" s="185">
        <f t="shared" si="3"/>
        <v>0</v>
      </c>
      <c r="R22" s="185">
        <f t="shared" si="3"/>
        <v>0</v>
      </c>
      <c r="S22" s="186">
        <f t="shared" si="2"/>
        <v>10400000</v>
      </c>
      <c r="T22" s="187"/>
    </row>
    <row r="23" spans="2:20" ht="18" customHeight="1">
      <c r="B23" s="404" t="s">
        <v>221</v>
      </c>
      <c r="C23" s="407" t="s">
        <v>226</v>
      </c>
      <c r="D23" s="49"/>
      <c r="E23" s="410"/>
      <c r="F23" s="36" t="s">
        <v>58</v>
      </c>
      <c r="G23" s="44">
        <v>8850000</v>
      </c>
      <c r="H23" s="44">
        <v>7500000</v>
      </c>
      <c r="I23" s="44">
        <v>7500000</v>
      </c>
      <c r="J23" s="44">
        <v>7500000</v>
      </c>
      <c r="K23" s="44"/>
      <c r="L23" s="44"/>
      <c r="M23" s="208"/>
      <c r="N23" s="226"/>
      <c r="O23" s="226"/>
      <c r="P23" s="226"/>
      <c r="Q23" s="226"/>
      <c r="R23" s="226"/>
      <c r="S23" s="37"/>
      <c r="T23" s="89"/>
    </row>
    <row r="24" spans="2:20" ht="18" customHeight="1">
      <c r="B24" s="405"/>
      <c r="C24" s="408"/>
      <c r="D24" s="50" t="s">
        <v>101</v>
      </c>
      <c r="E24" s="408"/>
      <c r="F24" s="36" t="s">
        <v>57</v>
      </c>
      <c r="G24" s="44">
        <v>6923290</v>
      </c>
      <c r="H24" s="44">
        <v>8178200</v>
      </c>
      <c r="I24" s="44">
        <v>5923840</v>
      </c>
      <c r="J24" s="44">
        <v>5923840</v>
      </c>
      <c r="K24" s="44"/>
      <c r="L24" s="44"/>
      <c r="M24" s="208"/>
      <c r="N24" s="226"/>
      <c r="O24" s="226"/>
      <c r="P24" s="226"/>
      <c r="Q24" s="226"/>
      <c r="R24" s="226"/>
      <c r="S24" s="37"/>
      <c r="T24" s="203" t="s">
        <v>173</v>
      </c>
    </row>
    <row r="25" spans="2:20" ht="18" customHeight="1">
      <c r="B25" s="405"/>
      <c r="C25" s="408"/>
      <c r="D25" s="50">
        <v>21000000</v>
      </c>
      <c r="E25" s="408"/>
      <c r="F25" s="36" t="s">
        <v>158</v>
      </c>
      <c r="G25" s="45">
        <v>0.4</v>
      </c>
      <c r="H25" s="45">
        <v>0.4</v>
      </c>
      <c r="I25" s="45">
        <v>0.4</v>
      </c>
      <c r="J25" s="45">
        <v>0.4</v>
      </c>
      <c r="K25" s="45"/>
      <c r="L25" s="45"/>
      <c r="M25" s="209"/>
      <c r="N25" s="228"/>
      <c r="O25" s="228"/>
      <c r="P25" s="228"/>
      <c r="Q25" s="228"/>
      <c r="R25" s="228"/>
      <c r="S25" s="37"/>
      <c r="T25" s="90">
        <f>MAX(-MIN(D25,S26-S28)+S27,0)</f>
        <v>0</v>
      </c>
    </row>
    <row r="26" spans="2:20" ht="18" customHeight="1">
      <c r="B26" s="405"/>
      <c r="C26" s="408"/>
      <c r="D26" s="50" t="s">
        <v>1</v>
      </c>
      <c r="E26" s="408"/>
      <c r="F26" s="38" t="s">
        <v>59</v>
      </c>
      <c r="G26" s="46">
        <f>G23*G25</f>
        <v>3540000</v>
      </c>
      <c r="H26" s="46">
        <f t="shared" ref="H26:R26" si="4">H23*H25</f>
        <v>3000000</v>
      </c>
      <c r="I26" s="46">
        <f t="shared" si="4"/>
        <v>3000000</v>
      </c>
      <c r="J26" s="46">
        <f t="shared" si="4"/>
        <v>3000000</v>
      </c>
      <c r="K26" s="46">
        <f t="shared" si="4"/>
        <v>0</v>
      </c>
      <c r="L26" s="46">
        <f t="shared" si="4"/>
        <v>0</v>
      </c>
      <c r="M26" s="46">
        <f t="shared" si="4"/>
        <v>0</v>
      </c>
      <c r="N26" s="99">
        <f t="shared" si="4"/>
        <v>0</v>
      </c>
      <c r="O26" s="99">
        <f t="shared" si="4"/>
        <v>0</v>
      </c>
      <c r="P26" s="99">
        <f t="shared" si="4"/>
        <v>0</v>
      </c>
      <c r="Q26" s="99">
        <f t="shared" si="4"/>
        <v>0</v>
      </c>
      <c r="R26" s="99">
        <f t="shared" si="4"/>
        <v>0</v>
      </c>
      <c r="S26" s="39">
        <f>SUM(G26:R26)</f>
        <v>12540000</v>
      </c>
      <c r="T26" s="90" t="s">
        <v>150</v>
      </c>
    </row>
    <row r="27" spans="2:20" ht="18" customHeight="1">
      <c r="B27" s="405"/>
      <c r="C27" s="408"/>
      <c r="D27" s="50">
        <v>0</v>
      </c>
      <c r="E27" s="408"/>
      <c r="F27" s="36" t="s">
        <v>98</v>
      </c>
      <c r="G27" s="44">
        <v>3000000</v>
      </c>
      <c r="H27" s="44">
        <v>3000000</v>
      </c>
      <c r="I27" s="44">
        <v>3000000</v>
      </c>
      <c r="J27" s="44">
        <v>3000000</v>
      </c>
      <c r="K27" s="44"/>
      <c r="L27" s="44"/>
      <c r="M27" s="208"/>
      <c r="N27" s="226"/>
      <c r="O27" s="226"/>
      <c r="P27" s="226"/>
      <c r="Q27" s="226"/>
      <c r="R27" s="226"/>
      <c r="S27" s="37"/>
      <c r="T27" s="202">
        <f>MAX(D27-S28,0)</f>
        <v>0</v>
      </c>
    </row>
    <row r="28" spans="2:20" ht="18" customHeight="1">
      <c r="B28" s="406"/>
      <c r="C28" s="409"/>
      <c r="D28" s="51"/>
      <c r="E28" s="409"/>
      <c r="F28" s="36" t="s">
        <v>100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226">
        <f t="shared" ref="N28:O28" si="5">M28</f>
        <v>0</v>
      </c>
      <c r="O28" s="226">
        <f t="shared" si="5"/>
        <v>0</v>
      </c>
      <c r="P28" s="226">
        <f>O28</f>
        <v>0</v>
      </c>
      <c r="Q28" s="226">
        <f>P28</f>
        <v>0</v>
      </c>
      <c r="R28" s="226">
        <f t="shared" ref="R28" si="6">Q28</f>
        <v>0</v>
      </c>
      <c r="S28" s="37">
        <f>SUM(G28:R28)</f>
        <v>0</v>
      </c>
      <c r="T28" s="91"/>
    </row>
    <row r="29" spans="2:20" ht="18" customHeight="1">
      <c r="B29" s="404" t="s">
        <v>221</v>
      </c>
      <c r="C29" s="407" t="s">
        <v>227</v>
      </c>
      <c r="D29" s="49"/>
      <c r="E29" s="411"/>
      <c r="F29" s="36" t="s">
        <v>58</v>
      </c>
      <c r="G29" s="208">
        <v>8016666</v>
      </c>
      <c r="H29" s="208">
        <v>6666666</v>
      </c>
      <c r="I29" s="208">
        <v>6666666</v>
      </c>
      <c r="J29" s="208">
        <v>6666666</v>
      </c>
      <c r="K29" s="205"/>
      <c r="L29" s="205"/>
      <c r="M29" s="44"/>
      <c r="N29" s="226"/>
      <c r="O29" s="226"/>
      <c r="P29" s="226"/>
      <c r="Q29" s="226"/>
      <c r="R29" s="226"/>
      <c r="S29" s="37"/>
      <c r="T29" s="89"/>
    </row>
    <row r="30" spans="2:20" ht="18" customHeight="1">
      <c r="B30" s="405"/>
      <c r="C30" s="408"/>
      <c r="D30" s="50" t="s">
        <v>101</v>
      </c>
      <c r="E30" s="405"/>
      <c r="F30" s="36" t="s">
        <v>57</v>
      </c>
      <c r="G30" s="208">
        <v>6344496</v>
      </c>
      <c r="H30" s="208">
        <v>5072536</v>
      </c>
      <c r="I30" s="205">
        <v>5340956</v>
      </c>
      <c r="J30" s="205">
        <v>5340956</v>
      </c>
      <c r="K30" s="205"/>
      <c r="L30" s="205"/>
      <c r="M30" s="44"/>
      <c r="N30" s="226"/>
      <c r="O30" s="226"/>
      <c r="P30" s="226"/>
      <c r="Q30" s="226"/>
      <c r="R30" s="226"/>
      <c r="S30" s="37"/>
      <c r="T30" s="203" t="s">
        <v>173</v>
      </c>
    </row>
    <row r="31" spans="2:20" ht="18" customHeight="1">
      <c r="B31" s="405"/>
      <c r="C31" s="408"/>
      <c r="D31" s="50">
        <v>19600000</v>
      </c>
      <c r="E31" s="405"/>
      <c r="F31" s="36" t="s">
        <v>158</v>
      </c>
      <c r="G31" s="209">
        <v>0.42</v>
      </c>
      <c r="H31" s="209">
        <v>0.42</v>
      </c>
      <c r="I31" s="206">
        <v>0.42</v>
      </c>
      <c r="J31" s="206">
        <v>0.42</v>
      </c>
      <c r="K31" s="206"/>
      <c r="L31" s="206"/>
      <c r="M31" s="45"/>
      <c r="N31" s="228"/>
      <c r="O31" s="228"/>
      <c r="P31" s="228"/>
      <c r="Q31" s="228"/>
      <c r="R31" s="228"/>
      <c r="S31" s="37"/>
      <c r="T31" s="90">
        <f>MAX(-MIN(D31,S32-S34)+S33,0)</f>
        <v>0</v>
      </c>
    </row>
    <row r="32" spans="2:20" ht="18" customHeight="1">
      <c r="B32" s="405"/>
      <c r="C32" s="408"/>
      <c r="D32" s="50" t="s">
        <v>1</v>
      </c>
      <c r="E32" s="405"/>
      <c r="F32" s="38" t="s">
        <v>59</v>
      </c>
      <c r="G32" s="46">
        <f>G29*G31</f>
        <v>3366999.7199999997</v>
      </c>
      <c r="H32" s="46">
        <f t="shared" ref="H32:M32" si="7">H29*H31</f>
        <v>2799999.7199999997</v>
      </c>
      <c r="I32" s="39">
        <f t="shared" si="7"/>
        <v>2799999.7199999997</v>
      </c>
      <c r="J32" s="39">
        <f t="shared" si="7"/>
        <v>2799999.7199999997</v>
      </c>
      <c r="K32" s="39">
        <f t="shared" si="7"/>
        <v>0</v>
      </c>
      <c r="L32" s="39">
        <f t="shared" si="7"/>
        <v>0</v>
      </c>
      <c r="M32" s="39">
        <f t="shared" si="7"/>
        <v>0</v>
      </c>
      <c r="N32" s="99">
        <f t="shared" ref="N32:R32" si="8">N29*N31</f>
        <v>0</v>
      </c>
      <c r="O32" s="99">
        <f t="shared" si="8"/>
        <v>0</v>
      </c>
      <c r="P32" s="99">
        <f>P29*P31</f>
        <v>0</v>
      </c>
      <c r="Q32" s="99">
        <f t="shared" si="8"/>
        <v>0</v>
      </c>
      <c r="R32" s="99">
        <f t="shared" si="8"/>
        <v>0</v>
      </c>
      <c r="S32" s="39">
        <f t="shared" ref="S32:S34" si="9">SUM(G32:R32)</f>
        <v>11766998.879999999</v>
      </c>
      <c r="T32" s="90" t="s">
        <v>150</v>
      </c>
    </row>
    <row r="33" spans="2:20" ht="18" customHeight="1">
      <c r="B33" s="405"/>
      <c r="C33" s="408"/>
      <c r="D33" s="50">
        <v>0</v>
      </c>
      <c r="E33" s="405"/>
      <c r="F33" s="36" t="s">
        <v>97</v>
      </c>
      <c r="G33" s="208">
        <v>2800000</v>
      </c>
      <c r="H33" s="208">
        <v>2800000</v>
      </c>
      <c r="I33" s="208">
        <v>2800000</v>
      </c>
      <c r="J33" s="208">
        <v>2800000</v>
      </c>
      <c r="K33" s="205"/>
      <c r="L33" s="205"/>
      <c r="M33" s="44"/>
      <c r="N33" s="226"/>
      <c r="O33" s="226"/>
      <c r="P33" s="226"/>
      <c r="Q33" s="226"/>
      <c r="R33" s="226"/>
      <c r="S33" s="37"/>
      <c r="T33" s="202">
        <f>MAX(D33-S34,0)</f>
        <v>0</v>
      </c>
    </row>
    <row r="34" spans="2:20" ht="18" customHeight="1">
      <c r="B34" s="406"/>
      <c r="C34" s="409"/>
      <c r="D34" s="51"/>
      <c r="E34" s="406"/>
      <c r="F34" s="36" t="s">
        <v>99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37">
        <f t="shared" si="9"/>
        <v>0</v>
      </c>
      <c r="T34" s="91"/>
    </row>
    <row r="35" spans="2:20" ht="18" customHeight="1">
      <c r="B35" s="387" t="s">
        <v>221</v>
      </c>
      <c r="C35" s="390"/>
      <c r="D35" s="225"/>
      <c r="E35" s="393"/>
      <c r="F35" s="212" t="s">
        <v>58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98"/>
      <c r="T35" s="89"/>
    </row>
    <row r="36" spans="2:20" ht="18" customHeight="1">
      <c r="B36" s="388"/>
      <c r="C36" s="391"/>
      <c r="D36" s="227" t="s">
        <v>101</v>
      </c>
      <c r="E36" s="394"/>
      <c r="F36" s="212" t="s">
        <v>57</v>
      </c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98"/>
      <c r="T36" s="203" t="s">
        <v>173</v>
      </c>
    </row>
    <row r="37" spans="2:20" ht="18" customHeight="1">
      <c r="B37" s="388"/>
      <c r="C37" s="391"/>
      <c r="D37" s="227"/>
      <c r="E37" s="394"/>
      <c r="F37" s="212" t="s">
        <v>158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98"/>
      <c r="T37" s="90">
        <f>MAX(-MIN(D37,S38-S40)+S39,0)</f>
        <v>0</v>
      </c>
    </row>
    <row r="38" spans="2:20" ht="18" customHeight="1">
      <c r="B38" s="388"/>
      <c r="C38" s="391"/>
      <c r="D38" s="227" t="s">
        <v>1</v>
      </c>
      <c r="E38" s="394"/>
      <c r="F38" s="212" t="s">
        <v>59</v>
      </c>
      <c r="G38" s="99">
        <f>G35*G37</f>
        <v>0</v>
      </c>
      <c r="H38" s="99">
        <f>H35*H37</f>
        <v>0</v>
      </c>
      <c r="I38" s="99">
        <f t="shared" ref="I38:R38" si="10">I35*I37</f>
        <v>0</v>
      </c>
      <c r="J38" s="99">
        <f t="shared" si="10"/>
        <v>0</v>
      </c>
      <c r="K38" s="99">
        <f t="shared" si="10"/>
        <v>0</v>
      </c>
      <c r="L38" s="99">
        <f t="shared" si="10"/>
        <v>0</v>
      </c>
      <c r="M38" s="99">
        <f t="shared" si="10"/>
        <v>0</v>
      </c>
      <c r="N38" s="99">
        <f t="shared" si="10"/>
        <v>0</v>
      </c>
      <c r="O38" s="99">
        <f t="shared" si="10"/>
        <v>0</v>
      </c>
      <c r="P38" s="99">
        <f t="shared" si="10"/>
        <v>0</v>
      </c>
      <c r="Q38" s="99">
        <f t="shared" si="10"/>
        <v>0</v>
      </c>
      <c r="R38" s="99">
        <f t="shared" si="10"/>
        <v>0</v>
      </c>
      <c r="S38" s="98">
        <f t="shared" ref="S38:S44" si="11">SUM(G38:R38)</f>
        <v>0</v>
      </c>
      <c r="T38" s="90" t="s">
        <v>150</v>
      </c>
    </row>
    <row r="39" spans="2:20" ht="18" customHeight="1">
      <c r="B39" s="388"/>
      <c r="C39" s="391"/>
      <c r="D39" s="227">
        <v>0</v>
      </c>
      <c r="E39" s="394"/>
      <c r="F39" s="212" t="s">
        <v>97</v>
      </c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98"/>
      <c r="T39" s="202">
        <f>MAX(D39-S40,0)</f>
        <v>0</v>
      </c>
    </row>
    <row r="40" spans="2:20" ht="18" customHeight="1">
      <c r="B40" s="389"/>
      <c r="C40" s="392"/>
      <c r="D40" s="229"/>
      <c r="E40" s="395"/>
      <c r="F40" s="212" t="s">
        <v>99</v>
      </c>
      <c r="G40" s="226"/>
      <c r="H40" s="226"/>
      <c r="I40" s="226"/>
      <c r="J40" s="226"/>
      <c r="K40" s="226"/>
      <c r="L40" s="226"/>
      <c r="M40" s="226"/>
      <c r="N40" s="226">
        <v>0</v>
      </c>
      <c r="O40" s="226"/>
      <c r="P40" s="226"/>
      <c r="Q40" s="226"/>
      <c r="R40" s="226"/>
      <c r="S40" s="98">
        <f t="shared" si="11"/>
        <v>0</v>
      </c>
      <c r="T40" s="91"/>
    </row>
    <row r="41" spans="2:20" ht="18" customHeight="1">
      <c r="B41" s="396" t="s">
        <v>201</v>
      </c>
      <c r="C41" s="397"/>
      <c r="D41" s="182">
        <f>D25+D31+D37</f>
        <v>40600000</v>
      </c>
      <c r="E41" s="183"/>
      <c r="F41" s="184" t="s">
        <v>98</v>
      </c>
      <c r="G41" s="186">
        <f t="shared" ref="G41:R41" si="12">G27+G33+G39</f>
        <v>5800000</v>
      </c>
      <c r="H41" s="186">
        <f t="shared" si="12"/>
        <v>5800000</v>
      </c>
      <c r="I41" s="186">
        <f t="shared" si="12"/>
        <v>5800000</v>
      </c>
      <c r="J41" s="186">
        <f t="shared" si="12"/>
        <v>5800000</v>
      </c>
      <c r="K41" s="186">
        <f t="shared" si="12"/>
        <v>0</v>
      </c>
      <c r="L41" s="186">
        <f t="shared" si="12"/>
        <v>0</v>
      </c>
      <c r="M41" s="186">
        <f t="shared" si="12"/>
        <v>0</v>
      </c>
      <c r="N41" s="186">
        <f t="shared" si="12"/>
        <v>0</v>
      </c>
      <c r="O41" s="186">
        <f t="shared" si="12"/>
        <v>0</v>
      </c>
      <c r="P41" s="186">
        <f t="shared" si="12"/>
        <v>0</v>
      </c>
      <c r="Q41" s="186">
        <f t="shared" si="12"/>
        <v>0</v>
      </c>
      <c r="R41" s="186">
        <f t="shared" si="12"/>
        <v>0</v>
      </c>
      <c r="S41" s="186">
        <f t="shared" si="11"/>
        <v>23200000</v>
      </c>
      <c r="T41" s="184"/>
    </row>
    <row r="42" spans="2:20" ht="18" customHeight="1">
      <c r="B42" s="398"/>
      <c r="C42" s="399"/>
      <c r="D42" s="182">
        <f>D27+D33+D39</f>
        <v>0</v>
      </c>
      <c r="E42" s="183"/>
      <c r="F42" s="184" t="s">
        <v>100</v>
      </c>
      <c r="G42" s="186">
        <f t="shared" ref="G42:R42" si="13">G28+G34+G40</f>
        <v>0</v>
      </c>
      <c r="H42" s="186">
        <f t="shared" si="13"/>
        <v>0</v>
      </c>
      <c r="I42" s="186">
        <f t="shared" si="13"/>
        <v>0</v>
      </c>
      <c r="J42" s="186">
        <f t="shared" si="13"/>
        <v>0</v>
      </c>
      <c r="K42" s="186">
        <f t="shared" si="13"/>
        <v>0</v>
      </c>
      <c r="L42" s="186">
        <f t="shared" si="13"/>
        <v>0</v>
      </c>
      <c r="M42" s="186">
        <f t="shared" si="13"/>
        <v>0</v>
      </c>
      <c r="N42" s="186">
        <f t="shared" si="13"/>
        <v>0</v>
      </c>
      <c r="O42" s="186">
        <f t="shared" si="13"/>
        <v>0</v>
      </c>
      <c r="P42" s="186">
        <f t="shared" si="13"/>
        <v>0</v>
      </c>
      <c r="Q42" s="186">
        <f t="shared" si="13"/>
        <v>0</v>
      </c>
      <c r="R42" s="186">
        <f t="shared" si="13"/>
        <v>0</v>
      </c>
      <c r="S42" s="186">
        <f t="shared" si="11"/>
        <v>0</v>
      </c>
      <c r="T42" s="184"/>
    </row>
    <row r="43" spans="2:20" ht="18" customHeight="1">
      <c r="B43" s="400" t="s">
        <v>63</v>
      </c>
      <c r="C43" s="401"/>
      <c r="D43" s="188">
        <f>D21+D41</f>
        <v>50895000</v>
      </c>
      <c r="E43" s="189"/>
      <c r="F43" s="190" t="s">
        <v>97</v>
      </c>
      <c r="G43" s="191">
        <f t="shared" ref="G43:R43" si="14">G21+G41</f>
        <v>7300000</v>
      </c>
      <c r="H43" s="191">
        <f t="shared" si="14"/>
        <v>7300000</v>
      </c>
      <c r="I43" s="191">
        <f t="shared" si="14"/>
        <v>7300000</v>
      </c>
      <c r="J43" s="191">
        <f t="shared" si="14"/>
        <v>7300000</v>
      </c>
      <c r="K43" s="191">
        <f t="shared" si="14"/>
        <v>0</v>
      </c>
      <c r="L43" s="191">
        <f t="shared" si="14"/>
        <v>0</v>
      </c>
      <c r="M43" s="191">
        <f t="shared" si="14"/>
        <v>0</v>
      </c>
      <c r="N43" s="191">
        <f t="shared" si="14"/>
        <v>0</v>
      </c>
      <c r="O43" s="191">
        <f t="shared" si="14"/>
        <v>0</v>
      </c>
      <c r="P43" s="191">
        <f t="shared" si="14"/>
        <v>0</v>
      </c>
      <c r="Q43" s="191">
        <f t="shared" si="14"/>
        <v>0</v>
      </c>
      <c r="R43" s="191">
        <f t="shared" si="14"/>
        <v>0</v>
      </c>
      <c r="S43" s="192">
        <f t="shared" si="11"/>
        <v>29200000</v>
      </c>
      <c r="T43" s="193"/>
    </row>
    <row r="44" spans="2:20" ht="18" customHeight="1">
      <c r="B44" s="402"/>
      <c r="C44" s="403"/>
      <c r="D44" s="188">
        <f>D22+D42</f>
        <v>18000000</v>
      </c>
      <c r="E44" s="189"/>
      <c r="F44" s="190" t="s">
        <v>99</v>
      </c>
      <c r="G44" s="191">
        <f t="shared" ref="G44:R44" si="15">G22+G42</f>
        <v>2600000</v>
      </c>
      <c r="H44" s="191">
        <f t="shared" si="15"/>
        <v>2600000</v>
      </c>
      <c r="I44" s="191">
        <f t="shared" si="15"/>
        <v>2600000</v>
      </c>
      <c r="J44" s="191">
        <f t="shared" si="15"/>
        <v>2600000</v>
      </c>
      <c r="K44" s="191">
        <f t="shared" si="15"/>
        <v>0</v>
      </c>
      <c r="L44" s="191">
        <f t="shared" si="15"/>
        <v>0</v>
      </c>
      <c r="M44" s="191">
        <f t="shared" si="15"/>
        <v>0</v>
      </c>
      <c r="N44" s="191">
        <f t="shared" si="15"/>
        <v>0</v>
      </c>
      <c r="O44" s="191">
        <f t="shared" si="15"/>
        <v>0</v>
      </c>
      <c r="P44" s="191">
        <f t="shared" si="15"/>
        <v>0</v>
      </c>
      <c r="Q44" s="191">
        <f t="shared" si="15"/>
        <v>0</v>
      </c>
      <c r="R44" s="191">
        <f t="shared" si="15"/>
        <v>0</v>
      </c>
      <c r="S44" s="192">
        <f t="shared" si="11"/>
        <v>10400000</v>
      </c>
      <c r="T44" s="201"/>
    </row>
  </sheetData>
  <mergeCells count="28">
    <mergeCell ref="G2:T2"/>
    <mergeCell ref="B4:T4"/>
    <mergeCell ref="B7:B8"/>
    <mergeCell ref="C7:C8"/>
    <mergeCell ref="D7:D8"/>
    <mergeCell ref="E7:E8"/>
    <mergeCell ref="F7:F8"/>
    <mergeCell ref="G7:R7"/>
    <mergeCell ref="S7:S8"/>
    <mergeCell ref="T7:T8"/>
    <mergeCell ref="B9:B14"/>
    <mergeCell ref="C9:C14"/>
    <mergeCell ref="E9:E14"/>
    <mergeCell ref="B15:B20"/>
    <mergeCell ref="C15:C20"/>
    <mergeCell ref="E15:E20"/>
    <mergeCell ref="B21:C22"/>
    <mergeCell ref="B23:B28"/>
    <mergeCell ref="C23:C28"/>
    <mergeCell ref="E23:E28"/>
    <mergeCell ref="B29:B34"/>
    <mergeCell ref="C29:C34"/>
    <mergeCell ref="E29:E34"/>
    <mergeCell ref="B35:B40"/>
    <mergeCell ref="C35:C40"/>
    <mergeCell ref="E35:E40"/>
    <mergeCell ref="B41:C42"/>
    <mergeCell ref="B43:C44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V44"/>
  <sheetViews>
    <sheetView showGridLines="0" view="pageBreakPreview" topLeftCell="A12" zoomScale="80" zoomScaleNormal="70" zoomScaleSheetLayoutView="80" workbookViewId="0">
      <selection activeCell="I29" sqref="I29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</row>
    <row r="4" spans="2:22" ht="30" customHeight="1">
      <c r="B4" s="419" t="s">
        <v>157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20"/>
      <c r="T4" s="420"/>
    </row>
    <row r="6" spans="2:22" ht="20" customHeight="1">
      <c r="B6" s="43" t="s">
        <v>225</v>
      </c>
      <c r="C6" s="43"/>
      <c r="D6" s="35"/>
      <c r="E6" s="35"/>
      <c r="F6" s="35"/>
      <c r="T6" s="40" t="s">
        <v>60</v>
      </c>
    </row>
    <row r="7" spans="2:22" ht="27" customHeight="1">
      <c r="B7" s="421" t="s">
        <v>29</v>
      </c>
      <c r="C7" s="421" t="s">
        <v>53</v>
      </c>
      <c r="D7" s="421" t="s">
        <v>159</v>
      </c>
      <c r="E7" s="422" t="s">
        <v>165</v>
      </c>
      <c r="F7" s="421" t="s">
        <v>29</v>
      </c>
      <c r="G7" s="421" t="s">
        <v>62</v>
      </c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5" t="s">
        <v>30</v>
      </c>
      <c r="T7" s="425" t="s">
        <v>54</v>
      </c>
      <c r="U7" s="18"/>
      <c r="V7" s="18"/>
    </row>
    <row r="8" spans="2:22" ht="28.5" customHeight="1">
      <c r="B8" s="421"/>
      <c r="C8" s="421"/>
      <c r="D8" s="421"/>
      <c r="E8" s="423"/>
      <c r="F8" s="421"/>
      <c r="G8" s="204" t="s">
        <v>212</v>
      </c>
      <c r="H8" s="204" t="s">
        <v>213</v>
      </c>
      <c r="I8" s="204" t="s">
        <v>214</v>
      </c>
      <c r="J8" s="204" t="s">
        <v>215</v>
      </c>
      <c r="K8" s="204" t="s">
        <v>216</v>
      </c>
      <c r="L8" s="204" t="s">
        <v>217</v>
      </c>
      <c r="M8" s="204" t="s">
        <v>203</v>
      </c>
      <c r="N8" s="204" t="s">
        <v>205</v>
      </c>
      <c r="O8" s="204" t="s">
        <v>206</v>
      </c>
      <c r="P8" s="204" t="s">
        <v>207</v>
      </c>
      <c r="Q8" s="204" t="s">
        <v>208</v>
      </c>
      <c r="R8" s="204" t="s">
        <v>209</v>
      </c>
      <c r="S8" s="426"/>
      <c r="T8" s="426"/>
    </row>
    <row r="9" spans="2:22" ht="18" customHeight="1">
      <c r="B9" s="407" t="s">
        <v>219</v>
      </c>
      <c r="C9" s="407" t="s">
        <v>229</v>
      </c>
      <c r="D9" s="49"/>
      <c r="E9" s="411"/>
      <c r="F9" s="36" t="s">
        <v>58</v>
      </c>
      <c r="G9" s="44"/>
      <c r="H9" s="44"/>
      <c r="I9" s="44"/>
      <c r="J9" s="44"/>
      <c r="K9" s="44"/>
      <c r="L9" s="44"/>
      <c r="M9" s="44"/>
      <c r="N9" s="44">
        <v>10000000</v>
      </c>
      <c r="O9" s="44">
        <v>10000000</v>
      </c>
      <c r="P9" s="44">
        <v>10000000</v>
      </c>
      <c r="Q9" s="44">
        <v>10000000</v>
      </c>
      <c r="R9" s="44">
        <v>10000000</v>
      </c>
      <c r="S9" s="37">
        <f>SUM(G9:R9)</f>
        <v>50000000</v>
      </c>
      <c r="T9" s="90"/>
    </row>
    <row r="10" spans="2:22" ht="18" customHeight="1">
      <c r="B10" s="408"/>
      <c r="C10" s="408"/>
      <c r="D10" s="50" t="s">
        <v>101</v>
      </c>
      <c r="E10" s="408"/>
      <c r="F10" s="36" t="s">
        <v>57</v>
      </c>
      <c r="G10" s="44"/>
      <c r="H10" s="44"/>
      <c r="I10" s="44"/>
      <c r="J10" s="44"/>
      <c r="K10" s="44"/>
      <c r="L10" s="44"/>
      <c r="M10" s="44"/>
      <c r="N10" s="44">
        <v>8079290</v>
      </c>
      <c r="O10" s="44">
        <v>8079290</v>
      </c>
      <c r="P10" s="44">
        <v>8079290</v>
      </c>
      <c r="Q10" s="44">
        <v>8079290</v>
      </c>
      <c r="R10" s="44">
        <v>8079290</v>
      </c>
      <c r="S10" s="37">
        <f>SUM(G10:R10)</f>
        <v>40396450</v>
      </c>
      <c r="T10" s="203" t="s">
        <v>173</v>
      </c>
    </row>
    <row r="11" spans="2:22" ht="18" customHeight="1">
      <c r="B11" s="408"/>
      <c r="C11" s="408"/>
      <c r="D11" s="50">
        <v>7500000</v>
      </c>
      <c r="E11" s="408"/>
      <c r="F11" s="36" t="s">
        <v>161</v>
      </c>
      <c r="G11" s="45"/>
      <c r="H11" s="45"/>
      <c r="I11" s="45"/>
      <c r="J11" s="45"/>
      <c r="K11" s="45"/>
      <c r="L11" s="45"/>
      <c r="M11" s="45"/>
      <c r="N11" s="45">
        <v>0.46</v>
      </c>
      <c r="O11" s="45">
        <v>0.46</v>
      </c>
      <c r="P11" s="45">
        <v>0.46</v>
      </c>
      <c r="Q11" s="45">
        <v>0.46</v>
      </c>
      <c r="R11" s="45">
        <v>0.71</v>
      </c>
      <c r="S11" s="37"/>
      <c r="T11" s="90">
        <f>MAX(-MIN(D11,S12-S14)+S13,0)</f>
        <v>0</v>
      </c>
    </row>
    <row r="12" spans="2:22" ht="18" customHeight="1">
      <c r="B12" s="408"/>
      <c r="C12" s="408"/>
      <c r="D12" s="50" t="s">
        <v>102</v>
      </c>
      <c r="E12" s="408"/>
      <c r="F12" s="38" t="s">
        <v>59</v>
      </c>
      <c r="G12" s="46">
        <f>G9*G11</f>
        <v>0</v>
      </c>
      <c r="H12" s="46">
        <f t="shared" ref="H12:R12" si="0">H9*H11</f>
        <v>0</v>
      </c>
      <c r="I12" s="46">
        <f t="shared" si="0"/>
        <v>0</v>
      </c>
      <c r="J12" s="46">
        <f t="shared" si="0"/>
        <v>0</v>
      </c>
      <c r="K12" s="46">
        <f t="shared" si="0"/>
        <v>0</v>
      </c>
      <c r="L12" s="46">
        <f t="shared" si="0"/>
        <v>0</v>
      </c>
      <c r="M12" s="46">
        <f t="shared" si="0"/>
        <v>0</v>
      </c>
      <c r="N12" s="46">
        <f t="shared" si="0"/>
        <v>4600000</v>
      </c>
      <c r="O12" s="46">
        <f t="shared" si="0"/>
        <v>4600000</v>
      </c>
      <c r="P12" s="46">
        <f t="shared" si="0"/>
        <v>4600000</v>
      </c>
      <c r="Q12" s="46">
        <f t="shared" si="0"/>
        <v>4600000</v>
      </c>
      <c r="R12" s="46">
        <f t="shared" si="0"/>
        <v>7100000</v>
      </c>
      <c r="S12" s="39">
        <f>SUM(G12:R12)</f>
        <v>25500000</v>
      </c>
      <c r="T12" s="90" t="s">
        <v>150</v>
      </c>
    </row>
    <row r="13" spans="2:22" ht="18" customHeight="1">
      <c r="B13" s="408"/>
      <c r="C13" s="408"/>
      <c r="D13" s="50">
        <v>18000000</v>
      </c>
      <c r="E13" s="408"/>
      <c r="F13" s="36" t="s">
        <v>98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1000000</v>
      </c>
      <c r="O13" s="44">
        <v>1000000</v>
      </c>
      <c r="P13" s="44">
        <v>1000000</v>
      </c>
      <c r="Q13" s="44">
        <v>1000000</v>
      </c>
      <c r="R13" s="44">
        <v>3500000</v>
      </c>
      <c r="S13" s="37">
        <f>SUM(G13:R13)</f>
        <v>7500000</v>
      </c>
      <c r="T13" s="202">
        <f>MAX(D13-S14,0)</f>
        <v>0</v>
      </c>
      <c r="V13" s="101"/>
    </row>
    <row r="14" spans="2:22" ht="18" customHeight="1">
      <c r="B14" s="409"/>
      <c r="C14" s="409"/>
      <c r="D14" s="51"/>
      <c r="E14" s="409"/>
      <c r="F14" s="36" t="s">
        <v>100</v>
      </c>
      <c r="G14" s="44"/>
      <c r="H14" s="44"/>
      <c r="I14" s="44"/>
      <c r="J14" s="44"/>
      <c r="K14" s="44"/>
      <c r="L14" s="44"/>
      <c r="M14" s="44"/>
      <c r="N14" s="44">
        <v>3600000</v>
      </c>
      <c r="O14" s="44">
        <v>3600000</v>
      </c>
      <c r="P14" s="44">
        <v>3600000</v>
      </c>
      <c r="Q14" s="44">
        <v>3600000</v>
      </c>
      <c r="R14" s="44">
        <v>3600000</v>
      </c>
      <c r="S14" s="37">
        <f>SUM(G14:R14)</f>
        <v>18000000</v>
      </c>
      <c r="T14" s="203"/>
    </row>
    <row r="15" spans="2:22" ht="18" customHeight="1">
      <c r="B15" s="412" t="s">
        <v>219</v>
      </c>
      <c r="C15" s="412"/>
      <c r="D15" s="211"/>
      <c r="E15" s="415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13"/>
      <c r="C16" s="413"/>
      <c r="D16" s="214"/>
      <c r="E16" s="416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13"/>
      <c r="C17" s="413"/>
      <c r="D17" s="214"/>
      <c r="E17" s="416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13"/>
      <c r="C18" s="413"/>
      <c r="D18" s="214"/>
      <c r="E18" s="416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4" si="2">SUM(G18:R18)</f>
        <v>0</v>
      </c>
      <c r="T18" s="217" t="s">
        <v>150</v>
      </c>
    </row>
    <row r="19" spans="2:20" ht="18" customHeight="1">
      <c r="B19" s="413"/>
      <c r="C19" s="413"/>
      <c r="D19" s="214"/>
      <c r="E19" s="416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14"/>
      <c r="C20" s="414"/>
      <c r="D20" s="219"/>
      <c r="E20" s="417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396" t="s">
        <v>201</v>
      </c>
      <c r="C21" s="397"/>
      <c r="D21" s="182">
        <f>D11+D17</f>
        <v>7500000</v>
      </c>
      <c r="E21" s="183"/>
      <c r="F21" s="184" t="s">
        <v>98</v>
      </c>
      <c r="G21" s="185">
        <f t="shared" ref="G21:R21" si="3">G13+G19</f>
        <v>0</v>
      </c>
      <c r="H21" s="185">
        <f t="shared" si="3"/>
        <v>0</v>
      </c>
      <c r="I21" s="185">
        <f t="shared" si="3"/>
        <v>0</v>
      </c>
      <c r="J21" s="185">
        <f t="shared" si="3"/>
        <v>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1000000</v>
      </c>
      <c r="O21" s="185">
        <f t="shared" si="3"/>
        <v>1000000</v>
      </c>
      <c r="P21" s="185">
        <f t="shared" si="3"/>
        <v>1000000</v>
      </c>
      <c r="Q21" s="185">
        <f t="shared" si="3"/>
        <v>1000000</v>
      </c>
      <c r="R21" s="185">
        <f t="shared" si="3"/>
        <v>3500000</v>
      </c>
      <c r="S21" s="186">
        <f t="shared" si="2"/>
        <v>7500000</v>
      </c>
      <c r="T21" s="187"/>
    </row>
    <row r="22" spans="2:20" ht="18" customHeight="1">
      <c r="B22" s="398"/>
      <c r="C22" s="399"/>
      <c r="D22" s="182">
        <f>D13+D19</f>
        <v>18000000</v>
      </c>
      <c r="E22" s="183"/>
      <c r="F22" s="184" t="s">
        <v>100</v>
      </c>
      <c r="G22" s="185">
        <f t="shared" ref="G22:R22" si="4">G14+G20</f>
        <v>0</v>
      </c>
      <c r="H22" s="185">
        <f t="shared" si="4"/>
        <v>0</v>
      </c>
      <c r="I22" s="185">
        <f t="shared" si="4"/>
        <v>0</v>
      </c>
      <c r="J22" s="185">
        <f t="shared" si="4"/>
        <v>0</v>
      </c>
      <c r="K22" s="185">
        <f t="shared" si="4"/>
        <v>0</v>
      </c>
      <c r="L22" s="185">
        <f t="shared" si="4"/>
        <v>0</v>
      </c>
      <c r="M22" s="185">
        <f t="shared" si="4"/>
        <v>0</v>
      </c>
      <c r="N22" s="185">
        <f t="shared" si="4"/>
        <v>3600000</v>
      </c>
      <c r="O22" s="185">
        <f t="shared" si="4"/>
        <v>3600000</v>
      </c>
      <c r="P22" s="185">
        <f t="shared" si="4"/>
        <v>3600000</v>
      </c>
      <c r="Q22" s="185">
        <f t="shared" si="4"/>
        <v>3600000</v>
      </c>
      <c r="R22" s="185">
        <f t="shared" si="4"/>
        <v>3600000</v>
      </c>
      <c r="S22" s="186">
        <f t="shared" si="2"/>
        <v>18000000</v>
      </c>
      <c r="T22" s="187"/>
    </row>
    <row r="23" spans="2:20" ht="18" customHeight="1">
      <c r="B23" s="404" t="s">
        <v>221</v>
      </c>
      <c r="C23" s="407" t="s">
        <v>226</v>
      </c>
      <c r="D23" s="49"/>
      <c r="E23" s="410"/>
      <c r="F23" s="36" t="s">
        <v>58</v>
      </c>
      <c r="G23" s="44"/>
      <c r="H23" s="44"/>
      <c r="I23" s="44"/>
      <c r="J23" s="44"/>
      <c r="K23" s="44"/>
      <c r="L23" s="44"/>
      <c r="M23" s="208"/>
      <c r="N23" s="208">
        <v>7500000</v>
      </c>
      <c r="O23" s="208">
        <v>7500000</v>
      </c>
      <c r="P23" s="208">
        <v>7500000</v>
      </c>
      <c r="Q23" s="208">
        <v>7500000</v>
      </c>
      <c r="R23" s="208">
        <v>7500000</v>
      </c>
      <c r="S23" s="37">
        <f t="shared" si="2"/>
        <v>37500000</v>
      </c>
      <c r="T23" s="89"/>
    </row>
    <row r="24" spans="2:20" ht="18" customHeight="1">
      <c r="B24" s="405"/>
      <c r="C24" s="408"/>
      <c r="D24" s="50" t="s">
        <v>101</v>
      </c>
      <c r="E24" s="408"/>
      <c r="F24" s="36" t="s">
        <v>57</v>
      </c>
      <c r="G24" s="44"/>
      <c r="H24" s="44"/>
      <c r="I24" s="44"/>
      <c r="J24" s="44"/>
      <c r="K24" s="44"/>
      <c r="L24" s="44"/>
      <c r="M24" s="208"/>
      <c r="N24" s="208">
        <v>5923840</v>
      </c>
      <c r="O24" s="208">
        <v>5923840</v>
      </c>
      <c r="P24" s="208">
        <v>5923840</v>
      </c>
      <c r="Q24" s="208">
        <v>5923840</v>
      </c>
      <c r="R24" s="208">
        <v>5923840</v>
      </c>
      <c r="S24" s="37">
        <f t="shared" si="2"/>
        <v>29619200</v>
      </c>
      <c r="T24" s="203" t="s">
        <v>173</v>
      </c>
    </row>
    <row r="25" spans="2:20" ht="18" customHeight="1">
      <c r="B25" s="405"/>
      <c r="C25" s="408"/>
      <c r="D25" s="50">
        <v>19500000</v>
      </c>
      <c r="E25" s="408"/>
      <c r="F25" s="36" t="s">
        <v>158</v>
      </c>
      <c r="G25" s="45"/>
      <c r="H25" s="45"/>
      <c r="I25" s="45"/>
      <c r="J25" s="45"/>
      <c r="K25" s="45"/>
      <c r="L25" s="45"/>
      <c r="M25" s="209"/>
      <c r="N25" s="209">
        <v>0.55000000000000004</v>
      </c>
      <c r="O25" s="209">
        <v>0.55000000000000004</v>
      </c>
      <c r="P25" s="209">
        <v>0.55000000000000004</v>
      </c>
      <c r="Q25" s="209">
        <v>0.55000000000000004</v>
      </c>
      <c r="R25" s="209">
        <v>0.4</v>
      </c>
      <c r="S25" s="37"/>
      <c r="T25" s="90">
        <f>MAX(-MIN(D25,S26-S28)+S27,0)</f>
        <v>0</v>
      </c>
    </row>
    <row r="26" spans="2:20" ht="18" customHeight="1">
      <c r="B26" s="405"/>
      <c r="C26" s="408"/>
      <c r="D26" s="50" t="s">
        <v>1</v>
      </c>
      <c r="E26" s="408"/>
      <c r="F26" s="38" t="s">
        <v>59</v>
      </c>
      <c r="G26" s="46">
        <f>G23*G25</f>
        <v>0</v>
      </c>
      <c r="H26" s="46">
        <f t="shared" ref="H26:R26" si="5">H23*H25</f>
        <v>0</v>
      </c>
      <c r="I26" s="46">
        <f t="shared" si="5"/>
        <v>0</v>
      </c>
      <c r="J26" s="46">
        <f t="shared" si="5"/>
        <v>0</v>
      </c>
      <c r="K26" s="46">
        <f t="shared" si="5"/>
        <v>0</v>
      </c>
      <c r="L26" s="46">
        <f t="shared" si="5"/>
        <v>0</v>
      </c>
      <c r="M26" s="210">
        <f t="shared" si="5"/>
        <v>0</v>
      </c>
      <c r="N26" s="210">
        <f t="shared" si="5"/>
        <v>4125000.0000000005</v>
      </c>
      <c r="O26" s="210">
        <f t="shared" si="5"/>
        <v>4125000.0000000005</v>
      </c>
      <c r="P26" s="210">
        <f t="shared" si="5"/>
        <v>4125000.0000000005</v>
      </c>
      <c r="Q26" s="210">
        <f t="shared" si="5"/>
        <v>4125000.0000000005</v>
      </c>
      <c r="R26" s="210">
        <f t="shared" si="5"/>
        <v>3000000</v>
      </c>
      <c r="S26" s="39">
        <f>SUM(G26:R26)</f>
        <v>19500000</v>
      </c>
      <c r="T26" s="90" t="s">
        <v>150</v>
      </c>
    </row>
    <row r="27" spans="2:20" ht="18" customHeight="1">
      <c r="B27" s="405"/>
      <c r="C27" s="408"/>
      <c r="D27" s="50">
        <v>0</v>
      </c>
      <c r="E27" s="408"/>
      <c r="F27" s="36" t="s">
        <v>98</v>
      </c>
      <c r="G27" s="44"/>
      <c r="H27" s="44"/>
      <c r="I27" s="44"/>
      <c r="J27" s="44"/>
      <c r="K27" s="44"/>
      <c r="L27" s="44"/>
      <c r="M27" s="208"/>
      <c r="N27" s="208">
        <v>4125000</v>
      </c>
      <c r="O27" s="208">
        <v>4125000</v>
      </c>
      <c r="P27" s="208">
        <v>4125000</v>
      </c>
      <c r="Q27" s="208">
        <v>4125000</v>
      </c>
      <c r="R27" s="208">
        <v>3000000</v>
      </c>
      <c r="S27" s="37">
        <f>SUM(G27:R27)</f>
        <v>19500000</v>
      </c>
      <c r="T27" s="202">
        <f>MAX(D27-S28,0)</f>
        <v>0</v>
      </c>
    </row>
    <row r="28" spans="2:20" ht="18" customHeight="1">
      <c r="B28" s="406"/>
      <c r="C28" s="409"/>
      <c r="D28" s="51"/>
      <c r="E28" s="409"/>
      <c r="F28" s="36" t="s">
        <v>100</v>
      </c>
      <c r="G28" s="44">
        <v>0</v>
      </c>
      <c r="H28" s="44">
        <v>0</v>
      </c>
      <c r="I28" s="44">
        <v>0</v>
      </c>
      <c r="J28" s="44"/>
      <c r="K28" s="44"/>
      <c r="L28" s="44"/>
      <c r="M28" s="208">
        <f t="shared" ref="M28" si="6">L28</f>
        <v>0</v>
      </c>
      <c r="N28" s="208">
        <f t="shared" ref="N28" si="7">M28</f>
        <v>0</v>
      </c>
      <c r="O28" s="208">
        <f t="shared" ref="O28" si="8">N28</f>
        <v>0</v>
      </c>
      <c r="P28" s="208">
        <f>O28</f>
        <v>0</v>
      </c>
      <c r="Q28" s="208">
        <f>P28</f>
        <v>0</v>
      </c>
      <c r="R28" s="208">
        <f t="shared" ref="R28" si="9">Q28</f>
        <v>0</v>
      </c>
      <c r="S28" s="37">
        <f>SUM(G28:R28)</f>
        <v>0</v>
      </c>
      <c r="T28" s="91"/>
    </row>
    <row r="29" spans="2:20" ht="18" customHeight="1">
      <c r="B29" s="404" t="s">
        <v>221</v>
      </c>
      <c r="C29" s="407" t="s">
        <v>227</v>
      </c>
      <c r="D29" s="49"/>
      <c r="E29" s="411"/>
      <c r="F29" s="36" t="s">
        <v>58</v>
      </c>
      <c r="G29" s="96"/>
      <c r="H29" s="96"/>
      <c r="I29" s="96"/>
      <c r="J29" s="205"/>
      <c r="K29" s="205"/>
      <c r="L29" s="205"/>
      <c r="M29" s="44"/>
      <c r="N29" s="44">
        <v>6666666</v>
      </c>
      <c r="O29" s="44">
        <v>6666666</v>
      </c>
      <c r="P29" s="44">
        <v>6666666</v>
      </c>
      <c r="Q29" s="44">
        <v>6666666</v>
      </c>
      <c r="R29" s="44">
        <v>6666666</v>
      </c>
      <c r="S29" s="37">
        <f>SUM(G29:R29)</f>
        <v>33333330</v>
      </c>
      <c r="T29" s="89"/>
    </row>
    <row r="30" spans="2:20" ht="18" customHeight="1">
      <c r="B30" s="405"/>
      <c r="C30" s="408"/>
      <c r="D30" s="50" t="s">
        <v>101</v>
      </c>
      <c r="E30" s="405"/>
      <c r="F30" s="36" t="s">
        <v>57</v>
      </c>
      <c r="G30" s="96"/>
      <c r="H30" s="96"/>
      <c r="I30" s="96"/>
      <c r="J30" s="205"/>
      <c r="K30" s="205"/>
      <c r="L30" s="205"/>
      <c r="M30" s="44"/>
      <c r="N30" s="44">
        <v>5340956</v>
      </c>
      <c r="O30" s="44">
        <v>5340956</v>
      </c>
      <c r="P30" s="44">
        <v>5340956</v>
      </c>
      <c r="Q30" s="44">
        <v>5340956</v>
      </c>
      <c r="R30" s="44">
        <v>5340956</v>
      </c>
      <c r="S30" s="37">
        <f>SUM(G30:R30)</f>
        <v>26704780</v>
      </c>
      <c r="T30" s="203" t="s">
        <v>173</v>
      </c>
    </row>
    <row r="31" spans="2:20" ht="18" customHeight="1">
      <c r="B31" s="405"/>
      <c r="C31" s="408"/>
      <c r="D31" s="50">
        <v>18333000</v>
      </c>
      <c r="E31" s="405"/>
      <c r="F31" s="36" t="s">
        <v>158</v>
      </c>
      <c r="G31" s="97"/>
      <c r="H31" s="97"/>
      <c r="I31" s="97"/>
      <c r="J31" s="206"/>
      <c r="K31" s="206"/>
      <c r="L31" s="206"/>
      <c r="M31" s="45"/>
      <c r="N31" s="45">
        <v>0.55000000000000004</v>
      </c>
      <c r="O31" s="45">
        <v>0.55000000000000004</v>
      </c>
      <c r="P31" s="45">
        <v>0.55000000000000004</v>
      </c>
      <c r="Q31" s="45">
        <v>0.55000000000000004</v>
      </c>
      <c r="R31" s="45">
        <v>0.55000000000000004</v>
      </c>
      <c r="S31" s="37"/>
      <c r="T31" s="90">
        <f>MAX(-MIN(D31,S32-S34)+S33,0)</f>
        <v>0</v>
      </c>
    </row>
    <row r="32" spans="2:20" ht="18" customHeight="1">
      <c r="B32" s="405"/>
      <c r="C32" s="408"/>
      <c r="D32" s="50" t="s">
        <v>1</v>
      </c>
      <c r="E32" s="405"/>
      <c r="F32" s="38" t="s">
        <v>59</v>
      </c>
      <c r="G32" s="98"/>
      <c r="H32" s="98"/>
      <c r="I32" s="98"/>
      <c r="J32" s="207"/>
      <c r="K32" s="207"/>
      <c r="L32" s="207"/>
      <c r="M32" s="46">
        <f t="shared" ref="M32:R32" si="10">M29*M31</f>
        <v>0</v>
      </c>
      <c r="N32" s="46">
        <f t="shared" si="10"/>
        <v>3666666.3000000003</v>
      </c>
      <c r="O32" s="46">
        <f t="shared" si="10"/>
        <v>3666666.3000000003</v>
      </c>
      <c r="P32" s="46">
        <f>P29*P31</f>
        <v>3666666.3000000003</v>
      </c>
      <c r="Q32" s="46">
        <f t="shared" si="10"/>
        <v>3666666.3000000003</v>
      </c>
      <c r="R32" s="46">
        <f t="shared" si="10"/>
        <v>3666666.3000000003</v>
      </c>
      <c r="S32" s="39">
        <f t="shared" ref="S32:S36" si="11">SUM(G32:R32)</f>
        <v>18333331.5</v>
      </c>
      <c r="T32" s="90" t="s">
        <v>150</v>
      </c>
    </row>
    <row r="33" spans="2:20" ht="18" customHeight="1">
      <c r="B33" s="405"/>
      <c r="C33" s="408"/>
      <c r="D33" s="50">
        <v>0</v>
      </c>
      <c r="E33" s="405"/>
      <c r="F33" s="36" t="s">
        <v>97</v>
      </c>
      <c r="G33" s="96"/>
      <c r="H33" s="96"/>
      <c r="I33" s="96"/>
      <c r="J33" s="205"/>
      <c r="K33" s="205"/>
      <c r="L33" s="205"/>
      <c r="M33" s="44"/>
      <c r="N33" s="44">
        <v>3666666</v>
      </c>
      <c r="O33" s="44">
        <v>3666666</v>
      </c>
      <c r="P33" s="44">
        <v>3666666</v>
      </c>
      <c r="Q33" s="44">
        <v>3666666</v>
      </c>
      <c r="R33" s="44">
        <v>3666336</v>
      </c>
      <c r="S33" s="37">
        <f t="shared" si="11"/>
        <v>18333000</v>
      </c>
      <c r="T33" s="202">
        <f>MAX(D33-S34,0)</f>
        <v>0</v>
      </c>
    </row>
    <row r="34" spans="2:20" ht="18" customHeight="1">
      <c r="B34" s="406"/>
      <c r="C34" s="409"/>
      <c r="D34" s="51"/>
      <c r="E34" s="406"/>
      <c r="F34" s="36" t="s">
        <v>99</v>
      </c>
      <c r="G34" s="96"/>
      <c r="H34" s="96"/>
      <c r="I34" s="96"/>
      <c r="J34" s="205"/>
      <c r="K34" s="205"/>
      <c r="L34" s="205"/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37">
        <f t="shared" si="11"/>
        <v>0</v>
      </c>
      <c r="T34" s="91"/>
    </row>
    <row r="35" spans="2:20" ht="18" customHeight="1">
      <c r="B35" s="404" t="s">
        <v>221</v>
      </c>
      <c r="C35" s="407" t="s">
        <v>228</v>
      </c>
      <c r="D35" s="49"/>
      <c r="E35" s="411"/>
      <c r="F35" s="36" t="s">
        <v>58</v>
      </c>
      <c r="G35" s="44"/>
      <c r="H35" s="44"/>
      <c r="I35" s="44"/>
      <c r="J35" s="44"/>
      <c r="K35" s="44"/>
      <c r="L35" s="44"/>
      <c r="M35" s="44"/>
      <c r="N35" s="44">
        <v>4583333</v>
      </c>
      <c r="O35" s="44">
        <v>4583333</v>
      </c>
      <c r="P35" s="44">
        <v>4583333</v>
      </c>
      <c r="Q35" s="44">
        <v>4583333</v>
      </c>
      <c r="R35" s="221"/>
      <c r="S35" s="37">
        <f t="shared" si="11"/>
        <v>18333332</v>
      </c>
      <c r="T35" s="89"/>
    </row>
    <row r="36" spans="2:20" ht="18" customHeight="1">
      <c r="B36" s="405"/>
      <c r="C36" s="408"/>
      <c r="D36" s="50" t="s">
        <v>101</v>
      </c>
      <c r="E36" s="405"/>
      <c r="F36" s="36" t="s">
        <v>57</v>
      </c>
      <c r="G36" s="44"/>
      <c r="H36" s="44"/>
      <c r="I36" s="44"/>
      <c r="J36" s="44"/>
      <c r="K36" s="44"/>
      <c r="L36" s="44"/>
      <c r="M36" s="44"/>
      <c r="N36" s="44">
        <v>4121943</v>
      </c>
      <c r="O36" s="44">
        <v>4121943</v>
      </c>
      <c r="P36" s="44">
        <v>4121943</v>
      </c>
      <c r="Q36" s="44">
        <v>4121943</v>
      </c>
      <c r="R36" s="221"/>
      <c r="S36" s="37">
        <f t="shared" si="11"/>
        <v>16487772</v>
      </c>
      <c r="T36" s="203" t="s">
        <v>173</v>
      </c>
    </row>
    <row r="37" spans="2:20" ht="18" customHeight="1">
      <c r="B37" s="405"/>
      <c r="C37" s="408"/>
      <c r="D37" s="50">
        <v>5500000</v>
      </c>
      <c r="E37" s="405"/>
      <c r="F37" s="36" t="s">
        <v>158</v>
      </c>
      <c r="G37" s="45"/>
      <c r="H37" s="45"/>
      <c r="I37" s="45"/>
      <c r="J37" s="45"/>
      <c r="K37" s="45"/>
      <c r="L37" s="45"/>
      <c r="M37" s="45"/>
      <c r="N37" s="45">
        <v>0.3</v>
      </c>
      <c r="O37" s="45">
        <v>0.3</v>
      </c>
      <c r="P37" s="45">
        <v>0.3</v>
      </c>
      <c r="Q37" s="45">
        <v>0.3</v>
      </c>
      <c r="R37" s="222"/>
      <c r="S37" s="37">
        <f>SUM(G37:R37)</f>
        <v>1.2</v>
      </c>
      <c r="T37" s="90">
        <f>MAX(-MIN(D37,S38-S40)+S39,0)</f>
        <v>0.40000000037252903</v>
      </c>
    </row>
    <row r="38" spans="2:20" ht="18" customHeight="1">
      <c r="B38" s="405"/>
      <c r="C38" s="408"/>
      <c r="D38" s="50" t="s">
        <v>1</v>
      </c>
      <c r="E38" s="405"/>
      <c r="F38" s="38" t="s">
        <v>59</v>
      </c>
      <c r="G38" s="46">
        <f>G35*G37</f>
        <v>0</v>
      </c>
      <c r="H38" s="46">
        <f>H35*H37</f>
        <v>0</v>
      </c>
      <c r="I38" s="46">
        <f t="shared" ref="I38:L38" si="12">I35*I37</f>
        <v>0</v>
      </c>
      <c r="J38" s="46">
        <f t="shared" si="12"/>
        <v>0</v>
      </c>
      <c r="K38" s="46">
        <f t="shared" si="12"/>
        <v>0</v>
      </c>
      <c r="L38" s="46">
        <f t="shared" si="12"/>
        <v>0</v>
      </c>
      <c r="M38" s="46">
        <f t="shared" ref="M38:R38" si="13">M35*M37</f>
        <v>0</v>
      </c>
      <c r="N38" s="46">
        <f t="shared" si="13"/>
        <v>1374999.9</v>
      </c>
      <c r="O38" s="46">
        <f t="shared" si="13"/>
        <v>1374999.9</v>
      </c>
      <c r="P38" s="46">
        <f t="shared" si="13"/>
        <v>1374999.9</v>
      </c>
      <c r="Q38" s="46">
        <f t="shared" si="13"/>
        <v>1374999.9</v>
      </c>
      <c r="R38" s="223">
        <f t="shared" si="13"/>
        <v>0</v>
      </c>
      <c r="S38" s="39">
        <f t="shared" ref="S38:S44" si="14">SUM(G38:R38)</f>
        <v>5499999.5999999996</v>
      </c>
      <c r="T38" s="90" t="s">
        <v>150</v>
      </c>
    </row>
    <row r="39" spans="2:20" ht="18" customHeight="1">
      <c r="B39" s="405"/>
      <c r="C39" s="408"/>
      <c r="D39" s="50">
        <v>0</v>
      </c>
      <c r="E39" s="405"/>
      <c r="F39" s="36" t="s">
        <v>97</v>
      </c>
      <c r="G39" s="44"/>
      <c r="H39" s="44"/>
      <c r="I39" s="44"/>
      <c r="J39" s="44"/>
      <c r="K39" s="44"/>
      <c r="L39" s="44"/>
      <c r="M39" s="44"/>
      <c r="N39" s="44">
        <v>1375000</v>
      </c>
      <c r="O39" s="44">
        <v>1375000</v>
      </c>
      <c r="P39" s="44">
        <v>1375000</v>
      </c>
      <c r="Q39" s="44">
        <v>1375000</v>
      </c>
      <c r="R39" s="221"/>
      <c r="S39" s="37">
        <f t="shared" si="14"/>
        <v>5500000</v>
      </c>
      <c r="T39" s="202">
        <f>MAX(D39-S40,0)</f>
        <v>0</v>
      </c>
    </row>
    <row r="40" spans="2:20" ht="18" customHeight="1">
      <c r="B40" s="406"/>
      <c r="C40" s="409"/>
      <c r="D40" s="51"/>
      <c r="E40" s="406"/>
      <c r="F40" s="36" t="s">
        <v>99</v>
      </c>
      <c r="G40" s="44"/>
      <c r="H40" s="44"/>
      <c r="I40" s="44"/>
      <c r="J40" s="44"/>
      <c r="K40" s="44"/>
      <c r="L40" s="44"/>
      <c r="M40" s="44"/>
      <c r="N40" s="44">
        <v>0</v>
      </c>
      <c r="O40" s="44"/>
      <c r="P40" s="44"/>
      <c r="Q40" s="44"/>
      <c r="R40" s="221"/>
      <c r="S40" s="37">
        <f t="shared" si="14"/>
        <v>0</v>
      </c>
      <c r="T40" s="91"/>
    </row>
    <row r="41" spans="2:20" ht="18" customHeight="1">
      <c r="B41" s="396" t="s">
        <v>201</v>
      </c>
      <c r="C41" s="397"/>
      <c r="D41" s="182">
        <f>D25+D31+D37</f>
        <v>43333000</v>
      </c>
      <c r="E41" s="183"/>
      <c r="F41" s="184" t="s">
        <v>98</v>
      </c>
      <c r="G41" s="186">
        <f>G27+G33+G39</f>
        <v>0</v>
      </c>
      <c r="H41" s="186">
        <f t="shared" ref="H41:R41" si="15">H27+H33+H39</f>
        <v>0</v>
      </c>
      <c r="I41" s="186">
        <f t="shared" si="15"/>
        <v>0</v>
      </c>
      <c r="J41" s="186">
        <f t="shared" si="15"/>
        <v>0</v>
      </c>
      <c r="K41" s="186">
        <f t="shared" si="15"/>
        <v>0</v>
      </c>
      <c r="L41" s="186">
        <f t="shared" si="15"/>
        <v>0</v>
      </c>
      <c r="M41" s="186">
        <f t="shared" si="15"/>
        <v>0</v>
      </c>
      <c r="N41" s="186">
        <f t="shared" si="15"/>
        <v>9166666</v>
      </c>
      <c r="O41" s="186">
        <f t="shared" si="15"/>
        <v>9166666</v>
      </c>
      <c r="P41" s="186">
        <f t="shared" si="15"/>
        <v>9166666</v>
      </c>
      <c r="Q41" s="186">
        <f t="shared" si="15"/>
        <v>9166666</v>
      </c>
      <c r="R41" s="186">
        <f t="shared" si="15"/>
        <v>6666336</v>
      </c>
      <c r="S41" s="186">
        <f t="shared" si="14"/>
        <v>43333000</v>
      </c>
      <c r="T41" s="184"/>
    </row>
    <row r="42" spans="2:20" ht="18" customHeight="1">
      <c r="B42" s="398"/>
      <c r="C42" s="399"/>
      <c r="D42" s="182">
        <f>D27+D33+D39</f>
        <v>0</v>
      </c>
      <c r="E42" s="183"/>
      <c r="F42" s="184" t="s">
        <v>100</v>
      </c>
      <c r="G42" s="186">
        <f>G28+G34+G40</f>
        <v>0</v>
      </c>
      <c r="H42" s="186">
        <f t="shared" ref="H42:R42" si="16">H28+H34+H40</f>
        <v>0</v>
      </c>
      <c r="I42" s="186">
        <f t="shared" si="16"/>
        <v>0</v>
      </c>
      <c r="J42" s="186">
        <f t="shared" si="16"/>
        <v>0</v>
      </c>
      <c r="K42" s="186">
        <f t="shared" si="16"/>
        <v>0</v>
      </c>
      <c r="L42" s="186">
        <f t="shared" si="16"/>
        <v>0</v>
      </c>
      <c r="M42" s="186">
        <f t="shared" si="16"/>
        <v>0</v>
      </c>
      <c r="N42" s="186">
        <f t="shared" si="16"/>
        <v>0</v>
      </c>
      <c r="O42" s="186">
        <f t="shared" si="16"/>
        <v>0</v>
      </c>
      <c r="P42" s="186">
        <f>P28+P34+P40</f>
        <v>0</v>
      </c>
      <c r="Q42" s="186">
        <f t="shared" si="16"/>
        <v>0</v>
      </c>
      <c r="R42" s="186">
        <f t="shared" si="16"/>
        <v>0</v>
      </c>
      <c r="S42" s="186">
        <f t="shared" si="14"/>
        <v>0</v>
      </c>
      <c r="T42" s="184"/>
    </row>
    <row r="43" spans="2:20" ht="18" customHeight="1">
      <c r="B43" s="400" t="s">
        <v>63</v>
      </c>
      <c r="C43" s="401"/>
      <c r="D43" s="188">
        <f>D21+D41</f>
        <v>50833000</v>
      </c>
      <c r="E43" s="189"/>
      <c r="F43" s="190" t="s">
        <v>97</v>
      </c>
      <c r="G43" s="191">
        <f>G21+G41</f>
        <v>0</v>
      </c>
      <c r="H43" s="191">
        <f t="shared" ref="H43:R43" si="17">H21+H41</f>
        <v>0</v>
      </c>
      <c r="I43" s="191">
        <f t="shared" si="17"/>
        <v>0</v>
      </c>
      <c r="J43" s="191">
        <f t="shared" si="17"/>
        <v>0</v>
      </c>
      <c r="K43" s="191">
        <f t="shared" si="17"/>
        <v>0</v>
      </c>
      <c r="L43" s="191">
        <f t="shared" si="17"/>
        <v>0</v>
      </c>
      <c r="M43" s="191">
        <f t="shared" si="17"/>
        <v>0</v>
      </c>
      <c r="N43" s="191">
        <f t="shared" si="17"/>
        <v>10166666</v>
      </c>
      <c r="O43" s="191">
        <f t="shared" si="17"/>
        <v>10166666</v>
      </c>
      <c r="P43" s="191">
        <f t="shared" si="17"/>
        <v>10166666</v>
      </c>
      <c r="Q43" s="191">
        <f t="shared" si="17"/>
        <v>10166666</v>
      </c>
      <c r="R43" s="191">
        <f t="shared" si="17"/>
        <v>10166336</v>
      </c>
      <c r="S43" s="192">
        <f t="shared" si="14"/>
        <v>50833000</v>
      </c>
      <c r="T43" s="193"/>
    </row>
    <row r="44" spans="2:20" ht="18" customHeight="1">
      <c r="B44" s="402"/>
      <c r="C44" s="403"/>
      <c r="D44" s="188">
        <f>D22+D42</f>
        <v>18000000</v>
      </c>
      <c r="E44" s="189"/>
      <c r="F44" s="190" t="s">
        <v>99</v>
      </c>
      <c r="G44" s="191">
        <f>G22+G42</f>
        <v>0</v>
      </c>
      <c r="H44" s="191">
        <f t="shared" ref="H44:R44" si="18">H22+H42</f>
        <v>0</v>
      </c>
      <c r="I44" s="191">
        <f t="shared" si="18"/>
        <v>0</v>
      </c>
      <c r="J44" s="191">
        <f t="shared" si="18"/>
        <v>0</v>
      </c>
      <c r="K44" s="191">
        <f t="shared" si="18"/>
        <v>0</v>
      </c>
      <c r="L44" s="191">
        <f t="shared" si="18"/>
        <v>0</v>
      </c>
      <c r="M44" s="191">
        <f t="shared" si="18"/>
        <v>0</v>
      </c>
      <c r="N44" s="191">
        <f t="shared" si="18"/>
        <v>3600000</v>
      </c>
      <c r="O44" s="191">
        <f t="shared" si="18"/>
        <v>3600000</v>
      </c>
      <c r="P44" s="191">
        <f t="shared" si="18"/>
        <v>3600000</v>
      </c>
      <c r="Q44" s="191">
        <f t="shared" si="18"/>
        <v>3600000</v>
      </c>
      <c r="R44" s="191">
        <f t="shared" si="18"/>
        <v>3600000</v>
      </c>
      <c r="S44" s="192">
        <f t="shared" si="14"/>
        <v>18000000</v>
      </c>
      <c r="T44" s="201"/>
    </row>
  </sheetData>
  <mergeCells count="28">
    <mergeCell ref="B43:C44"/>
    <mergeCell ref="B23:B28"/>
    <mergeCell ref="E9:E14"/>
    <mergeCell ref="B9:B14"/>
    <mergeCell ref="E15:E20"/>
    <mergeCell ref="B15:B20"/>
    <mergeCell ref="C9:C14"/>
    <mergeCell ref="C15:C20"/>
    <mergeCell ref="C23:C28"/>
    <mergeCell ref="E23:E28"/>
    <mergeCell ref="B21:C22"/>
    <mergeCell ref="B41:C42"/>
    <mergeCell ref="B35:B40"/>
    <mergeCell ref="B29:B34"/>
    <mergeCell ref="C29:C34"/>
    <mergeCell ref="C35:C40"/>
    <mergeCell ref="E29:E34"/>
    <mergeCell ref="E35:E40"/>
    <mergeCell ref="S7:S8"/>
    <mergeCell ref="F7:F8"/>
    <mergeCell ref="G2:T2"/>
    <mergeCell ref="T7:T8"/>
    <mergeCell ref="B4:T4"/>
    <mergeCell ref="D7:D8"/>
    <mergeCell ref="B7:B8"/>
    <mergeCell ref="G7:R7"/>
    <mergeCell ref="E7:E8"/>
    <mergeCell ref="C7:C8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96F6-7822-4C72-AAC6-9A82381536E5}">
  <sheetPr>
    <tabColor rgb="FF92D050"/>
  </sheetPr>
  <dimension ref="B1:V45"/>
  <sheetViews>
    <sheetView showGridLines="0" view="pageBreakPreview" zoomScale="80" zoomScaleNormal="70" zoomScaleSheetLayoutView="80" workbookViewId="0">
      <selection activeCell="W11" sqref="W11"/>
    </sheetView>
  </sheetViews>
  <sheetFormatPr baseColWidth="10" defaultColWidth="9" defaultRowHeight="20" customHeight="1"/>
  <cols>
    <col min="1" max="1" width="1.6640625" style="17" customWidth="1"/>
    <col min="2" max="2" width="13.5" style="17" customWidth="1"/>
    <col min="3" max="3" width="10.6640625" style="17" customWidth="1"/>
    <col min="4" max="4" width="19.6640625" style="17" customWidth="1"/>
    <col min="5" max="5" width="10.33203125" style="17" customWidth="1"/>
    <col min="6" max="6" width="25.6640625" style="17" customWidth="1"/>
    <col min="7" max="12" width="12.5" style="17" bestFit="1" customWidth="1"/>
    <col min="13" max="15" width="13.6640625" style="17" bestFit="1" customWidth="1"/>
    <col min="16" max="17" width="12.5" style="17" customWidth="1"/>
    <col min="18" max="18" width="10.6640625" style="17" bestFit="1" customWidth="1"/>
    <col min="19" max="19" width="11.33203125" style="17" bestFit="1" customWidth="1"/>
    <col min="20" max="20" width="11.1640625" style="17" customWidth="1"/>
    <col min="21" max="22" width="9" style="17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20" customHeight="1">
      <c r="B1" s="88" t="s">
        <v>28</v>
      </c>
      <c r="C1" s="88"/>
      <c r="D1" s="16"/>
      <c r="E1" s="16"/>
      <c r="F1" s="16"/>
    </row>
    <row r="3" spans="2:22" ht="20" customHeight="1">
      <c r="B3" s="419" t="s">
        <v>157</v>
      </c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20"/>
      <c r="T3" s="420"/>
    </row>
    <row r="5" spans="2:22" ht="20" customHeight="1">
      <c r="B5" s="43" t="s">
        <v>222</v>
      </c>
      <c r="C5" s="43"/>
      <c r="D5" s="35"/>
      <c r="E5" s="35"/>
      <c r="F5" s="35"/>
      <c r="T5" s="40" t="s">
        <v>60</v>
      </c>
    </row>
    <row r="6" spans="2:22" ht="30" customHeight="1">
      <c r="B6" s="421" t="s">
        <v>29</v>
      </c>
      <c r="C6" s="421" t="s">
        <v>53</v>
      </c>
      <c r="D6" s="421" t="s">
        <v>159</v>
      </c>
      <c r="E6" s="421" t="s">
        <v>56</v>
      </c>
      <c r="F6" s="421" t="s">
        <v>29</v>
      </c>
      <c r="G6" s="421" t="s">
        <v>62</v>
      </c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5" t="s">
        <v>30</v>
      </c>
      <c r="T6" s="425" t="s">
        <v>54</v>
      </c>
      <c r="U6" s="18"/>
      <c r="V6" s="18"/>
    </row>
    <row r="7" spans="2:22" ht="27.75" customHeight="1">
      <c r="B7" s="421"/>
      <c r="C7" s="421"/>
      <c r="D7" s="421"/>
      <c r="E7" s="421"/>
      <c r="F7" s="421"/>
      <c r="G7" s="204" t="s">
        <v>212</v>
      </c>
      <c r="H7" s="204" t="s">
        <v>213</v>
      </c>
      <c r="I7" s="204" t="s">
        <v>214</v>
      </c>
      <c r="J7" s="204" t="s">
        <v>215</v>
      </c>
      <c r="K7" s="204" t="s">
        <v>216</v>
      </c>
      <c r="L7" s="204" t="s">
        <v>217</v>
      </c>
      <c r="M7" s="204" t="s">
        <v>203</v>
      </c>
      <c r="N7" s="204" t="s">
        <v>205</v>
      </c>
      <c r="O7" s="204" t="s">
        <v>206</v>
      </c>
      <c r="P7" s="204" t="s">
        <v>207</v>
      </c>
      <c r="Q7" s="204" t="s">
        <v>208</v>
      </c>
      <c r="R7" s="204" t="s">
        <v>209</v>
      </c>
      <c r="S7" s="426"/>
      <c r="T7" s="426"/>
    </row>
    <row r="8" spans="2:22" ht="18" customHeight="1">
      <c r="B8" s="407" t="s">
        <v>219</v>
      </c>
      <c r="C8" s="407" t="s">
        <v>80</v>
      </c>
      <c r="D8" s="49"/>
      <c r="E8" s="427" t="s">
        <v>61</v>
      </c>
      <c r="F8" s="36" t="s">
        <v>58</v>
      </c>
      <c r="G8" s="44">
        <v>6000000</v>
      </c>
      <c r="H8" s="44">
        <v>6000000</v>
      </c>
      <c r="I8" s="44">
        <v>6000000</v>
      </c>
      <c r="J8" s="44"/>
      <c r="K8" s="44"/>
      <c r="L8" s="44"/>
      <c r="M8" s="44"/>
      <c r="N8" s="44"/>
      <c r="O8" s="44"/>
      <c r="P8" s="44"/>
      <c r="Q8" s="44"/>
      <c r="R8" s="44"/>
      <c r="S8" s="37">
        <f>SUM(G8:R8)</f>
        <v>18000000</v>
      </c>
      <c r="T8" s="92"/>
    </row>
    <row r="9" spans="2:22" ht="18" customHeight="1">
      <c r="B9" s="296"/>
      <c r="C9" s="296"/>
      <c r="D9" s="50"/>
      <c r="E9" s="428"/>
      <c r="F9" s="36" t="s">
        <v>57</v>
      </c>
      <c r="G9" s="44">
        <v>5000000</v>
      </c>
      <c r="H9" s="44">
        <v>5000000</v>
      </c>
      <c r="I9" s="44">
        <v>5000000</v>
      </c>
      <c r="J9" s="44"/>
      <c r="K9" s="44"/>
      <c r="L9" s="44"/>
      <c r="M9" s="44"/>
      <c r="N9" s="44"/>
      <c r="O9" s="44"/>
      <c r="P9" s="44"/>
      <c r="Q9" s="44"/>
      <c r="R9" s="44"/>
      <c r="S9" s="37">
        <f>SUM(G9:R9)</f>
        <v>15000000</v>
      </c>
      <c r="T9" s="93"/>
    </row>
    <row r="10" spans="2:22" ht="18" customHeight="1">
      <c r="B10" s="296"/>
      <c r="C10" s="296"/>
      <c r="D10" s="50" t="s">
        <v>101</v>
      </c>
      <c r="E10" s="428"/>
      <c r="F10" s="36" t="s">
        <v>82</v>
      </c>
      <c r="G10" s="44">
        <v>300000</v>
      </c>
      <c r="H10" s="44">
        <v>300000</v>
      </c>
      <c r="I10" s="44">
        <v>300000</v>
      </c>
      <c r="J10" s="44"/>
      <c r="K10" s="44"/>
      <c r="L10" s="44"/>
      <c r="M10" s="44"/>
      <c r="N10" s="44"/>
      <c r="O10" s="44"/>
      <c r="P10" s="44"/>
      <c r="Q10" s="44"/>
      <c r="R10" s="44"/>
      <c r="S10" s="37">
        <f>SUM(G10:R10)</f>
        <v>900000</v>
      </c>
      <c r="T10" s="90" t="s">
        <v>172</v>
      </c>
    </row>
    <row r="11" spans="2:22" ht="18" customHeight="1">
      <c r="B11" s="296"/>
      <c r="C11" s="296"/>
      <c r="D11" s="50">
        <v>20000000</v>
      </c>
      <c r="E11" s="428"/>
      <c r="F11" s="36" t="s">
        <v>85</v>
      </c>
      <c r="G11" s="44">
        <f>7200000/12</f>
        <v>600000</v>
      </c>
      <c r="H11" s="44">
        <f>G11</f>
        <v>600000</v>
      </c>
      <c r="I11" s="44">
        <f t="shared" ref="I11" si="0">H11</f>
        <v>600000</v>
      </c>
      <c r="J11" s="44"/>
      <c r="K11" s="44"/>
      <c r="L11" s="44"/>
      <c r="M11" s="44"/>
      <c r="N11" s="44"/>
      <c r="O11" s="44"/>
      <c r="P11" s="44"/>
      <c r="Q11" s="44"/>
      <c r="R11" s="44"/>
      <c r="S11" s="37">
        <f>SUM(G11:R11)</f>
        <v>1800000</v>
      </c>
      <c r="T11" s="90">
        <f>MAX(-MIN(D11,S13-S15)+S14,0)</f>
        <v>2448747</v>
      </c>
    </row>
    <row r="12" spans="2:22" ht="18" customHeight="1">
      <c r="B12" s="296"/>
      <c r="C12" s="296"/>
      <c r="D12" s="50" t="s">
        <v>1</v>
      </c>
      <c r="E12" s="428"/>
      <c r="F12" s="36" t="s">
        <v>160</v>
      </c>
      <c r="G12" s="45">
        <v>0.3</v>
      </c>
      <c r="H12" s="45">
        <v>0.3</v>
      </c>
      <c r="I12" s="45">
        <v>0.3</v>
      </c>
      <c r="J12" s="45">
        <v>0.3</v>
      </c>
      <c r="K12" s="45">
        <v>0.3</v>
      </c>
      <c r="L12" s="45">
        <v>0.3</v>
      </c>
      <c r="M12" s="45">
        <v>0.3</v>
      </c>
      <c r="N12" s="45">
        <v>0.3</v>
      </c>
      <c r="O12" s="45">
        <v>0.3</v>
      </c>
      <c r="P12" s="45">
        <v>0.3</v>
      </c>
      <c r="Q12" s="45">
        <v>0.3</v>
      </c>
      <c r="R12" s="45">
        <v>0.3</v>
      </c>
      <c r="S12" s="37"/>
      <c r="T12" s="90" t="s">
        <v>150</v>
      </c>
    </row>
    <row r="13" spans="2:22" ht="18" customHeight="1">
      <c r="B13" s="296"/>
      <c r="C13" s="296"/>
      <c r="D13" s="50">
        <v>10000000</v>
      </c>
      <c r="E13" s="428"/>
      <c r="F13" s="38" t="s">
        <v>84</v>
      </c>
      <c r="G13" s="46">
        <f>(G8+G10+G11)*G12</f>
        <v>2070000</v>
      </c>
      <c r="H13" s="46">
        <f t="shared" ref="H13:R13" si="1">(H8+H10+H11)*H12</f>
        <v>2070000</v>
      </c>
      <c r="I13" s="46">
        <f t="shared" si="1"/>
        <v>2070000</v>
      </c>
      <c r="J13" s="46">
        <f t="shared" si="1"/>
        <v>0</v>
      </c>
      <c r="K13" s="46">
        <f t="shared" si="1"/>
        <v>0</v>
      </c>
      <c r="L13" s="46">
        <f t="shared" si="1"/>
        <v>0</v>
      </c>
      <c r="M13" s="46">
        <f t="shared" si="1"/>
        <v>0</v>
      </c>
      <c r="N13" s="46">
        <f t="shared" si="1"/>
        <v>0</v>
      </c>
      <c r="O13" s="46">
        <f t="shared" si="1"/>
        <v>0</v>
      </c>
      <c r="P13" s="46">
        <f t="shared" si="1"/>
        <v>0</v>
      </c>
      <c r="Q13" s="46">
        <f t="shared" si="1"/>
        <v>0</v>
      </c>
      <c r="R13" s="46">
        <f t="shared" si="1"/>
        <v>0</v>
      </c>
      <c r="S13" s="39">
        <f t="shared" ref="S13:S37" si="2">SUM(G13:R13)</f>
        <v>6210000</v>
      </c>
      <c r="T13" s="202">
        <f>MAX(D13-S15,0)</f>
        <v>1341253</v>
      </c>
    </row>
    <row r="14" spans="2:22" ht="18" customHeight="1">
      <c r="B14" s="296"/>
      <c r="C14" s="296"/>
      <c r="D14" s="50"/>
      <c r="E14" s="428"/>
      <c r="F14" s="36" t="s">
        <v>97</v>
      </c>
      <c r="G14" s="44"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37">
        <f t="shared" si="2"/>
        <v>0</v>
      </c>
      <c r="T14" s="93"/>
    </row>
    <row r="15" spans="2:22" ht="18" customHeight="1">
      <c r="B15" s="297"/>
      <c r="C15" s="297"/>
      <c r="D15" s="51"/>
      <c r="E15" s="428"/>
      <c r="F15" s="36" t="s">
        <v>99</v>
      </c>
      <c r="G15" s="44">
        <v>962083</v>
      </c>
      <c r="H15" s="44">
        <v>962083</v>
      </c>
      <c r="I15" s="44">
        <v>962083</v>
      </c>
      <c r="J15" s="44">
        <v>962083</v>
      </c>
      <c r="K15" s="44">
        <v>962083</v>
      </c>
      <c r="L15" s="44">
        <v>962083</v>
      </c>
      <c r="M15" s="44">
        <v>962083</v>
      </c>
      <c r="N15" s="44">
        <v>962083</v>
      </c>
      <c r="O15" s="44">
        <v>962083</v>
      </c>
      <c r="P15" s="44">
        <v>0</v>
      </c>
      <c r="Q15" s="44">
        <v>0</v>
      </c>
      <c r="R15" s="44">
        <v>0</v>
      </c>
      <c r="S15" s="37">
        <f t="shared" si="2"/>
        <v>8658747</v>
      </c>
      <c r="T15" s="94"/>
    </row>
    <row r="16" spans="2:22" ht="18" customHeight="1">
      <c r="B16" s="407" t="s">
        <v>219</v>
      </c>
      <c r="C16" s="407" t="s">
        <v>81</v>
      </c>
      <c r="D16" s="49"/>
      <c r="E16" s="427" t="s">
        <v>61</v>
      </c>
      <c r="F16" s="36" t="s">
        <v>58</v>
      </c>
      <c r="G16" s="44">
        <v>2000000</v>
      </c>
      <c r="H16" s="44">
        <v>2000000</v>
      </c>
      <c r="I16" s="44">
        <v>2000000</v>
      </c>
      <c r="J16" s="44">
        <v>2000000</v>
      </c>
      <c r="K16" s="44">
        <v>2000000</v>
      </c>
      <c r="L16" s="44">
        <v>2000000</v>
      </c>
      <c r="M16" s="44">
        <v>2000000</v>
      </c>
      <c r="N16" s="44">
        <v>2000000</v>
      </c>
      <c r="O16" s="44">
        <v>2000000</v>
      </c>
      <c r="P16" s="44">
        <v>2000000</v>
      </c>
      <c r="Q16" s="44">
        <v>2000000</v>
      </c>
      <c r="R16" s="44">
        <v>2000000</v>
      </c>
      <c r="S16" s="37">
        <f>SUM(G16:R16)</f>
        <v>24000000</v>
      </c>
      <c r="T16" s="92"/>
    </row>
    <row r="17" spans="2:20" ht="18" customHeight="1">
      <c r="B17" s="296"/>
      <c r="C17" s="296"/>
      <c r="D17" s="50"/>
      <c r="E17" s="428"/>
      <c r="F17" s="36" t="s">
        <v>57</v>
      </c>
      <c r="G17" s="44">
        <v>1800000</v>
      </c>
      <c r="H17" s="44">
        <v>1800000</v>
      </c>
      <c r="I17" s="44">
        <v>1800000</v>
      </c>
      <c r="J17" s="44">
        <v>1800000</v>
      </c>
      <c r="K17" s="44">
        <v>1800000</v>
      </c>
      <c r="L17" s="44">
        <v>1800000</v>
      </c>
      <c r="M17" s="44">
        <v>1800000</v>
      </c>
      <c r="N17" s="44">
        <v>1800000</v>
      </c>
      <c r="O17" s="44">
        <v>1800000</v>
      </c>
      <c r="P17" s="44">
        <v>1800000</v>
      </c>
      <c r="Q17" s="44">
        <v>1800000</v>
      </c>
      <c r="R17" s="44">
        <v>1800000</v>
      </c>
      <c r="S17" s="37">
        <f>SUM(G17:R17)</f>
        <v>21600000</v>
      </c>
      <c r="T17" s="93"/>
    </row>
    <row r="18" spans="2:20" ht="18" customHeight="1">
      <c r="B18" s="296"/>
      <c r="C18" s="296"/>
      <c r="D18" s="50" t="s">
        <v>101</v>
      </c>
      <c r="E18" s="428"/>
      <c r="F18" s="36" t="s">
        <v>82</v>
      </c>
      <c r="G18" s="44">
        <v>200000</v>
      </c>
      <c r="H18" s="44">
        <v>200000</v>
      </c>
      <c r="I18" s="44">
        <v>200000</v>
      </c>
      <c r="J18" s="44">
        <v>200000</v>
      </c>
      <c r="K18" s="44">
        <v>200000</v>
      </c>
      <c r="L18" s="44">
        <v>200000</v>
      </c>
      <c r="M18" s="44">
        <v>200000</v>
      </c>
      <c r="N18" s="44">
        <v>200000</v>
      </c>
      <c r="O18" s="44">
        <v>200000</v>
      </c>
      <c r="P18" s="44">
        <v>200000</v>
      </c>
      <c r="Q18" s="44">
        <v>200000</v>
      </c>
      <c r="R18" s="44">
        <v>200000</v>
      </c>
      <c r="S18" s="37">
        <f>SUM(G18:R18)</f>
        <v>2400000</v>
      </c>
      <c r="T18" s="90" t="s">
        <v>172</v>
      </c>
    </row>
    <row r="19" spans="2:20" ht="18" customHeight="1">
      <c r="B19" s="296"/>
      <c r="C19" s="296"/>
      <c r="D19" s="50">
        <v>6000000</v>
      </c>
      <c r="E19" s="428"/>
      <c r="F19" s="36" t="s">
        <v>85</v>
      </c>
      <c r="G19" s="44">
        <f>2000000/12</f>
        <v>166666.66666666666</v>
      </c>
      <c r="H19" s="44">
        <f t="shared" ref="H19:R19" si="3">2000000/12</f>
        <v>166666.66666666666</v>
      </c>
      <c r="I19" s="44">
        <f t="shared" si="3"/>
        <v>166666.66666666666</v>
      </c>
      <c r="J19" s="44">
        <f t="shared" si="3"/>
        <v>166666.66666666666</v>
      </c>
      <c r="K19" s="44">
        <f t="shared" si="3"/>
        <v>166666.66666666666</v>
      </c>
      <c r="L19" s="44">
        <f t="shared" si="3"/>
        <v>166666.66666666666</v>
      </c>
      <c r="M19" s="44">
        <f t="shared" si="3"/>
        <v>166666.66666666666</v>
      </c>
      <c r="N19" s="44">
        <f t="shared" si="3"/>
        <v>166666.66666666666</v>
      </c>
      <c r="O19" s="44">
        <f t="shared" si="3"/>
        <v>166666.66666666666</v>
      </c>
      <c r="P19" s="44">
        <f t="shared" si="3"/>
        <v>166666.66666666666</v>
      </c>
      <c r="Q19" s="44">
        <f t="shared" si="3"/>
        <v>166666.66666666666</v>
      </c>
      <c r="R19" s="44">
        <f t="shared" si="3"/>
        <v>166666.66666666666</v>
      </c>
      <c r="S19" s="37">
        <f>SUM(G19:R19)</f>
        <v>2000000.0000000002</v>
      </c>
      <c r="T19" s="90">
        <f>MAX(-MIN(D19,S21-S23)+S22,0)</f>
        <v>0</v>
      </c>
    </row>
    <row r="20" spans="2:20" ht="18" customHeight="1">
      <c r="B20" s="296"/>
      <c r="C20" s="296"/>
      <c r="D20" s="50" t="s">
        <v>1</v>
      </c>
      <c r="E20" s="428"/>
      <c r="F20" s="36" t="s">
        <v>160</v>
      </c>
      <c r="G20" s="45">
        <v>0.3</v>
      </c>
      <c r="H20" s="45">
        <v>0.3</v>
      </c>
      <c r="I20" s="45">
        <v>0.3</v>
      </c>
      <c r="J20" s="45">
        <v>0.3</v>
      </c>
      <c r="K20" s="45">
        <v>0.3</v>
      </c>
      <c r="L20" s="45">
        <v>0.3</v>
      </c>
      <c r="M20" s="45">
        <v>0.3</v>
      </c>
      <c r="N20" s="45">
        <v>0.3</v>
      </c>
      <c r="O20" s="45">
        <v>0.3</v>
      </c>
      <c r="P20" s="45">
        <v>0.3</v>
      </c>
      <c r="Q20" s="45">
        <v>0.3</v>
      </c>
      <c r="R20" s="45">
        <v>0.3</v>
      </c>
      <c r="S20" s="37"/>
      <c r="T20" s="90" t="s">
        <v>150</v>
      </c>
    </row>
    <row r="21" spans="2:20" ht="18" customHeight="1">
      <c r="B21" s="296"/>
      <c r="C21" s="296"/>
      <c r="D21" s="50">
        <v>1200000</v>
      </c>
      <c r="E21" s="428"/>
      <c r="F21" s="38" t="s">
        <v>84</v>
      </c>
      <c r="G21" s="46">
        <f>(G16+G18+G19)*G20</f>
        <v>709999.99999999988</v>
      </c>
      <c r="H21" s="46">
        <f t="shared" ref="H21:R21" si="4">(H16+H18+H19)*H20</f>
        <v>709999.99999999988</v>
      </c>
      <c r="I21" s="46">
        <f t="shared" si="4"/>
        <v>709999.99999999988</v>
      </c>
      <c r="J21" s="46">
        <f t="shared" si="4"/>
        <v>709999.99999999988</v>
      </c>
      <c r="K21" s="46">
        <f t="shared" si="4"/>
        <v>709999.99999999988</v>
      </c>
      <c r="L21" s="46">
        <f t="shared" si="4"/>
        <v>709999.99999999988</v>
      </c>
      <c r="M21" s="46">
        <f t="shared" si="4"/>
        <v>709999.99999999988</v>
      </c>
      <c r="N21" s="46">
        <f t="shared" si="4"/>
        <v>709999.99999999988</v>
      </c>
      <c r="O21" s="46">
        <f t="shared" si="4"/>
        <v>709999.99999999988</v>
      </c>
      <c r="P21" s="46">
        <f t="shared" si="4"/>
        <v>709999.99999999988</v>
      </c>
      <c r="Q21" s="46">
        <f t="shared" si="4"/>
        <v>709999.99999999988</v>
      </c>
      <c r="R21" s="46">
        <f t="shared" si="4"/>
        <v>709999.99999999988</v>
      </c>
      <c r="S21" s="39">
        <f t="shared" ref="S21:S23" si="5">SUM(G21:R21)</f>
        <v>8519999.9999999981</v>
      </c>
      <c r="T21" s="202">
        <f>MAX(D21-S23,0)</f>
        <v>0</v>
      </c>
    </row>
    <row r="22" spans="2:20" ht="18" customHeight="1">
      <c r="B22" s="296"/>
      <c r="C22" s="296"/>
      <c r="D22" s="50"/>
      <c r="E22" s="428"/>
      <c r="F22" s="36" t="s">
        <v>97</v>
      </c>
      <c r="G22" s="44">
        <v>500000</v>
      </c>
      <c r="H22" s="44">
        <v>500000</v>
      </c>
      <c r="I22" s="44">
        <v>500000</v>
      </c>
      <c r="J22" s="44">
        <v>500000</v>
      </c>
      <c r="K22" s="44">
        <v>500000</v>
      </c>
      <c r="L22" s="44">
        <v>500000</v>
      </c>
      <c r="M22" s="44">
        <v>500000</v>
      </c>
      <c r="N22" s="44">
        <v>500000</v>
      </c>
      <c r="O22" s="44">
        <v>500000</v>
      </c>
      <c r="P22" s="44">
        <v>500000</v>
      </c>
      <c r="Q22" s="44">
        <v>500000</v>
      </c>
      <c r="R22" s="44">
        <v>500000</v>
      </c>
      <c r="S22" s="37">
        <f t="shared" si="5"/>
        <v>6000000</v>
      </c>
      <c r="T22" s="93"/>
    </row>
    <row r="23" spans="2:20" ht="18" customHeight="1">
      <c r="B23" s="297"/>
      <c r="C23" s="297"/>
      <c r="D23" s="51"/>
      <c r="E23" s="428"/>
      <c r="F23" s="36" t="s">
        <v>99</v>
      </c>
      <c r="G23" s="44">
        <v>100000</v>
      </c>
      <c r="H23" s="44">
        <v>100000</v>
      </c>
      <c r="I23" s="44">
        <v>100000</v>
      </c>
      <c r="J23" s="44">
        <v>100000</v>
      </c>
      <c r="K23" s="44">
        <v>100000</v>
      </c>
      <c r="L23" s="44">
        <v>100000</v>
      </c>
      <c r="M23" s="44">
        <v>100000</v>
      </c>
      <c r="N23" s="44">
        <v>100000</v>
      </c>
      <c r="O23" s="44">
        <v>100000</v>
      </c>
      <c r="P23" s="44">
        <v>100000</v>
      </c>
      <c r="Q23" s="44">
        <v>100000</v>
      </c>
      <c r="R23" s="44">
        <v>100000</v>
      </c>
      <c r="S23" s="37">
        <f t="shared" si="5"/>
        <v>1200000</v>
      </c>
      <c r="T23" s="94"/>
    </row>
    <row r="24" spans="2:20" ht="18" customHeight="1">
      <c r="B24" s="396" t="s">
        <v>201</v>
      </c>
      <c r="C24" s="397"/>
      <c r="D24" s="182">
        <f>D11+D19</f>
        <v>26000000</v>
      </c>
      <c r="E24" s="183"/>
      <c r="F24" s="184" t="s">
        <v>97</v>
      </c>
      <c r="G24" s="185">
        <f>G14+G22</f>
        <v>500000</v>
      </c>
      <c r="H24" s="185">
        <f t="shared" ref="H24:R24" si="6">H14+H22</f>
        <v>500000</v>
      </c>
      <c r="I24" s="185">
        <f t="shared" si="6"/>
        <v>500000</v>
      </c>
      <c r="J24" s="185">
        <f t="shared" si="6"/>
        <v>500000</v>
      </c>
      <c r="K24" s="185">
        <f t="shared" si="6"/>
        <v>500000</v>
      </c>
      <c r="L24" s="185">
        <f t="shared" si="6"/>
        <v>500000</v>
      </c>
      <c r="M24" s="185">
        <f t="shared" si="6"/>
        <v>500000</v>
      </c>
      <c r="N24" s="185">
        <f t="shared" si="6"/>
        <v>500000</v>
      </c>
      <c r="O24" s="185">
        <f t="shared" si="6"/>
        <v>500000</v>
      </c>
      <c r="P24" s="185">
        <f t="shared" si="6"/>
        <v>500000</v>
      </c>
      <c r="Q24" s="185">
        <f t="shared" si="6"/>
        <v>500000</v>
      </c>
      <c r="R24" s="185">
        <f t="shared" si="6"/>
        <v>500000</v>
      </c>
      <c r="S24" s="186">
        <f>SUM(G24:R24)</f>
        <v>6000000</v>
      </c>
      <c r="T24" s="194"/>
    </row>
    <row r="25" spans="2:20" ht="18" customHeight="1">
      <c r="B25" s="398"/>
      <c r="C25" s="399"/>
      <c r="D25" s="182">
        <f>D13+D21</f>
        <v>11200000</v>
      </c>
      <c r="E25" s="183"/>
      <c r="F25" s="184" t="s">
        <v>99</v>
      </c>
      <c r="G25" s="185">
        <f>G15+G23</f>
        <v>1062083</v>
      </c>
      <c r="H25" s="185">
        <f t="shared" ref="H25:R25" si="7">H15+H23</f>
        <v>1062083</v>
      </c>
      <c r="I25" s="185">
        <f t="shared" si="7"/>
        <v>1062083</v>
      </c>
      <c r="J25" s="185">
        <f t="shared" si="7"/>
        <v>1062083</v>
      </c>
      <c r="K25" s="185">
        <f t="shared" si="7"/>
        <v>1062083</v>
      </c>
      <c r="L25" s="185">
        <f t="shared" si="7"/>
        <v>1062083</v>
      </c>
      <c r="M25" s="185">
        <f t="shared" si="7"/>
        <v>1062083</v>
      </c>
      <c r="N25" s="185">
        <f t="shared" si="7"/>
        <v>1062083</v>
      </c>
      <c r="O25" s="185">
        <f t="shared" si="7"/>
        <v>1062083</v>
      </c>
      <c r="P25" s="185">
        <f t="shared" si="7"/>
        <v>100000</v>
      </c>
      <c r="Q25" s="185">
        <f t="shared" si="7"/>
        <v>100000</v>
      </c>
      <c r="R25" s="185">
        <f t="shared" si="7"/>
        <v>100000</v>
      </c>
      <c r="S25" s="186">
        <f>SUM(G25:R25)</f>
        <v>9858747</v>
      </c>
      <c r="T25" s="194"/>
    </row>
    <row r="26" spans="2:20" ht="18" customHeight="1">
      <c r="B26" s="404" t="s">
        <v>220</v>
      </c>
      <c r="C26" s="407" t="s">
        <v>81</v>
      </c>
      <c r="D26" s="49"/>
      <c r="E26" s="427" t="s">
        <v>61</v>
      </c>
      <c r="F26" s="36" t="s">
        <v>58</v>
      </c>
      <c r="G26" s="44">
        <v>3920000</v>
      </c>
      <c r="H26" s="44">
        <v>3820000</v>
      </c>
      <c r="I26" s="44">
        <v>3820000</v>
      </c>
      <c r="J26" s="44">
        <v>3820000</v>
      </c>
      <c r="K26" s="44">
        <v>3874540</v>
      </c>
      <c r="L26" s="44">
        <v>3881540</v>
      </c>
      <c r="M26" s="44">
        <v>5253500</v>
      </c>
      <c r="N26" s="44">
        <v>8463980</v>
      </c>
      <c r="O26" s="44">
        <v>4061670</v>
      </c>
      <c r="P26" s="44">
        <v>4061670</v>
      </c>
      <c r="Q26" s="44">
        <v>4061670</v>
      </c>
      <c r="R26" s="44">
        <v>4061670</v>
      </c>
      <c r="S26" s="37">
        <f t="shared" ref="S26:S29" si="8">SUM(G26:R26)</f>
        <v>53100240</v>
      </c>
      <c r="T26" s="92"/>
    </row>
    <row r="27" spans="2:20" ht="18" customHeight="1">
      <c r="B27" s="431"/>
      <c r="C27" s="296"/>
      <c r="D27" s="50"/>
      <c r="E27" s="428"/>
      <c r="F27" s="36" t="s">
        <v>57</v>
      </c>
      <c r="G27" s="44">
        <v>3370000</v>
      </c>
      <c r="H27" s="44">
        <v>3270000</v>
      </c>
      <c r="I27" s="44">
        <v>3270000</v>
      </c>
      <c r="J27" s="44">
        <v>3270000</v>
      </c>
      <c r="K27" s="44">
        <v>3324540</v>
      </c>
      <c r="L27" s="44">
        <v>3331540</v>
      </c>
      <c r="M27" s="44">
        <v>4703500</v>
      </c>
      <c r="N27" s="44">
        <v>7913980</v>
      </c>
      <c r="O27" s="44">
        <v>3440850</v>
      </c>
      <c r="P27" s="44">
        <v>3511670</v>
      </c>
      <c r="Q27" s="44">
        <v>3511670</v>
      </c>
      <c r="R27" s="44">
        <v>3511670</v>
      </c>
      <c r="S27" s="37">
        <f t="shared" si="8"/>
        <v>46429420</v>
      </c>
      <c r="T27" s="93"/>
    </row>
    <row r="28" spans="2:20" ht="18" customHeight="1">
      <c r="B28" s="431"/>
      <c r="C28" s="296"/>
      <c r="D28" s="50" t="s">
        <v>101</v>
      </c>
      <c r="E28" s="428"/>
      <c r="F28" s="36" t="s">
        <v>82</v>
      </c>
      <c r="G28" s="44">
        <v>300000</v>
      </c>
      <c r="H28" s="44">
        <v>300000</v>
      </c>
      <c r="I28" s="44">
        <v>300000</v>
      </c>
      <c r="J28" s="44">
        <v>300000</v>
      </c>
      <c r="K28" s="44">
        <v>300000</v>
      </c>
      <c r="L28" s="44">
        <v>300000</v>
      </c>
      <c r="M28" s="44">
        <v>300000</v>
      </c>
      <c r="N28" s="44">
        <v>300000</v>
      </c>
      <c r="O28" s="44">
        <v>300000</v>
      </c>
      <c r="P28" s="44">
        <v>300000</v>
      </c>
      <c r="Q28" s="44">
        <v>300000</v>
      </c>
      <c r="R28" s="44">
        <v>300000</v>
      </c>
      <c r="S28" s="37">
        <f t="shared" si="8"/>
        <v>3600000</v>
      </c>
      <c r="T28" s="90" t="s">
        <v>172</v>
      </c>
    </row>
    <row r="29" spans="2:20" ht="18" customHeight="1">
      <c r="B29" s="431"/>
      <c r="C29" s="296"/>
      <c r="D29" s="50">
        <v>20000000</v>
      </c>
      <c r="E29" s="428"/>
      <c r="F29" s="36" t="s">
        <v>85</v>
      </c>
      <c r="G29" s="44">
        <v>330000</v>
      </c>
      <c r="H29" s="44">
        <f>G29</f>
        <v>330000</v>
      </c>
      <c r="I29" s="44">
        <f t="shared" ref="I29" si="9">H29</f>
        <v>330000</v>
      </c>
      <c r="J29" s="44">
        <f t="shared" ref="J29" si="10">I29</f>
        <v>330000</v>
      </c>
      <c r="K29" s="44">
        <f t="shared" ref="K29" si="11">J29</f>
        <v>330000</v>
      </c>
      <c r="L29" s="44">
        <f t="shared" ref="L29" si="12">K29</f>
        <v>330000</v>
      </c>
      <c r="M29" s="44">
        <f t="shared" ref="M29" si="13">L29</f>
        <v>330000</v>
      </c>
      <c r="N29" s="44">
        <f t="shared" ref="N29" si="14">M29</f>
        <v>330000</v>
      </c>
      <c r="O29" s="44">
        <f t="shared" ref="O29" si="15">N29</f>
        <v>330000</v>
      </c>
      <c r="P29" s="44">
        <f t="shared" ref="P29" si="16">O29</f>
        <v>330000</v>
      </c>
      <c r="Q29" s="44">
        <f t="shared" ref="Q29" si="17">P29</f>
        <v>330000</v>
      </c>
      <c r="R29" s="44">
        <f t="shared" ref="R29" si="18">Q29</f>
        <v>330000</v>
      </c>
      <c r="S29" s="37">
        <f t="shared" si="8"/>
        <v>3960000</v>
      </c>
      <c r="T29" s="90">
        <f>MAX(-MIN(D29,S31-S33)+S32,0)</f>
        <v>0</v>
      </c>
    </row>
    <row r="30" spans="2:20" ht="18" customHeight="1">
      <c r="B30" s="431"/>
      <c r="C30" s="296"/>
      <c r="D30" s="50" t="s">
        <v>1</v>
      </c>
      <c r="E30" s="428"/>
      <c r="F30" s="36" t="s">
        <v>160</v>
      </c>
      <c r="G30" s="45">
        <v>0.3</v>
      </c>
      <c r="H30" s="45">
        <v>0.3</v>
      </c>
      <c r="I30" s="45">
        <v>0.3</v>
      </c>
      <c r="J30" s="45">
        <v>0.3</v>
      </c>
      <c r="K30" s="45">
        <v>0.3</v>
      </c>
      <c r="L30" s="45">
        <v>0.3</v>
      </c>
      <c r="M30" s="45">
        <v>0.3</v>
      </c>
      <c r="N30" s="45">
        <v>0.3</v>
      </c>
      <c r="O30" s="45">
        <v>0.3</v>
      </c>
      <c r="P30" s="45">
        <v>0.3</v>
      </c>
      <c r="Q30" s="45">
        <v>0.3</v>
      </c>
      <c r="R30" s="45">
        <v>0.3</v>
      </c>
      <c r="S30" s="37"/>
      <c r="T30" s="90" t="s">
        <v>150</v>
      </c>
    </row>
    <row r="31" spans="2:20" ht="18" customHeight="1">
      <c r="B31" s="431"/>
      <c r="C31" s="296"/>
      <c r="D31" s="50">
        <v>12000000</v>
      </c>
      <c r="E31" s="428"/>
      <c r="F31" s="38" t="s">
        <v>84</v>
      </c>
      <c r="G31" s="46">
        <f>(G26+G28+G29)*G30</f>
        <v>1365000</v>
      </c>
      <c r="H31" s="46">
        <f t="shared" ref="H31:R31" si="19">(H26+H28+H29)*H30</f>
        <v>1335000</v>
      </c>
      <c r="I31" s="46">
        <f t="shared" si="19"/>
        <v>1335000</v>
      </c>
      <c r="J31" s="46">
        <f t="shared" si="19"/>
        <v>1335000</v>
      </c>
      <c r="K31" s="46">
        <f t="shared" si="19"/>
        <v>1351362</v>
      </c>
      <c r="L31" s="46">
        <f t="shared" si="19"/>
        <v>1353462</v>
      </c>
      <c r="M31" s="46">
        <f t="shared" si="19"/>
        <v>1765050</v>
      </c>
      <c r="N31" s="46">
        <f t="shared" si="19"/>
        <v>2728194</v>
      </c>
      <c r="O31" s="46">
        <f t="shared" si="19"/>
        <v>1407501</v>
      </c>
      <c r="P31" s="46">
        <f t="shared" si="19"/>
        <v>1407501</v>
      </c>
      <c r="Q31" s="46">
        <f t="shared" si="19"/>
        <v>1407501</v>
      </c>
      <c r="R31" s="46">
        <f t="shared" si="19"/>
        <v>1407501</v>
      </c>
      <c r="S31" s="39">
        <f>SUM(G31:R31)</f>
        <v>18198072</v>
      </c>
      <c r="T31" s="202">
        <f>MAX(D31-S33,0)</f>
        <v>0</v>
      </c>
    </row>
    <row r="32" spans="2:20" ht="18" customHeight="1">
      <c r="B32" s="431"/>
      <c r="C32" s="296"/>
      <c r="D32" s="50"/>
      <c r="E32" s="428"/>
      <c r="F32" s="36" t="s">
        <v>97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37">
        <f>SUM(G32:R32)</f>
        <v>0</v>
      </c>
      <c r="T32" s="93"/>
    </row>
    <row r="33" spans="2:20" ht="18" customHeight="1">
      <c r="B33" s="432"/>
      <c r="C33" s="297"/>
      <c r="D33" s="51"/>
      <c r="E33" s="428"/>
      <c r="F33" s="36" t="s">
        <v>99</v>
      </c>
      <c r="G33" s="44">
        <v>1000000</v>
      </c>
      <c r="H33" s="44">
        <v>1000000</v>
      </c>
      <c r="I33" s="44">
        <v>1000000</v>
      </c>
      <c r="J33" s="44">
        <v>1000000</v>
      </c>
      <c r="K33" s="44">
        <v>1000000</v>
      </c>
      <c r="L33" s="44">
        <v>1000000</v>
      </c>
      <c r="M33" s="44">
        <v>1000000</v>
      </c>
      <c r="N33" s="44">
        <v>1000000</v>
      </c>
      <c r="O33" s="44">
        <v>1000000</v>
      </c>
      <c r="P33" s="44">
        <v>1000000</v>
      </c>
      <c r="Q33" s="44">
        <v>1000000</v>
      </c>
      <c r="R33" s="44">
        <v>1000000</v>
      </c>
      <c r="S33" s="37">
        <f>SUM(G33:R33)</f>
        <v>12000000</v>
      </c>
      <c r="T33" s="94"/>
    </row>
    <row r="34" spans="2:20" ht="18" customHeight="1">
      <c r="B34" s="407" t="s">
        <v>221</v>
      </c>
      <c r="C34" s="407" t="s">
        <v>81</v>
      </c>
      <c r="D34" s="49"/>
      <c r="E34" s="427" t="s">
        <v>61</v>
      </c>
      <c r="F34" s="36" t="s">
        <v>58</v>
      </c>
      <c r="G34" s="44">
        <v>3920000</v>
      </c>
      <c r="H34" s="44">
        <v>3820000</v>
      </c>
      <c r="I34" s="44">
        <v>3820000</v>
      </c>
      <c r="J34" s="44">
        <v>3820000</v>
      </c>
      <c r="K34" s="44">
        <v>3874540</v>
      </c>
      <c r="L34" s="44">
        <v>3881540</v>
      </c>
      <c r="M34" s="44">
        <v>5253500</v>
      </c>
      <c r="N34" s="44">
        <v>8463980</v>
      </c>
      <c r="O34" s="44">
        <v>4061670</v>
      </c>
      <c r="P34" s="44">
        <v>4061670</v>
      </c>
      <c r="Q34" s="44">
        <v>4061670</v>
      </c>
      <c r="R34" s="44">
        <v>4061670</v>
      </c>
      <c r="S34" s="37">
        <f t="shared" si="2"/>
        <v>53100240</v>
      </c>
      <c r="T34" s="92"/>
    </row>
    <row r="35" spans="2:20" ht="18" customHeight="1">
      <c r="B35" s="296"/>
      <c r="C35" s="296"/>
      <c r="D35" s="50"/>
      <c r="E35" s="428"/>
      <c r="F35" s="36" t="s">
        <v>57</v>
      </c>
      <c r="G35" s="44">
        <v>3370000</v>
      </c>
      <c r="H35" s="44">
        <v>3270000</v>
      </c>
      <c r="I35" s="44">
        <v>3270000</v>
      </c>
      <c r="J35" s="44">
        <v>3270000</v>
      </c>
      <c r="K35" s="44">
        <v>3324540</v>
      </c>
      <c r="L35" s="44">
        <v>3331540</v>
      </c>
      <c r="M35" s="44">
        <v>4703500</v>
      </c>
      <c r="N35" s="44">
        <v>7913980</v>
      </c>
      <c r="O35" s="44">
        <v>3440850</v>
      </c>
      <c r="P35" s="44">
        <v>3511670</v>
      </c>
      <c r="Q35" s="44">
        <v>3511670</v>
      </c>
      <c r="R35" s="44">
        <v>3511670</v>
      </c>
      <c r="S35" s="37">
        <f t="shared" si="2"/>
        <v>46429420</v>
      </c>
      <c r="T35" s="93"/>
    </row>
    <row r="36" spans="2:20" ht="18" customHeight="1">
      <c r="B36" s="296"/>
      <c r="C36" s="296"/>
      <c r="D36" s="50" t="s">
        <v>101</v>
      </c>
      <c r="E36" s="428"/>
      <c r="F36" s="36" t="s">
        <v>82</v>
      </c>
      <c r="G36" s="44">
        <v>200000</v>
      </c>
      <c r="H36" s="44">
        <v>200000</v>
      </c>
      <c r="I36" s="44">
        <v>200000</v>
      </c>
      <c r="J36" s="44">
        <v>200000</v>
      </c>
      <c r="K36" s="44">
        <v>200000</v>
      </c>
      <c r="L36" s="44">
        <v>200000</v>
      </c>
      <c r="M36" s="44">
        <v>200000</v>
      </c>
      <c r="N36" s="44">
        <v>200000</v>
      </c>
      <c r="O36" s="44">
        <v>200000</v>
      </c>
      <c r="P36" s="44">
        <v>200000</v>
      </c>
      <c r="Q36" s="44">
        <v>200000</v>
      </c>
      <c r="R36" s="44">
        <v>200000</v>
      </c>
      <c r="S36" s="37">
        <f t="shared" si="2"/>
        <v>2400000</v>
      </c>
      <c r="T36" s="90" t="s">
        <v>172</v>
      </c>
    </row>
    <row r="37" spans="2:20" ht="18" customHeight="1">
      <c r="B37" s="296"/>
      <c r="C37" s="296"/>
      <c r="D37" s="50">
        <v>20000000</v>
      </c>
      <c r="E37" s="428"/>
      <c r="F37" s="36" t="s">
        <v>85</v>
      </c>
      <c r="G37" s="44">
        <f>R34/12</f>
        <v>338472.5</v>
      </c>
      <c r="H37" s="44">
        <f>G37</f>
        <v>338472.5</v>
      </c>
      <c r="I37" s="44">
        <f t="shared" ref="I37:R37" si="20">H37</f>
        <v>338472.5</v>
      </c>
      <c r="J37" s="44">
        <f t="shared" si="20"/>
        <v>338472.5</v>
      </c>
      <c r="K37" s="44">
        <f t="shared" si="20"/>
        <v>338472.5</v>
      </c>
      <c r="L37" s="44">
        <f t="shared" si="20"/>
        <v>338472.5</v>
      </c>
      <c r="M37" s="44">
        <f t="shared" si="20"/>
        <v>338472.5</v>
      </c>
      <c r="N37" s="44">
        <f t="shared" si="20"/>
        <v>338472.5</v>
      </c>
      <c r="O37" s="44">
        <f t="shared" si="20"/>
        <v>338472.5</v>
      </c>
      <c r="P37" s="44">
        <f t="shared" si="20"/>
        <v>338472.5</v>
      </c>
      <c r="Q37" s="44">
        <f t="shared" si="20"/>
        <v>338472.5</v>
      </c>
      <c r="R37" s="44">
        <f t="shared" si="20"/>
        <v>338472.5</v>
      </c>
      <c r="S37" s="37">
        <f t="shared" si="2"/>
        <v>4061670</v>
      </c>
      <c r="T37" s="90">
        <f>MAX(-MIN(D37,S39-S41)+S40,0)</f>
        <v>0</v>
      </c>
    </row>
    <row r="38" spans="2:20" ht="18" customHeight="1">
      <c r="B38" s="296"/>
      <c r="C38" s="296"/>
      <c r="D38" s="50" t="s">
        <v>1</v>
      </c>
      <c r="E38" s="428"/>
      <c r="F38" s="36" t="s">
        <v>160</v>
      </c>
      <c r="G38" s="45">
        <v>0.3</v>
      </c>
      <c r="H38" s="45">
        <v>0.3</v>
      </c>
      <c r="I38" s="45">
        <v>0.3</v>
      </c>
      <c r="J38" s="45">
        <v>0.3</v>
      </c>
      <c r="K38" s="45">
        <v>0.3</v>
      </c>
      <c r="L38" s="45">
        <v>0.3</v>
      </c>
      <c r="M38" s="45">
        <v>0.3</v>
      </c>
      <c r="N38" s="45">
        <v>0.3</v>
      </c>
      <c r="O38" s="45">
        <v>0.3</v>
      </c>
      <c r="P38" s="45">
        <v>0.3</v>
      </c>
      <c r="Q38" s="45">
        <v>0.3</v>
      </c>
      <c r="R38" s="45">
        <v>0.3</v>
      </c>
      <c r="S38" s="37"/>
      <c r="T38" s="90" t="s">
        <v>150</v>
      </c>
    </row>
    <row r="39" spans="2:20" ht="18" customHeight="1">
      <c r="B39" s="296"/>
      <c r="C39" s="296"/>
      <c r="D39" s="50">
        <v>6000000</v>
      </c>
      <c r="E39" s="428"/>
      <c r="F39" s="38" t="s">
        <v>84</v>
      </c>
      <c r="G39" s="46">
        <f>(G34+G36+G37)*G38</f>
        <v>1337541.75</v>
      </c>
      <c r="H39" s="46">
        <f t="shared" ref="H39" si="21">(H34+H36+H37)*H38</f>
        <v>1307541.75</v>
      </c>
      <c r="I39" s="46">
        <f t="shared" ref="I39" si="22">(I34+I36+I37)*I38</f>
        <v>1307541.75</v>
      </c>
      <c r="J39" s="46">
        <f t="shared" ref="J39" si="23">(J34+J36+J37)*J38</f>
        <v>1307541.75</v>
      </c>
      <c r="K39" s="46">
        <f t="shared" ref="K39" si="24">(K34+K36+K37)*K38</f>
        <v>1323903.75</v>
      </c>
      <c r="L39" s="46">
        <f t="shared" ref="L39" si="25">(L34+L36+L37)*L38</f>
        <v>1326003.75</v>
      </c>
      <c r="M39" s="46">
        <f t="shared" ref="M39" si="26">(M34+M36+M37)*M38</f>
        <v>1737591.75</v>
      </c>
      <c r="N39" s="46">
        <f t="shared" ref="N39" si="27">(N34+N36+N37)*N38</f>
        <v>2700735.75</v>
      </c>
      <c r="O39" s="46">
        <f t="shared" ref="O39" si="28">(O34+O36+O37)*O38</f>
        <v>1380042.75</v>
      </c>
      <c r="P39" s="46">
        <f t="shared" ref="P39" si="29">(P34+P36+P37)*P38</f>
        <v>1380042.75</v>
      </c>
      <c r="Q39" s="46">
        <f t="shared" ref="Q39" si="30">(Q34+Q36+Q37)*Q38</f>
        <v>1380042.75</v>
      </c>
      <c r="R39" s="46">
        <f t="shared" ref="R39" si="31">(R34+R36+R37)*R38</f>
        <v>1380042.75</v>
      </c>
      <c r="S39" s="39">
        <f t="shared" ref="S39:S45" si="32">SUM(G39:R39)</f>
        <v>17868573</v>
      </c>
      <c r="T39" s="202">
        <f>MAX(D39-S41,0)</f>
        <v>0</v>
      </c>
    </row>
    <row r="40" spans="2:20" ht="18" customHeight="1">
      <c r="B40" s="296"/>
      <c r="C40" s="296"/>
      <c r="D40" s="50"/>
      <c r="E40" s="428"/>
      <c r="F40" s="36" t="s">
        <v>97</v>
      </c>
      <c r="G40" s="44">
        <v>500000</v>
      </c>
      <c r="H40" s="44">
        <v>500000</v>
      </c>
      <c r="I40" s="44">
        <v>500000</v>
      </c>
      <c r="J40" s="44">
        <v>500000</v>
      </c>
      <c r="K40" s="44">
        <v>500000</v>
      </c>
      <c r="L40" s="44">
        <v>500000</v>
      </c>
      <c r="M40" s="44">
        <v>500000</v>
      </c>
      <c r="N40" s="44">
        <v>500000</v>
      </c>
      <c r="O40" s="44">
        <v>500000</v>
      </c>
      <c r="P40" s="44">
        <v>500000</v>
      </c>
      <c r="Q40" s="44">
        <v>500000</v>
      </c>
      <c r="R40" s="44">
        <v>500000</v>
      </c>
      <c r="S40" s="37">
        <f t="shared" si="32"/>
        <v>6000000</v>
      </c>
      <c r="T40" s="93"/>
    </row>
    <row r="41" spans="2:20" ht="18" customHeight="1">
      <c r="B41" s="297"/>
      <c r="C41" s="297"/>
      <c r="D41" s="51"/>
      <c r="E41" s="428"/>
      <c r="F41" s="36" t="s">
        <v>99</v>
      </c>
      <c r="G41" s="44">
        <v>500000</v>
      </c>
      <c r="H41" s="44">
        <v>500000</v>
      </c>
      <c r="I41" s="44">
        <v>500000</v>
      </c>
      <c r="J41" s="44">
        <v>500000</v>
      </c>
      <c r="K41" s="44">
        <v>500000</v>
      </c>
      <c r="L41" s="44">
        <v>500000</v>
      </c>
      <c r="M41" s="44">
        <v>500000</v>
      </c>
      <c r="N41" s="44">
        <v>500000</v>
      </c>
      <c r="O41" s="44">
        <v>500000</v>
      </c>
      <c r="P41" s="44">
        <v>500000</v>
      </c>
      <c r="Q41" s="44">
        <v>500000</v>
      </c>
      <c r="R41" s="44">
        <v>500000</v>
      </c>
      <c r="S41" s="37">
        <f t="shared" si="32"/>
        <v>6000000</v>
      </c>
      <c r="T41" s="94"/>
    </row>
    <row r="42" spans="2:20" ht="18" customHeight="1">
      <c r="B42" s="396" t="s">
        <v>201</v>
      </c>
      <c r="C42" s="397"/>
      <c r="D42" s="182">
        <f>D29+D37</f>
        <v>40000000</v>
      </c>
      <c r="E42" s="183"/>
      <c r="F42" s="184" t="s">
        <v>97</v>
      </c>
      <c r="G42" s="185">
        <f>G32+G40</f>
        <v>500000</v>
      </c>
      <c r="H42" s="185">
        <f t="shared" ref="H42:R42" si="33">H32+H40</f>
        <v>500000</v>
      </c>
      <c r="I42" s="185">
        <f t="shared" si="33"/>
        <v>500000</v>
      </c>
      <c r="J42" s="185">
        <f t="shared" si="33"/>
        <v>500000</v>
      </c>
      <c r="K42" s="185">
        <f t="shared" si="33"/>
        <v>500000</v>
      </c>
      <c r="L42" s="185">
        <f t="shared" si="33"/>
        <v>500000</v>
      </c>
      <c r="M42" s="185">
        <f t="shared" si="33"/>
        <v>500000</v>
      </c>
      <c r="N42" s="185">
        <f t="shared" si="33"/>
        <v>500000</v>
      </c>
      <c r="O42" s="185">
        <f t="shared" si="33"/>
        <v>500000</v>
      </c>
      <c r="P42" s="185">
        <f t="shared" si="33"/>
        <v>500000</v>
      </c>
      <c r="Q42" s="185">
        <f t="shared" si="33"/>
        <v>500000</v>
      </c>
      <c r="R42" s="185">
        <f t="shared" si="33"/>
        <v>500000</v>
      </c>
      <c r="S42" s="186">
        <f t="shared" si="32"/>
        <v>6000000</v>
      </c>
      <c r="T42" s="194"/>
    </row>
    <row r="43" spans="2:20" ht="18" customHeight="1">
      <c r="B43" s="429"/>
      <c r="C43" s="430"/>
      <c r="D43" s="195">
        <f>D31+D39</f>
        <v>18000000</v>
      </c>
      <c r="E43" s="196"/>
      <c r="F43" s="197" t="s">
        <v>99</v>
      </c>
      <c r="G43" s="198">
        <f>G33+G41</f>
        <v>1500000</v>
      </c>
      <c r="H43" s="198">
        <f t="shared" ref="H43:R43" si="34">H33+H41</f>
        <v>1500000</v>
      </c>
      <c r="I43" s="198">
        <f t="shared" si="34"/>
        <v>1500000</v>
      </c>
      <c r="J43" s="198">
        <f t="shared" si="34"/>
        <v>1500000</v>
      </c>
      <c r="K43" s="198">
        <f t="shared" si="34"/>
        <v>1500000</v>
      </c>
      <c r="L43" s="198">
        <f t="shared" si="34"/>
        <v>1500000</v>
      </c>
      <c r="M43" s="198">
        <f t="shared" si="34"/>
        <v>1500000</v>
      </c>
      <c r="N43" s="198">
        <f t="shared" si="34"/>
        <v>1500000</v>
      </c>
      <c r="O43" s="198">
        <f t="shared" si="34"/>
        <v>1500000</v>
      </c>
      <c r="P43" s="198">
        <f t="shared" si="34"/>
        <v>1500000</v>
      </c>
      <c r="Q43" s="198">
        <f t="shared" si="34"/>
        <v>1500000</v>
      </c>
      <c r="R43" s="198">
        <f t="shared" si="34"/>
        <v>1500000</v>
      </c>
      <c r="S43" s="199">
        <f t="shared" si="32"/>
        <v>18000000</v>
      </c>
      <c r="T43" s="194"/>
    </row>
    <row r="44" spans="2:20" ht="18" customHeight="1">
      <c r="B44" s="400" t="s">
        <v>63</v>
      </c>
      <c r="C44" s="401"/>
      <c r="D44" s="188">
        <f>D24+D42</f>
        <v>66000000</v>
      </c>
      <c r="E44" s="189"/>
      <c r="F44" s="190" t="s">
        <v>97</v>
      </c>
      <c r="G44" s="191">
        <f>G24+G42</f>
        <v>1000000</v>
      </c>
      <c r="H44" s="191">
        <f t="shared" ref="H44:R44" si="35">H24+H42</f>
        <v>1000000</v>
      </c>
      <c r="I44" s="191">
        <f t="shared" si="35"/>
        <v>1000000</v>
      </c>
      <c r="J44" s="191">
        <f t="shared" si="35"/>
        <v>1000000</v>
      </c>
      <c r="K44" s="191">
        <f t="shared" si="35"/>
        <v>1000000</v>
      </c>
      <c r="L44" s="191">
        <f t="shared" si="35"/>
        <v>1000000</v>
      </c>
      <c r="M44" s="191">
        <f t="shared" si="35"/>
        <v>1000000</v>
      </c>
      <c r="N44" s="191">
        <f t="shared" si="35"/>
        <v>1000000</v>
      </c>
      <c r="O44" s="191">
        <f t="shared" si="35"/>
        <v>1000000</v>
      </c>
      <c r="P44" s="191">
        <f t="shared" si="35"/>
        <v>1000000</v>
      </c>
      <c r="Q44" s="191">
        <f t="shared" si="35"/>
        <v>1000000</v>
      </c>
      <c r="R44" s="191">
        <f t="shared" si="35"/>
        <v>1000000</v>
      </c>
      <c r="S44" s="192">
        <f t="shared" si="32"/>
        <v>12000000</v>
      </c>
      <c r="T44" s="200"/>
    </row>
    <row r="45" spans="2:20" ht="18" customHeight="1">
      <c r="B45" s="402"/>
      <c r="C45" s="403"/>
      <c r="D45" s="188">
        <f>D25+D43</f>
        <v>29200000</v>
      </c>
      <c r="E45" s="189"/>
      <c r="F45" s="190" t="s">
        <v>99</v>
      </c>
      <c r="G45" s="191">
        <f>G25+G43</f>
        <v>2562083</v>
      </c>
      <c r="H45" s="191">
        <f t="shared" ref="H45:R45" si="36">H25+H43</f>
        <v>2562083</v>
      </c>
      <c r="I45" s="191">
        <f t="shared" si="36"/>
        <v>2562083</v>
      </c>
      <c r="J45" s="191">
        <f t="shared" si="36"/>
        <v>2562083</v>
      </c>
      <c r="K45" s="191">
        <f t="shared" si="36"/>
        <v>2562083</v>
      </c>
      <c r="L45" s="191">
        <f t="shared" si="36"/>
        <v>2562083</v>
      </c>
      <c r="M45" s="191">
        <f t="shared" si="36"/>
        <v>2562083</v>
      </c>
      <c r="N45" s="191">
        <f t="shared" si="36"/>
        <v>2562083</v>
      </c>
      <c r="O45" s="191">
        <f t="shared" si="36"/>
        <v>2562083</v>
      </c>
      <c r="P45" s="191">
        <f t="shared" si="36"/>
        <v>1600000</v>
      </c>
      <c r="Q45" s="191">
        <f t="shared" si="36"/>
        <v>1600000</v>
      </c>
      <c r="R45" s="191">
        <f t="shared" si="36"/>
        <v>1600000</v>
      </c>
      <c r="S45" s="192">
        <f t="shared" si="32"/>
        <v>27858747</v>
      </c>
      <c r="T45" s="201"/>
    </row>
  </sheetData>
  <mergeCells count="24">
    <mergeCell ref="C16:C23"/>
    <mergeCell ref="E16:E23"/>
    <mergeCell ref="B42:C43"/>
    <mergeCell ref="B44:C45"/>
    <mergeCell ref="B8:B15"/>
    <mergeCell ref="E8:E15"/>
    <mergeCell ref="B34:B41"/>
    <mergeCell ref="E34:E41"/>
    <mergeCell ref="C8:C15"/>
    <mergeCell ref="C34:C41"/>
    <mergeCell ref="B26:B33"/>
    <mergeCell ref="C26:C33"/>
    <mergeCell ref="E26:E33"/>
    <mergeCell ref="B24:C25"/>
    <mergeCell ref="B16:B23"/>
    <mergeCell ref="B3:T3"/>
    <mergeCell ref="B6:B7"/>
    <mergeCell ref="D6:D7"/>
    <mergeCell ref="E6:E7"/>
    <mergeCell ref="F6:F7"/>
    <mergeCell ref="G6:R6"/>
    <mergeCell ref="S6:S7"/>
    <mergeCell ref="T6:T7"/>
    <mergeCell ref="C6:C7"/>
  </mergeCells>
  <phoneticPr fontId="3" type="noConversion"/>
  <pageMargins left="0.19685039370078741" right="0.19685039370078741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보고서(참여)</vt:lpstr>
      <vt:lpstr>작성방법</vt:lpstr>
      <vt:lpstr>Sheet1</vt:lpstr>
      <vt:lpstr>인건비소요명세서 변경비교표</vt:lpstr>
      <vt:lpstr>2025-참여연구자현황표(일반)</vt:lpstr>
      <vt:lpstr>2024-참여연구자현황표(일반)</vt:lpstr>
      <vt:lpstr>참여연구자현황표_4대보험 포함</vt:lpstr>
      <vt:lpstr>'2024-참여연구자현황표(일반)'!Print_Area</vt:lpstr>
      <vt:lpstr>'2025-참여연구자현황표(일반)'!Print_Area</vt:lpstr>
      <vt:lpstr>'보고서(참여)'!Print_Area</vt:lpstr>
      <vt:lpstr>'인건비소요명세서 변경비교표'!Print_Area</vt:lpstr>
      <vt:lpstr>작성방법!Print_Area</vt:lpstr>
      <vt:lpstr>'참여연구자현황표_4대보험 포함'!Print_Area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박 문식</cp:lastModifiedBy>
  <cp:lastPrinted>2021-10-13T06:00:42Z</cp:lastPrinted>
  <dcterms:created xsi:type="dcterms:W3CDTF">2019-01-09T09:30:11Z</dcterms:created>
  <dcterms:modified xsi:type="dcterms:W3CDTF">2025-04-25T07:31:34Z</dcterms:modified>
</cp:coreProperties>
</file>