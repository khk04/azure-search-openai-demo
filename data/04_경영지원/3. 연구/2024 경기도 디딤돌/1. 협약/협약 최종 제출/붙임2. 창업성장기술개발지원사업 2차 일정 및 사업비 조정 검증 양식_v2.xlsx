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fight\OneDrive\바탕 화면\젝사젠 주식회사\3. 연구\2024 경기도 디딤돌\1. 협약\협약 최종 제출\"/>
    </mc:Choice>
  </mc:AlternateContent>
  <xr:revisionPtr revIDLastSave="0" documentId="8_{0943EE3B-8438-4750-B3CD-7D335DA6268B}" xr6:coauthVersionLast="47" xr6:coauthVersionMax="47" xr10:uidLastSave="{00000000-0000-0000-0000-000000000000}"/>
  <workbookProtection workbookAlgorithmName="SHA-512" workbookHashValue="ykU+wIouYfBOeRH2PD+HKQ34Kjbmwn9IFJOxmheLdLmw18QMOR16mvne/YFWopiKPfYXQF5E4+dTzpSdvyIIlA==" workbookSaltValue="hue4Q2cB2zcOB8BjwzVh4Q==" workbookSpinCount="100000" lockStructure="1"/>
  <bookViews>
    <workbookView xWindow="-120" yWindow="-120" windowWidth="29040" windowHeight="15720" tabRatio="594" firstSheet="1" activeTab="1" xr2:uid="{00000000-000D-0000-FFFF-FFFF00000000}"/>
  </bookViews>
  <sheets>
    <sheet name="총괄(사업자번호 입력)" sheetId="20" r:id="rId1"/>
    <sheet name="1차년도" sheetId="11" r:id="rId2"/>
    <sheet name="2차년도" sheetId="22" r:id="rId3"/>
    <sheet name="Sheet2" sheetId="23" state="very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71" i="11" l="1"/>
  <c r="H52" i="11"/>
  <c r="AB62" i="11"/>
  <c r="AB69" i="22"/>
  <c r="AB70" i="22"/>
  <c r="AB68" i="22"/>
  <c r="AC62" i="22"/>
  <c r="AB69" i="11"/>
  <c r="AB70" i="11"/>
  <c r="AB68" i="11"/>
  <c r="AC62" i="11"/>
  <c r="F5" i="20"/>
  <c r="C5" i="20"/>
  <c r="F4" i="20"/>
  <c r="C4" i="20"/>
  <c r="D16" i="22" l="1"/>
  <c r="D16" i="11" l="1"/>
  <c r="L75" i="11" l="1"/>
  <c r="I75" i="11" s="1"/>
  <c r="AD75" i="11"/>
  <c r="AC187" i="22"/>
  <c r="AB187" i="22"/>
  <c r="J187" i="22"/>
  <c r="H187" i="22"/>
  <c r="H47" i="22" s="1"/>
  <c r="L47" i="22" s="1"/>
  <c r="AD186" i="22"/>
  <c r="L186" i="22"/>
  <c r="I186" i="22" s="1"/>
  <c r="AD185" i="22"/>
  <c r="L185" i="22"/>
  <c r="I185" i="22" s="1"/>
  <c r="AC184" i="22"/>
  <c r="AB184" i="22"/>
  <c r="L184" i="22"/>
  <c r="I184" i="22" s="1"/>
  <c r="AD183" i="22"/>
  <c r="AD182" i="22"/>
  <c r="L182" i="22"/>
  <c r="I182" i="22" s="1"/>
  <c r="AD181" i="22"/>
  <c r="L181" i="22"/>
  <c r="I181" i="22" s="1"/>
  <c r="AD180" i="22"/>
  <c r="L180" i="22"/>
  <c r="I180" i="22" s="1"/>
  <c r="AC179" i="22"/>
  <c r="AB179" i="22"/>
  <c r="AB188" i="22" s="1"/>
  <c r="L179" i="22"/>
  <c r="I179" i="22" s="1"/>
  <c r="AD178" i="22"/>
  <c r="L178" i="22"/>
  <c r="AD177" i="22"/>
  <c r="AD176" i="22"/>
  <c r="L176" i="22"/>
  <c r="AD175" i="22"/>
  <c r="L175" i="22"/>
  <c r="I175" i="22" s="1"/>
  <c r="AD174" i="22"/>
  <c r="L174" i="22"/>
  <c r="I174" i="22"/>
  <c r="AD173" i="22"/>
  <c r="L173" i="22"/>
  <c r="I173" i="22" s="1"/>
  <c r="AD172" i="22"/>
  <c r="L172" i="22"/>
  <c r="K172" i="22" s="1"/>
  <c r="AD171" i="22"/>
  <c r="L171" i="22"/>
  <c r="I171" i="22" s="1"/>
  <c r="K171" i="22"/>
  <c r="AD170" i="22"/>
  <c r="J170" i="22"/>
  <c r="J183" i="22" s="1"/>
  <c r="H170" i="22"/>
  <c r="AD169" i="22"/>
  <c r="L169" i="22"/>
  <c r="AD168" i="22"/>
  <c r="L168" i="22"/>
  <c r="AD167" i="22"/>
  <c r="L167" i="22"/>
  <c r="K167" i="22" s="1"/>
  <c r="L166" i="22"/>
  <c r="K166" i="22" s="1"/>
  <c r="D166" i="22"/>
  <c r="S167" i="22" s="1"/>
  <c r="AC161" i="22"/>
  <c r="AB161" i="22"/>
  <c r="J161" i="22"/>
  <c r="H161" i="22"/>
  <c r="AD160" i="22"/>
  <c r="AD161" i="22" s="1"/>
  <c r="L160" i="22"/>
  <c r="I160" i="22" s="1"/>
  <c r="AD159" i="22"/>
  <c r="L159" i="22"/>
  <c r="I159" i="22" s="1"/>
  <c r="AC158" i="22"/>
  <c r="AB158" i="22"/>
  <c r="L158" i="22"/>
  <c r="I158" i="22" s="1"/>
  <c r="AD157" i="22"/>
  <c r="J157" i="22"/>
  <c r="AD156" i="22"/>
  <c r="L156" i="22"/>
  <c r="I156" i="22" s="1"/>
  <c r="AD155" i="22"/>
  <c r="L155" i="22"/>
  <c r="I155" i="22" s="1"/>
  <c r="AD154" i="22"/>
  <c r="L154" i="22"/>
  <c r="I154" i="22" s="1"/>
  <c r="AC153" i="22"/>
  <c r="AB153" i="22"/>
  <c r="L153" i="22"/>
  <c r="I153" i="22" s="1"/>
  <c r="AD152" i="22"/>
  <c r="L152" i="22"/>
  <c r="AD151" i="22"/>
  <c r="AD150" i="22"/>
  <c r="L150" i="22"/>
  <c r="AD149" i="22"/>
  <c r="L149" i="22"/>
  <c r="I149" i="22" s="1"/>
  <c r="AD148" i="22"/>
  <c r="L148" i="22"/>
  <c r="I148" i="22" s="1"/>
  <c r="AD147" i="22"/>
  <c r="L147" i="22"/>
  <c r="I147" i="22" s="1"/>
  <c r="AD146" i="22"/>
  <c r="L146" i="22"/>
  <c r="K146" i="22" s="1"/>
  <c r="AD145" i="22"/>
  <c r="L145" i="22"/>
  <c r="I145" i="22" s="1"/>
  <c r="AD144" i="22"/>
  <c r="J144" i="22"/>
  <c r="H144" i="22"/>
  <c r="H45" i="22" s="1"/>
  <c r="L45" i="22" s="1"/>
  <c r="AD143" i="22"/>
  <c r="L143" i="22"/>
  <c r="AD142" i="22"/>
  <c r="L142" i="22"/>
  <c r="AD141" i="22"/>
  <c r="L141" i="22"/>
  <c r="K141" i="22" s="1"/>
  <c r="L140" i="22"/>
  <c r="K140" i="22"/>
  <c r="D140" i="22"/>
  <c r="S141" i="22" s="1"/>
  <c r="J135" i="22"/>
  <c r="H135" i="22"/>
  <c r="L134" i="22"/>
  <c r="I134" i="22" s="1"/>
  <c r="AC133" i="22"/>
  <c r="AB133" i="22"/>
  <c r="L133" i="22"/>
  <c r="AD132" i="22"/>
  <c r="L132" i="22"/>
  <c r="AD131" i="22"/>
  <c r="H131" i="22"/>
  <c r="AD130" i="22"/>
  <c r="L130" i="22"/>
  <c r="I130" i="22" s="1"/>
  <c r="AD129" i="22"/>
  <c r="L129" i="22"/>
  <c r="I129" i="22" s="1"/>
  <c r="AC128" i="22"/>
  <c r="AB128" i="22"/>
  <c r="AB134" i="22" s="1"/>
  <c r="L128" i="22"/>
  <c r="I128" i="22" s="1"/>
  <c r="AD127" i="22"/>
  <c r="L127" i="22"/>
  <c r="AD126" i="22"/>
  <c r="L126" i="22"/>
  <c r="I126" i="22" s="1"/>
  <c r="AD125" i="22"/>
  <c r="AD124" i="22"/>
  <c r="L124" i="22"/>
  <c r="I124" i="22"/>
  <c r="AD123" i="22"/>
  <c r="L123" i="22"/>
  <c r="AD122" i="22"/>
  <c r="L122" i="22"/>
  <c r="I122" i="22" s="1"/>
  <c r="AD121" i="22"/>
  <c r="L121" i="22"/>
  <c r="I121" i="22" s="1"/>
  <c r="AD120" i="22"/>
  <c r="L120" i="22"/>
  <c r="K120" i="22" s="1"/>
  <c r="AD119" i="22"/>
  <c r="L119" i="22"/>
  <c r="AD118" i="22"/>
  <c r="J118" i="22"/>
  <c r="J131" i="22" s="1"/>
  <c r="H118" i="22"/>
  <c r="AD117" i="22"/>
  <c r="L117" i="22"/>
  <c r="I117" i="22" s="1"/>
  <c r="AD116" i="22"/>
  <c r="S116" i="22"/>
  <c r="L116" i="22"/>
  <c r="K116" i="22" s="1"/>
  <c r="L115" i="22"/>
  <c r="K115" i="22" s="1"/>
  <c r="D115" i="22"/>
  <c r="J110" i="22"/>
  <c r="H110" i="22"/>
  <c r="L109" i="22"/>
  <c r="I109" i="22" s="1"/>
  <c r="AC108" i="22"/>
  <c r="AB108" i="22"/>
  <c r="L108" i="22"/>
  <c r="AD107" i="22"/>
  <c r="L107" i="22"/>
  <c r="I107" i="22" s="1"/>
  <c r="AD106" i="22"/>
  <c r="AD105" i="22"/>
  <c r="L105" i="22"/>
  <c r="I105" i="22" s="1"/>
  <c r="AD104" i="22"/>
  <c r="L104" i="22"/>
  <c r="AC103" i="22"/>
  <c r="AB103" i="22"/>
  <c r="I103" i="22"/>
  <c r="AD102" i="22"/>
  <c r="I102" i="22"/>
  <c r="AD101" i="22"/>
  <c r="I101" i="22"/>
  <c r="AD100" i="22"/>
  <c r="AD99" i="22"/>
  <c r="L99" i="22"/>
  <c r="AD98" i="22"/>
  <c r="L98" i="22"/>
  <c r="I98" i="22" s="1"/>
  <c r="AD97" i="22"/>
  <c r="I97" i="22"/>
  <c r="AD96" i="22"/>
  <c r="L96" i="22"/>
  <c r="I96" i="22" s="1"/>
  <c r="AD95" i="22"/>
  <c r="L95" i="22"/>
  <c r="I95" i="22" s="1"/>
  <c r="K95" i="22"/>
  <c r="AD94" i="22"/>
  <c r="L94" i="22"/>
  <c r="K94" i="22" s="1"/>
  <c r="AD93" i="22"/>
  <c r="J93" i="22"/>
  <c r="H93" i="22"/>
  <c r="H106" i="22" s="1"/>
  <c r="AD92" i="22"/>
  <c r="L92" i="22"/>
  <c r="K92" i="22" s="1"/>
  <c r="AD91" i="22"/>
  <c r="S91" i="22"/>
  <c r="L91" i="22"/>
  <c r="L90" i="22"/>
  <c r="K90" i="22" s="1"/>
  <c r="D90" i="22"/>
  <c r="H85" i="22"/>
  <c r="L84" i="22"/>
  <c r="L83" i="22"/>
  <c r="I83" i="22" s="1"/>
  <c r="L82" i="22"/>
  <c r="L81" i="22"/>
  <c r="I81" i="22" s="1"/>
  <c r="L80" i="22"/>
  <c r="I80" i="22" s="1"/>
  <c r="AC79" i="22"/>
  <c r="AB79" i="22"/>
  <c r="AD78" i="22"/>
  <c r="L78" i="22"/>
  <c r="I78" i="22" s="1"/>
  <c r="AD77" i="22"/>
  <c r="H77" i="22"/>
  <c r="L77" i="22" s="1"/>
  <c r="I77" i="22" s="1"/>
  <c r="AD76" i="22"/>
  <c r="L76" i="22"/>
  <c r="I76" i="22"/>
  <c r="AD75" i="22"/>
  <c r="L75" i="22"/>
  <c r="I75" i="22" s="1"/>
  <c r="AD74" i="22"/>
  <c r="L74" i="22"/>
  <c r="I74" i="22" s="1"/>
  <c r="AC73" i="22"/>
  <c r="AC80" i="22" s="1"/>
  <c r="AB73" i="22"/>
  <c r="AB80" i="22" s="1"/>
  <c r="L73" i="22"/>
  <c r="AD72" i="22"/>
  <c r="L72" i="22"/>
  <c r="I72" i="22"/>
  <c r="AD71" i="22"/>
  <c r="AD70" i="22"/>
  <c r="L70" i="22"/>
  <c r="I70" i="22" s="1"/>
  <c r="AD69" i="22"/>
  <c r="L69" i="22"/>
  <c r="I69" i="22" s="1"/>
  <c r="AD68" i="22"/>
  <c r="L68" i="22"/>
  <c r="AD67" i="22"/>
  <c r="L67" i="22"/>
  <c r="I67" i="22" s="1"/>
  <c r="L66" i="22"/>
  <c r="K66" i="22" s="1"/>
  <c r="AD65" i="22"/>
  <c r="L65" i="22"/>
  <c r="I65" i="22" s="1"/>
  <c r="AD64" i="22"/>
  <c r="J64" i="22"/>
  <c r="J79" i="22" s="1"/>
  <c r="J86" i="22" s="1"/>
  <c r="H64" i="22"/>
  <c r="AD63" i="22"/>
  <c r="L63" i="22"/>
  <c r="AD62" i="22"/>
  <c r="S62" i="22"/>
  <c r="L62" i="22"/>
  <c r="K62" i="22" s="1"/>
  <c r="L61" i="22"/>
  <c r="D61" i="22"/>
  <c r="H52" i="22"/>
  <c r="L52" i="22" s="1"/>
  <c r="I52" i="22" s="1"/>
  <c r="H51" i="22"/>
  <c r="L51" i="22" s="1"/>
  <c r="H50" i="22"/>
  <c r="J48" i="22"/>
  <c r="H44" i="22"/>
  <c r="L44" i="22" s="1"/>
  <c r="H42" i="22"/>
  <c r="L42" i="22" s="1"/>
  <c r="I42" i="22" s="1"/>
  <c r="H41" i="22"/>
  <c r="L41" i="22" s="1"/>
  <c r="L40" i="22"/>
  <c r="H40" i="22"/>
  <c r="H39" i="22"/>
  <c r="L39" i="22" s="1"/>
  <c r="H38" i="22"/>
  <c r="L38" i="22" s="1"/>
  <c r="I38" i="22" s="1"/>
  <c r="H37" i="22"/>
  <c r="L37" i="22" s="1"/>
  <c r="H36" i="22"/>
  <c r="L36" i="22" s="1"/>
  <c r="H35" i="22"/>
  <c r="L35" i="22" s="1"/>
  <c r="H34" i="22"/>
  <c r="L34" i="22" s="1"/>
  <c r="I34" i="22" s="1"/>
  <c r="J33" i="22"/>
  <c r="H33" i="22"/>
  <c r="L33" i="22" s="1"/>
  <c r="I33" i="22" s="1"/>
  <c r="J32" i="22"/>
  <c r="H32" i="22"/>
  <c r="J30" i="22"/>
  <c r="H30" i="22"/>
  <c r="J29" i="22"/>
  <c r="H29" i="22"/>
  <c r="J28" i="22"/>
  <c r="H28" i="22"/>
  <c r="H31" i="22" s="1"/>
  <c r="D28" i="22"/>
  <c r="G21" i="22"/>
  <c r="F21" i="22"/>
  <c r="E21" i="22"/>
  <c r="J20" i="22"/>
  <c r="H20" i="22"/>
  <c r="I20" i="22" s="1"/>
  <c r="J19" i="22"/>
  <c r="H19" i="22"/>
  <c r="I19" i="22" s="1"/>
  <c r="J18" i="22"/>
  <c r="H18" i="22"/>
  <c r="I18" i="22" s="1"/>
  <c r="J17" i="22"/>
  <c r="H17" i="22"/>
  <c r="I17" i="22" s="1"/>
  <c r="H16" i="22"/>
  <c r="I16" i="22" s="1"/>
  <c r="D28" i="11"/>
  <c r="C13" i="20"/>
  <c r="C12" i="20" s="1"/>
  <c r="C6" i="22" s="1"/>
  <c r="AB162" i="22" l="1"/>
  <c r="I167" i="22"/>
  <c r="AD179" i="22"/>
  <c r="L93" i="22"/>
  <c r="K93" i="22" s="1"/>
  <c r="AC134" i="22"/>
  <c r="I90" i="22"/>
  <c r="L135" i="22"/>
  <c r="N135" i="22" s="1"/>
  <c r="AD187" i="22"/>
  <c r="I36" i="22"/>
  <c r="AB109" i="22"/>
  <c r="K65" i="22"/>
  <c r="AD108" i="22"/>
  <c r="AD109" i="22" s="1"/>
  <c r="AD128" i="22"/>
  <c r="L29" i="22"/>
  <c r="I29" i="22" s="1"/>
  <c r="I40" i="22"/>
  <c r="H53" i="22"/>
  <c r="AD73" i="22"/>
  <c r="L161" i="22"/>
  <c r="I161" i="22" s="1"/>
  <c r="K135" i="22"/>
  <c r="O135" i="22"/>
  <c r="I21" i="22"/>
  <c r="L32" i="22"/>
  <c r="K32" i="22" s="1"/>
  <c r="I44" i="22"/>
  <c r="AD184" i="22"/>
  <c r="AD133" i="22"/>
  <c r="I141" i="22"/>
  <c r="AC162" i="22"/>
  <c r="K29" i="22"/>
  <c r="L187" i="22"/>
  <c r="I187" i="22" s="1"/>
  <c r="H21" i="22"/>
  <c r="K33" i="22"/>
  <c r="I62" i="22"/>
  <c r="AC109" i="22"/>
  <c r="K117" i="22"/>
  <c r="I120" i="22"/>
  <c r="AD153" i="22"/>
  <c r="K145" i="22"/>
  <c r="L30" i="22"/>
  <c r="K30" i="22" s="1"/>
  <c r="AD103" i="22"/>
  <c r="I94" i="22"/>
  <c r="I133" i="22"/>
  <c r="AC188" i="22"/>
  <c r="I115" i="22"/>
  <c r="AD79" i="22"/>
  <c r="AD80" i="22" s="1"/>
  <c r="I35" i="22"/>
  <c r="I51" i="22"/>
  <c r="AD158" i="22"/>
  <c r="G6" i="22"/>
  <c r="G22" i="22" s="1"/>
  <c r="E6" i="22"/>
  <c r="E22" i="22"/>
  <c r="L85" i="22"/>
  <c r="J31" i="22"/>
  <c r="L28" i="22"/>
  <c r="K28" i="22" s="1"/>
  <c r="N105" i="22"/>
  <c r="O105" i="22" s="1"/>
  <c r="J188" i="22"/>
  <c r="K63" i="22"/>
  <c r="I63" i="22"/>
  <c r="I108" i="22"/>
  <c r="J136" i="22"/>
  <c r="K61" i="22"/>
  <c r="I61" i="22"/>
  <c r="L64" i="22"/>
  <c r="I68" i="22"/>
  <c r="L110" i="22"/>
  <c r="H111" i="22"/>
  <c r="J106" i="22"/>
  <c r="I119" i="22"/>
  <c r="I143" i="22"/>
  <c r="I169" i="22"/>
  <c r="L31" i="22"/>
  <c r="L50" i="22"/>
  <c r="I66" i="22"/>
  <c r="H79" i="22"/>
  <c r="I92" i="22"/>
  <c r="K119" i="22"/>
  <c r="I127" i="22"/>
  <c r="M135" i="22"/>
  <c r="I140" i="22"/>
  <c r="K143" i="22"/>
  <c r="L144" i="22"/>
  <c r="N156" i="22" s="1"/>
  <c r="I146" i="22"/>
  <c r="I152" i="22"/>
  <c r="H157" i="22"/>
  <c r="J162" i="22"/>
  <c r="I166" i="22"/>
  <c r="K169" i="22"/>
  <c r="L170" i="22"/>
  <c r="I172" i="22"/>
  <c r="I178" i="22"/>
  <c r="H183" i="22"/>
  <c r="I91" i="22"/>
  <c r="I142" i="22"/>
  <c r="I168" i="22"/>
  <c r="I73" i="22"/>
  <c r="K91" i="22"/>
  <c r="I99" i="22"/>
  <c r="I104" i="22"/>
  <c r="I123" i="22"/>
  <c r="I132" i="22"/>
  <c r="H136" i="22"/>
  <c r="K142" i="22"/>
  <c r="I150" i="22"/>
  <c r="K168" i="22"/>
  <c r="I176" i="22"/>
  <c r="L118" i="22"/>
  <c r="K118" i="22" s="1"/>
  <c r="I135" i="22"/>
  <c r="H43" i="22"/>
  <c r="I37" i="22"/>
  <c r="I39" i="22"/>
  <c r="I41" i="22"/>
  <c r="I45" i="22"/>
  <c r="I47" i="22"/>
  <c r="I116" i="22"/>
  <c r="C11" i="20"/>
  <c r="C6" i="11" s="1"/>
  <c r="G6" i="11" s="1"/>
  <c r="E13" i="20"/>
  <c r="G13" i="20"/>
  <c r="I32" i="22" l="1"/>
  <c r="I85" i="22"/>
  <c r="N85" i="22"/>
  <c r="I110" i="22"/>
  <c r="N110" i="22"/>
  <c r="I64" i="22"/>
  <c r="N78" i="22"/>
  <c r="O78" i="22" s="1"/>
  <c r="AD188" i="22"/>
  <c r="H14" i="20"/>
  <c r="I93" i="22"/>
  <c r="AD134" i="22"/>
  <c r="L106" i="22"/>
  <c r="I106" i="22" s="1"/>
  <c r="I28" i="22"/>
  <c r="M85" i="22"/>
  <c r="K161" i="22"/>
  <c r="O85" i="22"/>
  <c r="H7" i="22"/>
  <c r="AD162" i="22"/>
  <c r="I30" i="22"/>
  <c r="K187" i="22"/>
  <c r="E6" i="11"/>
  <c r="K6" i="22"/>
  <c r="F22" i="22"/>
  <c r="F6" i="22"/>
  <c r="G7" i="22" s="1"/>
  <c r="H6" i="22"/>
  <c r="I6" i="22"/>
  <c r="N182" i="22"/>
  <c r="O182" i="22" s="1"/>
  <c r="L183" i="22"/>
  <c r="I183" i="22" s="1"/>
  <c r="K170" i="22"/>
  <c r="H188" i="22"/>
  <c r="H162" i="22"/>
  <c r="H46" i="22"/>
  <c r="H86" i="22"/>
  <c r="O156" i="22"/>
  <c r="L157" i="22"/>
  <c r="I157" i="22" s="1"/>
  <c r="K144" i="22"/>
  <c r="L79" i="22"/>
  <c r="I79" i="22" s="1"/>
  <c r="K64" i="22"/>
  <c r="O110" i="22"/>
  <c r="K110" i="22"/>
  <c r="M110" i="22"/>
  <c r="I31" i="22"/>
  <c r="J111" i="22"/>
  <c r="J49" i="22"/>
  <c r="K31" i="22"/>
  <c r="L53" i="22"/>
  <c r="I50" i="22"/>
  <c r="I144" i="22"/>
  <c r="L43" i="22"/>
  <c r="I170" i="22"/>
  <c r="N130" i="22"/>
  <c r="O130" i="22" s="1"/>
  <c r="I118" i="22"/>
  <c r="L131" i="22"/>
  <c r="K13" i="20"/>
  <c r="G12" i="20"/>
  <c r="K12" i="20" s="1"/>
  <c r="G11" i="20"/>
  <c r="K11" i="20" s="1"/>
  <c r="E12" i="20"/>
  <c r="E11" i="20"/>
  <c r="I11" i="20" s="1"/>
  <c r="H13" i="20"/>
  <c r="F13" i="20"/>
  <c r="G14" i="20" s="1"/>
  <c r="I13" i="20"/>
  <c r="N97" i="22" l="1"/>
  <c r="O97" i="22" s="1"/>
  <c r="L111" i="22"/>
  <c r="M107" i="22" s="1"/>
  <c r="K106" i="22"/>
  <c r="M6" i="22"/>
  <c r="F7" i="22" s="1"/>
  <c r="L136" i="22"/>
  <c r="K131" i="22"/>
  <c r="N122" i="22"/>
  <c r="O122" i="22" s="1"/>
  <c r="I131" i="22"/>
  <c r="N148" i="22"/>
  <c r="O148" i="22" s="1"/>
  <c r="L162" i="22"/>
  <c r="I162" i="22" s="1"/>
  <c r="K157" i="22"/>
  <c r="I43" i="22"/>
  <c r="J54" i="22"/>
  <c r="M117" i="22"/>
  <c r="M124" i="22"/>
  <c r="M103" i="22"/>
  <c r="M101" i="22"/>
  <c r="M121" i="22"/>
  <c r="M96" i="22"/>
  <c r="M104" i="22"/>
  <c r="M93" i="22"/>
  <c r="I53" i="22"/>
  <c r="L46" i="22"/>
  <c r="I46" i="22" s="1"/>
  <c r="H48" i="22"/>
  <c r="L86" i="22"/>
  <c r="N68" i="22"/>
  <c r="O68" i="22" s="1"/>
  <c r="K79" i="22"/>
  <c r="N174" i="22"/>
  <c r="O174" i="22" s="1"/>
  <c r="L188" i="22"/>
  <c r="K183" i="22"/>
  <c r="M11" i="20"/>
  <c r="H11" i="20"/>
  <c r="F11" i="20"/>
  <c r="H12" i="20"/>
  <c r="F12" i="20"/>
  <c r="I12" i="20"/>
  <c r="M13" i="20"/>
  <c r="H42" i="11"/>
  <c r="H39" i="11"/>
  <c r="H38" i="11"/>
  <c r="L38" i="11" s="1"/>
  <c r="I38" i="11" s="1"/>
  <c r="H40" i="11"/>
  <c r="I86" i="22" l="1"/>
  <c r="J16" i="22"/>
  <c r="M118" i="22"/>
  <c r="J13" i="20"/>
  <c r="F14" i="20"/>
  <c r="M130" i="22"/>
  <c r="M123" i="22"/>
  <c r="M98" i="22"/>
  <c r="M133" i="22"/>
  <c r="M126" i="22"/>
  <c r="M132" i="22"/>
  <c r="M92" i="22"/>
  <c r="M94" i="22"/>
  <c r="M97" i="22"/>
  <c r="M128" i="22"/>
  <c r="M95" i="22"/>
  <c r="M131" i="22"/>
  <c r="M127" i="22"/>
  <c r="M116" i="22"/>
  <c r="M111" i="22"/>
  <c r="M102" i="22"/>
  <c r="M136" i="22"/>
  <c r="M99" i="22"/>
  <c r="M109" i="22"/>
  <c r="M120" i="22"/>
  <c r="M115" i="22"/>
  <c r="M91" i="22"/>
  <c r="M90" i="22"/>
  <c r="M122" i="22"/>
  <c r="M129" i="22"/>
  <c r="M106" i="22"/>
  <c r="M108" i="22"/>
  <c r="M119" i="22"/>
  <c r="M105" i="22"/>
  <c r="M134" i="22"/>
  <c r="D6" i="22"/>
  <c r="L6" i="22"/>
  <c r="J6" i="22"/>
  <c r="M79" i="22"/>
  <c r="L48" i="22"/>
  <c r="H49" i="22"/>
  <c r="M157" i="22"/>
  <c r="M183" i="22"/>
  <c r="M188" i="22"/>
  <c r="K188" i="22"/>
  <c r="M179" i="22"/>
  <c r="M171" i="22"/>
  <c r="M153" i="22"/>
  <c r="M145" i="22"/>
  <c r="M182" i="22"/>
  <c r="M180" i="22"/>
  <c r="M156" i="22"/>
  <c r="M154" i="22"/>
  <c r="M162" i="22"/>
  <c r="M184" i="22"/>
  <c r="M175" i="22"/>
  <c r="M158" i="22"/>
  <c r="M149" i="22"/>
  <c r="M185" i="22"/>
  <c r="M173" i="22"/>
  <c r="M167" i="22"/>
  <c r="M159" i="22"/>
  <c r="M147" i="22"/>
  <c r="M141" i="22"/>
  <c r="M174" i="22"/>
  <c r="M169" i="22"/>
  <c r="M161" i="22"/>
  <c r="M176" i="22"/>
  <c r="M150" i="22"/>
  <c r="M187" i="22"/>
  <c r="M168" i="22"/>
  <c r="M160" i="22"/>
  <c r="M146" i="22"/>
  <c r="M143" i="22"/>
  <c r="M142" i="22"/>
  <c r="M155" i="22"/>
  <c r="M181" i="22"/>
  <c r="M178" i="22"/>
  <c r="M172" i="22"/>
  <c r="M186" i="22"/>
  <c r="M140" i="22"/>
  <c r="M148" i="22"/>
  <c r="M152" i="22"/>
  <c r="M166" i="22"/>
  <c r="K162" i="22"/>
  <c r="M144" i="22"/>
  <c r="M170" i="22"/>
  <c r="M83" i="22"/>
  <c r="M67" i="22"/>
  <c r="M65" i="22"/>
  <c r="M86" i="22"/>
  <c r="M78" i="22"/>
  <c r="M70" i="22"/>
  <c r="M62" i="22"/>
  <c r="M75" i="22"/>
  <c r="M81" i="22"/>
  <c r="M72" i="22"/>
  <c r="M84" i="22"/>
  <c r="M66" i="22"/>
  <c r="M74" i="22"/>
  <c r="M73" i="22"/>
  <c r="M68" i="22"/>
  <c r="M69" i="22"/>
  <c r="M77" i="22"/>
  <c r="M80" i="22"/>
  <c r="K86" i="22"/>
  <c r="M76" i="22"/>
  <c r="M82" i="22"/>
  <c r="M63" i="22"/>
  <c r="M61" i="22"/>
  <c r="M64" i="22"/>
  <c r="I188" i="22"/>
  <c r="J11" i="20"/>
  <c r="D11" i="20"/>
  <c r="L11" i="20"/>
  <c r="M12" i="20"/>
  <c r="J12" i="20" s="1"/>
  <c r="D13" i="20"/>
  <c r="L13" i="20"/>
  <c r="AD177" i="11"/>
  <c r="AD151" i="11"/>
  <c r="AD125" i="11"/>
  <c r="AD100" i="11"/>
  <c r="AD71" i="11"/>
  <c r="K48" i="22" l="1"/>
  <c r="H54" i="22"/>
  <c r="L49" i="22"/>
  <c r="I49" i="22" s="1"/>
  <c r="I48" i="22"/>
  <c r="D12" i="20"/>
  <c r="L12" i="20"/>
  <c r="AC187" i="11"/>
  <c r="AB187" i="11"/>
  <c r="J187" i="11"/>
  <c r="H187" i="11"/>
  <c r="AD186" i="11"/>
  <c r="L186" i="11"/>
  <c r="I186" i="11" s="1"/>
  <c r="AD185" i="11"/>
  <c r="L185" i="11"/>
  <c r="I185" i="11" s="1"/>
  <c r="AC184" i="11"/>
  <c r="AB184" i="11"/>
  <c r="L184" i="11"/>
  <c r="I184" i="11" s="1"/>
  <c r="AD183" i="11"/>
  <c r="AD182" i="11"/>
  <c r="L182" i="11"/>
  <c r="I182" i="11" s="1"/>
  <c r="AD181" i="11"/>
  <c r="L181" i="11"/>
  <c r="AD180" i="11"/>
  <c r="L180" i="11"/>
  <c r="I180" i="11" s="1"/>
  <c r="AC179" i="11"/>
  <c r="AB179" i="11"/>
  <c r="L179" i="11"/>
  <c r="I179" i="11" s="1"/>
  <c r="AD178" i="11"/>
  <c r="L178" i="11"/>
  <c r="I178" i="11" s="1"/>
  <c r="AD176" i="11"/>
  <c r="L176" i="11"/>
  <c r="AD175" i="11"/>
  <c r="L175" i="11"/>
  <c r="I175" i="11" s="1"/>
  <c r="AD174" i="11"/>
  <c r="L174" i="11"/>
  <c r="I174" i="11" s="1"/>
  <c r="AD173" i="11"/>
  <c r="L173" i="11"/>
  <c r="I173" i="11" s="1"/>
  <c r="AD172" i="11"/>
  <c r="L172" i="11"/>
  <c r="K172" i="11" s="1"/>
  <c r="AD171" i="11"/>
  <c r="L171" i="11"/>
  <c r="K171" i="11" s="1"/>
  <c r="AD170" i="11"/>
  <c r="J170" i="11"/>
  <c r="J183" i="11" s="1"/>
  <c r="H170" i="11"/>
  <c r="H183" i="11" s="1"/>
  <c r="AD169" i="11"/>
  <c r="L169" i="11"/>
  <c r="K169" i="11" s="1"/>
  <c r="AD168" i="11"/>
  <c r="L168" i="11"/>
  <c r="AD167" i="11"/>
  <c r="L167" i="11"/>
  <c r="L166" i="11"/>
  <c r="I166" i="11" s="1"/>
  <c r="D166" i="11"/>
  <c r="S167" i="11" s="1"/>
  <c r="AC161" i="11"/>
  <c r="AB161" i="11"/>
  <c r="J161" i="11"/>
  <c r="H161" i="11"/>
  <c r="AD160" i="11"/>
  <c r="L160" i="11"/>
  <c r="I160" i="11" s="1"/>
  <c r="AD159" i="11"/>
  <c r="L159" i="11"/>
  <c r="AC158" i="11"/>
  <c r="AB158" i="11"/>
  <c r="L158" i="11"/>
  <c r="I158" i="11" s="1"/>
  <c r="AD157" i="11"/>
  <c r="AD156" i="11"/>
  <c r="L156" i="11"/>
  <c r="I156" i="11" s="1"/>
  <c r="AD155" i="11"/>
  <c r="L155" i="11"/>
  <c r="I155" i="11" s="1"/>
  <c r="AD154" i="11"/>
  <c r="L154" i="11"/>
  <c r="AC153" i="11"/>
  <c r="AB153" i="11"/>
  <c r="L153" i="11"/>
  <c r="I153" i="11" s="1"/>
  <c r="AD152" i="11"/>
  <c r="L152" i="11"/>
  <c r="I152" i="11" s="1"/>
  <c r="AD150" i="11"/>
  <c r="L150" i="11"/>
  <c r="I150" i="11" s="1"/>
  <c r="AD149" i="11"/>
  <c r="L149" i="11"/>
  <c r="AD148" i="11"/>
  <c r="L148" i="11"/>
  <c r="AD147" i="11"/>
  <c r="L147" i="11"/>
  <c r="I147" i="11" s="1"/>
  <c r="AD146" i="11"/>
  <c r="L146" i="11"/>
  <c r="I146" i="11" s="1"/>
  <c r="AD145" i="11"/>
  <c r="L145" i="11"/>
  <c r="I145" i="11" s="1"/>
  <c r="AD144" i="11"/>
  <c r="J144" i="11"/>
  <c r="J157" i="11" s="1"/>
  <c r="H144" i="11"/>
  <c r="H157" i="11" s="1"/>
  <c r="AD143" i="11"/>
  <c r="L143" i="11"/>
  <c r="K143" i="11" s="1"/>
  <c r="AD142" i="11"/>
  <c r="L142" i="11"/>
  <c r="K142" i="11" s="1"/>
  <c r="AD141" i="11"/>
  <c r="L141" i="11"/>
  <c r="I141" i="11" s="1"/>
  <c r="L140" i="11"/>
  <c r="K140" i="11" s="1"/>
  <c r="D140" i="11"/>
  <c r="S141" i="11" s="1"/>
  <c r="J135" i="11"/>
  <c r="H135" i="11"/>
  <c r="L134" i="11"/>
  <c r="I134" i="11" s="1"/>
  <c r="AC133" i="11"/>
  <c r="AB133" i="11"/>
  <c r="L133" i="11"/>
  <c r="I133" i="11" s="1"/>
  <c r="AD132" i="11"/>
  <c r="L132" i="11"/>
  <c r="AD131" i="11"/>
  <c r="AD130" i="11"/>
  <c r="L130" i="11"/>
  <c r="AD129" i="11"/>
  <c r="L129" i="11"/>
  <c r="I129" i="11" s="1"/>
  <c r="AC128" i="11"/>
  <c r="AB128" i="11"/>
  <c r="L128" i="11"/>
  <c r="I128" i="11" s="1"/>
  <c r="AD127" i="11"/>
  <c r="L127" i="11"/>
  <c r="I127" i="11" s="1"/>
  <c r="AD126" i="11"/>
  <c r="L126" i="11"/>
  <c r="AD124" i="11"/>
  <c r="L124" i="11"/>
  <c r="I124" i="11" s="1"/>
  <c r="AD123" i="11"/>
  <c r="L123" i="11"/>
  <c r="I123" i="11" s="1"/>
  <c r="AD122" i="11"/>
  <c r="L122" i="11"/>
  <c r="I122" i="11" s="1"/>
  <c r="AD121" i="11"/>
  <c r="L121" i="11"/>
  <c r="I121" i="11" s="1"/>
  <c r="AD120" i="11"/>
  <c r="L120" i="11"/>
  <c r="AD119" i="11"/>
  <c r="L119" i="11"/>
  <c r="I119" i="11" s="1"/>
  <c r="AD118" i="11"/>
  <c r="J118" i="11"/>
  <c r="J131" i="11" s="1"/>
  <c r="H118" i="11"/>
  <c r="H131" i="11" s="1"/>
  <c r="AD117" i="11"/>
  <c r="L117" i="11"/>
  <c r="I117" i="11" s="1"/>
  <c r="AD116" i="11"/>
  <c r="S116" i="11"/>
  <c r="L116" i="11"/>
  <c r="I116" i="11" s="1"/>
  <c r="L115" i="11"/>
  <c r="K115" i="11" s="1"/>
  <c r="D115" i="11"/>
  <c r="J110" i="11"/>
  <c r="H110" i="11"/>
  <c r="L109" i="11"/>
  <c r="AC108" i="11"/>
  <c r="AB108" i="11"/>
  <c r="L108" i="11"/>
  <c r="AD107" i="11"/>
  <c r="L107" i="11"/>
  <c r="I107" i="11" s="1"/>
  <c r="AD106" i="11"/>
  <c r="AD105" i="11"/>
  <c r="L105" i="11"/>
  <c r="I105" i="11" s="1"/>
  <c r="AD104" i="11"/>
  <c r="L104" i="11"/>
  <c r="I104" i="11" s="1"/>
  <c r="AC103" i="11"/>
  <c r="AB103" i="11"/>
  <c r="I103" i="11"/>
  <c r="AD102" i="11"/>
  <c r="I102" i="11"/>
  <c r="AD101" i="11"/>
  <c r="I101" i="11"/>
  <c r="AD99" i="11"/>
  <c r="L99" i="11"/>
  <c r="AD98" i="11"/>
  <c r="L98" i="11"/>
  <c r="I98" i="11" s="1"/>
  <c r="AD97" i="11"/>
  <c r="I97" i="11"/>
  <c r="AD96" i="11"/>
  <c r="L96" i="11"/>
  <c r="I96" i="11" s="1"/>
  <c r="AD95" i="11"/>
  <c r="L95" i="11"/>
  <c r="K95" i="11" s="1"/>
  <c r="AD94" i="11"/>
  <c r="L94" i="11"/>
  <c r="AD93" i="11"/>
  <c r="J93" i="11"/>
  <c r="J106" i="11" s="1"/>
  <c r="H93" i="11"/>
  <c r="H106" i="11" s="1"/>
  <c r="AD92" i="11"/>
  <c r="L92" i="11"/>
  <c r="AD91" i="11"/>
  <c r="S91" i="11"/>
  <c r="L91" i="11"/>
  <c r="L90" i="11"/>
  <c r="K90" i="11" s="1"/>
  <c r="D90" i="11"/>
  <c r="H85" i="11"/>
  <c r="L84" i="11"/>
  <c r="L83" i="11"/>
  <c r="I83" i="11" s="1"/>
  <c r="L82" i="11"/>
  <c r="L81" i="11"/>
  <c r="I81" i="11" s="1"/>
  <c r="L80" i="11"/>
  <c r="I80" i="11" s="1"/>
  <c r="AC79" i="11"/>
  <c r="AB79" i="11"/>
  <c r="AD78" i="11"/>
  <c r="L78" i="11"/>
  <c r="I78" i="11" s="1"/>
  <c r="AD77" i="11"/>
  <c r="H77" i="11"/>
  <c r="L77" i="11" s="1"/>
  <c r="AD76" i="11"/>
  <c r="L76" i="11"/>
  <c r="I76" i="11" s="1"/>
  <c r="AD74" i="11"/>
  <c r="L74" i="11"/>
  <c r="I74" i="11" s="1"/>
  <c r="AC73" i="11"/>
  <c r="AB73" i="11"/>
  <c r="L73" i="11"/>
  <c r="I73" i="11" s="1"/>
  <c r="AD72" i="11"/>
  <c r="L72" i="11"/>
  <c r="I72" i="11" s="1"/>
  <c r="AD70" i="11"/>
  <c r="L70" i="11"/>
  <c r="I70" i="11" s="1"/>
  <c r="AD69" i="11"/>
  <c r="L69" i="11"/>
  <c r="I69" i="11" s="1"/>
  <c r="AD68" i="11"/>
  <c r="L68" i="11"/>
  <c r="AD67" i="11"/>
  <c r="L67" i="11"/>
  <c r="I67" i="11" s="1"/>
  <c r="L66" i="11"/>
  <c r="K66" i="11" s="1"/>
  <c r="AD65" i="11"/>
  <c r="L65" i="11"/>
  <c r="K65" i="11" s="1"/>
  <c r="AD64" i="11"/>
  <c r="J64" i="11"/>
  <c r="J79" i="11" s="1"/>
  <c r="H64" i="11"/>
  <c r="AD63" i="11"/>
  <c r="L63" i="11"/>
  <c r="K63" i="11" s="1"/>
  <c r="AD62" i="11"/>
  <c r="L62" i="11"/>
  <c r="K62" i="11" s="1"/>
  <c r="L61" i="11"/>
  <c r="K61" i="11" s="1"/>
  <c r="L52" i="11"/>
  <c r="H51" i="11"/>
  <c r="H50" i="11"/>
  <c r="L50" i="11" s="1"/>
  <c r="J48" i="11"/>
  <c r="H44" i="11"/>
  <c r="L44" i="11" s="1"/>
  <c r="L42" i="11"/>
  <c r="H41" i="11"/>
  <c r="L41" i="11" s="1"/>
  <c r="L40" i="11"/>
  <c r="L39" i="11"/>
  <c r="H37" i="11"/>
  <c r="L37" i="11" s="1"/>
  <c r="H36" i="11"/>
  <c r="L36" i="11" s="1"/>
  <c r="H35" i="11"/>
  <c r="L35" i="11" s="1"/>
  <c r="H34" i="11"/>
  <c r="J33" i="11"/>
  <c r="H33" i="11"/>
  <c r="J32" i="11"/>
  <c r="H32" i="11"/>
  <c r="J30" i="11"/>
  <c r="H30" i="11"/>
  <c r="J29" i="11"/>
  <c r="H29" i="11"/>
  <c r="J28" i="11"/>
  <c r="H28" i="11"/>
  <c r="G21" i="11"/>
  <c r="G22" i="11" s="1"/>
  <c r="F21" i="11"/>
  <c r="F22" i="11" s="1"/>
  <c r="E21" i="11"/>
  <c r="J20" i="11"/>
  <c r="H20" i="11"/>
  <c r="I20" i="11" s="1"/>
  <c r="J19" i="11"/>
  <c r="H19" i="11"/>
  <c r="I19" i="11" s="1"/>
  <c r="J18" i="11"/>
  <c r="H18" i="11"/>
  <c r="I18" i="11" s="1"/>
  <c r="J17" i="11"/>
  <c r="H17" i="11"/>
  <c r="I17" i="11" s="1"/>
  <c r="H16" i="11"/>
  <c r="I16" i="11" s="1"/>
  <c r="K6" i="11"/>
  <c r="H6" i="11"/>
  <c r="F6" i="11"/>
  <c r="G7" i="11" s="1"/>
  <c r="I68" i="11" l="1"/>
  <c r="N48" i="22"/>
  <c r="O48" i="22" s="1"/>
  <c r="H47" i="11"/>
  <c r="L47" i="11" s="1"/>
  <c r="L54" i="22"/>
  <c r="I54" i="22" s="1"/>
  <c r="N35" i="22"/>
  <c r="O35" i="22" s="1"/>
  <c r="K49" i="22"/>
  <c r="E22" i="11"/>
  <c r="L30" i="11"/>
  <c r="K30" i="11" s="1"/>
  <c r="AC134" i="11"/>
  <c r="K141" i="11"/>
  <c r="K166" i="11"/>
  <c r="K146" i="11"/>
  <c r="AD184" i="11"/>
  <c r="H111" i="11"/>
  <c r="AB134" i="11"/>
  <c r="L32" i="11"/>
  <c r="I32" i="11" s="1"/>
  <c r="H43" i="11"/>
  <c r="L43" i="11" s="1"/>
  <c r="I43" i="11" s="1"/>
  <c r="AD73" i="11"/>
  <c r="H21" i="11"/>
  <c r="AB80" i="11"/>
  <c r="AB109" i="11"/>
  <c r="L135" i="11"/>
  <c r="N135" i="11" s="1"/>
  <c r="O135" i="11" s="1"/>
  <c r="K145" i="11"/>
  <c r="AC80" i="11"/>
  <c r="AC109" i="11"/>
  <c r="AD103" i="11"/>
  <c r="J111" i="11"/>
  <c r="I95" i="11"/>
  <c r="K116" i="11"/>
  <c r="AD158" i="11"/>
  <c r="H31" i="11"/>
  <c r="I90" i="11"/>
  <c r="AC188" i="11"/>
  <c r="AD187" i="11"/>
  <c r="I143" i="11"/>
  <c r="AD128" i="11"/>
  <c r="AD133" i="11"/>
  <c r="H45" i="11"/>
  <c r="L45" i="11" s="1"/>
  <c r="L85" i="11"/>
  <c r="K119" i="11"/>
  <c r="AB162" i="11"/>
  <c r="L161" i="11"/>
  <c r="I161" i="11" s="1"/>
  <c r="I172" i="11"/>
  <c r="AB188" i="11"/>
  <c r="I21" i="11"/>
  <c r="AD153" i="11"/>
  <c r="AC162" i="11"/>
  <c r="AD161" i="11"/>
  <c r="I169" i="11"/>
  <c r="J31" i="11"/>
  <c r="I66" i="11"/>
  <c r="AD179" i="11"/>
  <c r="AD108" i="11"/>
  <c r="I140" i="11"/>
  <c r="I171" i="11"/>
  <c r="AD79" i="11"/>
  <c r="H79" i="11"/>
  <c r="H86" i="11" s="1"/>
  <c r="L110" i="11"/>
  <c r="N110" i="11" s="1"/>
  <c r="O110" i="11" s="1"/>
  <c r="I115" i="11"/>
  <c r="L118" i="11"/>
  <c r="N130" i="11" s="1"/>
  <c r="O130" i="11" s="1"/>
  <c r="I142" i="11"/>
  <c r="L29" i="11"/>
  <c r="I29" i="11" s="1"/>
  <c r="L33" i="11"/>
  <c r="I33" i="11" s="1"/>
  <c r="H53" i="11"/>
  <c r="L93" i="11"/>
  <c r="N105" i="11" s="1"/>
  <c r="K117" i="11"/>
  <c r="I132" i="11"/>
  <c r="H188" i="11"/>
  <c r="J188" i="11"/>
  <c r="H46" i="11"/>
  <c r="J162" i="11"/>
  <c r="J86" i="11"/>
  <c r="H136" i="11"/>
  <c r="S62" i="11"/>
  <c r="D61" i="11"/>
  <c r="J136" i="11"/>
  <c r="I6" i="11"/>
  <c r="L34" i="11"/>
  <c r="L51" i="11"/>
  <c r="L53" i="11" s="1"/>
  <c r="L64" i="11"/>
  <c r="N78" i="11" s="1"/>
  <c r="O78" i="11" s="1"/>
  <c r="L187" i="11"/>
  <c r="I187" i="11" s="1"/>
  <c r="H7" i="11"/>
  <c r="I36" i="11"/>
  <c r="I39" i="11"/>
  <c r="I41" i="11"/>
  <c r="I47" i="11"/>
  <c r="I61" i="11"/>
  <c r="I77" i="11"/>
  <c r="I91" i="11"/>
  <c r="I92" i="11"/>
  <c r="I94" i="11"/>
  <c r="I120" i="11"/>
  <c r="L144" i="11"/>
  <c r="I167" i="11"/>
  <c r="I168" i="11"/>
  <c r="I35" i="11"/>
  <c r="I50" i="11"/>
  <c r="I52" i="11"/>
  <c r="K91" i="11"/>
  <c r="K92" i="11"/>
  <c r="K94" i="11"/>
  <c r="I99" i="11"/>
  <c r="I109" i="11"/>
  <c r="K120" i="11"/>
  <c r="I126" i="11"/>
  <c r="I130" i="11"/>
  <c r="I148" i="11"/>
  <c r="I149" i="11"/>
  <c r="I154" i="11"/>
  <c r="H162" i="11"/>
  <c r="K167" i="11"/>
  <c r="K168" i="11"/>
  <c r="I176" i="11"/>
  <c r="I181" i="11"/>
  <c r="L170" i="11"/>
  <c r="I37" i="11"/>
  <c r="I40" i="11"/>
  <c r="I42" i="11"/>
  <c r="I44" i="11"/>
  <c r="I62" i="11"/>
  <c r="I63" i="11"/>
  <c r="I65" i="11"/>
  <c r="I108" i="11"/>
  <c r="L28" i="11"/>
  <c r="K28" i="11" s="1"/>
  <c r="I159" i="11"/>
  <c r="I85" i="11" l="1"/>
  <c r="N85" i="11"/>
  <c r="O85" i="11" s="1"/>
  <c r="M49" i="22"/>
  <c r="M54" i="22"/>
  <c r="M34" i="22"/>
  <c r="M37" i="22"/>
  <c r="M39" i="22"/>
  <c r="M40" i="22"/>
  <c r="M47" i="22"/>
  <c r="J21" i="22"/>
  <c r="M32" i="22"/>
  <c r="M52" i="22"/>
  <c r="M38" i="22"/>
  <c r="M51" i="22"/>
  <c r="M30" i="22"/>
  <c r="M45" i="22"/>
  <c r="M42" i="22"/>
  <c r="M29" i="22"/>
  <c r="M36" i="22"/>
  <c r="M44" i="22"/>
  <c r="M35" i="22"/>
  <c r="M41" i="22"/>
  <c r="M33" i="22"/>
  <c r="M28" i="22"/>
  <c r="M50" i="22"/>
  <c r="M31" i="22"/>
  <c r="M53" i="22"/>
  <c r="M43" i="22"/>
  <c r="M46" i="22"/>
  <c r="K54" i="22"/>
  <c r="M48" i="22"/>
  <c r="K32" i="11"/>
  <c r="I30" i="11"/>
  <c r="AD188" i="11"/>
  <c r="I110" i="11"/>
  <c r="M110" i="11"/>
  <c r="K135" i="11"/>
  <c r="M135" i="11"/>
  <c r="I93" i="11"/>
  <c r="I64" i="11"/>
  <c r="M85" i="11"/>
  <c r="L31" i="11"/>
  <c r="I31" i="11" s="1"/>
  <c r="K161" i="11"/>
  <c r="J49" i="11"/>
  <c r="J54" i="11" s="1"/>
  <c r="K33" i="11"/>
  <c r="O105" i="11"/>
  <c r="I118" i="11"/>
  <c r="I135" i="11"/>
  <c r="I53" i="11"/>
  <c r="K110" i="11"/>
  <c r="AD80" i="11"/>
  <c r="I45" i="11"/>
  <c r="AD109" i="11"/>
  <c r="L106" i="11"/>
  <c r="N97" i="11" s="1"/>
  <c r="K93" i="11"/>
  <c r="AD134" i="11"/>
  <c r="L131" i="11"/>
  <c r="K118" i="11"/>
  <c r="K29" i="11"/>
  <c r="AD162" i="11"/>
  <c r="L183" i="11"/>
  <c r="N182" i="11"/>
  <c r="O182" i="11" s="1"/>
  <c r="K170" i="11"/>
  <c r="L157" i="11"/>
  <c r="N156" i="11"/>
  <c r="O156" i="11" s="1"/>
  <c r="I144" i="11"/>
  <c r="K144" i="11"/>
  <c r="I51" i="11"/>
  <c r="I34" i="11"/>
  <c r="K187" i="11"/>
  <c r="M6" i="11"/>
  <c r="J6" i="11" s="1"/>
  <c r="L79" i="11"/>
  <c r="N68" i="11" s="1"/>
  <c r="O68" i="11" s="1"/>
  <c r="K64" i="11"/>
  <c r="I28" i="11"/>
  <c r="L46" i="11"/>
  <c r="I46" i="11" s="1"/>
  <c r="H48" i="11"/>
  <c r="I170" i="11"/>
  <c r="K106" i="11" l="1"/>
  <c r="O97" i="11"/>
  <c r="K31" i="11"/>
  <c r="I106" i="11"/>
  <c r="L111" i="11"/>
  <c r="M106" i="11" s="1"/>
  <c r="L136" i="11"/>
  <c r="N122" i="11"/>
  <c r="O122" i="11" s="1"/>
  <c r="K131" i="11"/>
  <c r="I131" i="11"/>
  <c r="L86" i="11"/>
  <c r="M75" i="11" s="1"/>
  <c r="K79" i="11"/>
  <c r="I79" i="11"/>
  <c r="L162" i="11"/>
  <c r="M183" i="11" s="1"/>
  <c r="I157" i="11"/>
  <c r="K157" i="11"/>
  <c r="N148" i="11"/>
  <c r="O148" i="11" s="1"/>
  <c r="L48" i="11"/>
  <c r="H49" i="11"/>
  <c r="F7" i="11"/>
  <c r="L6" i="11"/>
  <c r="D6" i="11"/>
  <c r="L188" i="11"/>
  <c r="N174" i="11"/>
  <c r="O174" i="11" s="1"/>
  <c r="I183" i="11"/>
  <c r="K183" i="11"/>
  <c r="M115" i="11" l="1"/>
  <c r="M132" i="11"/>
  <c r="M99" i="11"/>
  <c r="M97" i="11"/>
  <c r="M94" i="11"/>
  <c r="M103" i="11"/>
  <c r="M122" i="11"/>
  <c r="M95" i="11"/>
  <c r="M120" i="11"/>
  <c r="M116" i="11"/>
  <c r="M134" i="11"/>
  <c r="M117" i="11"/>
  <c r="M136" i="11"/>
  <c r="M123" i="11"/>
  <c r="M119" i="11"/>
  <c r="M131" i="11"/>
  <c r="M101" i="11"/>
  <c r="M109" i="11"/>
  <c r="M98" i="11"/>
  <c r="M92" i="11"/>
  <c r="M126" i="11"/>
  <c r="M118" i="11"/>
  <c r="M107" i="11"/>
  <c r="M128" i="11"/>
  <c r="M127" i="11"/>
  <c r="M105" i="11"/>
  <c r="M91" i="11"/>
  <c r="M96" i="11"/>
  <c r="M108" i="11"/>
  <c r="M133" i="11"/>
  <c r="M93" i="11"/>
  <c r="M130" i="11"/>
  <c r="M124" i="11"/>
  <c r="M102" i="11"/>
  <c r="M90" i="11"/>
  <c r="M121" i="11"/>
  <c r="M104" i="11"/>
  <c r="M129" i="11"/>
  <c r="M111" i="11"/>
  <c r="M157" i="11"/>
  <c r="K48" i="11"/>
  <c r="I48" i="11"/>
  <c r="M188" i="11"/>
  <c r="I188" i="11"/>
  <c r="K188" i="11"/>
  <c r="M83" i="11"/>
  <c r="M72" i="11"/>
  <c r="M86" i="11"/>
  <c r="M76" i="11"/>
  <c r="M73" i="11"/>
  <c r="M67" i="11"/>
  <c r="M61" i="11"/>
  <c r="M66" i="11"/>
  <c r="J16" i="11"/>
  <c r="M62" i="11"/>
  <c r="M80" i="11"/>
  <c r="M78" i="11"/>
  <c r="M65" i="11"/>
  <c r="M84" i="11"/>
  <c r="M77" i="11"/>
  <c r="M70" i="11"/>
  <c r="M81" i="11"/>
  <c r="I86" i="11"/>
  <c r="M74" i="11"/>
  <c r="M82" i="11"/>
  <c r="M69" i="11"/>
  <c r="M63" i="11"/>
  <c r="M68" i="11"/>
  <c r="M64" i="11"/>
  <c r="K86" i="11"/>
  <c r="H54" i="11"/>
  <c r="L49" i="11"/>
  <c r="N48" i="11" s="1"/>
  <c r="O48" i="11" s="1"/>
  <c r="M160" i="11"/>
  <c r="M184" i="11"/>
  <c r="M171" i="11"/>
  <c r="M169" i="11"/>
  <c r="M182" i="11"/>
  <c r="M178" i="11"/>
  <c r="M172" i="11"/>
  <c r="M155" i="11"/>
  <c r="M180" i="11"/>
  <c r="M175" i="11"/>
  <c r="M174" i="11"/>
  <c r="M153" i="11"/>
  <c r="M147" i="11"/>
  <c r="M140" i="11"/>
  <c r="M162" i="11"/>
  <c r="M141" i="11"/>
  <c r="M158" i="11"/>
  <c r="M148" i="11"/>
  <c r="M176" i="11"/>
  <c r="M159" i="11"/>
  <c r="M173" i="11"/>
  <c r="M161" i="11"/>
  <c r="M186" i="11"/>
  <c r="M179" i="11"/>
  <c r="M166" i="11"/>
  <c r="M149" i="11"/>
  <c r="M143" i="11"/>
  <c r="M181" i="11"/>
  <c r="M142" i="11"/>
  <c r="M185" i="11"/>
  <c r="M167" i="11"/>
  <c r="M156" i="11"/>
  <c r="M150" i="11"/>
  <c r="M154" i="11"/>
  <c r="M146" i="11"/>
  <c r="M145" i="11"/>
  <c r="M152" i="11"/>
  <c r="M168" i="11"/>
  <c r="M170" i="11"/>
  <c r="M144" i="11"/>
  <c r="I162" i="11"/>
  <c r="K162" i="11"/>
  <c r="M187" i="11"/>
  <c r="M79" i="11"/>
  <c r="I49" i="11" l="1"/>
  <c r="L54" i="11"/>
  <c r="N35" i="11"/>
  <c r="O35" i="11" s="1"/>
  <c r="K49" i="11"/>
  <c r="M49" i="11" l="1"/>
  <c r="M38" i="11"/>
  <c r="M54" i="11"/>
  <c r="M42" i="11"/>
  <c r="M30" i="11"/>
  <c r="M44" i="11"/>
  <c r="M32" i="11"/>
  <c r="M39" i="11"/>
  <c r="J21" i="11"/>
  <c r="M52" i="11"/>
  <c r="M37" i="11"/>
  <c r="M40" i="11"/>
  <c r="M50" i="11"/>
  <c r="M35" i="11"/>
  <c r="M29" i="11"/>
  <c r="M41" i="11"/>
  <c r="M36" i="11"/>
  <c r="M33" i="11"/>
  <c r="M47" i="11"/>
  <c r="M45" i="11"/>
  <c r="M51" i="11"/>
  <c r="M53" i="11"/>
  <c r="M34" i="11"/>
  <c r="M28" i="11"/>
  <c r="M43" i="11"/>
  <c r="M31" i="11"/>
  <c r="K54" i="11"/>
  <c r="M46" i="11"/>
  <c r="M48" i="11"/>
  <c r="I54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TIPA</author>
    <author>Admin</author>
  </authors>
  <commentList>
    <comment ref="O3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직접비의</t>
        </r>
        <r>
          <rPr>
            <sz val="9"/>
            <color indexed="81"/>
            <rFont val="Tahoma"/>
            <family val="2"/>
          </rPr>
          <t xml:space="preserve"> 40% </t>
        </r>
        <r>
          <rPr>
            <sz val="9"/>
            <color indexed="81"/>
            <rFont val="돋움"/>
            <family val="3"/>
            <charset val="129"/>
          </rPr>
          <t>이내</t>
        </r>
      </text>
    </comment>
    <comment ref="O48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(</t>
        </r>
        <r>
          <rPr>
            <sz val="9"/>
            <color indexed="81"/>
            <rFont val="돋움"/>
            <family val="3"/>
            <charset val="129"/>
          </rPr>
          <t>직접비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돋움"/>
            <family val="3"/>
            <charset val="129"/>
          </rPr>
          <t>위탁연구개발비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40% </t>
        </r>
        <r>
          <rPr>
            <sz val="9"/>
            <color indexed="81"/>
            <rFont val="돋움"/>
            <family val="3"/>
            <charset val="129"/>
          </rPr>
          <t>이내</t>
        </r>
      </text>
    </comment>
    <comment ref="X59" authorId="0" shapeId="0" xr:uid="{00000000-0006-0000-0100-000003000000}">
      <text>
        <r>
          <rPr>
            <b/>
            <sz val="12"/>
            <color indexed="81"/>
            <rFont val="Tahoma"/>
            <family val="2"/>
          </rPr>
          <t>TIPA: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돋움"/>
            <family val="3"/>
            <charset val="129"/>
          </rPr>
          <t>참여기간이</t>
        </r>
        <r>
          <rPr>
            <sz val="12"/>
            <color indexed="81"/>
            <rFont val="Tahoma"/>
            <family val="2"/>
          </rPr>
          <t xml:space="preserve"> 6</t>
        </r>
        <r>
          <rPr>
            <sz val="12"/>
            <color indexed="81"/>
            <rFont val="돋움"/>
            <family val="3"/>
            <charset val="129"/>
          </rPr>
          <t>개월인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경우</t>
        </r>
        <r>
          <rPr>
            <sz val="12"/>
            <color indexed="81"/>
            <rFont val="Tahoma"/>
            <family val="2"/>
          </rPr>
          <t xml:space="preserve">, </t>
        </r>
        <r>
          <rPr>
            <sz val="12"/>
            <color indexed="81"/>
            <rFont val="돋움"/>
            <family val="3"/>
            <charset val="129"/>
          </rPr>
          <t>연봉</t>
        </r>
        <r>
          <rPr>
            <sz val="12"/>
            <color indexed="81"/>
            <rFont val="Tahoma"/>
            <family val="2"/>
          </rPr>
          <t xml:space="preserve"> * 6/12 </t>
        </r>
        <r>
          <rPr>
            <sz val="12"/>
            <color indexed="81"/>
            <rFont val="돋움"/>
            <family val="3"/>
            <charset val="129"/>
          </rPr>
          <t>작성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필요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  <comment ref="AA59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연구수당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관련하여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</text>
    </comment>
    <comment ref="F66" authorId="0" shapeId="0" xr:uid="{00000000-0006-0000-0100-000005000000}">
      <text>
        <r>
          <rPr>
            <sz val="14"/>
            <color indexed="81"/>
            <rFont val="맑은 고딕"/>
            <family val="3"/>
            <charset val="129"/>
            <scheme val="minor"/>
          </rPr>
          <t>1. 연구재료 구입비: 시약․재료 구입비 및 관련 부대비용
2. 연구개발과제 관리비: 연구개발과제 수행을 위하여 필요한 관리시스템 등의 운영비
3. 연구재료 제작비: 시험제품ㆍ시험설비 제작비(자체제작과 외부제작을 모두 포함)</t>
        </r>
      </text>
    </comment>
    <comment ref="G67" authorId="1" shapeId="0" xr:uid="{00000000-0006-0000-0100-000006000000}">
      <text>
        <r>
          <rPr>
            <sz val="14"/>
            <color indexed="81"/>
            <rFont val="맑은 고딕"/>
            <family val="3"/>
            <charset val="129"/>
            <scheme val="minor"/>
          </rPr>
          <t>기술ㆍ특허ㆍ표준 정보 조사ㆍ분석, 원천ㆍ핵심특허 확보전략 수립 등 지식재산 창출 활동에 필요한 비용</t>
        </r>
      </text>
    </comment>
    <comment ref="G68" authorId="1" shapeId="0" xr:uid="{00000000-0006-0000-0100-000007000000}">
      <text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맑은 고딕"/>
            <family val="3"/>
            <charset val="129"/>
          </rPr>
          <t>기술도입비, 전문가 활용비(원고료, 강사료, 자문료 등을 포함한다), 연구개발서비스 활용비 등 외부 전문기술 활용을 위하여 필요한 비용
*성능지표 관련 공인시험 시험 비용도 포함</t>
        </r>
      </text>
    </comment>
    <comment ref="O68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직접비의</t>
        </r>
        <r>
          <rPr>
            <sz val="9"/>
            <color indexed="81"/>
            <rFont val="Tahoma"/>
            <family val="2"/>
          </rPr>
          <t xml:space="preserve"> 40% </t>
        </r>
        <r>
          <rPr>
            <sz val="9"/>
            <color indexed="81"/>
            <rFont val="돋움"/>
            <family val="3"/>
            <charset val="129"/>
          </rPr>
          <t>이내</t>
        </r>
      </text>
    </comment>
    <comment ref="G69" authorId="1" shapeId="0" xr:uid="{00000000-0006-0000-0100-000009000000}">
      <text>
        <r>
          <rPr>
            <sz val="14"/>
            <color indexed="81"/>
            <rFont val="맑은 고딕"/>
            <family val="3"/>
            <charset val="129"/>
          </rPr>
          <t>회의장 임차료, 속기료, 통역료 또는 회의비 등 연구개발과제 수행을 위하여 필요한 회의·세미나 개최 비용</t>
        </r>
      </text>
    </comment>
    <comment ref="G70" authorId="1" shapeId="0" xr:uid="{00000000-0006-0000-0100-00000A000000}">
      <text>
        <r>
          <rPr>
            <sz val="14"/>
            <color indexed="81"/>
            <rFont val="맑은 고딕"/>
            <family val="3"/>
            <charset val="129"/>
            <scheme val="minor"/>
          </rPr>
          <t>연구개발과제 수행을 위한 국내외 출장 비용(영 제19조제4항제3호의 연구개발과제 수행에 따라 파견 또는 전보되는 인력에 대한 파견·전보·주거 관련 지원 비용을 포함한다)</t>
        </r>
      </text>
    </comment>
    <comment ref="G71" authorId="0" shapeId="0" xr:uid="{00000000-0006-0000-0100-00000B000000}">
      <text>
        <r>
          <rPr>
            <sz val="14"/>
            <color indexed="81"/>
            <rFont val="맑은 고딕"/>
            <family val="3"/>
            <charset val="129"/>
            <scheme val="minor"/>
          </rPr>
          <t xml:space="preserve">연구개발과제 수행을 위한 클라우드컴퓨팅서비스의 이용료
- 클라우드컴퓨팅서비스 활용비를 계상하려는 경우에 「클라우드컴퓨팅 발전 및 이용자 보호에 관한 법률 시행령」제8조의2 제3항에 따라 구축하여 운영되는 이용지원시스템(www.digitalmarket.kr)을 확인한 후, 클라우드컴퓨팅서비스를 선정하고 필요한 비용을 계상하여야 함
</t>
        </r>
      </text>
    </comment>
    <comment ref="G72" authorId="1" shapeId="0" xr:uid="{00000000-0006-0000-0100-00000C000000}">
      <text>
        <r>
          <rPr>
            <sz val="14"/>
            <color indexed="81"/>
            <rFont val="맑은 고딕"/>
            <family val="3"/>
            <charset val="129"/>
            <scheme val="minor"/>
          </rPr>
          <t>연구개발과제 수행을 위한 소프트웨어의 구입·설치·임차·사용대차 비용 또는 데이터베이스·네트워크의 이용료</t>
        </r>
        <r>
          <rPr>
            <sz val="11"/>
            <color indexed="81"/>
            <rFont val="Tahoma"/>
            <family val="2"/>
          </rPr>
          <t xml:space="preserve"> </t>
        </r>
      </text>
    </comment>
    <comment ref="G73" authorId="1" shapeId="0" xr:uid="{00000000-0006-0000-0100-00000D000000}">
      <text>
        <r>
          <rPr>
            <sz val="14"/>
            <color indexed="81"/>
            <rFont val="맑은 고딕"/>
            <family val="3"/>
            <charset val="129"/>
            <scheme val="minor"/>
          </rPr>
          <t>연구개발과제 수행을 위하여 필요한 사무용 기기 및 사무용 소프트웨어의 구입·설치·임차·사용대차 비용, 사무용품비, 연구실 운영에 필요한 소모성 비용 또는 연구실 냉난방 및 청결한 환경 유지를 위하여 필요한 기기·비품의 구입·유지 비용
사무용 기기 및 사무용, 소프트웨어에 소요되는 비용, 연구실 냉난방 및 청결한 환경 유지비용은 협약 체결 당시 연구실운영비활용·관리계획을 작성하여 첨부한 경우에만 계상할 수 있음.</t>
        </r>
      </text>
    </comment>
    <comment ref="G74" authorId="1" shapeId="0" xr:uid="{00000000-0006-0000-0100-00000E000000}">
      <text>
        <r>
          <rPr>
            <sz val="14"/>
            <color indexed="81"/>
            <rFont val="맑은 고딕"/>
            <family val="3"/>
            <charset val="129"/>
            <scheme val="minor"/>
          </rPr>
          <t>연구개발과제 수행과 직접 관련된 교육·훈련 비용, 학회·세미나 참가비 또는 연구개발과제 수행을 위하여 지출된 야근(특근) 식대</t>
        </r>
      </text>
    </comment>
    <comment ref="G76" authorId="1" shapeId="0" xr:uid="{00000000-0006-0000-0100-00000F000000}">
      <text>
        <r>
          <rPr>
            <sz val="14"/>
            <color indexed="81"/>
            <rFont val="맑은 고딕"/>
            <family val="3"/>
            <charset val="129"/>
            <scheme val="minor"/>
          </rPr>
          <t>문헌구입비, 논문 게재료, 인쇄·복사·인화비, 슬라이드 제작비, 각종 세금 및 공과금, 우편요금, 택배비, 수수료, 공공요금, 일용직 활용비 등 연구개발과제와 직접 관련있는 그 밖의 비용</t>
        </r>
      </text>
    </comment>
    <comment ref="F78" authorId="1" shapeId="0" xr:uid="{00000000-0006-0000-0100-000010000000}">
      <text>
        <r>
          <rPr>
            <sz val="14"/>
            <color indexed="81"/>
            <rFont val="맑은 고딕"/>
            <family val="3"/>
            <charset val="129"/>
            <scheme val="minor"/>
          </rPr>
          <t>연구개발과제 수행에 참여하는 연구책임자 및 연구자(학생연구자를 포함한다)를 대상으로 지급하는 장려금으로 한다.</t>
        </r>
      </text>
    </comment>
    <comment ref="O78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인건비의</t>
        </r>
        <r>
          <rPr>
            <sz val="9"/>
            <color indexed="81"/>
            <rFont val="Tahoma"/>
            <family val="2"/>
          </rPr>
          <t xml:space="preserve"> 20% </t>
        </r>
        <r>
          <rPr>
            <sz val="9"/>
            <color indexed="81"/>
            <rFont val="돋움"/>
            <family val="3"/>
            <charset val="129"/>
          </rPr>
          <t>이내</t>
        </r>
      </text>
    </comment>
    <comment ref="F80" authorId="1" shapeId="0" xr:uid="{00000000-0006-0000-0100-000012000000}">
      <text>
        <r>
          <rPr>
            <sz val="14"/>
            <color indexed="81"/>
            <rFont val="맑은 고딕"/>
            <family val="3"/>
            <charset val="129"/>
            <scheme val="minor"/>
          </rPr>
          <t>국가연구개발사업 연구개발비 사용기준 제15조(인력지원비 사용용도) 에 명시되어 있는 기준 확인
연구개발능률성과급을 해당 연구개발과제 간접비의 10퍼센트 이하로 계상하여야 함</t>
        </r>
      </text>
    </comment>
    <comment ref="F81" authorId="1" shapeId="0" xr:uid="{00000000-0006-0000-0100-000013000000}">
      <text>
        <r>
          <rPr>
            <sz val="14"/>
            <color indexed="81"/>
            <rFont val="맑은 고딕"/>
            <family val="3"/>
            <charset val="129"/>
            <scheme val="minor"/>
          </rPr>
          <t>1. 국가연구개발사업 연구개발비 사용기준 제15조(연구지원비 사용용도) 에 명시되어 있는 기준 확인</t>
        </r>
        <r>
          <rPr>
            <b/>
            <sz val="14"/>
            <color indexed="81"/>
            <rFont val="맑은 고딕"/>
            <family val="3"/>
            <charset val="129"/>
            <scheme val="minor"/>
          </rPr>
          <t xml:space="preserve">
2. 기업신용평가비 매년 20만원 계상하고 사업비 지급완료 시 즉시 신청(주관, 공동만 해당)
3. 기업범용인증서 발급비 계상가능(선택, 10만원)
</t>
        </r>
      </text>
    </comment>
    <comment ref="F83" authorId="1" shapeId="0" xr:uid="{00000000-0006-0000-0100-000014000000}">
      <text>
        <r>
          <rPr>
            <sz val="14"/>
            <color indexed="81"/>
            <rFont val="맑은 고딕"/>
            <family val="3"/>
            <charset val="129"/>
            <scheme val="minor"/>
          </rPr>
          <t>1. 국가연구개발사업 연구개발비 사용기준 제15조(성과활용지원비 사용용도) 에 명시되어 있는 기준 확인
2. 특허 출원, 등록비용 계상
3.기술창업 출연</t>
        </r>
        <r>
          <rPr>
            <sz val="14"/>
            <color indexed="81"/>
            <rFont val="맑은 고딕"/>
            <family val="3"/>
            <charset val="128"/>
            <scheme val="minor"/>
          </rPr>
          <t>･</t>
        </r>
        <r>
          <rPr>
            <sz val="14"/>
            <color indexed="81"/>
            <rFont val="맑은 고딕"/>
            <family val="3"/>
            <charset val="129"/>
            <scheme val="minor"/>
          </rPr>
          <t>출자금은 해당 회계연도 간접비 총액의 10퍼센트 범위에서 설립 이후 5년까지 계상할 수 있으며, 연구개발기관의 장이 필요하다고 인정하는 경우에는 자체규정에 따라 당초의 기간을 포함하여 최장 10년까지 계상할 수 있음
4</t>
        </r>
        <r>
          <rPr>
            <b/>
            <sz val="14"/>
            <color indexed="81"/>
            <rFont val="맑은 고딕"/>
            <family val="3"/>
            <charset val="129"/>
            <scheme val="minor"/>
          </rPr>
          <t>. 주관연구개발기관은 개발기간 마지막 종료차수에 기술임치비용을 계상해야 하며, 최종보고서 제출 시 기술임치증을 제출해야함</t>
        </r>
        <r>
          <rPr>
            <b/>
            <sz val="11"/>
            <color indexed="81"/>
            <rFont val="맑은 고딕"/>
            <family val="3"/>
            <charset val="129"/>
          </rPr>
          <t xml:space="preserve">
</t>
        </r>
      </text>
    </comment>
    <comment ref="O85" authorId="0" shapeId="0" xr:uid="{00000000-0006-0000-0100-000015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직접비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현금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이내</t>
        </r>
      </text>
    </comment>
    <comment ref="G96" authorId="1" shapeId="0" xr:uid="{00000000-0006-0000-0100-000016000000}">
      <text>
        <r>
          <rPr>
            <sz val="11"/>
            <color indexed="81"/>
            <rFont val="돋움"/>
            <family val="3"/>
            <charset val="129"/>
          </rPr>
          <t>기술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특허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표준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정보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조사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분석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원천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핵심특허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확보전략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등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지식재산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창출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활동에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비용
</t>
        </r>
      </text>
    </comment>
    <comment ref="G97" authorId="1" shapeId="0" xr:uid="{00000000-0006-0000-0100-000017000000}">
      <text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맑은 고딕"/>
            <family val="3"/>
            <charset val="129"/>
          </rPr>
          <t>기술도입비, 전문가 활용비(원고료, 강사료, 자문료 등을 포함한다), 연구개발서비스 활용비 등 외부 전문기술 활용을 위하여 필요한 비용
*성능지표 관련 공인시험 시험 비용도 포함</t>
        </r>
      </text>
    </comment>
    <comment ref="O97" authorId="0" shapeId="0" xr:uid="{00000000-0006-0000-0100-000018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직접비의</t>
        </r>
        <r>
          <rPr>
            <sz val="9"/>
            <color indexed="81"/>
            <rFont val="Tahoma"/>
            <family val="2"/>
          </rPr>
          <t xml:space="preserve"> 40% </t>
        </r>
        <r>
          <rPr>
            <sz val="9"/>
            <color indexed="81"/>
            <rFont val="돋움"/>
            <family val="3"/>
            <charset val="129"/>
          </rPr>
          <t>이내</t>
        </r>
      </text>
    </comment>
    <comment ref="G98" authorId="1" shapeId="0" xr:uid="{00000000-0006-0000-0100-000019000000}">
      <text>
        <r>
          <rPr>
            <sz val="11"/>
            <color indexed="81"/>
            <rFont val="맑은 고딕"/>
            <family val="3"/>
            <charset val="129"/>
          </rPr>
          <t>회의장 임차료, 속기료, 통역료 또는 회의비 등 연구개발과제 수행을 위하여 필요한 회의·세미나 개최 비용</t>
        </r>
      </text>
    </comment>
    <comment ref="G99" authorId="1" shapeId="0" xr:uid="{00000000-0006-0000-0100-00001A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국내외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출장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영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</t>
        </r>
        <r>
          <rPr>
            <sz val="11"/>
            <color indexed="81"/>
            <rFont val="Tahoma"/>
            <family val="2"/>
          </rPr>
          <t>19</t>
        </r>
        <r>
          <rPr>
            <sz val="11"/>
            <color indexed="81"/>
            <rFont val="돋움"/>
            <family val="3"/>
            <charset val="129"/>
          </rPr>
          <t>조제</t>
        </r>
        <r>
          <rPr>
            <sz val="11"/>
            <color indexed="81"/>
            <rFont val="Tahoma"/>
            <family val="2"/>
          </rPr>
          <t>4</t>
        </r>
        <r>
          <rPr>
            <sz val="11"/>
            <color indexed="81"/>
            <rFont val="돋움"/>
            <family val="3"/>
            <charset val="129"/>
          </rPr>
          <t>항제</t>
        </r>
        <r>
          <rPr>
            <sz val="11"/>
            <color indexed="81"/>
            <rFont val="Tahoma"/>
            <family val="2"/>
          </rPr>
          <t>3</t>
        </r>
        <r>
          <rPr>
            <sz val="11"/>
            <color indexed="81"/>
            <rFont val="돋움"/>
            <family val="3"/>
            <charset val="129"/>
          </rPr>
          <t>호의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따라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파견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전보되는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인력에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대한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파견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전보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주거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관련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포함한다</t>
        </r>
        <r>
          <rPr>
            <sz val="11"/>
            <color indexed="81"/>
            <rFont val="Tahoma"/>
            <family val="2"/>
          </rPr>
          <t>)</t>
        </r>
      </text>
    </comment>
    <comment ref="G100" authorId="0" shapeId="0" xr:uid="{00000000-0006-0000-0100-00001B000000}">
      <text>
        <r>
          <rPr>
            <sz val="10"/>
            <color indexed="81"/>
            <rFont val="돋움"/>
            <family val="3"/>
            <charset val="129"/>
          </rPr>
          <t>연구개발과제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수행을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위한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클라우드컴퓨팅서비스의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 xml:space="preserve">이용료
</t>
        </r>
        <r>
          <rPr>
            <sz val="10"/>
            <color indexed="81"/>
            <rFont val="Tahoma"/>
            <family val="2"/>
          </rPr>
          <t xml:space="preserve">- </t>
        </r>
        <r>
          <rPr>
            <sz val="10"/>
            <color indexed="81"/>
            <rFont val="돋움"/>
            <family val="3"/>
            <charset val="129"/>
          </rPr>
          <t>클라우드컴퓨팅서비스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활용비를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계상하려는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경우에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「클라우드컴퓨팅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발전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및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이용자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보호에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관한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법률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시행령」제</t>
        </r>
        <r>
          <rPr>
            <sz val="10"/>
            <color indexed="81"/>
            <rFont val="Tahoma"/>
            <family val="2"/>
          </rPr>
          <t>8</t>
        </r>
        <r>
          <rPr>
            <sz val="10"/>
            <color indexed="81"/>
            <rFont val="돋움"/>
            <family val="3"/>
            <charset val="129"/>
          </rPr>
          <t>조의</t>
        </r>
        <r>
          <rPr>
            <sz val="10"/>
            <color indexed="81"/>
            <rFont val="Tahoma"/>
            <family val="2"/>
          </rPr>
          <t xml:space="preserve">2 </t>
        </r>
        <r>
          <rPr>
            <sz val="10"/>
            <color indexed="81"/>
            <rFont val="돋움"/>
            <family val="3"/>
            <charset val="129"/>
          </rPr>
          <t>제</t>
        </r>
        <r>
          <rPr>
            <sz val="10"/>
            <color indexed="81"/>
            <rFont val="Tahoma"/>
            <family val="2"/>
          </rPr>
          <t>3</t>
        </r>
        <r>
          <rPr>
            <sz val="10"/>
            <color indexed="81"/>
            <rFont val="돋움"/>
            <family val="3"/>
            <charset val="129"/>
          </rPr>
          <t>항에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따라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구축하여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운영되는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이용지원시스템</t>
        </r>
        <r>
          <rPr>
            <sz val="10"/>
            <color indexed="81"/>
            <rFont val="Tahoma"/>
            <family val="2"/>
          </rPr>
          <t>(www.digitalmarket.kr)</t>
        </r>
        <r>
          <rPr>
            <sz val="10"/>
            <color indexed="81"/>
            <rFont val="돋움"/>
            <family val="3"/>
            <charset val="129"/>
          </rPr>
          <t>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확인한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후</t>
        </r>
        <r>
          <rPr>
            <sz val="10"/>
            <color indexed="81"/>
            <rFont val="Tahoma"/>
            <family val="2"/>
          </rPr>
          <t xml:space="preserve">, </t>
        </r>
        <r>
          <rPr>
            <sz val="10"/>
            <color indexed="81"/>
            <rFont val="돋움"/>
            <family val="3"/>
            <charset val="129"/>
          </rPr>
          <t>클라우드컴퓨팅서비스를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선정하고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필요한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비용을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계상하여야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함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G101" authorId="1" shapeId="0" xr:uid="{00000000-0006-0000-0100-00001C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소프트웨어의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구입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설치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임차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사용대차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데이터베이스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네트워크의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이용료</t>
        </r>
        <r>
          <rPr>
            <sz val="11"/>
            <color indexed="81"/>
            <rFont val="Tahoma"/>
            <family val="2"/>
          </rPr>
          <t xml:space="preserve"> </t>
        </r>
      </text>
    </comment>
    <comment ref="G102" authorId="1" shapeId="0" xr:uid="{00000000-0006-0000-0100-00001D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사무용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사무용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소프트웨어의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구입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설치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임차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사용대차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사무용품비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연구실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운영에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소모성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연구실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냉난방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청결한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환경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유지를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기기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비품의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구입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유지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
사무용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사무용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소프트웨어에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소요되는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연구실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냉난방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청결한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환경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유지비용은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협약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체결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당시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연구실운영비활용·관리계획을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작성하여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첨부한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경우에만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있음</t>
        </r>
        <r>
          <rPr>
            <sz val="11"/>
            <color indexed="81"/>
            <rFont val="Tahoma"/>
            <family val="2"/>
          </rPr>
          <t>.</t>
        </r>
      </text>
    </comment>
    <comment ref="G103" authorId="1" shapeId="0" xr:uid="{00000000-0006-0000-0100-00001E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직접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관련된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교육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훈련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학회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세미나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참가비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지출된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야근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특근</t>
        </r>
        <r>
          <rPr>
            <sz val="11"/>
            <color indexed="81"/>
            <rFont val="Tahoma"/>
            <family val="2"/>
          </rPr>
          <t xml:space="preserve">) </t>
        </r>
        <r>
          <rPr>
            <sz val="11"/>
            <color indexed="81"/>
            <rFont val="돋움"/>
            <family val="3"/>
            <charset val="129"/>
          </rPr>
          <t>식대</t>
        </r>
      </text>
    </comment>
    <comment ref="G104" authorId="1" shapeId="0" xr:uid="{00000000-0006-0000-0100-00001F000000}">
      <text>
        <r>
          <rPr>
            <sz val="11"/>
            <color indexed="81"/>
            <rFont val="돋움"/>
            <family val="3"/>
            <charset val="129"/>
          </rPr>
          <t>문헌구입비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논문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게재료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인쇄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복사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인화비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슬라이드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제작비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각종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세금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공과금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우편요금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택배비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수수료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공공요금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일용직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활용비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등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직접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관련있는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밖의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</text>
    </comment>
    <comment ref="F105" authorId="1" shapeId="0" xr:uid="{00000000-0006-0000-0100-000020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참여하는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연구책임자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연구자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학생연구자를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포함한다</t>
        </r>
        <r>
          <rPr>
            <sz val="11"/>
            <color indexed="81"/>
            <rFont val="Tahoma"/>
            <family val="2"/>
          </rPr>
          <t>)</t>
        </r>
        <r>
          <rPr>
            <sz val="11"/>
            <color indexed="81"/>
            <rFont val="돋움"/>
            <family val="3"/>
            <charset val="129"/>
          </rPr>
          <t>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대상으로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지급하는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장려금으로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한다</t>
        </r>
        <r>
          <rPr>
            <sz val="11"/>
            <color indexed="81"/>
            <rFont val="Tahoma"/>
            <family val="2"/>
          </rPr>
          <t>.</t>
        </r>
      </text>
    </comment>
    <comment ref="O105" authorId="0" shapeId="0" xr:uid="{00000000-0006-0000-0100-000021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인건비의</t>
        </r>
        <r>
          <rPr>
            <sz val="9"/>
            <color indexed="81"/>
            <rFont val="Tahoma"/>
            <family val="2"/>
          </rPr>
          <t xml:space="preserve"> 20% </t>
        </r>
        <r>
          <rPr>
            <sz val="9"/>
            <color indexed="81"/>
            <rFont val="돋움"/>
            <family val="3"/>
            <charset val="129"/>
          </rPr>
          <t>이내</t>
        </r>
      </text>
    </comment>
    <comment ref="F107" authorId="1" shapeId="0" xr:uid="{00000000-0006-0000-0100-000022000000}">
      <text>
        <r>
          <rPr>
            <sz val="11"/>
            <color indexed="81"/>
            <rFont val="돋움"/>
            <family val="3"/>
            <charset val="129"/>
          </rPr>
          <t>국가연구개발사업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</t>
        </r>
        <r>
          <rPr>
            <sz val="11"/>
            <color indexed="81"/>
            <rFont val="Tahoma"/>
            <family val="2"/>
          </rPr>
          <t>15</t>
        </r>
        <r>
          <rPr>
            <sz val="11"/>
            <color indexed="81"/>
            <rFont val="돋움"/>
            <family val="3"/>
            <charset val="129"/>
          </rPr>
          <t>조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인력지원비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사용용도</t>
        </r>
        <r>
          <rPr>
            <sz val="11"/>
            <color indexed="81"/>
            <rFont val="Tahoma"/>
            <family val="2"/>
          </rPr>
          <t xml:space="preserve">) </t>
        </r>
        <r>
          <rPr>
            <sz val="11"/>
            <color indexed="81"/>
            <rFont val="돋움"/>
            <family val="3"/>
            <charset val="129"/>
          </rPr>
          <t>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명시되어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확인
연구개발능률성과급을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해당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간접비의</t>
        </r>
        <r>
          <rPr>
            <sz val="11"/>
            <color indexed="81"/>
            <rFont val="Tahoma"/>
            <family val="2"/>
          </rPr>
          <t xml:space="preserve"> 10</t>
        </r>
        <r>
          <rPr>
            <sz val="11"/>
            <color indexed="81"/>
            <rFont val="돋움"/>
            <family val="3"/>
            <charset val="129"/>
          </rPr>
          <t>퍼센트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이하로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계상하여야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함</t>
        </r>
      </text>
    </comment>
    <comment ref="F108" authorId="1" shapeId="0" xr:uid="{00000000-0006-0000-0100-000023000000}">
      <text>
        <r>
          <rPr>
            <sz val="11"/>
            <color indexed="81"/>
            <rFont val="맑은 고딕"/>
            <family val="3"/>
            <charset val="129"/>
          </rPr>
          <t>1. 국가연구개발사업 연구개발비 사용기준 제15조(연구지원비 사용용도) 에 명시되어 있는 기준 확인</t>
        </r>
        <r>
          <rPr>
            <b/>
            <sz val="11"/>
            <color indexed="81"/>
            <rFont val="돋움"/>
            <family val="3"/>
            <charset val="129"/>
          </rPr>
          <t xml:space="preserve">
</t>
        </r>
        <r>
          <rPr>
            <b/>
            <sz val="11"/>
            <color indexed="81"/>
            <rFont val="맑은 고딕"/>
            <family val="3"/>
            <charset val="129"/>
          </rPr>
          <t xml:space="preserve">2. 기업신용평가비 매년 20만원 계상하고 사업비 지급완료 시 즉시 신청(주관, 공동만 해당)
3. 기업범용인증서 발급비 계상가능(선택, 10만원)
</t>
        </r>
      </text>
    </comment>
    <comment ref="F109" authorId="1" shapeId="0" xr:uid="{00000000-0006-0000-0100-000024000000}">
      <text>
        <r>
          <rPr>
            <sz val="11"/>
            <color indexed="81"/>
            <rFont val="Tahoma"/>
            <family val="2"/>
          </rPr>
          <t xml:space="preserve">1. </t>
        </r>
        <r>
          <rPr>
            <sz val="11"/>
            <color indexed="81"/>
            <rFont val="돋움"/>
            <family val="3"/>
            <charset val="129"/>
          </rPr>
          <t>국가연구개발사업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</t>
        </r>
        <r>
          <rPr>
            <sz val="11"/>
            <color indexed="81"/>
            <rFont val="Tahoma"/>
            <family val="2"/>
          </rPr>
          <t>15</t>
        </r>
        <r>
          <rPr>
            <sz val="11"/>
            <color indexed="81"/>
            <rFont val="돋움"/>
            <family val="3"/>
            <charset val="129"/>
          </rPr>
          <t>조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성과활용지원비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사용용도</t>
        </r>
        <r>
          <rPr>
            <sz val="11"/>
            <color indexed="81"/>
            <rFont val="Tahoma"/>
            <family val="2"/>
          </rPr>
          <t xml:space="preserve">) </t>
        </r>
        <r>
          <rPr>
            <sz val="11"/>
            <color indexed="81"/>
            <rFont val="돋움"/>
            <family val="3"/>
            <charset val="129"/>
          </rPr>
          <t>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명시되어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확인
</t>
        </r>
        <r>
          <rPr>
            <sz val="11"/>
            <color indexed="81"/>
            <rFont val="Tahoma"/>
            <family val="2"/>
          </rPr>
          <t xml:space="preserve">2. </t>
        </r>
        <r>
          <rPr>
            <sz val="11"/>
            <color indexed="81"/>
            <rFont val="돋움"/>
            <family val="3"/>
            <charset val="129"/>
          </rPr>
          <t>특허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출원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등록비용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계상
</t>
        </r>
        <r>
          <rPr>
            <sz val="11"/>
            <color indexed="81"/>
            <rFont val="Tahoma"/>
            <family val="2"/>
          </rPr>
          <t>3.</t>
        </r>
        <r>
          <rPr>
            <sz val="11"/>
            <color indexed="81"/>
            <rFont val="돋움"/>
            <family val="3"/>
            <charset val="129"/>
          </rPr>
          <t>기술창업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출연</t>
        </r>
        <r>
          <rPr>
            <sz val="11"/>
            <color indexed="81"/>
            <rFont val="MS Gothic"/>
            <family val="3"/>
            <charset val="128"/>
          </rPr>
          <t>･</t>
        </r>
        <r>
          <rPr>
            <sz val="11"/>
            <color indexed="81"/>
            <rFont val="돋움"/>
            <family val="3"/>
            <charset val="129"/>
          </rPr>
          <t>출자금은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해당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회계연도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간접비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총액의</t>
        </r>
        <r>
          <rPr>
            <sz val="11"/>
            <color indexed="81"/>
            <rFont val="Tahoma"/>
            <family val="2"/>
          </rPr>
          <t xml:space="preserve"> 10</t>
        </r>
        <r>
          <rPr>
            <sz val="11"/>
            <color indexed="81"/>
            <rFont val="돋움"/>
            <family val="3"/>
            <charset val="129"/>
          </rPr>
          <t>퍼센트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범위에서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설립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이후</t>
        </r>
        <r>
          <rPr>
            <sz val="11"/>
            <color indexed="81"/>
            <rFont val="Tahoma"/>
            <family val="2"/>
          </rPr>
          <t xml:space="preserve"> 5</t>
        </r>
        <r>
          <rPr>
            <sz val="11"/>
            <color indexed="81"/>
            <rFont val="돋움"/>
            <family val="3"/>
            <charset val="129"/>
          </rPr>
          <t>년까지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있으며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연구개발기관의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장이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필요하다고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인정하는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경우에는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자체규정에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따라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당초의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기간을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포함하여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최장</t>
        </r>
        <r>
          <rPr>
            <sz val="11"/>
            <color indexed="81"/>
            <rFont val="Tahoma"/>
            <family val="2"/>
          </rPr>
          <t xml:space="preserve"> 10</t>
        </r>
        <r>
          <rPr>
            <sz val="11"/>
            <color indexed="81"/>
            <rFont val="돋움"/>
            <family val="3"/>
            <charset val="129"/>
          </rPr>
          <t>년까지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있음
</t>
        </r>
        <r>
          <rPr>
            <sz val="11"/>
            <color indexed="81"/>
            <rFont val="Tahoma"/>
            <family val="2"/>
          </rPr>
          <t>4</t>
        </r>
        <r>
          <rPr>
            <b/>
            <sz val="11"/>
            <color indexed="81"/>
            <rFont val="맑은 고딕"/>
            <family val="3"/>
            <charset val="129"/>
          </rPr>
          <t xml:space="preserve">. 주관연구개발기관은 개발기간 마지막 종료차수에 기술임치비용을 계상해야 하며, 최종보고서 제출 시 기술임치증을 제출해야함
</t>
        </r>
      </text>
    </comment>
    <comment ref="O110" authorId="0" shapeId="0" xr:uid="{00000000-0006-0000-0100-000025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직접비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현금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이내</t>
        </r>
      </text>
    </comment>
    <comment ref="G121" authorId="1" shapeId="0" xr:uid="{00000000-0006-0000-0100-000026000000}">
      <text>
        <r>
          <rPr>
            <sz val="11"/>
            <color indexed="81"/>
            <rFont val="돋움"/>
            <family val="3"/>
            <charset val="129"/>
          </rPr>
          <t>기술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특허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표준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정보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조사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분석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원천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핵심특허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확보전략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등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지식재산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창출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활동에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비용
</t>
        </r>
      </text>
    </comment>
    <comment ref="G122" authorId="1" shapeId="0" xr:uid="{00000000-0006-0000-0100-000027000000}">
      <text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맑은 고딕"/>
            <family val="3"/>
            <charset val="129"/>
          </rPr>
          <t>기술도입비, 전문가 활용비(원고료, 강사료, 자문료 등을 포함한다), 연구개발서비스 활용비 등 외부 전문기술 활용을 위하여 필요한 비용
*성능지표 관련 공인시험 시험 비용도 포함</t>
        </r>
      </text>
    </comment>
    <comment ref="O122" authorId="0" shapeId="0" xr:uid="{00000000-0006-0000-0100-000028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직접비의</t>
        </r>
        <r>
          <rPr>
            <sz val="9"/>
            <color indexed="81"/>
            <rFont val="Tahoma"/>
            <family val="2"/>
          </rPr>
          <t xml:space="preserve"> 40% </t>
        </r>
        <r>
          <rPr>
            <sz val="9"/>
            <color indexed="81"/>
            <rFont val="돋움"/>
            <family val="3"/>
            <charset val="129"/>
          </rPr>
          <t>이내</t>
        </r>
      </text>
    </comment>
    <comment ref="G123" authorId="1" shapeId="0" xr:uid="{00000000-0006-0000-0100-000029000000}">
      <text>
        <r>
          <rPr>
            <sz val="11"/>
            <color indexed="81"/>
            <rFont val="맑은 고딕"/>
            <family val="3"/>
            <charset val="129"/>
          </rPr>
          <t>회의장 임차료, 속기료, 통역료 또는 회의비 등 연구개발과제 수행을 위하여 필요한 회의·세미나 개최 비용</t>
        </r>
      </text>
    </comment>
    <comment ref="G124" authorId="1" shapeId="0" xr:uid="{00000000-0006-0000-0100-00002A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국내외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출장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영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</t>
        </r>
        <r>
          <rPr>
            <sz val="11"/>
            <color indexed="81"/>
            <rFont val="Tahoma"/>
            <family val="2"/>
          </rPr>
          <t>19</t>
        </r>
        <r>
          <rPr>
            <sz val="11"/>
            <color indexed="81"/>
            <rFont val="돋움"/>
            <family val="3"/>
            <charset val="129"/>
          </rPr>
          <t>조제</t>
        </r>
        <r>
          <rPr>
            <sz val="11"/>
            <color indexed="81"/>
            <rFont val="Tahoma"/>
            <family val="2"/>
          </rPr>
          <t>4</t>
        </r>
        <r>
          <rPr>
            <sz val="11"/>
            <color indexed="81"/>
            <rFont val="돋움"/>
            <family val="3"/>
            <charset val="129"/>
          </rPr>
          <t>항제</t>
        </r>
        <r>
          <rPr>
            <sz val="11"/>
            <color indexed="81"/>
            <rFont val="Tahoma"/>
            <family val="2"/>
          </rPr>
          <t>3</t>
        </r>
        <r>
          <rPr>
            <sz val="11"/>
            <color indexed="81"/>
            <rFont val="돋움"/>
            <family val="3"/>
            <charset val="129"/>
          </rPr>
          <t>호의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따라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파견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전보되는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인력에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대한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파견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전보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주거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관련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포함한다</t>
        </r>
        <r>
          <rPr>
            <sz val="11"/>
            <color indexed="81"/>
            <rFont val="Tahoma"/>
            <family val="2"/>
          </rPr>
          <t>)</t>
        </r>
      </text>
    </comment>
    <comment ref="G125" authorId="0" shapeId="0" xr:uid="{00000000-0006-0000-0100-00002B000000}">
      <text>
        <r>
          <rPr>
            <sz val="10"/>
            <color indexed="81"/>
            <rFont val="돋움"/>
            <family val="3"/>
            <charset val="129"/>
          </rPr>
          <t>연구개발과제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수행을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위한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클라우드컴퓨팅서비스의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 xml:space="preserve">이용료
</t>
        </r>
        <r>
          <rPr>
            <sz val="10"/>
            <color indexed="81"/>
            <rFont val="Tahoma"/>
            <family val="2"/>
          </rPr>
          <t xml:space="preserve">- </t>
        </r>
        <r>
          <rPr>
            <sz val="10"/>
            <color indexed="81"/>
            <rFont val="돋움"/>
            <family val="3"/>
            <charset val="129"/>
          </rPr>
          <t>클라우드컴퓨팅서비스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활용비를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계상하려는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경우에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「클라우드컴퓨팅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발전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및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이용자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보호에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관한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법률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시행령」제</t>
        </r>
        <r>
          <rPr>
            <sz val="10"/>
            <color indexed="81"/>
            <rFont val="Tahoma"/>
            <family val="2"/>
          </rPr>
          <t>8</t>
        </r>
        <r>
          <rPr>
            <sz val="10"/>
            <color indexed="81"/>
            <rFont val="돋움"/>
            <family val="3"/>
            <charset val="129"/>
          </rPr>
          <t>조의</t>
        </r>
        <r>
          <rPr>
            <sz val="10"/>
            <color indexed="81"/>
            <rFont val="Tahoma"/>
            <family val="2"/>
          </rPr>
          <t xml:space="preserve">2 </t>
        </r>
        <r>
          <rPr>
            <sz val="10"/>
            <color indexed="81"/>
            <rFont val="돋움"/>
            <family val="3"/>
            <charset val="129"/>
          </rPr>
          <t>제</t>
        </r>
        <r>
          <rPr>
            <sz val="10"/>
            <color indexed="81"/>
            <rFont val="Tahoma"/>
            <family val="2"/>
          </rPr>
          <t>3</t>
        </r>
        <r>
          <rPr>
            <sz val="10"/>
            <color indexed="81"/>
            <rFont val="돋움"/>
            <family val="3"/>
            <charset val="129"/>
          </rPr>
          <t>항에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따라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구축하여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운영되는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이용지원시스템</t>
        </r>
        <r>
          <rPr>
            <sz val="10"/>
            <color indexed="81"/>
            <rFont val="Tahoma"/>
            <family val="2"/>
          </rPr>
          <t>(www.digitalmarket.kr)</t>
        </r>
        <r>
          <rPr>
            <sz val="10"/>
            <color indexed="81"/>
            <rFont val="돋움"/>
            <family val="3"/>
            <charset val="129"/>
          </rPr>
          <t>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확인한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후</t>
        </r>
        <r>
          <rPr>
            <sz val="10"/>
            <color indexed="81"/>
            <rFont val="Tahoma"/>
            <family val="2"/>
          </rPr>
          <t xml:space="preserve">, </t>
        </r>
        <r>
          <rPr>
            <sz val="10"/>
            <color indexed="81"/>
            <rFont val="돋움"/>
            <family val="3"/>
            <charset val="129"/>
          </rPr>
          <t>클라우드컴퓨팅서비스를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선정하고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필요한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비용을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계상하여야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함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G126" authorId="1" shapeId="0" xr:uid="{00000000-0006-0000-0100-00002C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소프트웨어의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구입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설치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임차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사용대차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데이터베이스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네트워크의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이용료</t>
        </r>
        <r>
          <rPr>
            <sz val="11"/>
            <color indexed="81"/>
            <rFont val="Tahoma"/>
            <family val="2"/>
          </rPr>
          <t xml:space="preserve"> </t>
        </r>
      </text>
    </comment>
    <comment ref="G127" authorId="1" shapeId="0" xr:uid="{00000000-0006-0000-0100-00002D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사무용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사무용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소프트웨어의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구입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설치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임차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사용대차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사무용품비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연구실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운영에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소모성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연구실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냉난방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청결한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환경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유지를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기기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비품의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구입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유지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
사무용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사무용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소프트웨어에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소요되는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연구실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냉난방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청결한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환경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유지비용은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협약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체결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당시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연구실운영비활용·관리계획을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작성하여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첨부한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경우에만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있음</t>
        </r>
        <r>
          <rPr>
            <sz val="11"/>
            <color indexed="81"/>
            <rFont val="Tahoma"/>
            <family val="2"/>
          </rPr>
          <t>.</t>
        </r>
      </text>
    </comment>
    <comment ref="G128" authorId="1" shapeId="0" xr:uid="{00000000-0006-0000-0100-00002E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직접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관련된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교육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훈련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학회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세미나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참가비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지출된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야근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특근</t>
        </r>
        <r>
          <rPr>
            <sz val="11"/>
            <color indexed="81"/>
            <rFont val="Tahoma"/>
            <family val="2"/>
          </rPr>
          <t xml:space="preserve">) </t>
        </r>
        <r>
          <rPr>
            <sz val="11"/>
            <color indexed="81"/>
            <rFont val="돋움"/>
            <family val="3"/>
            <charset val="129"/>
          </rPr>
          <t>식대</t>
        </r>
      </text>
    </comment>
    <comment ref="G129" authorId="1" shapeId="0" xr:uid="{00000000-0006-0000-0100-00002F000000}">
      <text>
        <r>
          <rPr>
            <sz val="11"/>
            <color indexed="81"/>
            <rFont val="돋움"/>
            <family val="3"/>
            <charset val="129"/>
          </rPr>
          <t>문헌구입비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논문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게재료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인쇄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복사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인화비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슬라이드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제작비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각종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세금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공과금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우편요금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택배비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수수료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공공요금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일용직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활용비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등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직접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관련있는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밖의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</text>
    </comment>
    <comment ref="F130" authorId="1" shapeId="0" xr:uid="{00000000-0006-0000-0100-000030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참여하는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연구책임자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연구자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학생연구자를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포함한다</t>
        </r>
        <r>
          <rPr>
            <sz val="11"/>
            <color indexed="81"/>
            <rFont val="Tahoma"/>
            <family val="2"/>
          </rPr>
          <t>)</t>
        </r>
        <r>
          <rPr>
            <sz val="11"/>
            <color indexed="81"/>
            <rFont val="돋움"/>
            <family val="3"/>
            <charset val="129"/>
          </rPr>
          <t>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대상으로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지급하는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장려금으로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한다</t>
        </r>
        <r>
          <rPr>
            <sz val="11"/>
            <color indexed="81"/>
            <rFont val="Tahoma"/>
            <family val="2"/>
          </rPr>
          <t>.</t>
        </r>
      </text>
    </comment>
    <comment ref="O130" authorId="0" shapeId="0" xr:uid="{00000000-0006-0000-0100-000031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인건비의</t>
        </r>
        <r>
          <rPr>
            <sz val="9"/>
            <color indexed="81"/>
            <rFont val="Tahoma"/>
            <family val="2"/>
          </rPr>
          <t xml:space="preserve"> 20% </t>
        </r>
        <r>
          <rPr>
            <sz val="9"/>
            <color indexed="81"/>
            <rFont val="돋움"/>
            <family val="3"/>
            <charset val="129"/>
          </rPr>
          <t>이내</t>
        </r>
      </text>
    </comment>
    <comment ref="F132" authorId="1" shapeId="0" xr:uid="{00000000-0006-0000-0100-000032000000}">
      <text>
        <r>
          <rPr>
            <sz val="11"/>
            <color indexed="81"/>
            <rFont val="돋움"/>
            <family val="3"/>
            <charset val="129"/>
          </rPr>
          <t>국가연구개발사업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</t>
        </r>
        <r>
          <rPr>
            <sz val="11"/>
            <color indexed="81"/>
            <rFont val="Tahoma"/>
            <family val="2"/>
          </rPr>
          <t>15</t>
        </r>
        <r>
          <rPr>
            <sz val="11"/>
            <color indexed="81"/>
            <rFont val="돋움"/>
            <family val="3"/>
            <charset val="129"/>
          </rPr>
          <t>조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인력지원비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사용용도</t>
        </r>
        <r>
          <rPr>
            <sz val="11"/>
            <color indexed="81"/>
            <rFont val="Tahoma"/>
            <family val="2"/>
          </rPr>
          <t xml:space="preserve">) </t>
        </r>
        <r>
          <rPr>
            <sz val="11"/>
            <color indexed="81"/>
            <rFont val="돋움"/>
            <family val="3"/>
            <charset val="129"/>
          </rPr>
          <t>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명시되어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확인
연구개발능률성과급을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해당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간접비의</t>
        </r>
        <r>
          <rPr>
            <sz val="11"/>
            <color indexed="81"/>
            <rFont val="Tahoma"/>
            <family val="2"/>
          </rPr>
          <t xml:space="preserve"> 10</t>
        </r>
        <r>
          <rPr>
            <sz val="11"/>
            <color indexed="81"/>
            <rFont val="돋움"/>
            <family val="3"/>
            <charset val="129"/>
          </rPr>
          <t>퍼센트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이하로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계상하여야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함</t>
        </r>
      </text>
    </comment>
    <comment ref="F133" authorId="1" shapeId="0" xr:uid="{00000000-0006-0000-0100-000033000000}">
      <text>
        <r>
          <rPr>
            <sz val="11"/>
            <color indexed="81"/>
            <rFont val="맑은 고딕"/>
            <family val="3"/>
            <charset val="129"/>
          </rPr>
          <t>1. 국가연구개발사업 연구개발비 사용기준 제15조(연구지원비 사용용도) 에 명시되어 있는 기준 확인</t>
        </r>
        <r>
          <rPr>
            <b/>
            <sz val="11"/>
            <color indexed="81"/>
            <rFont val="돋움"/>
            <family val="3"/>
            <charset val="129"/>
          </rPr>
          <t xml:space="preserve">
</t>
        </r>
        <r>
          <rPr>
            <b/>
            <sz val="11"/>
            <color indexed="81"/>
            <rFont val="맑은 고딕"/>
            <family val="3"/>
            <charset val="129"/>
          </rPr>
          <t xml:space="preserve">2. 기업신용평가비 매년 20만원 계상하고 사업비 지급완료 시 즉시 신청(주관, 공동만 해당)
3. 기업범용인증서 발급비 계상가능(선택, 10만원)
</t>
        </r>
      </text>
    </comment>
    <comment ref="F134" authorId="1" shapeId="0" xr:uid="{00000000-0006-0000-0100-000034000000}">
      <text>
        <r>
          <rPr>
            <sz val="11"/>
            <color indexed="81"/>
            <rFont val="Tahoma"/>
            <family val="2"/>
          </rPr>
          <t xml:space="preserve">1. </t>
        </r>
        <r>
          <rPr>
            <sz val="11"/>
            <color indexed="81"/>
            <rFont val="돋움"/>
            <family val="3"/>
            <charset val="129"/>
          </rPr>
          <t>국가연구개발사업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</t>
        </r>
        <r>
          <rPr>
            <sz val="11"/>
            <color indexed="81"/>
            <rFont val="Tahoma"/>
            <family val="2"/>
          </rPr>
          <t>15</t>
        </r>
        <r>
          <rPr>
            <sz val="11"/>
            <color indexed="81"/>
            <rFont val="돋움"/>
            <family val="3"/>
            <charset val="129"/>
          </rPr>
          <t>조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성과활용지원비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사용용도</t>
        </r>
        <r>
          <rPr>
            <sz val="11"/>
            <color indexed="81"/>
            <rFont val="Tahoma"/>
            <family val="2"/>
          </rPr>
          <t xml:space="preserve">) </t>
        </r>
        <r>
          <rPr>
            <sz val="11"/>
            <color indexed="81"/>
            <rFont val="돋움"/>
            <family val="3"/>
            <charset val="129"/>
          </rPr>
          <t>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명시되어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확인
</t>
        </r>
        <r>
          <rPr>
            <sz val="11"/>
            <color indexed="81"/>
            <rFont val="Tahoma"/>
            <family val="2"/>
          </rPr>
          <t xml:space="preserve">2. </t>
        </r>
        <r>
          <rPr>
            <sz val="11"/>
            <color indexed="81"/>
            <rFont val="돋움"/>
            <family val="3"/>
            <charset val="129"/>
          </rPr>
          <t>특허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출원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등록비용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계상
</t>
        </r>
        <r>
          <rPr>
            <sz val="11"/>
            <color indexed="81"/>
            <rFont val="Tahoma"/>
            <family val="2"/>
          </rPr>
          <t>3.</t>
        </r>
        <r>
          <rPr>
            <sz val="11"/>
            <color indexed="81"/>
            <rFont val="돋움"/>
            <family val="3"/>
            <charset val="129"/>
          </rPr>
          <t>기술창업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출연</t>
        </r>
        <r>
          <rPr>
            <sz val="11"/>
            <color indexed="81"/>
            <rFont val="MS Gothic"/>
            <family val="3"/>
            <charset val="128"/>
          </rPr>
          <t>･</t>
        </r>
        <r>
          <rPr>
            <sz val="11"/>
            <color indexed="81"/>
            <rFont val="돋움"/>
            <family val="3"/>
            <charset val="129"/>
          </rPr>
          <t>출자금은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해당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회계연도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간접비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총액의</t>
        </r>
        <r>
          <rPr>
            <sz val="11"/>
            <color indexed="81"/>
            <rFont val="Tahoma"/>
            <family val="2"/>
          </rPr>
          <t xml:space="preserve"> 10</t>
        </r>
        <r>
          <rPr>
            <sz val="11"/>
            <color indexed="81"/>
            <rFont val="돋움"/>
            <family val="3"/>
            <charset val="129"/>
          </rPr>
          <t>퍼센트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범위에서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설립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이후</t>
        </r>
        <r>
          <rPr>
            <sz val="11"/>
            <color indexed="81"/>
            <rFont val="Tahoma"/>
            <family val="2"/>
          </rPr>
          <t xml:space="preserve"> 5</t>
        </r>
        <r>
          <rPr>
            <sz val="11"/>
            <color indexed="81"/>
            <rFont val="돋움"/>
            <family val="3"/>
            <charset val="129"/>
          </rPr>
          <t>년까지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있으며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연구개발기관의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장이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필요하다고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인정하는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경우에는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자체규정에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따라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당초의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기간을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포함하여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최장</t>
        </r>
        <r>
          <rPr>
            <sz val="11"/>
            <color indexed="81"/>
            <rFont val="Tahoma"/>
            <family val="2"/>
          </rPr>
          <t xml:space="preserve"> 10</t>
        </r>
        <r>
          <rPr>
            <sz val="11"/>
            <color indexed="81"/>
            <rFont val="돋움"/>
            <family val="3"/>
            <charset val="129"/>
          </rPr>
          <t>년까지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있음
</t>
        </r>
        <r>
          <rPr>
            <sz val="11"/>
            <color indexed="81"/>
            <rFont val="Tahoma"/>
            <family val="2"/>
          </rPr>
          <t>4</t>
        </r>
        <r>
          <rPr>
            <b/>
            <sz val="11"/>
            <color indexed="81"/>
            <rFont val="맑은 고딕"/>
            <family val="3"/>
            <charset val="129"/>
          </rPr>
          <t xml:space="preserve">. 주관연구개발기관은 개발기간 마지막 종료차수에 기술임치비용을 계상해야 하며, 최종보고서 제출 시 기술임치증을 제출해야함
</t>
        </r>
      </text>
    </comment>
    <comment ref="O135" authorId="0" shapeId="0" xr:uid="{00000000-0006-0000-0100-000035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직접비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현금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이내</t>
        </r>
      </text>
    </comment>
    <comment ref="G147" authorId="1" shapeId="0" xr:uid="{00000000-0006-0000-0100-000036000000}">
      <text>
        <r>
          <rPr>
            <sz val="11"/>
            <color indexed="81"/>
            <rFont val="돋움"/>
            <family val="3"/>
            <charset val="129"/>
          </rPr>
          <t>기술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특허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표준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정보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조사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분석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원천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핵심특허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확보전략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등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지식재산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창출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활동에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비용
</t>
        </r>
      </text>
    </comment>
    <comment ref="G148" authorId="1" shapeId="0" xr:uid="{00000000-0006-0000-0100-000037000000}">
      <text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맑은 고딕"/>
            <family val="3"/>
            <charset val="129"/>
          </rPr>
          <t>기술도입비, 전문가 활용비(원고료, 강사료, 자문료 등을 포함한다), 연구개발서비스 활용비 등 외부 전문기술 활용을 위하여 필요한 비용
*성능지표 관련 공인시험 시험 비용도 포함</t>
        </r>
      </text>
    </comment>
    <comment ref="O148" authorId="0" shapeId="0" xr:uid="{00000000-0006-0000-0100-000038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직접비의</t>
        </r>
        <r>
          <rPr>
            <sz val="9"/>
            <color indexed="81"/>
            <rFont val="Tahoma"/>
            <family val="2"/>
          </rPr>
          <t xml:space="preserve"> 40% </t>
        </r>
        <r>
          <rPr>
            <sz val="9"/>
            <color indexed="81"/>
            <rFont val="돋움"/>
            <family val="3"/>
            <charset val="129"/>
          </rPr>
          <t>이내</t>
        </r>
      </text>
    </comment>
    <comment ref="G149" authorId="1" shapeId="0" xr:uid="{00000000-0006-0000-0100-000039000000}">
      <text>
        <r>
          <rPr>
            <sz val="11"/>
            <color indexed="81"/>
            <rFont val="맑은 고딕"/>
            <family val="3"/>
            <charset val="129"/>
          </rPr>
          <t>회의장 임차료, 속기료, 통역료 또는 회의비 등 연구개발과제 수행을 위하여 필요한 회의·세미나 개최 비용</t>
        </r>
      </text>
    </comment>
    <comment ref="G150" authorId="1" shapeId="0" xr:uid="{00000000-0006-0000-0100-00003A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국내외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출장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영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</t>
        </r>
        <r>
          <rPr>
            <sz val="11"/>
            <color indexed="81"/>
            <rFont val="Tahoma"/>
            <family val="2"/>
          </rPr>
          <t>19</t>
        </r>
        <r>
          <rPr>
            <sz val="11"/>
            <color indexed="81"/>
            <rFont val="돋움"/>
            <family val="3"/>
            <charset val="129"/>
          </rPr>
          <t>조제</t>
        </r>
        <r>
          <rPr>
            <sz val="11"/>
            <color indexed="81"/>
            <rFont val="Tahoma"/>
            <family val="2"/>
          </rPr>
          <t>4</t>
        </r>
        <r>
          <rPr>
            <sz val="11"/>
            <color indexed="81"/>
            <rFont val="돋움"/>
            <family val="3"/>
            <charset val="129"/>
          </rPr>
          <t>항제</t>
        </r>
        <r>
          <rPr>
            <sz val="11"/>
            <color indexed="81"/>
            <rFont val="Tahoma"/>
            <family val="2"/>
          </rPr>
          <t>3</t>
        </r>
        <r>
          <rPr>
            <sz val="11"/>
            <color indexed="81"/>
            <rFont val="돋움"/>
            <family val="3"/>
            <charset val="129"/>
          </rPr>
          <t>호의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따라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파견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전보되는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인력에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대한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파견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전보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주거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관련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포함한다</t>
        </r>
        <r>
          <rPr>
            <sz val="11"/>
            <color indexed="81"/>
            <rFont val="Tahoma"/>
            <family val="2"/>
          </rPr>
          <t>)</t>
        </r>
      </text>
    </comment>
    <comment ref="G151" authorId="0" shapeId="0" xr:uid="{00000000-0006-0000-0100-00003B000000}">
      <text>
        <r>
          <rPr>
            <sz val="10"/>
            <color indexed="81"/>
            <rFont val="돋움"/>
            <family val="3"/>
            <charset val="129"/>
          </rPr>
          <t>연구개발과제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수행을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위한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클라우드컴퓨팅서비스의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 xml:space="preserve">이용료
</t>
        </r>
        <r>
          <rPr>
            <sz val="10"/>
            <color indexed="81"/>
            <rFont val="Tahoma"/>
            <family val="2"/>
          </rPr>
          <t xml:space="preserve">- </t>
        </r>
        <r>
          <rPr>
            <sz val="10"/>
            <color indexed="81"/>
            <rFont val="돋움"/>
            <family val="3"/>
            <charset val="129"/>
          </rPr>
          <t>클라우드컴퓨팅서비스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활용비를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계상하려는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경우에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「클라우드컴퓨팅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발전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및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이용자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보호에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관한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법률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시행령」제</t>
        </r>
        <r>
          <rPr>
            <sz val="10"/>
            <color indexed="81"/>
            <rFont val="Tahoma"/>
            <family val="2"/>
          </rPr>
          <t>8</t>
        </r>
        <r>
          <rPr>
            <sz val="10"/>
            <color indexed="81"/>
            <rFont val="돋움"/>
            <family val="3"/>
            <charset val="129"/>
          </rPr>
          <t>조의</t>
        </r>
        <r>
          <rPr>
            <sz val="10"/>
            <color indexed="81"/>
            <rFont val="Tahoma"/>
            <family val="2"/>
          </rPr>
          <t xml:space="preserve">2 </t>
        </r>
        <r>
          <rPr>
            <sz val="10"/>
            <color indexed="81"/>
            <rFont val="돋움"/>
            <family val="3"/>
            <charset val="129"/>
          </rPr>
          <t>제</t>
        </r>
        <r>
          <rPr>
            <sz val="10"/>
            <color indexed="81"/>
            <rFont val="Tahoma"/>
            <family val="2"/>
          </rPr>
          <t>3</t>
        </r>
        <r>
          <rPr>
            <sz val="10"/>
            <color indexed="81"/>
            <rFont val="돋움"/>
            <family val="3"/>
            <charset val="129"/>
          </rPr>
          <t>항에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따라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구축하여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운영되는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이용지원시스템</t>
        </r>
        <r>
          <rPr>
            <sz val="10"/>
            <color indexed="81"/>
            <rFont val="Tahoma"/>
            <family val="2"/>
          </rPr>
          <t>(www.digitalmarket.kr)</t>
        </r>
        <r>
          <rPr>
            <sz val="10"/>
            <color indexed="81"/>
            <rFont val="돋움"/>
            <family val="3"/>
            <charset val="129"/>
          </rPr>
          <t>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확인한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후</t>
        </r>
        <r>
          <rPr>
            <sz val="10"/>
            <color indexed="81"/>
            <rFont val="Tahoma"/>
            <family val="2"/>
          </rPr>
          <t xml:space="preserve">, </t>
        </r>
        <r>
          <rPr>
            <sz val="10"/>
            <color indexed="81"/>
            <rFont val="돋움"/>
            <family val="3"/>
            <charset val="129"/>
          </rPr>
          <t>클라우드컴퓨팅서비스를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선정하고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필요한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비용을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계상하여야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함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G152" authorId="1" shapeId="0" xr:uid="{00000000-0006-0000-0100-00003C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소프트웨어의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구입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설치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임차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사용대차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데이터베이스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네트워크의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이용료</t>
        </r>
        <r>
          <rPr>
            <sz val="11"/>
            <color indexed="81"/>
            <rFont val="Tahoma"/>
            <family val="2"/>
          </rPr>
          <t xml:space="preserve"> </t>
        </r>
      </text>
    </comment>
    <comment ref="G153" authorId="1" shapeId="0" xr:uid="{00000000-0006-0000-0100-00003D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사무용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사무용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소프트웨어의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구입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설치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임차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사용대차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사무용품비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연구실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운영에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소모성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연구실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냉난방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청결한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환경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유지를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기기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비품의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구입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유지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
사무용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사무용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소프트웨어에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소요되는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연구실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냉난방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청결한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환경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유지비용은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협약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체결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당시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연구실운영비활용·관리계획을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작성하여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첨부한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경우에만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있음</t>
        </r>
        <r>
          <rPr>
            <sz val="11"/>
            <color indexed="81"/>
            <rFont val="Tahoma"/>
            <family val="2"/>
          </rPr>
          <t>.</t>
        </r>
      </text>
    </comment>
    <comment ref="G154" authorId="1" shapeId="0" xr:uid="{00000000-0006-0000-0100-00003E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직접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관련된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교육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훈련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학회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세미나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참가비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지출된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야근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특근</t>
        </r>
        <r>
          <rPr>
            <sz val="11"/>
            <color indexed="81"/>
            <rFont val="Tahoma"/>
            <family val="2"/>
          </rPr>
          <t xml:space="preserve">) </t>
        </r>
        <r>
          <rPr>
            <sz val="11"/>
            <color indexed="81"/>
            <rFont val="돋움"/>
            <family val="3"/>
            <charset val="129"/>
          </rPr>
          <t>식대</t>
        </r>
      </text>
    </comment>
    <comment ref="G155" authorId="1" shapeId="0" xr:uid="{00000000-0006-0000-0100-00003F000000}">
      <text>
        <r>
          <rPr>
            <sz val="11"/>
            <color indexed="81"/>
            <rFont val="돋움"/>
            <family val="3"/>
            <charset val="129"/>
          </rPr>
          <t>문헌구입비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논문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게재료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인쇄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복사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인화비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슬라이드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제작비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각종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세금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공과금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우편요금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택배비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수수료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공공요금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일용직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활용비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등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직접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관련있는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밖의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</text>
    </comment>
    <comment ref="F156" authorId="1" shapeId="0" xr:uid="{00000000-0006-0000-0100-000040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참여하는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연구책임자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연구자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학생연구자를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포함한다</t>
        </r>
        <r>
          <rPr>
            <sz val="11"/>
            <color indexed="81"/>
            <rFont val="Tahoma"/>
            <family val="2"/>
          </rPr>
          <t>)</t>
        </r>
        <r>
          <rPr>
            <sz val="11"/>
            <color indexed="81"/>
            <rFont val="돋움"/>
            <family val="3"/>
            <charset val="129"/>
          </rPr>
          <t>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대상으로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지급하는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장려금으로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한다</t>
        </r>
        <r>
          <rPr>
            <sz val="11"/>
            <color indexed="81"/>
            <rFont val="Tahoma"/>
            <family val="2"/>
          </rPr>
          <t>.</t>
        </r>
      </text>
    </comment>
    <comment ref="O156" authorId="0" shapeId="0" xr:uid="{00000000-0006-0000-0100-000041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인건비의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현물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미지급인건비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연구근접지원인력비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제외</t>
        </r>
        <r>
          <rPr>
            <sz val="9"/>
            <color indexed="81"/>
            <rFont val="Tahoma"/>
            <family val="2"/>
          </rPr>
          <t xml:space="preserve">)20% </t>
        </r>
        <r>
          <rPr>
            <sz val="9"/>
            <color indexed="81"/>
            <rFont val="돋움"/>
            <family val="3"/>
            <charset val="129"/>
          </rPr>
          <t>이내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계상</t>
        </r>
      </text>
    </comment>
    <comment ref="F158" authorId="1" shapeId="0" xr:uid="{00000000-0006-0000-0100-000042000000}">
      <text>
        <r>
          <rPr>
            <sz val="11"/>
            <color indexed="81"/>
            <rFont val="돋움"/>
            <family val="3"/>
            <charset val="129"/>
          </rPr>
          <t>국가연구개발사업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</t>
        </r>
        <r>
          <rPr>
            <sz val="11"/>
            <color indexed="81"/>
            <rFont val="Tahoma"/>
            <family val="2"/>
          </rPr>
          <t>15</t>
        </r>
        <r>
          <rPr>
            <sz val="11"/>
            <color indexed="81"/>
            <rFont val="돋움"/>
            <family val="3"/>
            <charset val="129"/>
          </rPr>
          <t>조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인력지원비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사용용도</t>
        </r>
        <r>
          <rPr>
            <sz val="11"/>
            <color indexed="81"/>
            <rFont val="Tahoma"/>
            <family val="2"/>
          </rPr>
          <t xml:space="preserve">) </t>
        </r>
        <r>
          <rPr>
            <sz val="11"/>
            <color indexed="81"/>
            <rFont val="돋움"/>
            <family val="3"/>
            <charset val="129"/>
          </rPr>
          <t>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명시되어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확인
연구개발능률성과급을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해당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간접비의</t>
        </r>
        <r>
          <rPr>
            <sz val="11"/>
            <color indexed="81"/>
            <rFont val="Tahoma"/>
            <family val="2"/>
          </rPr>
          <t xml:space="preserve"> 10</t>
        </r>
        <r>
          <rPr>
            <sz val="11"/>
            <color indexed="81"/>
            <rFont val="돋움"/>
            <family val="3"/>
            <charset val="129"/>
          </rPr>
          <t>퍼센트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이하로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계상하여야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함</t>
        </r>
      </text>
    </comment>
    <comment ref="F159" authorId="1" shapeId="0" xr:uid="{00000000-0006-0000-0100-000043000000}">
      <text>
        <r>
          <rPr>
            <sz val="11"/>
            <color indexed="81"/>
            <rFont val="맑은 고딕"/>
            <family val="3"/>
            <charset val="129"/>
          </rPr>
          <t>1. 국가연구개발사업 연구개발비 사용기준 제15조(연구지원비 사용용도) 에 명시되어 있는 기준 확인</t>
        </r>
        <r>
          <rPr>
            <b/>
            <sz val="11"/>
            <color indexed="81"/>
            <rFont val="돋움"/>
            <family val="3"/>
            <charset val="129"/>
          </rPr>
          <t xml:space="preserve">
</t>
        </r>
        <r>
          <rPr>
            <b/>
            <sz val="11"/>
            <color indexed="81"/>
            <rFont val="맑은 고딕"/>
            <family val="3"/>
            <charset val="129"/>
          </rPr>
          <t xml:space="preserve">2. 기업신용평가비 매년 20만원 계상하고 사업비 지급완료 시 즉시 신청(주관, 공동만 해당)
3. 기업범용인증서 발급비 계상가능(선택, 10만원)
</t>
        </r>
      </text>
    </comment>
    <comment ref="F160" authorId="1" shapeId="0" xr:uid="{00000000-0006-0000-0100-000044000000}">
      <text>
        <r>
          <rPr>
            <sz val="11"/>
            <color indexed="81"/>
            <rFont val="Tahoma"/>
            <family val="2"/>
          </rPr>
          <t xml:space="preserve">1. </t>
        </r>
        <r>
          <rPr>
            <sz val="11"/>
            <color indexed="81"/>
            <rFont val="돋움"/>
            <family val="3"/>
            <charset val="129"/>
          </rPr>
          <t>국가연구개발사업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</t>
        </r>
        <r>
          <rPr>
            <sz val="11"/>
            <color indexed="81"/>
            <rFont val="Tahoma"/>
            <family val="2"/>
          </rPr>
          <t>15</t>
        </r>
        <r>
          <rPr>
            <sz val="11"/>
            <color indexed="81"/>
            <rFont val="돋움"/>
            <family val="3"/>
            <charset val="129"/>
          </rPr>
          <t>조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성과활용지원비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사용용도</t>
        </r>
        <r>
          <rPr>
            <sz val="11"/>
            <color indexed="81"/>
            <rFont val="Tahoma"/>
            <family val="2"/>
          </rPr>
          <t xml:space="preserve">) </t>
        </r>
        <r>
          <rPr>
            <sz val="11"/>
            <color indexed="81"/>
            <rFont val="돋움"/>
            <family val="3"/>
            <charset val="129"/>
          </rPr>
          <t>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명시되어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확인
</t>
        </r>
        <r>
          <rPr>
            <sz val="11"/>
            <color indexed="81"/>
            <rFont val="Tahoma"/>
            <family val="2"/>
          </rPr>
          <t xml:space="preserve">2. </t>
        </r>
        <r>
          <rPr>
            <sz val="11"/>
            <color indexed="81"/>
            <rFont val="돋움"/>
            <family val="3"/>
            <charset val="129"/>
          </rPr>
          <t>특허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출원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등록비용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계상
</t>
        </r>
        <r>
          <rPr>
            <sz val="11"/>
            <color indexed="81"/>
            <rFont val="Tahoma"/>
            <family val="2"/>
          </rPr>
          <t>3.</t>
        </r>
        <r>
          <rPr>
            <sz val="11"/>
            <color indexed="81"/>
            <rFont val="돋움"/>
            <family val="3"/>
            <charset val="129"/>
          </rPr>
          <t>기술창업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출연</t>
        </r>
        <r>
          <rPr>
            <sz val="11"/>
            <color indexed="81"/>
            <rFont val="MS Gothic"/>
            <family val="3"/>
            <charset val="128"/>
          </rPr>
          <t>･</t>
        </r>
        <r>
          <rPr>
            <sz val="11"/>
            <color indexed="81"/>
            <rFont val="돋움"/>
            <family val="3"/>
            <charset val="129"/>
          </rPr>
          <t>출자금은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해당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회계연도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간접비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총액의</t>
        </r>
        <r>
          <rPr>
            <sz val="11"/>
            <color indexed="81"/>
            <rFont val="Tahoma"/>
            <family val="2"/>
          </rPr>
          <t xml:space="preserve"> 10</t>
        </r>
        <r>
          <rPr>
            <sz val="11"/>
            <color indexed="81"/>
            <rFont val="돋움"/>
            <family val="3"/>
            <charset val="129"/>
          </rPr>
          <t>퍼센트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범위에서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설립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이후</t>
        </r>
        <r>
          <rPr>
            <sz val="11"/>
            <color indexed="81"/>
            <rFont val="Tahoma"/>
            <family val="2"/>
          </rPr>
          <t xml:space="preserve"> 5</t>
        </r>
        <r>
          <rPr>
            <sz val="11"/>
            <color indexed="81"/>
            <rFont val="돋움"/>
            <family val="3"/>
            <charset val="129"/>
          </rPr>
          <t>년까지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있으며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연구개발기관의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장이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필요하다고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인정하는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경우에는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자체규정에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따라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당초의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기간을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포함하여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최장</t>
        </r>
        <r>
          <rPr>
            <sz val="11"/>
            <color indexed="81"/>
            <rFont val="Tahoma"/>
            <family val="2"/>
          </rPr>
          <t xml:space="preserve"> 10</t>
        </r>
        <r>
          <rPr>
            <sz val="11"/>
            <color indexed="81"/>
            <rFont val="돋움"/>
            <family val="3"/>
            <charset val="129"/>
          </rPr>
          <t>년까지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있음
</t>
        </r>
        <r>
          <rPr>
            <sz val="11"/>
            <color indexed="81"/>
            <rFont val="Tahoma"/>
            <family val="2"/>
          </rPr>
          <t>4</t>
        </r>
        <r>
          <rPr>
            <b/>
            <sz val="11"/>
            <color indexed="81"/>
            <rFont val="맑은 고딕"/>
            <family val="3"/>
            <charset val="129"/>
          </rPr>
          <t xml:space="preserve">. 주관연구개발기관은 개발기간 마지막 종료차수에 기술임치비용을 계상해야 하며, 최종보고서 제출 시 기술임치증을 제출해야함
</t>
        </r>
      </text>
    </comment>
    <comment ref="G173" authorId="1" shapeId="0" xr:uid="{00000000-0006-0000-0100-000045000000}">
      <text>
        <r>
          <rPr>
            <sz val="11"/>
            <color indexed="81"/>
            <rFont val="돋움"/>
            <family val="3"/>
            <charset val="129"/>
          </rPr>
          <t>기술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특허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표준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정보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조사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분석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원천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핵심특허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확보전략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등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지식재산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창출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활동에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비용
</t>
        </r>
      </text>
    </comment>
    <comment ref="G174" authorId="1" shapeId="0" xr:uid="{00000000-0006-0000-0100-000046000000}">
      <text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맑은 고딕"/>
            <family val="3"/>
            <charset val="129"/>
          </rPr>
          <t>기술도입비, 전문가 활용비(원고료, 강사료, 자문료 등을 포함한다), 연구개발서비스 활용비 등 외부 전문기술 활용을 위하여 필요한 비용
*성능지표 관련 공인시험 시험 비용도 포함</t>
        </r>
      </text>
    </comment>
    <comment ref="O174" authorId="0" shapeId="0" xr:uid="{00000000-0006-0000-0100-000047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직접비의</t>
        </r>
        <r>
          <rPr>
            <sz val="9"/>
            <color indexed="81"/>
            <rFont val="Tahoma"/>
            <family val="2"/>
          </rPr>
          <t xml:space="preserve"> 40% </t>
        </r>
        <r>
          <rPr>
            <sz val="9"/>
            <color indexed="81"/>
            <rFont val="돋움"/>
            <family val="3"/>
            <charset val="129"/>
          </rPr>
          <t>이내</t>
        </r>
      </text>
    </comment>
    <comment ref="G175" authorId="1" shapeId="0" xr:uid="{00000000-0006-0000-0100-000048000000}">
      <text>
        <r>
          <rPr>
            <sz val="11"/>
            <color indexed="81"/>
            <rFont val="맑은 고딕"/>
            <family val="3"/>
            <charset val="129"/>
          </rPr>
          <t>회의장 임차료, 속기료, 통역료 또는 회의비 등 연구개발과제 수행을 위하여 필요한 회의·세미나 개최 비용</t>
        </r>
      </text>
    </comment>
    <comment ref="G176" authorId="1" shapeId="0" xr:uid="{00000000-0006-0000-0100-000049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국내외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출장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영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</t>
        </r>
        <r>
          <rPr>
            <sz val="11"/>
            <color indexed="81"/>
            <rFont val="Tahoma"/>
            <family val="2"/>
          </rPr>
          <t>19</t>
        </r>
        <r>
          <rPr>
            <sz val="11"/>
            <color indexed="81"/>
            <rFont val="돋움"/>
            <family val="3"/>
            <charset val="129"/>
          </rPr>
          <t>조제</t>
        </r>
        <r>
          <rPr>
            <sz val="11"/>
            <color indexed="81"/>
            <rFont val="Tahoma"/>
            <family val="2"/>
          </rPr>
          <t>4</t>
        </r>
        <r>
          <rPr>
            <sz val="11"/>
            <color indexed="81"/>
            <rFont val="돋움"/>
            <family val="3"/>
            <charset val="129"/>
          </rPr>
          <t>항제</t>
        </r>
        <r>
          <rPr>
            <sz val="11"/>
            <color indexed="81"/>
            <rFont val="Tahoma"/>
            <family val="2"/>
          </rPr>
          <t>3</t>
        </r>
        <r>
          <rPr>
            <sz val="11"/>
            <color indexed="81"/>
            <rFont val="돋움"/>
            <family val="3"/>
            <charset val="129"/>
          </rPr>
          <t>호의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따라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파견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전보되는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인력에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대한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파견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전보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주거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관련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포함한다</t>
        </r>
        <r>
          <rPr>
            <sz val="11"/>
            <color indexed="81"/>
            <rFont val="Tahoma"/>
            <family val="2"/>
          </rPr>
          <t>)</t>
        </r>
      </text>
    </comment>
    <comment ref="G177" authorId="0" shapeId="0" xr:uid="{00000000-0006-0000-0100-00004A000000}">
      <text>
        <r>
          <rPr>
            <sz val="10"/>
            <color indexed="81"/>
            <rFont val="돋움"/>
            <family val="3"/>
            <charset val="129"/>
          </rPr>
          <t>연구개발과제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수행을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위한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클라우드컴퓨팅서비스의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 xml:space="preserve">이용료
</t>
        </r>
        <r>
          <rPr>
            <sz val="10"/>
            <color indexed="81"/>
            <rFont val="Tahoma"/>
            <family val="2"/>
          </rPr>
          <t xml:space="preserve">- </t>
        </r>
        <r>
          <rPr>
            <sz val="10"/>
            <color indexed="81"/>
            <rFont val="돋움"/>
            <family val="3"/>
            <charset val="129"/>
          </rPr>
          <t>클라우드컴퓨팅서비스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활용비를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계상하려는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경우에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「클라우드컴퓨팅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발전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및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이용자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보호에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관한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법률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시행령」제</t>
        </r>
        <r>
          <rPr>
            <sz val="10"/>
            <color indexed="81"/>
            <rFont val="Tahoma"/>
            <family val="2"/>
          </rPr>
          <t>8</t>
        </r>
        <r>
          <rPr>
            <sz val="10"/>
            <color indexed="81"/>
            <rFont val="돋움"/>
            <family val="3"/>
            <charset val="129"/>
          </rPr>
          <t>조의</t>
        </r>
        <r>
          <rPr>
            <sz val="10"/>
            <color indexed="81"/>
            <rFont val="Tahoma"/>
            <family val="2"/>
          </rPr>
          <t xml:space="preserve">2 </t>
        </r>
        <r>
          <rPr>
            <sz val="10"/>
            <color indexed="81"/>
            <rFont val="돋움"/>
            <family val="3"/>
            <charset val="129"/>
          </rPr>
          <t>제</t>
        </r>
        <r>
          <rPr>
            <sz val="10"/>
            <color indexed="81"/>
            <rFont val="Tahoma"/>
            <family val="2"/>
          </rPr>
          <t>3</t>
        </r>
        <r>
          <rPr>
            <sz val="10"/>
            <color indexed="81"/>
            <rFont val="돋움"/>
            <family val="3"/>
            <charset val="129"/>
          </rPr>
          <t>항에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따라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구축하여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운영되는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이용지원시스템</t>
        </r>
        <r>
          <rPr>
            <sz val="10"/>
            <color indexed="81"/>
            <rFont val="Tahoma"/>
            <family val="2"/>
          </rPr>
          <t>(www.digitalmarket.kr)</t>
        </r>
        <r>
          <rPr>
            <sz val="10"/>
            <color indexed="81"/>
            <rFont val="돋움"/>
            <family val="3"/>
            <charset val="129"/>
          </rPr>
          <t>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확인한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후</t>
        </r>
        <r>
          <rPr>
            <sz val="10"/>
            <color indexed="81"/>
            <rFont val="Tahoma"/>
            <family val="2"/>
          </rPr>
          <t xml:space="preserve">, </t>
        </r>
        <r>
          <rPr>
            <sz val="10"/>
            <color indexed="81"/>
            <rFont val="돋움"/>
            <family val="3"/>
            <charset val="129"/>
          </rPr>
          <t>클라우드컴퓨팅서비스를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선정하고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필요한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비용을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계상하여야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함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G178" authorId="1" shapeId="0" xr:uid="{00000000-0006-0000-0100-00004B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소프트웨어의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구입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설치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임차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사용대차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데이터베이스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네트워크의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이용료</t>
        </r>
        <r>
          <rPr>
            <sz val="11"/>
            <color indexed="81"/>
            <rFont val="Tahoma"/>
            <family val="2"/>
          </rPr>
          <t xml:space="preserve"> </t>
        </r>
      </text>
    </comment>
    <comment ref="G179" authorId="1" shapeId="0" xr:uid="{00000000-0006-0000-0100-00004C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사무용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사무용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소프트웨어의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구입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설치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임차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사용대차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사무용품비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연구실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운영에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소모성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연구실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냉난방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청결한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환경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유지를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기기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비품의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구입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유지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
사무용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사무용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소프트웨어에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소요되는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연구실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냉난방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청결한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환경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유지비용은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협약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체결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당시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연구실운영비활용·관리계획을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작성하여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첨부한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경우에만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있음</t>
        </r>
        <r>
          <rPr>
            <sz val="11"/>
            <color indexed="81"/>
            <rFont val="Tahoma"/>
            <family val="2"/>
          </rPr>
          <t>.</t>
        </r>
      </text>
    </comment>
    <comment ref="G180" authorId="1" shapeId="0" xr:uid="{00000000-0006-0000-0100-00004D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직접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관련된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교육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훈련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학회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세미나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참가비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지출된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야근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특근</t>
        </r>
        <r>
          <rPr>
            <sz val="11"/>
            <color indexed="81"/>
            <rFont val="Tahoma"/>
            <family val="2"/>
          </rPr>
          <t xml:space="preserve">) </t>
        </r>
        <r>
          <rPr>
            <sz val="11"/>
            <color indexed="81"/>
            <rFont val="돋움"/>
            <family val="3"/>
            <charset val="129"/>
          </rPr>
          <t>식대</t>
        </r>
      </text>
    </comment>
    <comment ref="G181" authorId="1" shapeId="0" xr:uid="{00000000-0006-0000-0100-00004E000000}">
      <text>
        <r>
          <rPr>
            <sz val="11"/>
            <color indexed="81"/>
            <rFont val="돋움"/>
            <family val="3"/>
            <charset val="129"/>
          </rPr>
          <t>문헌구입비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논문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게재료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인쇄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복사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인화비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슬라이드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제작비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각종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세금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공과금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우편요금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택배비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수수료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공공요금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일용직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활용비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등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직접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관련있는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밖의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</text>
    </comment>
    <comment ref="F182" authorId="1" shapeId="0" xr:uid="{00000000-0006-0000-0100-00004F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참여하는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연구책임자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연구자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학생연구자를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포함한다</t>
        </r>
        <r>
          <rPr>
            <sz val="11"/>
            <color indexed="81"/>
            <rFont val="Tahoma"/>
            <family val="2"/>
          </rPr>
          <t>)</t>
        </r>
        <r>
          <rPr>
            <sz val="11"/>
            <color indexed="81"/>
            <rFont val="돋움"/>
            <family val="3"/>
            <charset val="129"/>
          </rPr>
          <t>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대상으로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지급하는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장려금으로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한다</t>
        </r>
        <r>
          <rPr>
            <sz val="11"/>
            <color indexed="81"/>
            <rFont val="Tahoma"/>
            <family val="2"/>
          </rPr>
          <t>.</t>
        </r>
      </text>
    </comment>
    <comment ref="O182" authorId="0" shapeId="0" xr:uid="{00000000-0006-0000-0100-000050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인건비의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현물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미지급인건비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연구근접지원인력비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제외</t>
        </r>
        <r>
          <rPr>
            <sz val="9"/>
            <color indexed="81"/>
            <rFont val="Tahoma"/>
            <family val="2"/>
          </rPr>
          <t xml:space="preserve">)20% </t>
        </r>
        <r>
          <rPr>
            <sz val="9"/>
            <color indexed="81"/>
            <rFont val="돋움"/>
            <family val="3"/>
            <charset val="129"/>
          </rPr>
          <t>이내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계상</t>
        </r>
      </text>
    </comment>
    <comment ref="F184" authorId="1" shapeId="0" xr:uid="{00000000-0006-0000-0100-000051000000}">
      <text>
        <r>
          <rPr>
            <sz val="11"/>
            <color indexed="81"/>
            <rFont val="돋움"/>
            <family val="3"/>
            <charset val="129"/>
          </rPr>
          <t>국가연구개발사업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</t>
        </r>
        <r>
          <rPr>
            <sz val="11"/>
            <color indexed="81"/>
            <rFont val="Tahoma"/>
            <family val="2"/>
          </rPr>
          <t>15</t>
        </r>
        <r>
          <rPr>
            <sz val="11"/>
            <color indexed="81"/>
            <rFont val="돋움"/>
            <family val="3"/>
            <charset val="129"/>
          </rPr>
          <t>조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인력지원비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사용용도</t>
        </r>
        <r>
          <rPr>
            <sz val="11"/>
            <color indexed="81"/>
            <rFont val="Tahoma"/>
            <family val="2"/>
          </rPr>
          <t xml:space="preserve">) </t>
        </r>
        <r>
          <rPr>
            <sz val="11"/>
            <color indexed="81"/>
            <rFont val="돋움"/>
            <family val="3"/>
            <charset val="129"/>
          </rPr>
          <t>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명시되어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확인
연구개발능률성과급을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해당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간접비의</t>
        </r>
        <r>
          <rPr>
            <sz val="11"/>
            <color indexed="81"/>
            <rFont val="Tahoma"/>
            <family val="2"/>
          </rPr>
          <t xml:space="preserve"> 10</t>
        </r>
        <r>
          <rPr>
            <sz val="11"/>
            <color indexed="81"/>
            <rFont val="돋움"/>
            <family val="3"/>
            <charset val="129"/>
          </rPr>
          <t>퍼센트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이하로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계상하여야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함</t>
        </r>
      </text>
    </comment>
    <comment ref="F185" authorId="1" shapeId="0" xr:uid="{00000000-0006-0000-0100-000052000000}">
      <text>
        <r>
          <rPr>
            <sz val="11"/>
            <color indexed="81"/>
            <rFont val="맑은 고딕"/>
            <family val="3"/>
            <charset val="129"/>
          </rPr>
          <t>1. 국가연구개발사업 연구개발비 사용기준 제15조(연구지원비 사용용도) 에 명시되어 있는 기준 확인</t>
        </r>
        <r>
          <rPr>
            <b/>
            <sz val="11"/>
            <color indexed="81"/>
            <rFont val="돋움"/>
            <family val="3"/>
            <charset val="129"/>
          </rPr>
          <t xml:space="preserve">
</t>
        </r>
        <r>
          <rPr>
            <b/>
            <sz val="11"/>
            <color indexed="81"/>
            <rFont val="맑은 고딕"/>
            <family val="3"/>
            <charset val="129"/>
          </rPr>
          <t xml:space="preserve">2. 기업신용평가비 매년 20만원 계상하고 사업비 지급완료 시 즉시 신청(주관, 공동만 해당)
3. 기업범용인증서 발급비 계상가능(선택, 10만원)
</t>
        </r>
      </text>
    </comment>
    <comment ref="F186" authorId="1" shapeId="0" xr:uid="{00000000-0006-0000-0100-000053000000}">
      <text>
        <r>
          <rPr>
            <sz val="11"/>
            <color indexed="81"/>
            <rFont val="Tahoma"/>
            <family val="2"/>
          </rPr>
          <t xml:space="preserve">1. </t>
        </r>
        <r>
          <rPr>
            <sz val="11"/>
            <color indexed="81"/>
            <rFont val="돋움"/>
            <family val="3"/>
            <charset val="129"/>
          </rPr>
          <t>국가연구개발사업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</t>
        </r>
        <r>
          <rPr>
            <sz val="11"/>
            <color indexed="81"/>
            <rFont val="Tahoma"/>
            <family val="2"/>
          </rPr>
          <t>15</t>
        </r>
        <r>
          <rPr>
            <sz val="11"/>
            <color indexed="81"/>
            <rFont val="돋움"/>
            <family val="3"/>
            <charset val="129"/>
          </rPr>
          <t>조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성과활용지원비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사용용도</t>
        </r>
        <r>
          <rPr>
            <sz val="11"/>
            <color indexed="81"/>
            <rFont val="Tahoma"/>
            <family val="2"/>
          </rPr>
          <t xml:space="preserve">) </t>
        </r>
        <r>
          <rPr>
            <sz val="11"/>
            <color indexed="81"/>
            <rFont val="돋움"/>
            <family val="3"/>
            <charset val="129"/>
          </rPr>
          <t>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명시되어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확인
</t>
        </r>
        <r>
          <rPr>
            <sz val="11"/>
            <color indexed="81"/>
            <rFont val="Tahoma"/>
            <family val="2"/>
          </rPr>
          <t xml:space="preserve">2. </t>
        </r>
        <r>
          <rPr>
            <sz val="11"/>
            <color indexed="81"/>
            <rFont val="돋움"/>
            <family val="3"/>
            <charset val="129"/>
          </rPr>
          <t>특허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출원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등록비용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계상
</t>
        </r>
        <r>
          <rPr>
            <sz val="11"/>
            <color indexed="81"/>
            <rFont val="Tahoma"/>
            <family val="2"/>
          </rPr>
          <t>3.</t>
        </r>
        <r>
          <rPr>
            <sz val="11"/>
            <color indexed="81"/>
            <rFont val="돋움"/>
            <family val="3"/>
            <charset val="129"/>
          </rPr>
          <t>기술창업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출연</t>
        </r>
        <r>
          <rPr>
            <sz val="11"/>
            <color indexed="81"/>
            <rFont val="MS Gothic"/>
            <family val="3"/>
            <charset val="128"/>
          </rPr>
          <t>･</t>
        </r>
        <r>
          <rPr>
            <sz val="11"/>
            <color indexed="81"/>
            <rFont val="돋움"/>
            <family val="3"/>
            <charset val="129"/>
          </rPr>
          <t>출자금은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해당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회계연도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간접비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총액의</t>
        </r>
        <r>
          <rPr>
            <sz val="11"/>
            <color indexed="81"/>
            <rFont val="Tahoma"/>
            <family val="2"/>
          </rPr>
          <t xml:space="preserve"> 10</t>
        </r>
        <r>
          <rPr>
            <sz val="11"/>
            <color indexed="81"/>
            <rFont val="돋움"/>
            <family val="3"/>
            <charset val="129"/>
          </rPr>
          <t>퍼센트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범위에서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설립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이후</t>
        </r>
        <r>
          <rPr>
            <sz val="11"/>
            <color indexed="81"/>
            <rFont val="Tahoma"/>
            <family val="2"/>
          </rPr>
          <t xml:space="preserve"> 5</t>
        </r>
        <r>
          <rPr>
            <sz val="11"/>
            <color indexed="81"/>
            <rFont val="돋움"/>
            <family val="3"/>
            <charset val="129"/>
          </rPr>
          <t>년까지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있으며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연구개발기관의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장이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필요하다고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인정하는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경우에는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자체규정에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따라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당초의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기간을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포함하여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최장</t>
        </r>
        <r>
          <rPr>
            <sz val="11"/>
            <color indexed="81"/>
            <rFont val="Tahoma"/>
            <family val="2"/>
          </rPr>
          <t xml:space="preserve"> 10</t>
        </r>
        <r>
          <rPr>
            <sz val="11"/>
            <color indexed="81"/>
            <rFont val="돋움"/>
            <family val="3"/>
            <charset val="129"/>
          </rPr>
          <t>년까지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있음
</t>
        </r>
        <r>
          <rPr>
            <sz val="11"/>
            <color indexed="81"/>
            <rFont val="Tahoma"/>
            <family val="2"/>
          </rPr>
          <t>4</t>
        </r>
        <r>
          <rPr>
            <b/>
            <sz val="11"/>
            <color indexed="81"/>
            <rFont val="맑은 고딕"/>
            <family val="3"/>
            <charset val="129"/>
          </rPr>
          <t xml:space="preserve">. 주관연구개발기관은 개발기간 마지막 종료차수에 기술임치비용을 계상해야 하며, 최종보고서 제출 시 기술임치증을 제출해야함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TIPA</author>
    <author>Admin</author>
  </authors>
  <commentList>
    <comment ref="O35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직접비의</t>
        </r>
        <r>
          <rPr>
            <sz val="9"/>
            <color indexed="81"/>
            <rFont val="Tahoma"/>
            <family val="2"/>
          </rPr>
          <t xml:space="preserve"> 40% </t>
        </r>
        <r>
          <rPr>
            <sz val="9"/>
            <color indexed="81"/>
            <rFont val="돋움"/>
            <family val="3"/>
            <charset val="129"/>
          </rPr>
          <t>이내</t>
        </r>
      </text>
    </comment>
    <comment ref="O48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(</t>
        </r>
        <r>
          <rPr>
            <sz val="9"/>
            <color indexed="81"/>
            <rFont val="돋움"/>
            <family val="3"/>
            <charset val="129"/>
          </rPr>
          <t>직접비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돋움"/>
            <family val="3"/>
            <charset val="129"/>
          </rPr>
          <t>위탁연구개발비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40% </t>
        </r>
        <r>
          <rPr>
            <sz val="9"/>
            <color indexed="81"/>
            <rFont val="돋움"/>
            <family val="3"/>
            <charset val="129"/>
          </rPr>
          <t>이내</t>
        </r>
      </text>
    </comment>
    <comment ref="X59" authorId="0" shapeId="0" xr:uid="{00000000-0006-0000-0200-000003000000}">
      <text>
        <r>
          <rPr>
            <b/>
            <sz val="12"/>
            <color indexed="81"/>
            <rFont val="Tahoma"/>
            <family val="2"/>
          </rPr>
          <t>TIPA: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돋움"/>
            <family val="3"/>
            <charset val="129"/>
          </rPr>
          <t>참여기간이</t>
        </r>
        <r>
          <rPr>
            <sz val="12"/>
            <color indexed="81"/>
            <rFont val="Tahoma"/>
            <family val="2"/>
          </rPr>
          <t xml:space="preserve"> 6</t>
        </r>
        <r>
          <rPr>
            <sz val="12"/>
            <color indexed="81"/>
            <rFont val="돋움"/>
            <family val="3"/>
            <charset val="129"/>
          </rPr>
          <t>개월인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경우</t>
        </r>
        <r>
          <rPr>
            <sz val="12"/>
            <color indexed="81"/>
            <rFont val="Tahoma"/>
            <family val="2"/>
          </rPr>
          <t xml:space="preserve">, </t>
        </r>
        <r>
          <rPr>
            <sz val="12"/>
            <color indexed="81"/>
            <rFont val="돋움"/>
            <family val="3"/>
            <charset val="129"/>
          </rPr>
          <t>연봉</t>
        </r>
        <r>
          <rPr>
            <sz val="12"/>
            <color indexed="81"/>
            <rFont val="Tahoma"/>
            <family val="2"/>
          </rPr>
          <t xml:space="preserve"> * 6/12 </t>
        </r>
        <r>
          <rPr>
            <sz val="12"/>
            <color indexed="81"/>
            <rFont val="돋움"/>
            <family val="3"/>
            <charset val="129"/>
          </rPr>
          <t>작성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필요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  <comment ref="AA59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연구수당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관련하여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</text>
    </comment>
    <comment ref="F66" authorId="0" shapeId="0" xr:uid="{00000000-0006-0000-0200-000005000000}">
      <text>
        <r>
          <rPr>
            <sz val="14"/>
            <color indexed="81"/>
            <rFont val="맑은 고딕"/>
            <family val="3"/>
            <charset val="129"/>
            <scheme val="minor"/>
          </rPr>
          <t>1. 연구재료 구입비: 시약․재료 구입비 및 관련 부대비용
2. 연구개발과제 관리비: 연구개발과제 수행을 위하여 필요한 관리시스템 등의 운영비
3. 연구재료 제작비: 시험제품ㆍ시험설비 제작비(자체제작과 외부제작을 모두 포함)</t>
        </r>
      </text>
    </comment>
    <comment ref="G67" authorId="1" shapeId="0" xr:uid="{00000000-0006-0000-0200-000006000000}">
      <text>
        <r>
          <rPr>
            <sz val="14"/>
            <color indexed="81"/>
            <rFont val="맑은 고딕"/>
            <family val="3"/>
            <charset val="129"/>
            <scheme val="minor"/>
          </rPr>
          <t>기술ㆍ특허ㆍ표준 정보 조사ㆍ분석, 원천ㆍ핵심특허 확보전략 수립 등 지식재산 창출 활동에 필요한 비용</t>
        </r>
      </text>
    </comment>
    <comment ref="G68" authorId="1" shapeId="0" xr:uid="{00000000-0006-0000-0200-000007000000}">
      <text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맑은 고딕"/>
            <family val="3"/>
            <charset val="129"/>
          </rPr>
          <t>기술도입비, 전문가 활용비(원고료, 강사료, 자문료 등을 포함한다), 연구개발서비스 활용비 등 외부 전문기술 활용을 위하여 필요한 비용
*성능지표 관련 공인시험 시험 비용도 포함</t>
        </r>
      </text>
    </comment>
    <comment ref="O68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직접비의</t>
        </r>
        <r>
          <rPr>
            <sz val="9"/>
            <color indexed="81"/>
            <rFont val="Tahoma"/>
            <family val="2"/>
          </rPr>
          <t xml:space="preserve"> 40% </t>
        </r>
        <r>
          <rPr>
            <sz val="9"/>
            <color indexed="81"/>
            <rFont val="돋움"/>
            <family val="3"/>
            <charset val="129"/>
          </rPr>
          <t>이내</t>
        </r>
      </text>
    </comment>
    <comment ref="G69" authorId="1" shapeId="0" xr:uid="{00000000-0006-0000-0200-000009000000}">
      <text>
        <r>
          <rPr>
            <sz val="14"/>
            <color indexed="81"/>
            <rFont val="맑은 고딕"/>
            <family val="3"/>
            <charset val="129"/>
          </rPr>
          <t>회의장 임차료, 속기료, 통역료 또는 회의비 등 연구개발과제 수행을 위하여 필요한 회의·세미나 개최 비용</t>
        </r>
      </text>
    </comment>
    <comment ref="G70" authorId="1" shapeId="0" xr:uid="{00000000-0006-0000-0200-00000A000000}">
      <text>
        <r>
          <rPr>
            <sz val="14"/>
            <color indexed="81"/>
            <rFont val="맑은 고딕"/>
            <family val="3"/>
            <charset val="129"/>
            <scheme val="minor"/>
          </rPr>
          <t>연구개발과제 수행을 위한 국내외 출장 비용(영 제19조제4항제3호의 연구개발과제 수행에 따라 파견 또는 전보되는 인력에 대한 파견·전보·주거 관련 지원 비용을 포함한다)</t>
        </r>
      </text>
    </comment>
    <comment ref="G71" authorId="0" shapeId="0" xr:uid="{00000000-0006-0000-0200-00000B000000}">
      <text>
        <r>
          <rPr>
            <sz val="14"/>
            <color indexed="81"/>
            <rFont val="맑은 고딕"/>
            <family val="3"/>
            <charset val="129"/>
            <scheme val="minor"/>
          </rPr>
          <t xml:space="preserve">연구개발과제 수행을 위한 클라우드컴퓨팅서비스의 이용료
- 클라우드컴퓨팅서비스 활용비를 계상하려는 경우에 「클라우드컴퓨팅 발전 및 이용자 보호에 관한 법률 시행령」제8조의2 제3항에 따라 구축하여 운영되는 이용지원시스템(www.digitalmarket.kr)을 확인한 후, 클라우드컴퓨팅서비스를 선정하고 필요한 비용을 계상하여야 함
</t>
        </r>
      </text>
    </comment>
    <comment ref="G72" authorId="1" shapeId="0" xr:uid="{00000000-0006-0000-0200-00000C000000}">
      <text>
        <r>
          <rPr>
            <sz val="14"/>
            <color indexed="81"/>
            <rFont val="맑은 고딕"/>
            <family val="3"/>
            <charset val="129"/>
            <scheme val="minor"/>
          </rPr>
          <t>연구개발과제 수행을 위한 소프트웨어의 구입·설치·임차·사용대차 비용 또는 데이터베이스·네트워크의 이용료</t>
        </r>
        <r>
          <rPr>
            <sz val="11"/>
            <color indexed="81"/>
            <rFont val="Tahoma"/>
            <family val="2"/>
          </rPr>
          <t xml:space="preserve"> </t>
        </r>
      </text>
    </comment>
    <comment ref="G73" authorId="1" shapeId="0" xr:uid="{00000000-0006-0000-0200-00000D000000}">
      <text>
        <r>
          <rPr>
            <sz val="14"/>
            <color indexed="81"/>
            <rFont val="맑은 고딕"/>
            <family val="3"/>
            <charset val="129"/>
            <scheme val="minor"/>
          </rPr>
          <t>연구개발과제 수행을 위하여 필요한 사무용 기기 및 사무용 소프트웨어의 구입·설치·임차·사용대차 비용, 사무용품비, 연구실 운영에 필요한 소모성 비용 또는 연구실 냉난방 및 청결한 환경 유지를 위하여 필요한 기기·비품의 구입·유지 비용
사무용 기기 및 사무용, 소프트웨어에 소요되는 비용, 연구실 냉난방 및 청결한 환경 유지비용은 협약 체결 당시 연구실운영비활용·관리계획을 작성하여 첨부한 경우에만 계상할 수 있음.</t>
        </r>
      </text>
    </comment>
    <comment ref="G74" authorId="1" shapeId="0" xr:uid="{00000000-0006-0000-0200-00000E000000}">
      <text>
        <r>
          <rPr>
            <sz val="14"/>
            <color indexed="81"/>
            <rFont val="맑은 고딕"/>
            <family val="3"/>
            <charset val="129"/>
            <scheme val="minor"/>
          </rPr>
          <t>연구개발과제 수행과 직접 관련된 교육·훈련 비용, 학회·세미나 참가비 또는 연구개발과제 수행을 위하여 지출된 야근(특근) 식대</t>
        </r>
      </text>
    </comment>
    <comment ref="G75" authorId="0" shapeId="0" xr:uid="{00000000-0006-0000-0200-00000F000000}">
      <text>
        <r>
          <rPr>
            <b/>
            <sz val="16"/>
            <color indexed="81"/>
            <rFont val="맑은 고딕"/>
            <family val="3"/>
            <charset val="129"/>
            <scheme val="minor"/>
          </rPr>
          <t>필수계상
지정회계법인 위탁 정산비용</t>
        </r>
      </text>
    </comment>
    <comment ref="G76" authorId="1" shapeId="0" xr:uid="{00000000-0006-0000-0200-000010000000}">
      <text>
        <r>
          <rPr>
            <sz val="14"/>
            <color indexed="81"/>
            <rFont val="맑은 고딕"/>
            <family val="3"/>
            <charset val="129"/>
            <scheme val="minor"/>
          </rPr>
          <t>문헌구입비, 논문 게재료, 인쇄·복사·인화비, 슬라이드 제작비, 각종 세금 및 공과금, 우편요금, 택배비, 수수료, 공공요금, 일용직 활용비 등 연구개발과제와 직접 관련있는 그 밖의 비용</t>
        </r>
      </text>
    </comment>
    <comment ref="F78" authorId="1" shapeId="0" xr:uid="{00000000-0006-0000-0200-000011000000}">
      <text>
        <r>
          <rPr>
            <sz val="14"/>
            <color indexed="81"/>
            <rFont val="맑은 고딕"/>
            <family val="3"/>
            <charset val="129"/>
            <scheme val="minor"/>
          </rPr>
          <t>연구개발과제 수행에 참여하는 연구책임자 및 연구자(학생연구자를 포함한다)를 대상으로 지급하는 장려금으로 한다.</t>
        </r>
      </text>
    </comment>
    <comment ref="O78" authorId="0" shapeId="0" xr:uid="{00000000-0006-0000-0200-000012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인건비의</t>
        </r>
        <r>
          <rPr>
            <sz val="9"/>
            <color indexed="81"/>
            <rFont val="Tahoma"/>
            <family val="2"/>
          </rPr>
          <t xml:space="preserve"> 20% </t>
        </r>
        <r>
          <rPr>
            <sz val="9"/>
            <color indexed="81"/>
            <rFont val="돋움"/>
            <family val="3"/>
            <charset val="129"/>
          </rPr>
          <t>이내</t>
        </r>
      </text>
    </comment>
    <comment ref="F80" authorId="1" shapeId="0" xr:uid="{00000000-0006-0000-0200-000013000000}">
      <text>
        <r>
          <rPr>
            <sz val="14"/>
            <color indexed="81"/>
            <rFont val="맑은 고딕"/>
            <family val="3"/>
            <charset val="129"/>
            <scheme val="minor"/>
          </rPr>
          <t>국가연구개발사업 연구개발비 사용기준 제15조(인력지원비 사용용도) 에 명시되어 있는 기준 확인
연구개발능률성과급을 해당 연구개발과제 간접비의 10퍼센트 이하로 계상하여야 함</t>
        </r>
      </text>
    </comment>
    <comment ref="F81" authorId="1" shapeId="0" xr:uid="{00000000-0006-0000-0200-000014000000}">
      <text>
        <r>
          <rPr>
            <sz val="14"/>
            <color indexed="81"/>
            <rFont val="맑은 고딕"/>
            <family val="3"/>
            <charset val="129"/>
            <scheme val="minor"/>
          </rPr>
          <t>1. 국가연구개발사업 연구개발비 사용기준 제15조(연구지원비 사용용도) 에 명시되어 있는 기준 확인</t>
        </r>
        <r>
          <rPr>
            <b/>
            <sz val="14"/>
            <color indexed="81"/>
            <rFont val="맑은 고딕"/>
            <family val="3"/>
            <charset val="129"/>
            <scheme val="minor"/>
          </rPr>
          <t xml:space="preserve">
2. 기업신용평가비 매년 20만원 계상하고 사업비 지급완료 시 즉시 신청(주관, 공동만 해당)
3. 기업범용인증서 발급비 계상가능(선택, 10만원)
</t>
        </r>
      </text>
    </comment>
    <comment ref="F83" authorId="1" shapeId="0" xr:uid="{00000000-0006-0000-0200-000015000000}">
      <text>
        <r>
          <rPr>
            <sz val="14"/>
            <color indexed="81"/>
            <rFont val="맑은 고딕"/>
            <family val="3"/>
            <charset val="129"/>
            <scheme val="minor"/>
          </rPr>
          <t>1. 국가연구개발사업 연구개발비 사용기준 제15조(성과활용지원비 사용용도) 에 명시되어 있는 기준 확인
2. 특허 출원, 등록비용 계상
3.기술창업 출연</t>
        </r>
        <r>
          <rPr>
            <sz val="14"/>
            <color indexed="81"/>
            <rFont val="맑은 고딕"/>
            <family val="3"/>
            <charset val="128"/>
            <scheme val="minor"/>
          </rPr>
          <t>･</t>
        </r>
        <r>
          <rPr>
            <sz val="14"/>
            <color indexed="81"/>
            <rFont val="맑은 고딕"/>
            <family val="3"/>
            <charset val="129"/>
            <scheme val="minor"/>
          </rPr>
          <t>출자금은 해당 회계연도 간접비 총액의 10퍼센트 범위에서 설립 이후 5년까지 계상할 수 있으며, 연구개발기관의 장이 필요하다고 인정하는 경우에는 자체규정에 따라 당초의 기간을 포함하여 최장 10년까지 계상할 수 있음
4</t>
        </r>
        <r>
          <rPr>
            <b/>
            <sz val="14"/>
            <color indexed="81"/>
            <rFont val="맑은 고딕"/>
            <family val="3"/>
            <charset val="129"/>
            <scheme val="minor"/>
          </rPr>
          <t>. 주관연구개발기관은 개발기간 마지막 종료차수에 기술임치비용을 계상해야 하며, 최종보고서 제출 시 기술임치증을 제출해야함</t>
        </r>
        <r>
          <rPr>
            <b/>
            <sz val="11"/>
            <color indexed="81"/>
            <rFont val="맑은 고딕"/>
            <family val="3"/>
            <charset val="129"/>
          </rPr>
          <t xml:space="preserve">
</t>
        </r>
      </text>
    </comment>
    <comment ref="O85" authorId="0" shapeId="0" xr:uid="{00000000-0006-0000-0200-000016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직접비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현금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이내</t>
        </r>
      </text>
    </comment>
    <comment ref="G96" authorId="1" shapeId="0" xr:uid="{00000000-0006-0000-0200-000017000000}">
      <text>
        <r>
          <rPr>
            <sz val="11"/>
            <color indexed="81"/>
            <rFont val="돋움"/>
            <family val="3"/>
            <charset val="129"/>
          </rPr>
          <t>기술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특허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표준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정보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조사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분석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원천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핵심특허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확보전략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등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지식재산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창출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활동에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비용
</t>
        </r>
      </text>
    </comment>
    <comment ref="G97" authorId="1" shapeId="0" xr:uid="{00000000-0006-0000-0200-000018000000}">
      <text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맑은 고딕"/>
            <family val="3"/>
            <charset val="129"/>
          </rPr>
          <t>기술도입비, 전문가 활용비(원고료, 강사료, 자문료 등을 포함한다), 연구개발서비스 활용비 등 외부 전문기술 활용을 위하여 필요한 비용
*성능지표 관련 공인시험 시험 비용도 포함</t>
        </r>
      </text>
    </comment>
    <comment ref="O97" authorId="0" shapeId="0" xr:uid="{00000000-0006-0000-0200-000019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직접비의</t>
        </r>
        <r>
          <rPr>
            <sz val="9"/>
            <color indexed="81"/>
            <rFont val="Tahoma"/>
            <family val="2"/>
          </rPr>
          <t xml:space="preserve"> 40% </t>
        </r>
        <r>
          <rPr>
            <sz val="9"/>
            <color indexed="81"/>
            <rFont val="돋움"/>
            <family val="3"/>
            <charset val="129"/>
          </rPr>
          <t>이내</t>
        </r>
      </text>
    </comment>
    <comment ref="G98" authorId="1" shapeId="0" xr:uid="{00000000-0006-0000-0200-00001A000000}">
      <text>
        <r>
          <rPr>
            <sz val="11"/>
            <color indexed="81"/>
            <rFont val="맑은 고딕"/>
            <family val="3"/>
            <charset val="129"/>
          </rPr>
          <t>회의장 임차료, 속기료, 통역료 또는 회의비 등 연구개발과제 수행을 위하여 필요한 회의·세미나 개최 비용</t>
        </r>
      </text>
    </comment>
    <comment ref="G99" authorId="1" shapeId="0" xr:uid="{00000000-0006-0000-0200-00001B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국내외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출장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영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</t>
        </r>
        <r>
          <rPr>
            <sz val="11"/>
            <color indexed="81"/>
            <rFont val="Tahoma"/>
            <family val="2"/>
          </rPr>
          <t>19</t>
        </r>
        <r>
          <rPr>
            <sz val="11"/>
            <color indexed="81"/>
            <rFont val="돋움"/>
            <family val="3"/>
            <charset val="129"/>
          </rPr>
          <t>조제</t>
        </r>
        <r>
          <rPr>
            <sz val="11"/>
            <color indexed="81"/>
            <rFont val="Tahoma"/>
            <family val="2"/>
          </rPr>
          <t>4</t>
        </r>
        <r>
          <rPr>
            <sz val="11"/>
            <color indexed="81"/>
            <rFont val="돋움"/>
            <family val="3"/>
            <charset val="129"/>
          </rPr>
          <t>항제</t>
        </r>
        <r>
          <rPr>
            <sz val="11"/>
            <color indexed="81"/>
            <rFont val="Tahoma"/>
            <family val="2"/>
          </rPr>
          <t>3</t>
        </r>
        <r>
          <rPr>
            <sz val="11"/>
            <color indexed="81"/>
            <rFont val="돋움"/>
            <family val="3"/>
            <charset val="129"/>
          </rPr>
          <t>호의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따라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파견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전보되는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인력에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대한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파견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전보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주거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관련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포함한다</t>
        </r>
        <r>
          <rPr>
            <sz val="11"/>
            <color indexed="81"/>
            <rFont val="Tahoma"/>
            <family val="2"/>
          </rPr>
          <t>)</t>
        </r>
      </text>
    </comment>
    <comment ref="G100" authorId="0" shapeId="0" xr:uid="{00000000-0006-0000-0200-00001C000000}">
      <text>
        <r>
          <rPr>
            <sz val="10"/>
            <color indexed="81"/>
            <rFont val="돋움"/>
            <family val="3"/>
            <charset val="129"/>
          </rPr>
          <t>연구개발과제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수행을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위한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클라우드컴퓨팅서비스의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 xml:space="preserve">이용료
</t>
        </r>
        <r>
          <rPr>
            <sz val="10"/>
            <color indexed="81"/>
            <rFont val="Tahoma"/>
            <family val="2"/>
          </rPr>
          <t xml:space="preserve">- </t>
        </r>
        <r>
          <rPr>
            <sz val="10"/>
            <color indexed="81"/>
            <rFont val="돋움"/>
            <family val="3"/>
            <charset val="129"/>
          </rPr>
          <t>클라우드컴퓨팅서비스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활용비를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계상하려는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경우에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「클라우드컴퓨팅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발전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및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이용자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보호에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관한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법률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시행령」제</t>
        </r>
        <r>
          <rPr>
            <sz val="10"/>
            <color indexed="81"/>
            <rFont val="Tahoma"/>
            <family val="2"/>
          </rPr>
          <t>8</t>
        </r>
        <r>
          <rPr>
            <sz val="10"/>
            <color indexed="81"/>
            <rFont val="돋움"/>
            <family val="3"/>
            <charset val="129"/>
          </rPr>
          <t>조의</t>
        </r>
        <r>
          <rPr>
            <sz val="10"/>
            <color indexed="81"/>
            <rFont val="Tahoma"/>
            <family val="2"/>
          </rPr>
          <t xml:space="preserve">2 </t>
        </r>
        <r>
          <rPr>
            <sz val="10"/>
            <color indexed="81"/>
            <rFont val="돋움"/>
            <family val="3"/>
            <charset val="129"/>
          </rPr>
          <t>제</t>
        </r>
        <r>
          <rPr>
            <sz val="10"/>
            <color indexed="81"/>
            <rFont val="Tahoma"/>
            <family val="2"/>
          </rPr>
          <t>3</t>
        </r>
        <r>
          <rPr>
            <sz val="10"/>
            <color indexed="81"/>
            <rFont val="돋움"/>
            <family val="3"/>
            <charset val="129"/>
          </rPr>
          <t>항에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따라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구축하여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운영되는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이용지원시스템</t>
        </r>
        <r>
          <rPr>
            <sz val="10"/>
            <color indexed="81"/>
            <rFont val="Tahoma"/>
            <family val="2"/>
          </rPr>
          <t>(www.digitalmarket.kr)</t>
        </r>
        <r>
          <rPr>
            <sz val="10"/>
            <color indexed="81"/>
            <rFont val="돋움"/>
            <family val="3"/>
            <charset val="129"/>
          </rPr>
          <t>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확인한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후</t>
        </r>
        <r>
          <rPr>
            <sz val="10"/>
            <color indexed="81"/>
            <rFont val="Tahoma"/>
            <family val="2"/>
          </rPr>
          <t xml:space="preserve">, </t>
        </r>
        <r>
          <rPr>
            <sz val="10"/>
            <color indexed="81"/>
            <rFont val="돋움"/>
            <family val="3"/>
            <charset val="129"/>
          </rPr>
          <t>클라우드컴퓨팅서비스를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선정하고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필요한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비용을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계상하여야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함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G101" authorId="1" shapeId="0" xr:uid="{00000000-0006-0000-0200-00001D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소프트웨어의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구입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설치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임차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사용대차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데이터베이스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네트워크의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이용료</t>
        </r>
        <r>
          <rPr>
            <sz val="11"/>
            <color indexed="81"/>
            <rFont val="Tahoma"/>
            <family val="2"/>
          </rPr>
          <t xml:space="preserve"> </t>
        </r>
      </text>
    </comment>
    <comment ref="G102" authorId="1" shapeId="0" xr:uid="{00000000-0006-0000-0200-00001E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사무용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사무용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소프트웨어의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구입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설치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임차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사용대차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사무용품비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연구실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운영에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소모성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연구실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냉난방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청결한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환경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유지를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기기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비품의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구입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유지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
사무용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사무용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소프트웨어에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소요되는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연구실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냉난방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청결한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환경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유지비용은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협약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체결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당시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연구실운영비활용·관리계획을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작성하여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첨부한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경우에만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있음</t>
        </r>
        <r>
          <rPr>
            <sz val="11"/>
            <color indexed="81"/>
            <rFont val="Tahoma"/>
            <family val="2"/>
          </rPr>
          <t>.</t>
        </r>
      </text>
    </comment>
    <comment ref="G103" authorId="1" shapeId="0" xr:uid="{00000000-0006-0000-0200-00001F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직접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관련된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교육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훈련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학회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세미나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참가비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지출된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야근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특근</t>
        </r>
        <r>
          <rPr>
            <sz val="11"/>
            <color indexed="81"/>
            <rFont val="Tahoma"/>
            <family val="2"/>
          </rPr>
          <t xml:space="preserve">) </t>
        </r>
        <r>
          <rPr>
            <sz val="11"/>
            <color indexed="81"/>
            <rFont val="돋움"/>
            <family val="3"/>
            <charset val="129"/>
          </rPr>
          <t>식대</t>
        </r>
      </text>
    </comment>
    <comment ref="G104" authorId="1" shapeId="0" xr:uid="{00000000-0006-0000-0200-000020000000}">
      <text>
        <r>
          <rPr>
            <sz val="11"/>
            <color indexed="81"/>
            <rFont val="돋움"/>
            <family val="3"/>
            <charset val="129"/>
          </rPr>
          <t>문헌구입비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논문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게재료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인쇄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복사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인화비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슬라이드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제작비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각종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세금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공과금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우편요금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택배비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수수료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공공요금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일용직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활용비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등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직접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관련있는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밖의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</text>
    </comment>
    <comment ref="F105" authorId="1" shapeId="0" xr:uid="{00000000-0006-0000-0200-000021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참여하는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연구책임자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연구자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학생연구자를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포함한다</t>
        </r>
        <r>
          <rPr>
            <sz val="11"/>
            <color indexed="81"/>
            <rFont val="Tahoma"/>
            <family val="2"/>
          </rPr>
          <t>)</t>
        </r>
        <r>
          <rPr>
            <sz val="11"/>
            <color indexed="81"/>
            <rFont val="돋움"/>
            <family val="3"/>
            <charset val="129"/>
          </rPr>
          <t>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대상으로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지급하는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장려금으로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한다</t>
        </r>
        <r>
          <rPr>
            <sz val="11"/>
            <color indexed="81"/>
            <rFont val="Tahoma"/>
            <family val="2"/>
          </rPr>
          <t>.</t>
        </r>
      </text>
    </comment>
    <comment ref="O105" authorId="0" shapeId="0" xr:uid="{00000000-0006-0000-0200-000022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인건비의</t>
        </r>
        <r>
          <rPr>
            <sz val="9"/>
            <color indexed="81"/>
            <rFont val="Tahoma"/>
            <family val="2"/>
          </rPr>
          <t xml:space="preserve"> 20% </t>
        </r>
        <r>
          <rPr>
            <sz val="9"/>
            <color indexed="81"/>
            <rFont val="돋움"/>
            <family val="3"/>
            <charset val="129"/>
          </rPr>
          <t>이내</t>
        </r>
      </text>
    </comment>
    <comment ref="F107" authorId="1" shapeId="0" xr:uid="{00000000-0006-0000-0200-000023000000}">
      <text>
        <r>
          <rPr>
            <sz val="11"/>
            <color indexed="81"/>
            <rFont val="돋움"/>
            <family val="3"/>
            <charset val="129"/>
          </rPr>
          <t>국가연구개발사업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</t>
        </r>
        <r>
          <rPr>
            <sz val="11"/>
            <color indexed="81"/>
            <rFont val="Tahoma"/>
            <family val="2"/>
          </rPr>
          <t>15</t>
        </r>
        <r>
          <rPr>
            <sz val="11"/>
            <color indexed="81"/>
            <rFont val="돋움"/>
            <family val="3"/>
            <charset val="129"/>
          </rPr>
          <t>조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인력지원비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사용용도</t>
        </r>
        <r>
          <rPr>
            <sz val="11"/>
            <color indexed="81"/>
            <rFont val="Tahoma"/>
            <family val="2"/>
          </rPr>
          <t xml:space="preserve">) </t>
        </r>
        <r>
          <rPr>
            <sz val="11"/>
            <color indexed="81"/>
            <rFont val="돋움"/>
            <family val="3"/>
            <charset val="129"/>
          </rPr>
          <t>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명시되어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확인
연구개발능률성과급을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해당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간접비의</t>
        </r>
        <r>
          <rPr>
            <sz val="11"/>
            <color indexed="81"/>
            <rFont val="Tahoma"/>
            <family val="2"/>
          </rPr>
          <t xml:space="preserve"> 10</t>
        </r>
        <r>
          <rPr>
            <sz val="11"/>
            <color indexed="81"/>
            <rFont val="돋움"/>
            <family val="3"/>
            <charset val="129"/>
          </rPr>
          <t>퍼센트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이하로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계상하여야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함</t>
        </r>
      </text>
    </comment>
    <comment ref="F108" authorId="1" shapeId="0" xr:uid="{00000000-0006-0000-0200-000024000000}">
      <text>
        <r>
          <rPr>
            <sz val="11"/>
            <color indexed="81"/>
            <rFont val="맑은 고딕"/>
            <family val="3"/>
            <charset val="129"/>
          </rPr>
          <t>1. 국가연구개발사업 연구개발비 사용기준 제15조(연구지원비 사용용도) 에 명시되어 있는 기준 확인</t>
        </r>
        <r>
          <rPr>
            <b/>
            <sz val="11"/>
            <color indexed="81"/>
            <rFont val="돋움"/>
            <family val="3"/>
            <charset val="129"/>
          </rPr>
          <t xml:space="preserve">
</t>
        </r>
        <r>
          <rPr>
            <b/>
            <sz val="11"/>
            <color indexed="81"/>
            <rFont val="맑은 고딕"/>
            <family val="3"/>
            <charset val="129"/>
          </rPr>
          <t xml:space="preserve">2. 기업신용평가비 매년 20만원 계상하고 사업비 지급완료 시 즉시 신청(주관, 공동만 해당)
3. 기업범용인증서 발급비 계상가능(선택, 10만원)
</t>
        </r>
      </text>
    </comment>
    <comment ref="F109" authorId="1" shapeId="0" xr:uid="{00000000-0006-0000-0200-000025000000}">
      <text>
        <r>
          <rPr>
            <sz val="11"/>
            <color indexed="81"/>
            <rFont val="Tahoma"/>
            <family val="2"/>
          </rPr>
          <t xml:space="preserve">1. </t>
        </r>
        <r>
          <rPr>
            <sz val="11"/>
            <color indexed="81"/>
            <rFont val="돋움"/>
            <family val="3"/>
            <charset val="129"/>
          </rPr>
          <t>국가연구개발사업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</t>
        </r>
        <r>
          <rPr>
            <sz val="11"/>
            <color indexed="81"/>
            <rFont val="Tahoma"/>
            <family val="2"/>
          </rPr>
          <t>15</t>
        </r>
        <r>
          <rPr>
            <sz val="11"/>
            <color indexed="81"/>
            <rFont val="돋움"/>
            <family val="3"/>
            <charset val="129"/>
          </rPr>
          <t>조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성과활용지원비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사용용도</t>
        </r>
        <r>
          <rPr>
            <sz val="11"/>
            <color indexed="81"/>
            <rFont val="Tahoma"/>
            <family val="2"/>
          </rPr>
          <t xml:space="preserve">) </t>
        </r>
        <r>
          <rPr>
            <sz val="11"/>
            <color indexed="81"/>
            <rFont val="돋움"/>
            <family val="3"/>
            <charset val="129"/>
          </rPr>
          <t>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명시되어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확인
</t>
        </r>
        <r>
          <rPr>
            <sz val="11"/>
            <color indexed="81"/>
            <rFont val="Tahoma"/>
            <family val="2"/>
          </rPr>
          <t xml:space="preserve">2. </t>
        </r>
        <r>
          <rPr>
            <sz val="11"/>
            <color indexed="81"/>
            <rFont val="돋움"/>
            <family val="3"/>
            <charset val="129"/>
          </rPr>
          <t>특허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출원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등록비용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계상
</t>
        </r>
        <r>
          <rPr>
            <sz val="11"/>
            <color indexed="81"/>
            <rFont val="Tahoma"/>
            <family val="2"/>
          </rPr>
          <t>3.</t>
        </r>
        <r>
          <rPr>
            <sz val="11"/>
            <color indexed="81"/>
            <rFont val="돋움"/>
            <family val="3"/>
            <charset val="129"/>
          </rPr>
          <t>기술창업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출연</t>
        </r>
        <r>
          <rPr>
            <sz val="11"/>
            <color indexed="81"/>
            <rFont val="MS Gothic"/>
            <family val="3"/>
            <charset val="128"/>
          </rPr>
          <t>･</t>
        </r>
        <r>
          <rPr>
            <sz val="11"/>
            <color indexed="81"/>
            <rFont val="돋움"/>
            <family val="3"/>
            <charset val="129"/>
          </rPr>
          <t>출자금은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해당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회계연도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간접비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총액의</t>
        </r>
        <r>
          <rPr>
            <sz val="11"/>
            <color indexed="81"/>
            <rFont val="Tahoma"/>
            <family val="2"/>
          </rPr>
          <t xml:space="preserve"> 10</t>
        </r>
        <r>
          <rPr>
            <sz val="11"/>
            <color indexed="81"/>
            <rFont val="돋움"/>
            <family val="3"/>
            <charset val="129"/>
          </rPr>
          <t>퍼센트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범위에서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설립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이후</t>
        </r>
        <r>
          <rPr>
            <sz val="11"/>
            <color indexed="81"/>
            <rFont val="Tahoma"/>
            <family val="2"/>
          </rPr>
          <t xml:space="preserve"> 5</t>
        </r>
        <r>
          <rPr>
            <sz val="11"/>
            <color indexed="81"/>
            <rFont val="돋움"/>
            <family val="3"/>
            <charset val="129"/>
          </rPr>
          <t>년까지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있으며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연구개발기관의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장이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필요하다고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인정하는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경우에는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자체규정에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따라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당초의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기간을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포함하여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최장</t>
        </r>
        <r>
          <rPr>
            <sz val="11"/>
            <color indexed="81"/>
            <rFont val="Tahoma"/>
            <family val="2"/>
          </rPr>
          <t xml:space="preserve"> 10</t>
        </r>
        <r>
          <rPr>
            <sz val="11"/>
            <color indexed="81"/>
            <rFont val="돋움"/>
            <family val="3"/>
            <charset val="129"/>
          </rPr>
          <t>년까지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있음
</t>
        </r>
        <r>
          <rPr>
            <sz val="11"/>
            <color indexed="81"/>
            <rFont val="Tahoma"/>
            <family val="2"/>
          </rPr>
          <t>4</t>
        </r>
        <r>
          <rPr>
            <b/>
            <sz val="11"/>
            <color indexed="81"/>
            <rFont val="맑은 고딕"/>
            <family val="3"/>
            <charset val="129"/>
          </rPr>
          <t xml:space="preserve">. 주관연구개발기관은 개발기간 마지막 종료차수에 기술임치비용을 계상해야 하며, 최종보고서 제출 시 기술임치증을 제출해야함
</t>
        </r>
      </text>
    </comment>
    <comment ref="O110" authorId="0" shapeId="0" xr:uid="{00000000-0006-0000-0200-000026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직접비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현금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이내</t>
        </r>
      </text>
    </comment>
    <comment ref="G121" authorId="1" shapeId="0" xr:uid="{00000000-0006-0000-0200-000027000000}">
      <text>
        <r>
          <rPr>
            <sz val="11"/>
            <color indexed="81"/>
            <rFont val="돋움"/>
            <family val="3"/>
            <charset val="129"/>
          </rPr>
          <t>기술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특허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표준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정보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조사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분석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원천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핵심특허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확보전략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등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지식재산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창출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활동에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비용
</t>
        </r>
      </text>
    </comment>
    <comment ref="G122" authorId="1" shapeId="0" xr:uid="{00000000-0006-0000-0200-000028000000}">
      <text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맑은 고딕"/>
            <family val="3"/>
            <charset val="129"/>
          </rPr>
          <t>기술도입비, 전문가 활용비(원고료, 강사료, 자문료 등을 포함한다), 연구개발서비스 활용비 등 외부 전문기술 활용을 위하여 필요한 비용
*성능지표 관련 공인시험 시험 비용도 포함</t>
        </r>
      </text>
    </comment>
    <comment ref="O122" authorId="0" shapeId="0" xr:uid="{00000000-0006-0000-0200-000029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직접비의</t>
        </r>
        <r>
          <rPr>
            <sz val="9"/>
            <color indexed="81"/>
            <rFont val="Tahoma"/>
            <family val="2"/>
          </rPr>
          <t xml:space="preserve"> 40% </t>
        </r>
        <r>
          <rPr>
            <sz val="9"/>
            <color indexed="81"/>
            <rFont val="돋움"/>
            <family val="3"/>
            <charset val="129"/>
          </rPr>
          <t>이내</t>
        </r>
      </text>
    </comment>
    <comment ref="G123" authorId="1" shapeId="0" xr:uid="{00000000-0006-0000-0200-00002A000000}">
      <text>
        <r>
          <rPr>
            <sz val="11"/>
            <color indexed="81"/>
            <rFont val="맑은 고딕"/>
            <family val="3"/>
            <charset val="129"/>
          </rPr>
          <t>회의장 임차료, 속기료, 통역료 또는 회의비 등 연구개발과제 수행을 위하여 필요한 회의·세미나 개최 비용</t>
        </r>
      </text>
    </comment>
    <comment ref="G124" authorId="1" shapeId="0" xr:uid="{00000000-0006-0000-0200-00002B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국내외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출장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영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</t>
        </r>
        <r>
          <rPr>
            <sz val="11"/>
            <color indexed="81"/>
            <rFont val="Tahoma"/>
            <family val="2"/>
          </rPr>
          <t>19</t>
        </r>
        <r>
          <rPr>
            <sz val="11"/>
            <color indexed="81"/>
            <rFont val="돋움"/>
            <family val="3"/>
            <charset val="129"/>
          </rPr>
          <t>조제</t>
        </r>
        <r>
          <rPr>
            <sz val="11"/>
            <color indexed="81"/>
            <rFont val="Tahoma"/>
            <family val="2"/>
          </rPr>
          <t>4</t>
        </r>
        <r>
          <rPr>
            <sz val="11"/>
            <color indexed="81"/>
            <rFont val="돋움"/>
            <family val="3"/>
            <charset val="129"/>
          </rPr>
          <t>항제</t>
        </r>
        <r>
          <rPr>
            <sz val="11"/>
            <color indexed="81"/>
            <rFont val="Tahoma"/>
            <family val="2"/>
          </rPr>
          <t>3</t>
        </r>
        <r>
          <rPr>
            <sz val="11"/>
            <color indexed="81"/>
            <rFont val="돋움"/>
            <family val="3"/>
            <charset val="129"/>
          </rPr>
          <t>호의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따라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파견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전보되는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인력에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대한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파견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전보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주거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관련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포함한다</t>
        </r>
        <r>
          <rPr>
            <sz val="11"/>
            <color indexed="81"/>
            <rFont val="Tahoma"/>
            <family val="2"/>
          </rPr>
          <t>)</t>
        </r>
      </text>
    </comment>
    <comment ref="G125" authorId="0" shapeId="0" xr:uid="{00000000-0006-0000-0200-00002C000000}">
      <text>
        <r>
          <rPr>
            <sz val="10"/>
            <color indexed="81"/>
            <rFont val="돋움"/>
            <family val="3"/>
            <charset val="129"/>
          </rPr>
          <t>연구개발과제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수행을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위한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클라우드컴퓨팅서비스의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 xml:space="preserve">이용료
</t>
        </r>
        <r>
          <rPr>
            <sz val="10"/>
            <color indexed="81"/>
            <rFont val="Tahoma"/>
            <family val="2"/>
          </rPr>
          <t xml:space="preserve">- </t>
        </r>
        <r>
          <rPr>
            <sz val="10"/>
            <color indexed="81"/>
            <rFont val="돋움"/>
            <family val="3"/>
            <charset val="129"/>
          </rPr>
          <t>클라우드컴퓨팅서비스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활용비를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계상하려는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경우에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「클라우드컴퓨팅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발전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및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이용자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보호에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관한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법률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시행령」제</t>
        </r>
        <r>
          <rPr>
            <sz val="10"/>
            <color indexed="81"/>
            <rFont val="Tahoma"/>
            <family val="2"/>
          </rPr>
          <t>8</t>
        </r>
        <r>
          <rPr>
            <sz val="10"/>
            <color indexed="81"/>
            <rFont val="돋움"/>
            <family val="3"/>
            <charset val="129"/>
          </rPr>
          <t>조의</t>
        </r>
        <r>
          <rPr>
            <sz val="10"/>
            <color indexed="81"/>
            <rFont val="Tahoma"/>
            <family val="2"/>
          </rPr>
          <t xml:space="preserve">2 </t>
        </r>
        <r>
          <rPr>
            <sz val="10"/>
            <color indexed="81"/>
            <rFont val="돋움"/>
            <family val="3"/>
            <charset val="129"/>
          </rPr>
          <t>제</t>
        </r>
        <r>
          <rPr>
            <sz val="10"/>
            <color indexed="81"/>
            <rFont val="Tahoma"/>
            <family val="2"/>
          </rPr>
          <t>3</t>
        </r>
        <r>
          <rPr>
            <sz val="10"/>
            <color indexed="81"/>
            <rFont val="돋움"/>
            <family val="3"/>
            <charset val="129"/>
          </rPr>
          <t>항에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따라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구축하여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운영되는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이용지원시스템</t>
        </r>
        <r>
          <rPr>
            <sz val="10"/>
            <color indexed="81"/>
            <rFont val="Tahoma"/>
            <family val="2"/>
          </rPr>
          <t>(www.digitalmarket.kr)</t>
        </r>
        <r>
          <rPr>
            <sz val="10"/>
            <color indexed="81"/>
            <rFont val="돋움"/>
            <family val="3"/>
            <charset val="129"/>
          </rPr>
          <t>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확인한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후</t>
        </r>
        <r>
          <rPr>
            <sz val="10"/>
            <color indexed="81"/>
            <rFont val="Tahoma"/>
            <family val="2"/>
          </rPr>
          <t xml:space="preserve">, </t>
        </r>
        <r>
          <rPr>
            <sz val="10"/>
            <color indexed="81"/>
            <rFont val="돋움"/>
            <family val="3"/>
            <charset val="129"/>
          </rPr>
          <t>클라우드컴퓨팅서비스를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선정하고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필요한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비용을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계상하여야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함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G126" authorId="1" shapeId="0" xr:uid="{00000000-0006-0000-0200-00002D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소프트웨어의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구입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설치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임차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사용대차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데이터베이스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네트워크의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이용료</t>
        </r>
        <r>
          <rPr>
            <sz val="11"/>
            <color indexed="81"/>
            <rFont val="Tahoma"/>
            <family val="2"/>
          </rPr>
          <t xml:space="preserve"> </t>
        </r>
      </text>
    </comment>
    <comment ref="G127" authorId="1" shapeId="0" xr:uid="{00000000-0006-0000-0200-00002E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사무용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사무용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소프트웨어의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구입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설치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임차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사용대차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사무용품비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연구실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운영에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소모성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연구실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냉난방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청결한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환경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유지를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기기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비품의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구입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유지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
사무용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사무용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소프트웨어에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소요되는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연구실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냉난방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청결한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환경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유지비용은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협약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체결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당시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연구실운영비활용·관리계획을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작성하여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첨부한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경우에만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있음</t>
        </r>
        <r>
          <rPr>
            <sz val="11"/>
            <color indexed="81"/>
            <rFont val="Tahoma"/>
            <family val="2"/>
          </rPr>
          <t>.</t>
        </r>
      </text>
    </comment>
    <comment ref="G128" authorId="1" shapeId="0" xr:uid="{00000000-0006-0000-0200-00002F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직접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관련된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교육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훈련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학회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세미나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참가비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지출된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야근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특근</t>
        </r>
        <r>
          <rPr>
            <sz val="11"/>
            <color indexed="81"/>
            <rFont val="Tahoma"/>
            <family val="2"/>
          </rPr>
          <t xml:space="preserve">) </t>
        </r>
        <r>
          <rPr>
            <sz val="11"/>
            <color indexed="81"/>
            <rFont val="돋움"/>
            <family val="3"/>
            <charset val="129"/>
          </rPr>
          <t>식대</t>
        </r>
      </text>
    </comment>
    <comment ref="G129" authorId="1" shapeId="0" xr:uid="{00000000-0006-0000-0200-000030000000}">
      <text>
        <r>
          <rPr>
            <sz val="11"/>
            <color indexed="81"/>
            <rFont val="돋움"/>
            <family val="3"/>
            <charset val="129"/>
          </rPr>
          <t>문헌구입비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논문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게재료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인쇄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복사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인화비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슬라이드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제작비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각종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세금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공과금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우편요금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택배비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수수료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공공요금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일용직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활용비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등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직접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관련있는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밖의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</text>
    </comment>
    <comment ref="F130" authorId="1" shapeId="0" xr:uid="{00000000-0006-0000-0200-000031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참여하는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연구책임자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연구자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학생연구자를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포함한다</t>
        </r>
        <r>
          <rPr>
            <sz val="11"/>
            <color indexed="81"/>
            <rFont val="Tahoma"/>
            <family val="2"/>
          </rPr>
          <t>)</t>
        </r>
        <r>
          <rPr>
            <sz val="11"/>
            <color indexed="81"/>
            <rFont val="돋움"/>
            <family val="3"/>
            <charset val="129"/>
          </rPr>
          <t>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대상으로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지급하는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장려금으로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한다</t>
        </r>
        <r>
          <rPr>
            <sz val="11"/>
            <color indexed="81"/>
            <rFont val="Tahoma"/>
            <family val="2"/>
          </rPr>
          <t>.</t>
        </r>
      </text>
    </comment>
    <comment ref="O130" authorId="0" shapeId="0" xr:uid="{00000000-0006-0000-0200-000032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인건비의</t>
        </r>
        <r>
          <rPr>
            <sz val="9"/>
            <color indexed="81"/>
            <rFont val="Tahoma"/>
            <family val="2"/>
          </rPr>
          <t xml:space="preserve"> 20% </t>
        </r>
        <r>
          <rPr>
            <sz val="9"/>
            <color indexed="81"/>
            <rFont val="돋움"/>
            <family val="3"/>
            <charset val="129"/>
          </rPr>
          <t>이내</t>
        </r>
      </text>
    </comment>
    <comment ref="F132" authorId="1" shapeId="0" xr:uid="{00000000-0006-0000-0200-000033000000}">
      <text>
        <r>
          <rPr>
            <sz val="11"/>
            <color indexed="81"/>
            <rFont val="돋움"/>
            <family val="3"/>
            <charset val="129"/>
          </rPr>
          <t>국가연구개발사업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</t>
        </r>
        <r>
          <rPr>
            <sz val="11"/>
            <color indexed="81"/>
            <rFont val="Tahoma"/>
            <family val="2"/>
          </rPr>
          <t>15</t>
        </r>
        <r>
          <rPr>
            <sz val="11"/>
            <color indexed="81"/>
            <rFont val="돋움"/>
            <family val="3"/>
            <charset val="129"/>
          </rPr>
          <t>조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인력지원비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사용용도</t>
        </r>
        <r>
          <rPr>
            <sz val="11"/>
            <color indexed="81"/>
            <rFont val="Tahoma"/>
            <family val="2"/>
          </rPr>
          <t xml:space="preserve">) </t>
        </r>
        <r>
          <rPr>
            <sz val="11"/>
            <color indexed="81"/>
            <rFont val="돋움"/>
            <family val="3"/>
            <charset val="129"/>
          </rPr>
          <t>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명시되어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확인
연구개발능률성과급을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해당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간접비의</t>
        </r>
        <r>
          <rPr>
            <sz val="11"/>
            <color indexed="81"/>
            <rFont val="Tahoma"/>
            <family val="2"/>
          </rPr>
          <t xml:space="preserve"> 10</t>
        </r>
        <r>
          <rPr>
            <sz val="11"/>
            <color indexed="81"/>
            <rFont val="돋움"/>
            <family val="3"/>
            <charset val="129"/>
          </rPr>
          <t>퍼센트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이하로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계상하여야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함</t>
        </r>
      </text>
    </comment>
    <comment ref="F133" authorId="1" shapeId="0" xr:uid="{00000000-0006-0000-0200-000034000000}">
      <text>
        <r>
          <rPr>
            <sz val="11"/>
            <color indexed="81"/>
            <rFont val="맑은 고딕"/>
            <family val="3"/>
            <charset val="129"/>
          </rPr>
          <t>1. 국가연구개발사업 연구개발비 사용기준 제15조(연구지원비 사용용도) 에 명시되어 있는 기준 확인</t>
        </r>
        <r>
          <rPr>
            <b/>
            <sz val="11"/>
            <color indexed="81"/>
            <rFont val="돋움"/>
            <family val="3"/>
            <charset val="129"/>
          </rPr>
          <t xml:space="preserve">
</t>
        </r>
        <r>
          <rPr>
            <b/>
            <sz val="11"/>
            <color indexed="81"/>
            <rFont val="맑은 고딕"/>
            <family val="3"/>
            <charset val="129"/>
          </rPr>
          <t xml:space="preserve">2. 기업신용평가비 매년 20만원 계상하고 사업비 지급완료 시 즉시 신청(주관, 공동만 해당)
3. 기업범용인증서 발급비 계상가능(선택, 10만원)
</t>
        </r>
      </text>
    </comment>
    <comment ref="F134" authorId="1" shapeId="0" xr:uid="{00000000-0006-0000-0200-000035000000}">
      <text>
        <r>
          <rPr>
            <sz val="11"/>
            <color indexed="81"/>
            <rFont val="Tahoma"/>
            <family val="2"/>
          </rPr>
          <t xml:space="preserve">1. </t>
        </r>
        <r>
          <rPr>
            <sz val="11"/>
            <color indexed="81"/>
            <rFont val="돋움"/>
            <family val="3"/>
            <charset val="129"/>
          </rPr>
          <t>국가연구개발사업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</t>
        </r>
        <r>
          <rPr>
            <sz val="11"/>
            <color indexed="81"/>
            <rFont val="Tahoma"/>
            <family val="2"/>
          </rPr>
          <t>15</t>
        </r>
        <r>
          <rPr>
            <sz val="11"/>
            <color indexed="81"/>
            <rFont val="돋움"/>
            <family val="3"/>
            <charset val="129"/>
          </rPr>
          <t>조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성과활용지원비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사용용도</t>
        </r>
        <r>
          <rPr>
            <sz val="11"/>
            <color indexed="81"/>
            <rFont val="Tahoma"/>
            <family val="2"/>
          </rPr>
          <t xml:space="preserve">) </t>
        </r>
        <r>
          <rPr>
            <sz val="11"/>
            <color indexed="81"/>
            <rFont val="돋움"/>
            <family val="3"/>
            <charset val="129"/>
          </rPr>
          <t>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명시되어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확인
</t>
        </r>
        <r>
          <rPr>
            <sz val="11"/>
            <color indexed="81"/>
            <rFont val="Tahoma"/>
            <family val="2"/>
          </rPr>
          <t xml:space="preserve">2. </t>
        </r>
        <r>
          <rPr>
            <sz val="11"/>
            <color indexed="81"/>
            <rFont val="돋움"/>
            <family val="3"/>
            <charset val="129"/>
          </rPr>
          <t>특허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출원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등록비용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계상
</t>
        </r>
        <r>
          <rPr>
            <sz val="11"/>
            <color indexed="81"/>
            <rFont val="Tahoma"/>
            <family val="2"/>
          </rPr>
          <t>3.</t>
        </r>
        <r>
          <rPr>
            <sz val="11"/>
            <color indexed="81"/>
            <rFont val="돋움"/>
            <family val="3"/>
            <charset val="129"/>
          </rPr>
          <t>기술창업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출연</t>
        </r>
        <r>
          <rPr>
            <sz val="11"/>
            <color indexed="81"/>
            <rFont val="MS Gothic"/>
            <family val="3"/>
            <charset val="128"/>
          </rPr>
          <t>･</t>
        </r>
        <r>
          <rPr>
            <sz val="11"/>
            <color indexed="81"/>
            <rFont val="돋움"/>
            <family val="3"/>
            <charset val="129"/>
          </rPr>
          <t>출자금은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해당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회계연도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간접비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총액의</t>
        </r>
        <r>
          <rPr>
            <sz val="11"/>
            <color indexed="81"/>
            <rFont val="Tahoma"/>
            <family val="2"/>
          </rPr>
          <t xml:space="preserve"> 10</t>
        </r>
        <r>
          <rPr>
            <sz val="11"/>
            <color indexed="81"/>
            <rFont val="돋움"/>
            <family val="3"/>
            <charset val="129"/>
          </rPr>
          <t>퍼센트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범위에서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설립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이후</t>
        </r>
        <r>
          <rPr>
            <sz val="11"/>
            <color indexed="81"/>
            <rFont val="Tahoma"/>
            <family val="2"/>
          </rPr>
          <t xml:space="preserve"> 5</t>
        </r>
        <r>
          <rPr>
            <sz val="11"/>
            <color indexed="81"/>
            <rFont val="돋움"/>
            <family val="3"/>
            <charset val="129"/>
          </rPr>
          <t>년까지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있으며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연구개발기관의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장이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필요하다고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인정하는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경우에는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자체규정에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따라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당초의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기간을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포함하여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최장</t>
        </r>
        <r>
          <rPr>
            <sz val="11"/>
            <color indexed="81"/>
            <rFont val="Tahoma"/>
            <family val="2"/>
          </rPr>
          <t xml:space="preserve"> 10</t>
        </r>
        <r>
          <rPr>
            <sz val="11"/>
            <color indexed="81"/>
            <rFont val="돋움"/>
            <family val="3"/>
            <charset val="129"/>
          </rPr>
          <t>년까지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있음
</t>
        </r>
        <r>
          <rPr>
            <sz val="11"/>
            <color indexed="81"/>
            <rFont val="Tahoma"/>
            <family val="2"/>
          </rPr>
          <t>4</t>
        </r>
        <r>
          <rPr>
            <b/>
            <sz val="11"/>
            <color indexed="81"/>
            <rFont val="맑은 고딕"/>
            <family val="3"/>
            <charset val="129"/>
          </rPr>
          <t xml:space="preserve">. 주관연구개발기관은 개발기간 마지막 종료차수에 기술임치비용을 계상해야 하며, 최종보고서 제출 시 기술임치증을 제출해야함
</t>
        </r>
      </text>
    </comment>
    <comment ref="O135" authorId="0" shapeId="0" xr:uid="{00000000-0006-0000-0200-000036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직접비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현금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이내</t>
        </r>
      </text>
    </comment>
    <comment ref="G147" authorId="1" shapeId="0" xr:uid="{00000000-0006-0000-0200-000037000000}">
      <text>
        <r>
          <rPr>
            <sz val="11"/>
            <color indexed="81"/>
            <rFont val="돋움"/>
            <family val="3"/>
            <charset val="129"/>
          </rPr>
          <t>기술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특허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표준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정보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조사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분석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원천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핵심특허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확보전략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등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지식재산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창출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활동에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비용
</t>
        </r>
      </text>
    </comment>
    <comment ref="G148" authorId="1" shapeId="0" xr:uid="{00000000-0006-0000-0200-000038000000}">
      <text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맑은 고딕"/>
            <family val="3"/>
            <charset val="129"/>
          </rPr>
          <t>기술도입비, 전문가 활용비(원고료, 강사료, 자문료 등을 포함한다), 연구개발서비스 활용비 등 외부 전문기술 활용을 위하여 필요한 비용
*성능지표 관련 공인시험 시험 비용도 포함</t>
        </r>
      </text>
    </comment>
    <comment ref="O148" authorId="0" shapeId="0" xr:uid="{00000000-0006-0000-0200-000039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직접비의</t>
        </r>
        <r>
          <rPr>
            <sz val="9"/>
            <color indexed="81"/>
            <rFont val="Tahoma"/>
            <family val="2"/>
          </rPr>
          <t xml:space="preserve"> 40% </t>
        </r>
        <r>
          <rPr>
            <sz val="9"/>
            <color indexed="81"/>
            <rFont val="돋움"/>
            <family val="3"/>
            <charset val="129"/>
          </rPr>
          <t>이내</t>
        </r>
      </text>
    </comment>
    <comment ref="G149" authorId="1" shapeId="0" xr:uid="{00000000-0006-0000-0200-00003A000000}">
      <text>
        <r>
          <rPr>
            <sz val="11"/>
            <color indexed="81"/>
            <rFont val="맑은 고딕"/>
            <family val="3"/>
            <charset val="129"/>
          </rPr>
          <t>회의장 임차료, 속기료, 통역료 또는 회의비 등 연구개발과제 수행을 위하여 필요한 회의·세미나 개최 비용</t>
        </r>
      </text>
    </comment>
    <comment ref="G150" authorId="1" shapeId="0" xr:uid="{00000000-0006-0000-0200-00003B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국내외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출장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영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</t>
        </r>
        <r>
          <rPr>
            <sz val="11"/>
            <color indexed="81"/>
            <rFont val="Tahoma"/>
            <family val="2"/>
          </rPr>
          <t>19</t>
        </r>
        <r>
          <rPr>
            <sz val="11"/>
            <color indexed="81"/>
            <rFont val="돋움"/>
            <family val="3"/>
            <charset val="129"/>
          </rPr>
          <t>조제</t>
        </r>
        <r>
          <rPr>
            <sz val="11"/>
            <color indexed="81"/>
            <rFont val="Tahoma"/>
            <family val="2"/>
          </rPr>
          <t>4</t>
        </r>
        <r>
          <rPr>
            <sz val="11"/>
            <color indexed="81"/>
            <rFont val="돋움"/>
            <family val="3"/>
            <charset val="129"/>
          </rPr>
          <t>항제</t>
        </r>
        <r>
          <rPr>
            <sz val="11"/>
            <color indexed="81"/>
            <rFont val="Tahoma"/>
            <family val="2"/>
          </rPr>
          <t>3</t>
        </r>
        <r>
          <rPr>
            <sz val="11"/>
            <color indexed="81"/>
            <rFont val="돋움"/>
            <family val="3"/>
            <charset val="129"/>
          </rPr>
          <t>호의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따라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파견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전보되는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인력에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대한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파견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전보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주거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관련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포함한다</t>
        </r>
        <r>
          <rPr>
            <sz val="11"/>
            <color indexed="81"/>
            <rFont val="Tahoma"/>
            <family val="2"/>
          </rPr>
          <t>)</t>
        </r>
      </text>
    </comment>
    <comment ref="G151" authorId="0" shapeId="0" xr:uid="{00000000-0006-0000-0200-00003C000000}">
      <text>
        <r>
          <rPr>
            <sz val="10"/>
            <color indexed="81"/>
            <rFont val="돋움"/>
            <family val="3"/>
            <charset val="129"/>
          </rPr>
          <t>연구개발과제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수행을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위한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클라우드컴퓨팅서비스의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 xml:space="preserve">이용료
</t>
        </r>
        <r>
          <rPr>
            <sz val="10"/>
            <color indexed="81"/>
            <rFont val="Tahoma"/>
            <family val="2"/>
          </rPr>
          <t xml:space="preserve">- </t>
        </r>
        <r>
          <rPr>
            <sz val="10"/>
            <color indexed="81"/>
            <rFont val="돋움"/>
            <family val="3"/>
            <charset val="129"/>
          </rPr>
          <t>클라우드컴퓨팅서비스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활용비를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계상하려는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경우에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「클라우드컴퓨팅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발전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및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이용자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보호에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관한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법률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시행령」제</t>
        </r>
        <r>
          <rPr>
            <sz val="10"/>
            <color indexed="81"/>
            <rFont val="Tahoma"/>
            <family val="2"/>
          </rPr>
          <t>8</t>
        </r>
        <r>
          <rPr>
            <sz val="10"/>
            <color indexed="81"/>
            <rFont val="돋움"/>
            <family val="3"/>
            <charset val="129"/>
          </rPr>
          <t>조의</t>
        </r>
        <r>
          <rPr>
            <sz val="10"/>
            <color indexed="81"/>
            <rFont val="Tahoma"/>
            <family val="2"/>
          </rPr>
          <t xml:space="preserve">2 </t>
        </r>
        <r>
          <rPr>
            <sz val="10"/>
            <color indexed="81"/>
            <rFont val="돋움"/>
            <family val="3"/>
            <charset val="129"/>
          </rPr>
          <t>제</t>
        </r>
        <r>
          <rPr>
            <sz val="10"/>
            <color indexed="81"/>
            <rFont val="Tahoma"/>
            <family val="2"/>
          </rPr>
          <t>3</t>
        </r>
        <r>
          <rPr>
            <sz val="10"/>
            <color indexed="81"/>
            <rFont val="돋움"/>
            <family val="3"/>
            <charset val="129"/>
          </rPr>
          <t>항에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따라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구축하여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운영되는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이용지원시스템</t>
        </r>
        <r>
          <rPr>
            <sz val="10"/>
            <color indexed="81"/>
            <rFont val="Tahoma"/>
            <family val="2"/>
          </rPr>
          <t>(www.digitalmarket.kr)</t>
        </r>
        <r>
          <rPr>
            <sz val="10"/>
            <color indexed="81"/>
            <rFont val="돋움"/>
            <family val="3"/>
            <charset val="129"/>
          </rPr>
          <t>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확인한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후</t>
        </r>
        <r>
          <rPr>
            <sz val="10"/>
            <color indexed="81"/>
            <rFont val="Tahoma"/>
            <family val="2"/>
          </rPr>
          <t xml:space="preserve">, </t>
        </r>
        <r>
          <rPr>
            <sz val="10"/>
            <color indexed="81"/>
            <rFont val="돋움"/>
            <family val="3"/>
            <charset val="129"/>
          </rPr>
          <t>클라우드컴퓨팅서비스를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선정하고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필요한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비용을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계상하여야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함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G152" authorId="1" shapeId="0" xr:uid="{00000000-0006-0000-0200-00003D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소프트웨어의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구입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설치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임차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사용대차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데이터베이스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네트워크의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이용료</t>
        </r>
        <r>
          <rPr>
            <sz val="11"/>
            <color indexed="81"/>
            <rFont val="Tahoma"/>
            <family val="2"/>
          </rPr>
          <t xml:space="preserve"> </t>
        </r>
      </text>
    </comment>
    <comment ref="G153" authorId="1" shapeId="0" xr:uid="{00000000-0006-0000-0200-00003E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사무용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사무용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소프트웨어의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구입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설치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임차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사용대차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사무용품비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연구실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운영에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소모성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연구실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냉난방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청결한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환경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유지를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기기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비품의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구입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유지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
사무용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사무용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소프트웨어에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소요되는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연구실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냉난방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청결한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환경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유지비용은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협약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체결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당시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연구실운영비활용·관리계획을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작성하여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첨부한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경우에만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있음</t>
        </r>
        <r>
          <rPr>
            <sz val="11"/>
            <color indexed="81"/>
            <rFont val="Tahoma"/>
            <family val="2"/>
          </rPr>
          <t>.</t>
        </r>
      </text>
    </comment>
    <comment ref="G154" authorId="1" shapeId="0" xr:uid="{00000000-0006-0000-0200-00003F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직접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관련된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교육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훈련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학회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세미나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참가비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지출된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야근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특근</t>
        </r>
        <r>
          <rPr>
            <sz val="11"/>
            <color indexed="81"/>
            <rFont val="Tahoma"/>
            <family val="2"/>
          </rPr>
          <t xml:space="preserve">) </t>
        </r>
        <r>
          <rPr>
            <sz val="11"/>
            <color indexed="81"/>
            <rFont val="돋움"/>
            <family val="3"/>
            <charset val="129"/>
          </rPr>
          <t>식대</t>
        </r>
      </text>
    </comment>
    <comment ref="G155" authorId="1" shapeId="0" xr:uid="{00000000-0006-0000-0200-000040000000}">
      <text>
        <r>
          <rPr>
            <sz val="11"/>
            <color indexed="81"/>
            <rFont val="돋움"/>
            <family val="3"/>
            <charset val="129"/>
          </rPr>
          <t>문헌구입비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논문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게재료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인쇄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복사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인화비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슬라이드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제작비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각종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세금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공과금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우편요금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택배비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수수료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공공요금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일용직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활용비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등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직접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관련있는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밖의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</text>
    </comment>
    <comment ref="F156" authorId="1" shapeId="0" xr:uid="{00000000-0006-0000-0200-000041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참여하는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연구책임자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연구자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학생연구자를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포함한다</t>
        </r>
        <r>
          <rPr>
            <sz val="11"/>
            <color indexed="81"/>
            <rFont val="Tahoma"/>
            <family val="2"/>
          </rPr>
          <t>)</t>
        </r>
        <r>
          <rPr>
            <sz val="11"/>
            <color indexed="81"/>
            <rFont val="돋움"/>
            <family val="3"/>
            <charset val="129"/>
          </rPr>
          <t>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대상으로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지급하는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장려금으로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한다</t>
        </r>
        <r>
          <rPr>
            <sz val="11"/>
            <color indexed="81"/>
            <rFont val="Tahoma"/>
            <family val="2"/>
          </rPr>
          <t>.</t>
        </r>
      </text>
    </comment>
    <comment ref="O156" authorId="0" shapeId="0" xr:uid="{00000000-0006-0000-0200-000042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인건비의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현물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미지급인건비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연구근접지원인력비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제외</t>
        </r>
        <r>
          <rPr>
            <sz val="9"/>
            <color indexed="81"/>
            <rFont val="Tahoma"/>
            <family val="2"/>
          </rPr>
          <t xml:space="preserve">)20% </t>
        </r>
        <r>
          <rPr>
            <sz val="9"/>
            <color indexed="81"/>
            <rFont val="돋움"/>
            <family val="3"/>
            <charset val="129"/>
          </rPr>
          <t>이내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계상</t>
        </r>
      </text>
    </comment>
    <comment ref="F158" authorId="1" shapeId="0" xr:uid="{00000000-0006-0000-0200-000043000000}">
      <text>
        <r>
          <rPr>
            <sz val="11"/>
            <color indexed="81"/>
            <rFont val="돋움"/>
            <family val="3"/>
            <charset val="129"/>
          </rPr>
          <t>국가연구개발사업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</t>
        </r>
        <r>
          <rPr>
            <sz val="11"/>
            <color indexed="81"/>
            <rFont val="Tahoma"/>
            <family val="2"/>
          </rPr>
          <t>15</t>
        </r>
        <r>
          <rPr>
            <sz val="11"/>
            <color indexed="81"/>
            <rFont val="돋움"/>
            <family val="3"/>
            <charset val="129"/>
          </rPr>
          <t>조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인력지원비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사용용도</t>
        </r>
        <r>
          <rPr>
            <sz val="11"/>
            <color indexed="81"/>
            <rFont val="Tahoma"/>
            <family val="2"/>
          </rPr>
          <t xml:space="preserve">) </t>
        </r>
        <r>
          <rPr>
            <sz val="11"/>
            <color indexed="81"/>
            <rFont val="돋움"/>
            <family val="3"/>
            <charset val="129"/>
          </rPr>
          <t>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명시되어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확인
연구개발능률성과급을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해당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간접비의</t>
        </r>
        <r>
          <rPr>
            <sz val="11"/>
            <color indexed="81"/>
            <rFont val="Tahoma"/>
            <family val="2"/>
          </rPr>
          <t xml:space="preserve"> 10</t>
        </r>
        <r>
          <rPr>
            <sz val="11"/>
            <color indexed="81"/>
            <rFont val="돋움"/>
            <family val="3"/>
            <charset val="129"/>
          </rPr>
          <t>퍼센트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이하로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계상하여야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함</t>
        </r>
      </text>
    </comment>
    <comment ref="F159" authorId="1" shapeId="0" xr:uid="{00000000-0006-0000-0200-000044000000}">
      <text>
        <r>
          <rPr>
            <sz val="11"/>
            <color indexed="81"/>
            <rFont val="맑은 고딕"/>
            <family val="3"/>
            <charset val="129"/>
          </rPr>
          <t>1. 국가연구개발사업 연구개발비 사용기준 제15조(연구지원비 사용용도) 에 명시되어 있는 기준 확인</t>
        </r>
        <r>
          <rPr>
            <b/>
            <sz val="11"/>
            <color indexed="81"/>
            <rFont val="돋움"/>
            <family val="3"/>
            <charset val="129"/>
          </rPr>
          <t xml:space="preserve">
</t>
        </r>
        <r>
          <rPr>
            <b/>
            <sz val="11"/>
            <color indexed="81"/>
            <rFont val="맑은 고딕"/>
            <family val="3"/>
            <charset val="129"/>
          </rPr>
          <t xml:space="preserve">2. 기업신용평가비 매년 20만원 계상하고 사업비 지급완료 시 즉시 신청(주관, 공동만 해당)
3. 기업범용인증서 발급비 계상가능(선택, 10만원)
</t>
        </r>
      </text>
    </comment>
    <comment ref="F160" authorId="1" shapeId="0" xr:uid="{00000000-0006-0000-0200-000045000000}">
      <text>
        <r>
          <rPr>
            <sz val="11"/>
            <color indexed="81"/>
            <rFont val="Tahoma"/>
            <family val="2"/>
          </rPr>
          <t xml:space="preserve">1. </t>
        </r>
        <r>
          <rPr>
            <sz val="11"/>
            <color indexed="81"/>
            <rFont val="돋움"/>
            <family val="3"/>
            <charset val="129"/>
          </rPr>
          <t>국가연구개발사업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</t>
        </r>
        <r>
          <rPr>
            <sz val="11"/>
            <color indexed="81"/>
            <rFont val="Tahoma"/>
            <family val="2"/>
          </rPr>
          <t>15</t>
        </r>
        <r>
          <rPr>
            <sz val="11"/>
            <color indexed="81"/>
            <rFont val="돋움"/>
            <family val="3"/>
            <charset val="129"/>
          </rPr>
          <t>조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성과활용지원비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사용용도</t>
        </r>
        <r>
          <rPr>
            <sz val="11"/>
            <color indexed="81"/>
            <rFont val="Tahoma"/>
            <family val="2"/>
          </rPr>
          <t xml:space="preserve">) </t>
        </r>
        <r>
          <rPr>
            <sz val="11"/>
            <color indexed="81"/>
            <rFont val="돋움"/>
            <family val="3"/>
            <charset val="129"/>
          </rPr>
          <t>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명시되어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확인
</t>
        </r>
        <r>
          <rPr>
            <sz val="11"/>
            <color indexed="81"/>
            <rFont val="Tahoma"/>
            <family val="2"/>
          </rPr>
          <t xml:space="preserve">2. </t>
        </r>
        <r>
          <rPr>
            <sz val="11"/>
            <color indexed="81"/>
            <rFont val="돋움"/>
            <family val="3"/>
            <charset val="129"/>
          </rPr>
          <t>특허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출원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등록비용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계상
</t>
        </r>
        <r>
          <rPr>
            <sz val="11"/>
            <color indexed="81"/>
            <rFont val="Tahoma"/>
            <family val="2"/>
          </rPr>
          <t>3.</t>
        </r>
        <r>
          <rPr>
            <sz val="11"/>
            <color indexed="81"/>
            <rFont val="돋움"/>
            <family val="3"/>
            <charset val="129"/>
          </rPr>
          <t>기술창업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출연</t>
        </r>
        <r>
          <rPr>
            <sz val="11"/>
            <color indexed="81"/>
            <rFont val="MS Gothic"/>
            <family val="3"/>
            <charset val="128"/>
          </rPr>
          <t>･</t>
        </r>
        <r>
          <rPr>
            <sz val="11"/>
            <color indexed="81"/>
            <rFont val="돋움"/>
            <family val="3"/>
            <charset val="129"/>
          </rPr>
          <t>출자금은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해당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회계연도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간접비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총액의</t>
        </r>
        <r>
          <rPr>
            <sz val="11"/>
            <color indexed="81"/>
            <rFont val="Tahoma"/>
            <family val="2"/>
          </rPr>
          <t xml:space="preserve"> 10</t>
        </r>
        <r>
          <rPr>
            <sz val="11"/>
            <color indexed="81"/>
            <rFont val="돋움"/>
            <family val="3"/>
            <charset val="129"/>
          </rPr>
          <t>퍼센트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범위에서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설립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이후</t>
        </r>
        <r>
          <rPr>
            <sz val="11"/>
            <color indexed="81"/>
            <rFont val="Tahoma"/>
            <family val="2"/>
          </rPr>
          <t xml:space="preserve"> 5</t>
        </r>
        <r>
          <rPr>
            <sz val="11"/>
            <color indexed="81"/>
            <rFont val="돋움"/>
            <family val="3"/>
            <charset val="129"/>
          </rPr>
          <t>년까지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있으며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연구개발기관의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장이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필요하다고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인정하는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경우에는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자체규정에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따라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당초의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기간을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포함하여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최장</t>
        </r>
        <r>
          <rPr>
            <sz val="11"/>
            <color indexed="81"/>
            <rFont val="Tahoma"/>
            <family val="2"/>
          </rPr>
          <t xml:space="preserve"> 10</t>
        </r>
        <r>
          <rPr>
            <sz val="11"/>
            <color indexed="81"/>
            <rFont val="돋움"/>
            <family val="3"/>
            <charset val="129"/>
          </rPr>
          <t>년까지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있음
</t>
        </r>
        <r>
          <rPr>
            <sz val="11"/>
            <color indexed="81"/>
            <rFont val="Tahoma"/>
            <family val="2"/>
          </rPr>
          <t>4</t>
        </r>
        <r>
          <rPr>
            <b/>
            <sz val="11"/>
            <color indexed="81"/>
            <rFont val="맑은 고딕"/>
            <family val="3"/>
            <charset val="129"/>
          </rPr>
          <t xml:space="preserve">. 주관연구개발기관은 개발기간 마지막 종료차수에 기술임치비용을 계상해야 하며, 최종보고서 제출 시 기술임치증을 제출해야함
</t>
        </r>
      </text>
    </comment>
    <comment ref="G173" authorId="1" shapeId="0" xr:uid="{00000000-0006-0000-0200-000046000000}">
      <text>
        <r>
          <rPr>
            <sz val="11"/>
            <color indexed="81"/>
            <rFont val="돋움"/>
            <family val="3"/>
            <charset val="129"/>
          </rPr>
          <t>기술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특허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표준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정보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조사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분석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원천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핵심특허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확보전략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등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지식재산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창출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활동에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비용
</t>
        </r>
      </text>
    </comment>
    <comment ref="G174" authorId="1" shapeId="0" xr:uid="{00000000-0006-0000-0200-000047000000}">
      <text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맑은 고딕"/>
            <family val="3"/>
            <charset val="129"/>
          </rPr>
          <t>기술도입비, 전문가 활용비(원고료, 강사료, 자문료 등을 포함한다), 연구개발서비스 활용비 등 외부 전문기술 활용을 위하여 필요한 비용
*성능지표 관련 공인시험 시험 비용도 포함</t>
        </r>
      </text>
    </comment>
    <comment ref="O174" authorId="0" shapeId="0" xr:uid="{00000000-0006-0000-0200-000048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직접비의</t>
        </r>
        <r>
          <rPr>
            <sz val="9"/>
            <color indexed="81"/>
            <rFont val="Tahoma"/>
            <family val="2"/>
          </rPr>
          <t xml:space="preserve"> 40% </t>
        </r>
        <r>
          <rPr>
            <sz val="9"/>
            <color indexed="81"/>
            <rFont val="돋움"/>
            <family val="3"/>
            <charset val="129"/>
          </rPr>
          <t>이내</t>
        </r>
      </text>
    </comment>
    <comment ref="G175" authorId="1" shapeId="0" xr:uid="{00000000-0006-0000-0200-000049000000}">
      <text>
        <r>
          <rPr>
            <sz val="11"/>
            <color indexed="81"/>
            <rFont val="맑은 고딕"/>
            <family val="3"/>
            <charset val="129"/>
          </rPr>
          <t>회의장 임차료, 속기료, 통역료 또는 회의비 등 연구개발과제 수행을 위하여 필요한 회의·세미나 개최 비용</t>
        </r>
      </text>
    </comment>
    <comment ref="G176" authorId="1" shapeId="0" xr:uid="{00000000-0006-0000-0200-00004A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국내외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출장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영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</t>
        </r>
        <r>
          <rPr>
            <sz val="11"/>
            <color indexed="81"/>
            <rFont val="Tahoma"/>
            <family val="2"/>
          </rPr>
          <t>19</t>
        </r>
        <r>
          <rPr>
            <sz val="11"/>
            <color indexed="81"/>
            <rFont val="돋움"/>
            <family val="3"/>
            <charset val="129"/>
          </rPr>
          <t>조제</t>
        </r>
        <r>
          <rPr>
            <sz val="11"/>
            <color indexed="81"/>
            <rFont val="Tahoma"/>
            <family val="2"/>
          </rPr>
          <t>4</t>
        </r>
        <r>
          <rPr>
            <sz val="11"/>
            <color indexed="81"/>
            <rFont val="돋움"/>
            <family val="3"/>
            <charset val="129"/>
          </rPr>
          <t>항제</t>
        </r>
        <r>
          <rPr>
            <sz val="11"/>
            <color indexed="81"/>
            <rFont val="Tahoma"/>
            <family val="2"/>
          </rPr>
          <t>3</t>
        </r>
        <r>
          <rPr>
            <sz val="11"/>
            <color indexed="81"/>
            <rFont val="돋움"/>
            <family val="3"/>
            <charset val="129"/>
          </rPr>
          <t>호의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따라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파견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전보되는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인력에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대한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파견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전보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주거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관련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포함한다</t>
        </r>
        <r>
          <rPr>
            <sz val="11"/>
            <color indexed="81"/>
            <rFont val="Tahoma"/>
            <family val="2"/>
          </rPr>
          <t>)</t>
        </r>
      </text>
    </comment>
    <comment ref="G177" authorId="0" shapeId="0" xr:uid="{00000000-0006-0000-0200-00004B000000}">
      <text>
        <r>
          <rPr>
            <sz val="10"/>
            <color indexed="81"/>
            <rFont val="돋움"/>
            <family val="3"/>
            <charset val="129"/>
          </rPr>
          <t>연구개발과제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수행을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위한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클라우드컴퓨팅서비스의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 xml:space="preserve">이용료
</t>
        </r>
        <r>
          <rPr>
            <sz val="10"/>
            <color indexed="81"/>
            <rFont val="Tahoma"/>
            <family val="2"/>
          </rPr>
          <t xml:space="preserve">- </t>
        </r>
        <r>
          <rPr>
            <sz val="10"/>
            <color indexed="81"/>
            <rFont val="돋움"/>
            <family val="3"/>
            <charset val="129"/>
          </rPr>
          <t>클라우드컴퓨팅서비스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활용비를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계상하려는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경우에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「클라우드컴퓨팅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발전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및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이용자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보호에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관한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법률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시행령」제</t>
        </r>
        <r>
          <rPr>
            <sz val="10"/>
            <color indexed="81"/>
            <rFont val="Tahoma"/>
            <family val="2"/>
          </rPr>
          <t>8</t>
        </r>
        <r>
          <rPr>
            <sz val="10"/>
            <color indexed="81"/>
            <rFont val="돋움"/>
            <family val="3"/>
            <charset val="129"/>
          </rPr>
          <t>조의</t>
        </r>
        <r>
          <rPr>
            <sz val="10"/>
            <color indexed="81"/>
            <rFont val="Tahoma"/>
            <family val="2"/>
          </rPr>
          <t xml:space="preserve">2 </t>
        </r>
        <r>
          <rPr>
            <sz val="10"/>
            <color indexed="81"/>
            <rFont val="돋움"/>
            <family val="3"/>
            <charset val="129"/>
          </rPr>
          <t>제</t>
        </r>
        <r>
          <rPr>
            <sz val="10"/>
            <color indexed="81"/>
            <rFont val="Tahoma"/>
            <family val="2"/>
          </rPr>
          <t>3</t>
        </r>
        <r>
          <rPr>
            <sz val="10"/>
            <color indexed="81"/>
            <rFont val="돋움"/>
            <family val="3"/>
            <charset val="129"/>
          </rPr>
          <t>항에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따라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구축하여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운영되는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이용지원시스템</t>
        </r>
        <r>
          <rPr>
            <sz val="10"/>
            <color indexed="81"/>
            <rFont val="Tahoma"/>
            <family val="2"/>
          </rPr>
          <t>(www.digitalmarket.kr)</t>
        </r>
        <r>
          <rPr>
            <sz val="10"/>
            <color indexed="81"/>
            <rFont val="돋움"/>
            <family val="3"/>
            <charset val="129"/>
          </rPr>
          <t>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확인한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후</t>
        </r>
        <r>
          <rPr>
            <sz val="10"/>
            <color indexed="81"/>
            <rFont val="Tahoma"/>
            <family val="2"/>
          </rPr>
          <t xml:space="preserve">, </t>
        </r>
        <r>
          <rPr>
            <sz val="10"/>
            <color indexed="81"/>
            <rFont val="돋움"/>
            <family val="3"/>
            <charset val="129"/>
          </rPr>
          <t>클라우드컴퓨팅서비스를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선정하고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필요한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비용을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계상하여야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함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G178" authorId="1" shapeId="0" xr:uid="{00000000-0006-0000-0200-00004C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소프트웨어의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구입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설치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임차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사용대차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데이터베이스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네트워크의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이용료</t>
        </r>
        <r>
          <rPr>
            <sz val="11"/>
            <color indexed="81"/>
            <rFont val="Tahoma"/>
            <family val="2"/>
          </rPr>
          <t xml:space="preserve"> </t>
        </r>
      </text>
    </comment>
    <comment ref="G179" authorId="1" shapeId="0" xr:uid="{00000000-0006-0000-0200-00004D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사무용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사무용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소프트웨어의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구입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설치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임차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사용대차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사무용품비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연구실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운영에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소모성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연구실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냉난방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청결한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환경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유지를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기기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비품의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구입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유지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
사무용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사무용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소프트웨어에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소요되는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연구실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냉난방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청결한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환경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유지비용은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협약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체결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당시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연구실운영비활용·관리계획을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작성하여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첨부한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경우에만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있음</t>
        </r>
        <r>
          <rPr>
            <sz val="11"/>
            <color indexed="81"/>
            <rFont val="Tahoma"/>
            <family val="2"/>
          </rPr>
          <t>.</t>
        </r>
      </text>
    </comment>
    <comment ref="G180" authorId="1" shapeId="0" xr:uid="{00000000-0006-0000-0200-00004E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직접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관련된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교육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훈련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학회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세미나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참가비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지출된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야근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특근</t>
        </r>
        <r>
          <rPr>
            <sz val="11"/>
            <color indexed="81"/>
            <rFont val="Tahoma"/>
            <family val="2"/>
          </rPr>
          <t xml:space="preserve">) </t>
        </r>
        <r>
          <rPr>
            <sz val="11"/>
            <color indexed="81"/>
            <rFont val="돋움"/>
            <family val="3"/>
            <charset val="129"/>
          </rPr>
          <t>식대</t>
        </r>
      </text>
    </comment>
    <comment ref="G181" authorId="1" shapeId="0" xr:uid="{00000000-0006-0000-0200-00004F000000}">
      <text>
        <r>
          <rPr>
            <sz val="11"/>
            <color indexed="81"/>
            <rFont val="돋움"/>
            <family val="3"/>
            <charset val="129"/>
          </rPr>
          <t>문헌구입비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논문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게재료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인쇄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복사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인화비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슬라이드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제작비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각종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세금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공과금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우편요금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택배비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수수료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공공요금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일용직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활용비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등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직접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관련있는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밖의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</text>
    </comment>
    <comment ref="F182" authorId="1" shapeId="0" xr:uid="{00000000-0006-0000-0200-000050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참여하는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연구책임자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연구자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학생연구자를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포함한다</t>
        </r>
        <r>
          <rPr>
            <sz val="11"/>
            <color indexed="81"/>
            <rFont val="Tahoma"/>
            <family val="2"/>
          </rPr>
          <t>)</t>
        </r>
        <r>
          <rPr>
            <sz val="11"/>
            <color indexed="81"/>
            <rFont val="돋움"/>
            <family val="3"/>
            <charset val="129"/>
          </rPr>
          <t>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대상으로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지급하는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장려금으로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한다</t>
        </r>
        <r>
          <rPr>
            <sz val="11"/>
            <color indexed="81"/>
            <rFont val="Tahoma"/>
            <family val="2"/>
          </rPr>
          <t>.</t>
        </r>
      </text>
    </comment>
    <comment ref="O182" authorId="0" shapeId="0" xr:uid="{00000000-0006-0000-0200-000051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인건비의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현물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미지급인건비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연구근접지원인력비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제외</t>
        </r>
        <r>
          <rPr>
            <sz val="9"/>
            <color indexed="81"/>
            <rFont val="Tahoma"/>
            <family val="2"/>
          </rPr>
          <t xml:space="preserve">)20% </t>
        </r>
        <r>
          <rPr>
            <sz val="9"/>
            <color indexed="81"/>
            <rFont val="돋움"/>
            <family val="3"/>
            <charset val="129"/>
          </rPr>
          <t>이내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계상</t>
        </r>
      </text>
    </comment>
    <comment ref="F184" authorId="1" shapeId="0" xr:uid="{00000000-0006-0000-0200-000052000000}">
      <text>
        <r>
          <rPr>
            <sz val="11"/>
            <color indexed="81"/>
            <rFont val="돋움"/>
            <family val="3"/>
            <charset val="129"/>
          </rPr>
          <t>국가연구개발사업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</t>
        </r>
        <r>
          <rPr>
            <sz val="11"/>
            <color indexed="81"/>
            <rFont val="Tahoma"/>
            <family val="2"/>
          </rPr>
          <t>15</t>
        </r>
        <r>
          <rPr>
            <sz val="11"/>
            <color indexed="81"/>
            <rFont val="돋움"/>
            <family val="3"/>
            <charset val="129"/>
          </rPr>
          <t>조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인력지원비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사용용도</t>
        </r>
        <r>
          <rPr>
            <sz val="11"/>
            <color indexed="81"/>
            <rFont val="Tahoma"/>
            <family val="2"/>
          </rPr>
          <t xml:space="preserve">) </t>
        </r>
        <r>
          <rPr>
            <sz val="11"/>
            <color indexed="81"/>
            <rFont val="돋움"/>
            <family val="3"/>
            <charset val="129"/>
          </rPr>
          <t>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명시되어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확인
연구개발능률성과급을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해당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간접비의</t>
        </r>
        <r>
          <rPr>
            <sz val="11"/>
            <color indexed="81"/>
            <rFont val="Tahoma"/>
            <family val="2"/>
          </rPr>
          <t xml:space="preserve"> 10</t>
        </r>
        <r>
          <rPr>
            <sz val="11"/>
            <color indexed="81"/>
            <rFont val="돋움"/>
            <family val="3"/>
            <charset val="129"/>
          </rPr>
          <t>퍼센트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이하로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계상하여야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함</t>
        </r>
      </text>
    </comment>
    <comment ref="F185" authorId="1" shapeId="0" xr:uid="{00000000-0006-0000-0200-000053000000}">
      <text>
        <r>
          <rPr>
            <sz val="11"/>
            <color indexed="81"/>
            <rFont val="맑은 고딕"/>
            <family val="3"/>
            <charset val="129"/>
          </rPr>
          <t>1. 국가연구개발사업 연구개발비 사용기준 제15조(연구지원비 사용용도) 에 명시되어 있는 기준 확인</t>
        </r>
        <r>
          <rPr>
            <b/>
            <sz val="11"/>
            <color indexed="81"/>
            <rFont val="돋움"/>
            <family val="3"/>
            <charset val="129"/>
          </rPr>
          <t xml:space="preserve">
</t>
        </r>
        <r>
          <rPr>
            <b/>
            <sz val="11"/>
            <color indexed="81"/>
            <rFont val="맑은 고딕"/>
            <family val="3"/>
            <charset val="129"/>
          </rPr>
          <t xml:space="preserve">2. 기업신용평가비 매년 20만원 계상하고 사업비 지급완료 시 즉시 신청(주관, 공동만 해당)
3. 기업범용인증서 발급비 계상가능(선택, 10만원)
</t>
        </r>
      </text>
    </comment>
    <comment ref="F186" authorId="1" shapeId="0" xr:uid="{00000000-0006-0000-0200-000054000000}">
      <text>
        <r>
          <rPr>
            <sz val="11"/>
            <color indexed="81"/>
            <rFont val="Tahoma"/>
            <family val="2"/>
          </rPr>
          <t xml:space="preserve">1. </t>
        </r>
        <r>
          <rPr>
            <sz val="11"/>
            <color indexed="81"/>
            <rFont val="돋움"/>
            <family val="3"/>
            <charset val="129"/>
          </rPr>
          <t>국가연구개발사업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</t>
        </r>
        <r>
          <rPr>
            <sz val="11"/>
            <color indexed="81"/>
            <rFont val="Tahoma"/>
            <family val="2"/>
          </rPr>
          <t>15</t>
        </r>
        <r>
          <rPr>
            <sz val="11"/>
            <color indexed="81"/>
            <rFont val="돋움"/>
            <family val="3"/>
            <charset val="129"/>
          </rPr>
          <t>조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성과활용지원비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사용용도</t>
        </r>
        <r>
          <rPr>
            <sz val="11"/>
            <color indexed="81"/>
            <rFont val="Tahoma"/>
            <family val="2"/>
          </rPr>
          <t xml:space="preserve">) </t>
        </r>
        <r>
          <rPr>
            <sz val="11"/>
            <color indexed="81"/>
            <rFont val="돋움"/>
            <family val="3"/>
            <charset val="129"/>
          </rPr>
          <t>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명시되어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확인
</t>
        </r>
        <r>
          <rPr>
            <sz val="11"/>
            <color indexed="81"/>
            <rFont val="Tahoma"/>
            <family val="2"/>
          </rPr>
          <t xml:space="preserve">2. </t>
        </r>
        <r>
          <rPr>
            <sz val="11"/>
            <color indexed="81"/>
            <rFont val="돋움"/>
            <family val="3"/>
            <charset val="129"/>
          </rPr>
          <t>특허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출원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등록비용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계상
</t>
        </r>
        <r>
          <rPr>
            <sz val="11"/>
            <color indexed="81"/>
            <rFont val="Tahoma"/>
            <family val="2"/>
          </rPr>
          <t>3.</t>
        </r>
        <r>
          <rPr>
            <sz val="11"/>
            <color indexed="81"/>
            <rFont val="돋움"/>
            <family val="3"/>
            <charset val="129"/>
          </rPr>
          <t>기술창업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출연</t>
        </r>
        <r>
          <rPr>
            <sz val="11"/>
            <color indexed="81"/>
            <rFont val="MS Gothic"/>
            <family val="3"/>
            <charset val="128"/>
          </rPr>
          <t>･</t>
        </r>
        <r>
          <rPr>
            <sz val="11"/>
            <color indexed="81"/>
            <rFont val="돋움"/>
            <family val="3"/>
            <charset val="129"/>
          </rPr>
          <t>출자금은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해당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회계연도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간접비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총액의</t>
        </r>
        <r>
          <rPr>
            <sz val="11"/>
            <color indexed="81"/>
            <rFont val="Tahoma"/>
            <family val="2"/>
          </rPr>
          <t xml:space="preserve"> 10</t>
        </r>
        <r>
          <rPr>
            <sz val="11"/>
            <color indexed="81"/>
            <rFont val="돋움"/>
            <family val="3"/>
            <charset val="129"/>
          </rPr>
          <t>퍼센트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범위에서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설립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이후</t>
        </r>
        <r>
          <rPr>
            <sz val="11"/>
            <color indexed="81"/>
            <rFont val="Tahoma"/>
            <family val="2"/>
          </rPr>
          <t xml:space="preserve"> 5</t>
        </r>
        <r>
          <rPr>
            <sz val="11"/>
            <color indexed="81"/>
            <rFont val="돋움"/>
            <family val="3"/>
            <charset val="129"/>
          </rPr>
          <t>년까지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있으며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연구개발기관의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장이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필요하다고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인정하는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경우에는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자체규정에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따라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당초의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기간을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포함하여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최장</t>
        </r>
        <r>
          <rPr>
            <sz val="11"/>
            <color indexed="81"/>
            <rFont val="Tahoma"/>
            <family val="2"/>
          </rPr>
          <t xml:space="preserve"> 10</t>
        </r>
        <r>
          <rPr>
            <sz val="11"/>
            <color indexed="81"/>
            <rFont val="돋움"/>
            <family val="3"/>
            <charset val="129"/>
          </rPr>
          <t>년까지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있음
</t>
        </r>
        <r>
          <rPr>
            <sz val="11"/>
            <color indexed="81"/>
            <rFont val="Tahoma"/>
            <family val="2"/>
          </rPr>
          <t>4</t>
        </r>
        <r>
          <rPr>
            <b/>
            <sz val="11"/>
            <color indexed="81"/>
            <rFont val="맑은 고딕"/>
            <family val="3"/>
            <charset val="129"/>
          </rPr>
          <t xml:space="preserve">. 주관연구개발기관은 개발기간 마지막 종료차수에 기술임치비용을 계상해야 하며, 최종보고서 제출 시 기술임치증을 제출해야함
</t>
        </r>
      </text>
    </comment>
  </commentList>
</comments>
</file>

<file path=xl/sharedStrings.xml><?xml version="1.0" encoding="utf-8"?>
<sst xmlns="http://schemas.openxmlformats.org/spreadsheetml/2006/main" count="2645" uniqueCount="1310">
  <si>
    <t>노란색 칸은 꼭 입력 해주시기 바랍니다</t>
    <phoneticPr fontId="2" type="noConversion"/>
  </si>
  <si>
    <r>
      <t>사업자번호(</t>
    </r>
    <r>
      <rPr>
        <b/>
        <sz val="12"/>
        <color rgb="FFFF0000"/>
        <rFont val="맑은 고딕"/>
        <family val="3"/>
        <charset val="129"/>
        <scheme val="minor"/>
      </rPr>
      <t>- 제외, 숫자만 입력</t>
    </r>
    <r>
      <rPr>
        <b/>
        <sz val="12"/>
        <color theme="1"/>
        <rFont val="맑은 고딕"/>
        <family val="3"/>
        <charset val="129"/>
        <scheme val="minor"/>
      </rPr>
      <t>)</t>
    </r>
    <phoneticPr fontId="2" type="noConversion"/>
  </si>
  <si>
    <t>노란색 입력 필요</t>
    <phoneticPr fontId="2" type="noConversion"/>
  </si>
  <si>
    <t>과제번호</t>
    <phoneticPr fontId="2" type="noConversion"/>
  </si>
  <si>
    <t>주관연구개발기관명</t>
    <phoneticPr fontId="2" type="noConversion"/>
  </si>
  <si>
    <t>집체협약 일정</t>
    <phoneticPr fontId="2" type="noConversion"/>
  </si>
  <si>
    <t>확정 정부지원금
(천원)</t>
    <phoneticPr fontId="2" type="noConversion"/>
  </si>
  <si>
    <t>0. 연구개발비 구성</t>
    <phoneticPr fontId="2" type="noConversion"/>
  </si>
  <si>
    <t xml:space="preserve">정부출연금, 기관부담금 비율은 7.5:2.5 </t>
    <phoneticPr fontId="2" type="noConversion"/>
  </si>
  <si>
    <t>기관부담금 현물, 현금 비율은 9:1까지 가능함.</t>
    <phoneticPr fontId="2" type="noConversion"/>
  </si>
  <si>
    <t>(단위:천원)</t>
    <phoneticPr fontId="2" type="noConversion"/>
  </si>
  <si>
    <t>차수</t>
    <phoneticPr fontId="2" type="noConversion"/>
  </si>
  <si>
    <t>정부지원연구개발비(천원)</t>
    <phoneticPr fontId="2" type="noConversion"/>
  </si>
  <si>
    <t>기관부담연구개발비(천원)</t>
    <phoneticPr fontId="2" type="noConversion"/>
  </si>
  <si>
    <t>소 계</t>
    <phoneticPr fontId="2" type="noConversion"/>
  </si>
  <si>
    <t>합계</t>
    <phoneticPr fontId="2" type="noConversion"/>
  </si>
  <si>
    <t>현금</t>
    <phoneticPr fontId="2" type="noConversion"/>
  </si>
  <si>
    <t>비율</t>
    <phoneticPr fontId="2" type="noConversion"/>
  </si>
  <si>
    <t>현물</t>
    <phoneticPr fontId="2" type="noConversion"/>
  </si>
  <si>
    <t>기관부담금 합계</t>
    <phoneticPr fontId="2" type="noConversion"/>
  </si>
  <si>
    <t>1차년도</t>
    <phoneticPr fontId="2" type="noConversion"/>
  </si>
  <si>
    <t>2차년도</t>
    <phoneticPr fontId="2" type="noConversion"/>
  </si>
  <si>
    <t>1차년도 연구개발비 구성</t>
    <phoneticPr fontId="2" type="noConversion"/>
  </si>
  <si>
    <t>★3-1 인건비 작성여부★(엑셀 오른쪽에 있습니다.)</t>
    <phoneticPr fontId="2" type="noConversion"/>
  </si>
  <si>
    <t>1. 연구개발비 분담내역(작성필요)</t>
    <phoneticPr fontId="2" type="noConversion"/>
  </si>
  <si>
    <t>*공동, 위탁은 있는 경우만 작성</t>
    <phoneticPr fontId="2" type="noConversion"/>
  </si>
  <si>
    <t>구분</t>
    <phoneticPr fontId="2" type="noConversion"/>
  </si>
  <si>
    <t>기관명</t>
    <phoneticPr fontId="2" type="noConversion"/>
  </si>
  <si>
    <t>정부지원연구개발비</t>
    <phoneticPr fontId="2" type="noConversion"/>
  </si>
  <si>
    <t>기관부담연구개발비</t>
    <phoneticPr fontId="2" type="noConversion"/>
  </si>
  <si>
    <t>총연구개발비</t>
    <phoneticPr fontId="2" type="noConversion"/>
  </si>
  <si>
    <t>검증결과
(적절, 부적절)</t>
    <phoneticPr fontId="2" type="noConversion"/>
  </si>
  <si>
    <t>계</t>
    <phoneticPr fontId="2" type="noConversion"/>
  </si>
  <si>
    <t>주관연구개발기관</t>
    <phoneticPr fontId="2" type="noConversion"/>
  </si>
  <si>
    <t>공동연구개발기관(1)</t>
    <phoneticPr fontId="2" type="noConversion"/>
  </si>
  <si>
    <t>공동연구개발기관(2)</t>
    <phoneticPr fontId="2" type="noConversion"/>
  </si>
  <si>
    <t>위탁연구개발기관(1)</t>
    <phoneticPr fontId="2" type="noConversion"/>
  </si>
  <si>
    <t>위탁연구개발기관(2)</t>
    <phoneticPr fontId="2" type="noConversion"/>
  </si>
  <si>
    <r>
      <t>2. 연구개발비(총괄-자동반영),</t>
    </r>
    <r>
      <rPr>
        <b/>
        <sz val="11"/>
        <color rgb="FFFF0000"/>
        <rFont val="맑은 고딕"/>
        <family val="3"/>
        <charset val="129"/>
        <scheme val="minor"/>
      </rPr>
      <t xml:space="preserve"> 직접 입력 금지</t>
    </r>
    <phoneticPr fontId="2" type="noConversion"/>
  </si>
  <si>
    <t>구 분</t>
    <phoneticPr fontId="2" type="noConversion"/>
  </si>
  <si>
    <t>비목</t>
    <phoneticPr fontId="2" type="noConversion"/>
  </si>
  <si>
    <t>총계</t>
    <phoneticPr fontId="2" type="noConversion"/>
  </si>
  <si>
    <t>주요 검토결과
(적절, 부적절)</t>
    <phoneticPr fontId="2" type="noConversion"/>
  </si>
  <si>
    <t>현금(천원)
(A)</t>
    <phoneticPr fontId="2" type="noConversion"/>
  </si>
  <si>
    <t>비율
(A/C)</t>
    <phoneticPr fontId="2" type="noConversion"/>
  </si>
  <si>
    <t>현물(천원)
(B)</t>
    <phoneticPr fontId="2" type="noConversion"/>
  </si>
  <si>
    <t>비율
(B/C)</t>
    <phoneticPr fontId="2" type="noConversion"/>
  </si>
  <si>
    <t>소계(천원)
(C)</t>
    <phoneticPr fontId="2" type="noConversion"/>
  </si>
  <si>
    <t>총연구개발비대비
비율</t>
    <phoneticPr fontId="2" type="noConversion"/>
  </si>
  <si>
    <t>총 연구개발비</t>
    <phoneticPr fontId="2" type="noConversion"/>
  </si>
  <si>
    <t>직접비</t>
    <phoneticPr fontId="2" type="noConversion"/>
  </si>
  <si>
    <t>인건비</t>
    <phoneticPr fontId="2" type="noConversion"/>
  </si>
  <si>
    <t>기존인력인건비</t>
    <phoneticPr fontId="2" type="noConversion"/>
  </si>
  <si>
    <t>신규인력인건비</t>
    <phoneticPr fontId="2" type="noConversion"/>
  </si>
  <si>
    <t>외부인건비</t>
    <phoneticPr fontId="2" type="noConversion"/>
  </si>
  <si>
    <t xml:space="preserve"> 인건비 소계</t>
    <phoneticPr fontId="2" type="noConversion"/>
  </si>
  <si>
    <t>연구시설·장비비</t>
    <phoneticPr fontId="2" type="noConversion"/>
  </si>
  <si>
    <t>연구재료비</t>
    <phoneticPr fontId="2" type="noConversion"/>
  </si>
  <si>
    <t>연구활동비</t>
    <phoneticPr fontId="2" type="noConversion"/>
  </si>
  <si>
    <t>지식재산 창출활동비</t>
    <phoneticPr fontId="2" type="noConversion"/>
  </si>
  <si>
    <t>외부 전문기술 활용비</t>
    <phoneticPr fontId="2" type="noConversion"/>
  </si>
  <si>
    <t>회의비</t>
    <phoneticPr fontId="2" type="noConversion"/>
  </si>
  <si>
    <t>출장비</t>
    <phoneticPr fontId="2" type="noConversion"/>
  </si>
  <si>
    <t>클라우드컴퓨팅 서비스 활용비</t>
  </si>
  <si>
    <t>소프트웨어 활용비</t>
    <phoneticPr fontId="2" type="noConversion"/>
  </si>
  <si>
    <t>연구실운영비</t>
    <phoneticPr fontId="2" type="noConversion"/>
  </si>
  <si>
    <t>연구인력 지원비</t>
    <phoneticPr fontId="2" type="noConversion"/>
  </si>
  <si>
    <t>그 밖의 비용</t>
    <phoneticPr fontId="2" type="noConversion"/>
  </si>
  <si>
    <t>연구활동비 소계</t>
    <phoneticPr fontId="2" type="noConversion"/>
  </si>
  <si>
    <t>연구수당</t>
    <phoneticPr fontId="2" type="noConversion"/>
  </si>
  <si>
    <t>위탁연구개발비</t>
    <phoneticPr fontId="2" type="noConversion"/>
  </si>
  <si>
    <t>직접비(인건비)</t>
    <phoneticPr fontId="2" type="noConversion"/>
  </si>
  <si>
    <t>직접비(인건비 제외)</t>
    <phoneticPr fontId="2" type="noConversion"/>
  </si>
  <si>
    <t>간접비</t>
    <phoneticPr fontId="2" type="noConversion"/>
  </si>
  <si>
    <t xml:space="preserve"> 위탁연구개발비 소계</t>
    <phoneticPr fontId="2" type="noConversion"/>
  </si>
  <si>
    <t>직접비 소계</t>
    <phoneticPr fontId="2" type="noConversion"/>
  </si>
  <si>
    <t>인력지원비</t>
    <phoneticPr fontId="2" type="noConversion"/>
  </si>
  <si>
    <t>연구지원비</t>
    <phoneticPr fontId="2" type="noConversion"/>
  </si>
  <si>
    <t>성과활용지원비</t>
    <phoneticPr fontId="2" type="noConversion"/>
  </si>
  <si>
    <t xml:space="preserve"> 간접비 소계</t>
    <phoneticPr fontId="2" type="noConversion"/>
  </si>
  <si>
    <t>3. 수행기관별 연구개발비(작성필요)</t>
    <phoneticPr fontId="2" type="noConversion"/>
  </si>
  <si>
    <t>공동/위탁연구개발기관이 있는 경우 참여기업도 동일하게 작성요망(변경된 비목이 많으므로 주의하세요, 우측 인건비 상세내역 필수 작성)</t>
    <phoneticPr fontId="2" type="noConversion"/>
  </si>
  <si>
    <t>3-1. 수행기관별 인건비(작성필요)</t>
    <phoneticPr fontId="2" type="noConversion"/>
  </si>
  <si>
    <t>(단위 : 천원)</t>
    <phoneticPr fontId="2" type="noConversion"/>
  </si>
  <si>
    <t>구 분</t>
  </si>
  <si>
    <t>인력
구분</t>
    <phoneticPr fontId="2" type="noConversion"/>
  </si>
  <si>
    <t>성명</t>
  </si>
  <si>
    <t>직위</t>
  </si>
  <si>
    <t>연봉</t>
    <phoneticPr fontId="2" type="noConversion"/>
  </si>
  <si>
    <t>현금계상률</t>
    <phoneticPr fontId="2" type="noConversion"/>
  </si>
  <si>
    <t>현물계상률</t>
    <phoneticPr fontId="2" type="noConversion"/>
  </si>
  <si>
    <t>미지급계상률</t>
    <phoneticPr fontId="2" type="noConversion"/>
  </si>
  <si>
    <t>합 계</t>
    <phoneticPr fontId="2" type="noConversion"/>
  </si>
  <si>
    <t>(참여기간 개월 수 기준 작성)</t>
    <phoneticPr fontId="2" type="noConversion"/>
  </si>
  <si>
    <t>(%)</t>
  </si>
  <si>
    <t>주관연구
개발기관</t>
    <phoneticPr fontId="2" type="noConversion"/>
  </si>
  <si>
    <t>(A)</t>
  </si>
  <si>
    <t>(B)</t>
    <phoneticPr fontId="2" type="noConversion"/>
  </si>
  <si>
    <t>(C)</t>
    <phoneticPr fontId="2" type="noConversion"/>
  </si>
  <si>
    <t>현물</t>
  </si>
  <si>
    <t>기존인력</t>
    <phoneticPr fontId="2" type="noConversion"/>
  </si>
  <si>
    <t>박문식</t>
  </si>
  <si>
    <t>대표</t>
  </si>
  <si>
    <t>총 인건비 소계</t>
    <phoneticPr fontId="2" type="noConversion"/>
  </si>
  <si>
    <t>신규인력</t>
    <phoneticPr fontId="2" type="noConversion"/>
  </si>
  <si>
    <t>장길석</t>
  </si>
  <si>
    <t>수석</t>
  </si>
  <si>
    <t>김현기</t>
  </si>
  <si>
    <t>한태현</t>
  </si>
  <si>
    <t>선임</t>
  </si>
  <si>
    <t>클라우드컴퓨팅 서비스 활용비</t>
    <phoneticPr fontId="2" type="noConversion"/>
  </si>
  <si>
    <t>ㅑ</t>
    <phoneticPr fontId="2" type="noConversion"/>
  </si>
  <si>
    <t>소프트웨어 활용비</t>
  </si>
  <si>
    <t>연구실운영비</t>
  </si>
  <si>
    <t>소 계</t>
  </si>
  <si>
    <t>외부인력</t>
    <phoneticPr fontId="2" type="noConversion"/>
  </si>
  <si>
    <t>그 밖의 비용</t>
  </si>
  <si>
    <t>합 계</t>
  </si>
  <si>
    <r>
      <t>성과활용지원비(기업신용평가비)</t>
    </r>
    <r>
      <rPr>
        <b/>
        <sz val="10"/>
        <color rgb="FFFF0000"/>
        <rFont val="맑은 고딕"/>
        <family val="3"/>
        <charset val="129"/>
        <scheme val="minor"/>
      </rPr>
      <t>(필수)</t>
    </r>
    <phoneticPr fontId="2" type="noConversion"/>
  </si>
  <si>
    <t>간접비 소계</t>
    <phoneticPr fontId="2" type="noConversion"/>
  </si>
  <si>
    <t>공동연구
개발기관1</t>
    <phoneticPr fontId="2" type="noConversion"/>
  </si>
  <si>
    <t>현금</t>
  </si>
  <si>
    <t>계</t>
  </si>
  <si>
    <t xml:space="preserve">  인건비 소계</t>
    <phoneticPr fontId="2" type="noConversion"/>
  </si>
  <si>
    <t>공동연구
개발기관2</t>
    <phoneticPr fontId="2" type="noConversion"/>
  </si>
  <si>
    <t>위탁연구
개발기관1</t>
    <phoneticPr fontId="2" type="noConversion"/>
  </si>
  <si>
    <t>학생인건비</t>
    <phoneticPr fontId="2" type="noConversion"/>
  </si>
  <si>
    <t>연구근접지원인력비</t>
    <phoneticPr fontId="2" type="noConversion"/>
  </si>
  <si>
    <t>소계</t>
    <phoneticPr fontId="2" type="noConversion"/>
  </si>
  <si>
    <r>
      <t xml:space="preserve">간접비
</t>
    </r>
    <r>
      <rPr>
        <sz val="10"/>
        <color rgb="FFFF0000"/>
        <rFont val="맑은 고딕"/>
        <family val="3"/>
        <charset val="129"/>
        <scheme val="minor"/>
      </rPr>
      <t>(간접비 고시 비율, 미 고시된 대학 5%, 출연연 17%)</t>
    </r>
    <phoneticPr fontId="2" type="noConversion"/>
  </si>
  <si>
    <t>연구지원인력
(비영리만 해당)</t>
    <phoneticPr fontId="2" type="noConversion"/>
  </si>
  <si>
    <t>위탁연구
개발기관2</t>
    <phoneticPr fontId="2" type="noConversion"/>
  </si>
  <si>
    <t>`</t>
    <phoneticPr fontId="2" type="noConversion"/>
  </si>
  <si>
    <r>
      <t xml:space="preserve">  ☆ 작성시 유의사항 ☆
     1. </t>
    </r>
    <r>
      <rPr>
        <b/>
        <u/>
        <sz val="10"/>
        <color rgb="FFFF0000"/>
        <rFont val="맑은 고딕"/>
        <family val="3"/>
        <charset val="129"/>
        <scheme val="minor"/>
      </rPr>
      <t>노란색 색 부분만 작성</t>
    </r>
    <r>
      <rPr>
        <b/>
        <sz val="10"/>
        <color theme="1"/>
        <rFont val="맑은 고딕"/>
        <family val="3"/>
        <charset val="129"/>
        <scheme val="minor"/>
      </rPr>
      <t xml:space="preserve">
     2. 정부지원연구개발비는 선정 안내시 안내 받은 금액을 입력되며, 기관별 분배되는 정부지원연구개발비 및 기관부담연구개발비를 정확히 입력 
     3. 시트에 부적절 문구가 출력될 경우, 합계가 다르거나 지침에 위배되는 등 입력사항에 오류가 있으므로 재검토 요망</t>
    </r>
    <phoneticPr fontId="2" type="noConversion"/>
  </si>
  <si>
    <t>O</t>
    <phoneticPr fontId="2" type="noConversion"/>
  </si>
  <si>
    <t>X</t>
    <phoneticPr fontId="2" type="noConversion"/>
  </si>
  <si>
    <t>2차년도 연구개발비 구성</t>
    <phoneticPr fontId="2" type="noConversion"/>
  </si>
  <si>
    <r>
      <t>그 밖의 비용(위탁 정산 비용)</t>
    </r>
    <r>
      <rPr>
        <b/>
        <sz val="10"/>
        <color rgb="FFFF0000"/>
        <rFont val="맑은 고딕"/>
        <family val="3"/>
        <charset val="129"/>
        <scheme val="minor"/>
      </rPr>
      <t>(필수)</t>
    </r>
    <phoneticPr fontId="2" type="noConversion"/>
  </si>
  <si>
    <r>
      <t>연구지원비(기술임치비)</t>
    </r>
    <r>
      <rPr>
        <b/>
        <sz val="10"/>
        <color rgb="FFFF0000"/>
        <rFont val="맑은 고딕"/>
        <family val="3"/>
        <charset val="129"/>
        <scheme val="minor"/>
      </rPr>
      <t>(필수)</t>
    </r>
    <phoneticPr fontId="2" type="noConversion"/>
  </si>
  <si>
    <t>사업자등록번호</t>
    <phoneticPr fontId="2" type="noConversion"/>
  </si>
  <si>
    <t>집체협약일정</t>
    <phoneticPr fontId="2" type="noConversion"/>
  </si>
  <si>
    <t>총합</t>
    <phoneticPr fontId="2" type="noConversion"/>
  </si>
  <si>
    <t>RS-2024-00467565</t>
  </si>
  <si>
    <t>주식회사 프로덕트테크</t>
  </si>
  <si>
    <t>2024-08-22(목) 10:00</t>
  </si>
  <si>
    <t>RS-2024-00467338</t>
  </si>
  <si>
    <t>주식회사 레이어와이즈</t>
  </si>
  <si>
    <t>RS-2024-00467377</t>
  </si>
  <si>
    <t>머티리얼포레스트</t>
  </si>
  <si>
    <t>2024-08-22(목) 10:40</t>
  </si>
  <si>
    <t>RS-2024-00467957</t>
  </si>
  <si>
    <t>갈포드(주)</t>
  </si>
  <si>
    <t>RS-2024-00467955</t>
  </si>
  <si>
    <t>지케이(주)</t>
  </si>
  <si>
    <t>2024-08-22(목) 11:20</t>
  </si>
  <si>
    <t>RS-2024-00467589</t>
  </si>
  <si>
    <t>주식회사 이지스네이처</t>
  </si>
  <si>
    <t>2024-08-22(목) 13:00</t>
  </si>
  <si>
    <t>RS-2024-00468533</t>
  </si>
  <si>
    <t>주식회사 더다봄</t>
  </si>
  <si>
    <t>RS-2024-00468295</t>
  </si>
  <si>
    <t>다한엔지니어링</t>
  </si>
  <si>
    <t>2024-08-22(목) 13:40</t>
  </si>
  <si>
    <t>RS-2024-00467812</t>
  </si>
  <si>
    <t>(주)준시스템</t>
  </si>
  <si>
    <t>2024-08-23(금) 10:00</t>
  </si>
  <si>
    <t>RS-2024-00468526</t>
  </si>
  <si>
    <t>에이지로보틱스 주식회사</t>
  </si>
  <si>
    <t>RS-2024-00467963</t>
  </si>
  <si>
    <t>에코진웍스 주식회사</t>
  </si>
  <si>
    <t>2024-08-23(금) 10:40</t>
  </si>
  <si>
    <t>RS-2024-00468782</t>
  </si>
  <si>
    <t>시엑스 주식회사</t>
  </si>
  <si>
    <t>RS-2024-00468439</t>
  </si>
  <si>
    <t>제타로보틱스주식회사</t>
  </si>
  <si>
    <t>2024-08-23(금) 11:20</t>
  </si>
  <si>
    <t>RS-2024-00468913</t>
  </si>
  <si>
    <t>주식회사 한성아이엠</t>
  </si>
  <si>
    <t>2024-08-23(금) 13:00</t>
  </si>
  <si>
    <t>RS-2024-00467741</t>
  </si>
  <si>
    <t>주식회사 로보톰</t>
  </si>
  <si>
    <t>RS-2024-00468653</t>
  </si>
  <si>
    <t>주식회사 스마트솔루션</t>
  </si>
  <si>
    <t>2024-08-23(금) 13:40</t>
  </si>
  <si>
    <t>RS-2024-00468032</t>
  </si>
  <si>
    <t>주식회사 스포터</t>
  </si>
  <si>
    <t>2024-08-26(월) 10:00</t>
  </si>
  <si>
    <t>RS-2024-00467513</t>
  </si>
  <si>
    <t>원제뉴인 주식회사</t>
  </si>
  <si>
    <t>RS-2024-00468812</t>
  </si>
  <si>
    <t>플로리젠로보틱스 주식회사</t>
  </si>
  <si>
    <t>2024-08-26(월) 10:40</t>
  </si>
  <si>
    <t>RS-2024-00468767</t>
  </si>
  <si>
    <t>아이포다이</t>
  </si>
  <si>
    <t>RS-2024-00467412</t>
  </si>
  <si>
    <t>주식회사 프로닉스</t>
  </si>
  <si>
    <t>2024-08-26(월) 11:20</t>
  </si>
  <si>
    <t>RS-2024-00467604</t>
  </si>
  <si>
    <t>청경수산</t>
  </si>
  <si>
    <t>2024-08-26(월) 13:00</t>
  </si>
  <si>
    <t>RS-2024-00468550</t>
  </si>
  <si>
    <t>주식회사보성이노텍</t>
  </si>
  <si>
    <t>RS-2024-00468494</t>
  </si>
  <si>
    <t>(유)씨피케이코리아</t>
  </si>
  <si>
    <t>2024-08-26(월) 13:40</t>
  </si>
  <si>
    <t>RS-2024-00467721</t>
  </si>
  <si>
    <t>덱스트러스 테크놀러지</t>
  </si>
  <si>
    <t>RS-2024-00468019</t>
  </si>
  <si>
    <t>(주)비에스원</t>
  </si>
  <si>
    <t>2024-08-27(화) 10:00</t>
  </si>
  <si>
    <t>RS-2024-00467988</t>
  </si>
  <si>
    <t>(주)이에스티솔루션</t>
  </si>
  <si>
    <t>RS-2024-00467472</t>
  </si>
  <si>
    <t>주식회사 팜인</t>
  </si>
  <si>
    <t>2024-08-27(화) 10:40</t>
  </si>
  <si>
    <t>RS-2024-00468038</t>
  </si>
  <si>
    <t>주식회사산들</t>
  </si>
  <si>
    <t>RS-2024-00467594</t>
  </si>
  <si>
    <t>(주)스마트환경</t>
  </si>
  <si>
    <t>2024-08-27(화) 11:20</t>
  </si>
  <si>
    <t>RS-2024-00467707</t>
  </si>
  <si>
    <t>(주)컬리넌코퍼레이션</t>
  </si>
  <si>
    <t>2024-08-27(화) 13:00</t>
  </si>
  <si>
    <t>RS-2024-00468305</t>
  </si>
  <si>
    <t>(주)아이젠</t>
  </si>
  <si>
    <t>RS-2024-00467841</t>
  </si>
  <si>
    <t>(주)아이오라이트</t>
  </si>
  <si>
    <t>2024-08-27(화) 13:40</t>
  </si>
  <si>
    <t>RS-2024-00468400</t>
  </si>
  <si>
    <t>주식회사 스페이스비트</t>
  </si>
  <si>
    <t>RS-2024-00468534</t>
  </si>
  <si>
    <t>주식회사 이에스엔</t>
  </si>
  <si>
    <t>2024-08-28(수) 10:00</t>
  </si>
  <si>
    <t>RS-2024-00467681</t>
  </si>
  <si>
    <t>지비오</t>
  </si>
  <si>
    <t>RS-2024-00467819</t>
  </si>
  <si>
    <t>(주)지엠테크</t>
  </si>
  <si>
    <t>2024-08-28(수) 10:40</t>
  </si>
  <si>
    <t>RS-2024-00468097</t>
  </si>
  <si>
    <t>주식회사 원테크월드와이드</t>
  </si>
  <si>
    <t>RS-2024-00468061</t>
  </si>
  <si>
    <t>(유)성우</t>
  </si>
  <si>
    <t>2024-08-28(수) 11:20</t>
  </si>
  <si>
    <t>RS-2024-00467534</t>
  </si>
  <si>
    <t>(주)나눌</t>
  </si>
  <si>
    <t>2024-08-28(수) 13:00</t>
  </si>
  <si>
    <t>RS-2024-00467621</t>
  </si>
  <si>
    <t>(주)채우라</t>
  </si>
  <si>
    <t>RS-2024-00467702</t>
  </si>
  <si>
    <t>바름TECH</t>
  </si>
  <si>
    <t>2024-08-28(수) 13:40</t>
  </si>
  <si>
    <t>RS-2024-00468554</t>
  </si>
  <si>
    <t>주식회사 엔에프신소재</t>
  </si>
  <si>
    <t>RS-2024-00468284</t>
  </si>
  <si>
    <t>(주)요트홀릭</t>
  </si>
  <si>
    <t>2024-08-29(목) 10:00</t>
  </si>
  <si>
    <t>RS-2024-00467877</t>
  </si>
  <si>
    <t>씨넘버스 주식회사</t>
  </si>
  <si>
    <t>RS-2024-00468842</t>
  </si>
  <si>
    <t>주식회사 메인소프트</t>
  </si>
  <si>
    <t>2024-08-29(목) 10:40</t>
  </si>
  <si>
    <t>RS-2024-00467365</t>
  </si>
  <si>
    <t>부온스마트이엔지</t>
  </si>
  <si>
    <t>RS-2024-00467958</t>
  </si>
  <si>
    <t>덕성테크(주)</t>
  </si>
  <si>
    <t>2024-08-29(목) 11:20</t>
  </si>
  <si>
    <t>RS-2024-00468459</t>
  </si>
  <si>
    <t>유와텍 주식회사</t>
  </si>
  <si>
    <t>2024-08-29(목) 13:00</t>
  </si>
  <si>
    <t>RS-2024-00467316</t>
  </si>
  <si>
    <t>주식회사 제볼트</t>
  </si>
  <si>
    <t>RS-2024-00467611</t>
  </si>
  <si>
    <t>(주)아라메친환경소재연구소</t>
  </si>
  <si>
    <t>2024-08-29(목) 13:40</t>
  </si>
  <si>
    <t>RS-2024-00468579</t>
  </si>
  <si>
    <t>엠피피티</t>
  </si>
  <si>
    <t>RS-2024-00468835</t>
  </si>
  <si>
    <t>주식회사 케어웜</t>
  </si>
  <si>
    <t>2024-08-30(금) 10:00</t>
  </si>
  <si>
    <t>RS-2024-00467399</t>
  </si>
  <si>
    <t>(주)파이토리서치</t>
  </si>
  <si>
    <t>RS-2024-00467921</t>
  </si>
  <si>
    <t>잇피</t>
  </si>
  <si>
    <t>2024-08-30(금) 10:40</t>
  </si>
  <si>
    <t>RS-2024-00468291</t>
  </si>
  <si>
    <t>주식회사 디지털케어</t>
  </si>
  <si>
    <t>RS-2024-00468082</t>
  </si>
  <si>
    <t>모인헬스케어</t>
  </si>
  <si>
    <t>2024-08-30(금) 11:20</t>
  </si>
  <si>
    <t>RS-2024-00467684</t>
  </si>
  <si>
    <t>메디폴</t>
  </si>
  <si>
    <t>2024-08-30(금) 13:00</t>
  </si>
  <si>
    <t>RS-2024-00467588</t>
  </si>
  <si>
    <t>주식회사 라이노스</t>
  </si>
  <si>
    <t>RS-2024-00468698</t>
  </si>
  <si>
    <t>모리</t>
  </si>
  <si>
    <t>2024-08-30(금) 13:40</t>
  </si>
  <si>
    <t>RS-2024-00467596</t>
  </si>
  <si>
    <t>옵티코</t>
  </si>
  <si>
    <t>2024-09-02(월) 10:00</t>
  </si>
  <si>
    <t>RS-2024-00468560</t>
  </si>
  <si>
    <t>로빈ICT</t>
  </si>
  <si>
    <t>RS-2024-00467756</t>
  </si>
  <si>
    <t>주식회사 디에이치에스</t>
  </si>
  <si>
    <t>2024-09-02(월) 10:40</t>
  </si>
  <si>
    <t>RS-2024-00468132</t>
  </si>
  <si>
    <t>(주)피치라이프사이언스</t>
  </si>
  <si>
    <t>RS-2024-00467782</t>
  </si>
  <si>
    <t>주식회사 바이오링크스</t>
  </si>
  <si>
    <t>2024-09-02(월) 11:20</t>
  </si>
  <si>
    <t>RS-2024-00467516</t>
  </si>
  <si>
    <t>주식회사 스카이젠</t>
  </si>
  <si>
    <t>2024-09-02(월) 13:00</t>
  </si>
  <si>
    <t>RS-2024-00467481</t>
  </si>
  <si>
    <t>주식회사 리아나</t>
  </si>
  <si>
    <t>RS-2024-00467499</t>
  </si>
  <si>
    <t>라이프슈티컬</t>
  </si>
  <si>
    <t>2024-09-02(월) 13:40</t>
  </si>
  <si>
    <t>RS-2024-00468098</t>
  </si>
  <si>
    <t>주식회사 눌라바이오</t>
  </si>
  <si>
    <t>2024-09-03(화) 10:00</t>
  </si>
  <si>
    <t>RS-2024-00468922</t>
  </si>
  <si>
    <t>주식회사 에코프라임</t>
  </si>
  <si>
    <t>RS-2024-00467677</t>
  </si>
  <si>
    <t>네이처어썸블</t>
  </si>
  <si>
    <t>2024-09-03(화) 10:40</t>
  </si>
  <si>
    <t>RS-2024-00468663</t>
  </si>
  <si>
    <t>(주)엠에스명성바이오</t>
  </si>
  <si>
    <t>RS-2024-00468517</t>
  </si>
  <si>
    <t>하일럿코리아</t>
  </si>
  <si>
    <t>2024-09-03(화) 11:20</t>
  </si>
  <si>
    <t>RS-2024-00468668</t>
  </si>
  <si>
    <t>주식회사 디마인</t>
  </si>
  <si>
    <t>2024-09-03(화) 13:00</t>
  </si>
  <si>
    <t>RS-2024-00468448</t>
  </si>
  <si>
    <t>주식회사 다산바이오텍</t>
  </si>
  <si>
    <t>RS-2024-00468660</t>
  </si>
  <si>
    <t>영테크</t>
  </si>
  <si>
    <t>2024-09-03(화) 13:40</t>
  </si>
  <si>
    <t>RS-2024-00467655</t>
  </si>
  <si>
    <t>(주)헬씨바이오</t>
  </si>
  <si>
    <t>RS-2024-00468277</t>
  </si>
  <si>
    <t>주식회사 바이오에이엠</t>
  </si>
  <si>
    <t>2024-09-04(수) 10:00</t>
  </si>
  <si>
    <t>RS-2024-00467781</t>
  </si>
  <si>
    <t>주식회사 플로우컴퍼니</t>
  </si>
  <si>
    <t>RS-2024-00468806</t>
  </si>
  <si>
    <t>(주)닥터프렌즈</t>
  </si>
  <si>
    <t>2024-09-04(수) 10:40</t>
  </si>
  <si>
    <t>RS-2024-00467354</t>
  </si>
  <si>
    <t>(주) 옵트바이오</t>
  </si>
  <si>
    <t>RS-2024-00467753</t>
  </si>
  <si>
    <t>에버지놈 주식회사</t>
  </si>
  <si>
    <t>2024-09-04(수) 11:20</t>
  </si>
  <si>
    <t>RS-2024-00467479</t>
  </si>
  <si>
    <t>주식회사 아이진</t>
  </si>
  <si>
    <t>2024-09-04(수) 13:00</t>
  </si>
  <si>
    <t>RS-2024-00468853</t>
  </si>
  <si>
    <t>디알피 월드</t>
  </si>
  <si>
    <t>RS-2024-00468591</t>
  </si>
  <si>
    <t>(주)메디올로지</t>
  </si>
  <si>
    <t>2024-09-04(수) 13:40</t>
  </si>
  <si>
    <t>RS-2024-00467894</t>
  </si>
  <si>
    <t>(주)엠디스테이지</t>
  </si>
  <si>
    <t>RS-2024-00467558</t>
  </si>
  <si>
    <t>주식회사 신케어</t>
  </si>
  <si>
    <t>RS-2024-00467996</t>
  </si>
  <si>
    <t>주식회사 팜어스바이오사이언스</t>
  </si>
  <si>
    <t>RS-2024-00467658</t>
  </si>
  <si>
    <t>주식회사 엑소테라노스틱스</t>
  </si>
  <si>
    <t>RS-2024-00467743</t>
  </si>
  <si>
    <t>주식회사 브이피</t>
  </si>
  <si>
    <t>RS-2024-00468203</t>
  </si>
  <si>
    <t>주식회사 제론메드</t>
  </si>
  <si>
    <t>RS-2024-00467863</t>
  </si>
  <si>
    <t>(주)로엔드테크놀로지</t>
  </si>
  <si>
    <t>RS-2024-00467359</t>
  </si>
  <si>
    <t>(주)칸캠파마</t>
  </si>
  <si>
    <t>RS-2024-00468944</t>
  </si>
  <si>
    <t>주식회사 엘앤피솔루션</t>
  </si>
  <si>
    <t>RS-2024-00468214</t>
  </si>
  <si>
    <t>주식회사 카본엑스</t>
  </si>
  <si>
    <t>RS-2024-00467832</t>
  </si>
  <si>
    <t>주식회사 에스투시바이오</t>
  </si>
  <si>
    <t>RS-2024-00468168</t>
  </si>
  <si>
    <t>주식회사 필드에스</t>
  </si>
  <si>
    <t>RS-2024-00467438</t>
  </si>
  <si>
    <t>에이트스튜디오</t>
  </si>
  <si>
    <t>RS-2024-00467496</t>
  </si>
  <si>
    <t>주식회사 큐로텍</t>
  </si>
  <si>
    <t>RS-2024-00468369</t>
  </si>
  <si>
    <t>(주)에스지바이오헬스</t>
  </si>
  <si>
    <t>RS-2024-00467618</t>
  </si>
  <si>
    <t>주식회사 봄젠</t>
  </si>
  <si>
    <t>RS-2024-00468862</t>
  </si>
  <si>
    <t>아인즈팩토리</t>
  </si>
  <si>
    <t>RS-2024-00468630</t>
  </si>
  <si>
    <t>아이케이랩</t>
  </si>
  <si>
    <t>RS-2024-00468476</t>
  </si>
  <si>
    <t>(주)바이너리컬</t>
  </si>
  <si>
    <t>RS-2024-00468101</t>
  </si>
  <si>
    <t>주식회사 네스트</t>
  </si>
  <si>
    <t>RS-2024-00467344</t>
  </si>
  <si>
    <t>주식회사 스키놀</t>
  </si>
  <si>
    <t>RS-2024-00468251</t>
  </si>
  <si>
    <t>인더스</t>
  </si>
  <si>
    <t>RS-2024-00467454</t>
  </si>
  <si>
    <t>우리들바이오 주식회사</t>
  </si>
  <si>
    <t>RS-2024-00468498</t>
  </si>
  <si>
    <t>주식회사 뉴로스피어</t>
  </si>
  <si>
    <t>RS-2024-00467664</t>
  </si>
  <si>
    <t>마이티벅스</t>
  </si>
  <si>
    <t>RS-2024-00468384</t>
  </si>
  <si>
    <t>퀸트</t>
  </si>
  <si>
    <t>RS-2024-00468511</t>
  </si>
  <si>
    <t>주식회사 제이엠엘이디</t>
  </si>
  <si>
    <t>RS-2024-00467498</t>
  </si>
  <si>
    <t>주식회사 넥스트에너지</t>
  </si>
  <si>
    <t>RS-2024-00468472</t>
  </si>
  <si>
    <t>주식회사 매트리움</t>
  </si>
  <si>
    <t>RS-2024-00467360</t>
  </si>
  <si>
    <t>주식회사 코트랩</t>
  </si>
  <si>
    <t>RS-2024-00468121</t>
  </si>
  <si>
    <t>주식회사 아이해브</t>
  </si>
  <si>
    <t>RS-2024-00467500</t>
  </si>
  <si>
    <t>마린엔지오</t>
  </si>
  <si>
    <t>RS-2024-00467889</t>
  </si>
  <si>
    <t>(주)굿터치</t>
  </si>
  <si>
    <t>RS-2024-00468314</t>
  </si>
  <si>
    <t>주식회사 씨이피티</t>
  </si>
  <si>
    <t>RS-2024-00467440</t>
  </si>
  <si>
    <t>(주)정온테크</t>
  </si>
  <si>
    <t>RS-2024-00467739</t>
  </si>
  <si>
    <t>테크노아이 주식회사</t>
  </si>
  <si>
    <t>RS-2024-00468030</t>
  </si>
  <si>
    <t>(주)해바캄</t>
  </si>
  <si>
    <t>RS-2024-00467573</t>
  </si>
  <si>
    <t>주식회사 셀스케어</t>
  </si>
  <si>
    <t>RS-2024-00467925</t>
  </si>
  <si>
    <t>퓨처리스텍</t>
  </si>
  <si>
    <t>RS-2024-00468263</t>
  </si>
  <si>
    <t>(주)그리드큐어</t>
  </si>
  <si>
    <t>RS-2024-00468380</t>
  </si>
  <si>
    <t>정호기술연구소</t>
  </si>
  <si>
    <t>RS-2024-00468761</t>
  </si>
  <si>
    <t>(주)위드엔지니어링</t>
  </si>
  <si>
    <t>RS-2024-00467387</t>
  </si>
  <si>
    <t>주식회사 이글이비전</t>
  </si>
  <si>
    <t>RS-2024-00468171</t>
  </si>
  <si>
    <t>(주)디딤컴퍼니</t>
  </si>
  <si>
    <t>RS-2024-00467564</t>
  </si>
  <si>
    <t>주식회사 토모텍</t>
  </si>
  <si>
    <t>RS-2024-00468735</t>
  </si>
  <si>
    <t>에이치엠비(주)</t>
  </si>
  <si>
    <t>RS-2024-00468108</t>
  </si>
  <si>
    <t>케이홀로</t>
  </si>
  <si>
    <t>RS-2024-00467456</t>
  </si>
  <si>
    <t>신현정보통신</t>
  </si>
  <si>
    <t>RS-2024-00467728</t>
  </si>
  <si>
    <t>주식회사아이디티</t>
  </si>
  <si>
    <t>RS-2024-00468495</t>
  </si>
  <si>
    <t>㈜에이프로머티리얼즈</t>
  </si>
  <si>
    <t>RS-2024-00467985</t>
  </si>
  <si>
    <t>에스제이시스템</t>
  </si>
  <si>
    <t>RS-2024-00468174</t>
  </si>
  <si>
    <t>(유)리테크너스</t>
  </si>
  <si>
    <t>RS-2024-00467487</t>
  </si>
  <si>
    <t>스웨번즈</t>
  </si>
  <si>
    <t>RS-2024-00468780</t>
  </si>
  <si>
    <t>아토머스</t>
  </si>
  <si>
    <t>RS-2024-00467395</t>
  </si>
  <si>
    <t>주식회사 마제테크놀로지</t>
  </si>
  <si>
    <t>RS-2024-00468844</t>
  </si>
  <si>
    <t>주식회사 엘오테크</t>
  </si>
  <si>
    <t>RS-2024-00468333</t>
  </si>
  <si>
    <t>제이피테크</t>
  </si>
  <si>
    <t>RS-2024-00468116</t>
  </si>
  <si>
    <t>주식회사 티엔알씨</t>
  </si>
  <si>
    <t>RS-2024-00467950</t>
  </si>
  <si>
    <t>에코지엔엠</t>
  </si>
  <si>
    <t>RS-2024-00467760</t>
  </si>
  <si>
    <t>주식회사 아이테크</t>
  </si>
  <si>
    <t>RS-2024-00467309</t>
  </si>
  <si>
    <t>주식회사 아이쏠</t>
  </si>
  <si>
    <t>RS-2024-00468715</t>
  </si>
  <si>
    <t>주식회사 타이니웨이브</t>
  </si>
  <si>
    <t>RS-2024-00467776</t>
  </si>
  <si>
    <t>펀월드</t>
  </si>
  <si>
    <t>RS-2024-00468500</t>
  </si>
  <si>
    <t>에어브릿지솔루션(주)</t>
  </si>
  <si>
    <t>RS-2024-00468218</t>
  </si>
  <si>
    <t>(주)글로벌파인테크</t>
  </si>
  <si>
    <t>RS-2024-00467442</t>
  </si>
  <si>
    <t>에스이더블유</t>
  </si>
  <si>
    <t>RS-2024-00468596</t>
  </si>
  <si>
    <t>주식회사 아테나</t>
  </si>
  <si>
    <t>RS-2024-00468824</t>
  </si>
  <si>
    <t>(주)에이아이엠</t>
  </si>
  <si>
    <t>RS-2024-00468283</t>
  </si>
  <si>
    <t>인터모빌리티(주)</t>
  </si>
  <si>
    <t>2024-09-02(월) 14:20</t>
  </si>
  <si>
    <t>RS-2024-00467321</t>
  </si>
  <si>
    <t>(주)바른정보기술</t>
  </si>
  <si>
    <t>RS-2024-00468357</t>
  </si>
  <si>
    <t>주식회사엔지티지</t>
  </si>
  <si>
    <t>RS-2024-00467561</t>
  </si>
  <si>
    <t>주식회사 엘가나</t>
  </si>
  <si>
    <t>RS-2024-00467730</t>
  </si>
  <si>
    <t>주식회사 아이하랑</t>
  </si>
  <si>
    <t>RS-2024-00467528</t>
  </si>
  <si>
    <t>(주)올코리아</t>
  </si>
  <si>
    <t>RS-2024-00467850</t>
  </si>
  <si>
    <t>자임</t>
  </si>
  <si>
    <t>RS-2024-00467610</t>
  </si>
  <si>
    <t>주식회사 메테오시뮬레이션</t>
  </si>
  <si>
    <t>RS-2024-00467311</t>
  </si>
  <si>
    <t>주식회사 틸더</t>
  </si>
  <si>
    <t>RS-2024-00468247</t>
  </si>
  <si>
    <t>주식회사 업루트</t>
  </si>
  <si>
    <t>RS-2024-00468021</t>
  </si>
  <si>
    <t>주식회사 피지컬리콘</t>
  </si>
  <si>
    <t>RS-2024-00468650</t>
  </si>
  <si>
    <t>쇼핑스</t>
  </si>
  <si>
    <t>RS-2024-00468636</t>
  </si>
  <si>
    <t>(주)이루티</t>
  </si>
  <si>
    <t>RS-2024-00468237</t>
  </si>
  <si>
    <t>(주)나누기월드</t>
  </si>
  <si>
    <t>RS-2024-00467468</t>
  </si>
  <si>
    <t>주식회사 그리다</t>
  </si>
  <si>
    <t>RS-2024-00467694</t>
  </si>
  <si>
    <t>카멜라이언 주식회사</t>
  </si>
  <si>
    <t>RS-2024-00467430</t>
  </si>
  <si>
    <t>(주)데브릭스</t>
  </si>
  <si>
    <t>RS-2024-00468039</t>
  </si>
  <si>
    <t>앰피</t>
  </si>
  <si>
    <t>RS-2024-00468049</t>
  </si>
  <si>
    <t>오씨오 가스</t>
  </si>
  <si>
    <t>RS-2024-00467703</t>
  </si>
  <si>
    <t>한국에스티</t>
  </si>
  <si>
    <t>RS-2024-00468006</t>
  </si>
  <si>
    <t>스펙트럼인사이트연구소</t>
  </si>
  <si>
    <t>RS-2024-00467383</t>
  </si>
  <si>
    <t>주식회사 제이케이테크놀로지</t>
  </si>
  <si>
    <t>RS-2024-00468679</t>
  </si>
  <si>
    <t>메타엘씨케이 주식회사</t>
  </si>
  <si>
    <t>RS-2024-00468344</t>
  </si>
  <si>
    <t>주식회사 플롯팩토리</t>
  </si>
  <si>
    <t>RS-2024-00467787</t>
  </si>
  <si>
    <t>키소프트(주)</t>
  </si>
  <si>
    <t>RS-2024-00468321</t>
  </si>
  <si>
    <t>(주)리피치</t>
  </si>
  <si>
    <t>RS-2024-00468778</t>
  </si>
  <si>
    <t>(주)텐소프트웍스</t>
  </si>
  <si>
    <t>RS-2024-00467999</t>
  </si>
  <si>
    <t>지티어트랙션</t>
  </si>
  <si>
    <t>RS-2024-00467533</t>
  </si>
  <si>
    <t>주식회사 피치</t>
  </si>
  <si>
    <t>RS-2024-00468537</t>
  </si>
  <si>
    <t>주식회사 알잘</t>
  </si>
  <si>
    <t>RS-2024-00467811</t>
  </si>
  <si>
    <t>꼬모엘라</t>
  </si>
  <si>
    <t>RS-2024-00467667</t>
  </si>
  <si>
    <t>어도픽</t>
  </si>
  <si>
    <t>RS-2024-00467814</t>
  </si>
  <si>
    <t>마요네즈랩</t>
  </si>
  <si>
    <t>RS-2024-00467560</t>
  </si>
  <si>
    <t>주식회사 스마트랩스</t>
  </si>
  <si>
    <t>RS-2024-00467720</t>
  </si>
  <si>
    <t>주식회사 통하는사람들</t>
  </si>
  <si>
    <t>RS-2024-00468133</t>
  </si>
  <si>
    <t>레피소드</t>
  </si>
  <si>
    <t>RS-2024-00467609</t>
  </si>
  <si>
    <t>(주)도그우드에이아이</t>
  </si>
  <si>
    <t>RS-2024-00468587</t>
  </si>
  <si>
    <t>딥엑스알랩</t>
  </si>
  <si>
    <t>RS-2024-00468810</t>
  </si>
  <si>
    <t>주식회사 찬스웨이브커뮤니케이션</t>
  </si>
  <si>
    <t>RS-2024-00468126</t>
  </si>
  <si>
    <t>(주)인플스톡</t>
  </si>
  <si>
    <t>RS-2024-00467686</t>
  </si>
  <si>
    <t>주식회사 모멘트큐브</t>
  </si>
  <si>
    <t>RS-2024-00468450</t>
  </si>
  <si>
    <t>새샘</t>
  </si>
  <si>
    <t>RS-2024-00467478</t>
  </si>
  <si>
    <t>주식회사 뉴큐어엠</t>
  </si>
  <si>
    <t>RS-2024-00468426</t>
  </si>
  <si>
    <t>주식회사 포에시아</t>
  </si>
  <si>
    <t>RS-2024-00467790</t>
  </si>
  <si>
    <t>주식회사 비전21테크</t>
  </si>
  <si>
    <t>RS-2024-00467566</t>
  </si>
  <si>
    <t>주식회사 보라공사</t>
  </si>
  <si>
    <t>RS-2024-00468015</t>
  </si>
  <si>
    <t>딥크라우드 주식회사</t>
  </si>
  <si>
    <t>RS-2024-00468728</t>
  </si>
  <si>
    <t>주식회사 로챗</t>
  </si>
  <si>
    <t>RS-2024-00468872</t>
  </si>
  <si>
    <t>주식회사 알파알피에이</t>
  </si>
  <si>
    <t>RS-2024-00467919</t>
  </si>
  <si>
    <t>주식회사 나로수</t>
  </si>
  <si>
    <t>RS-2024-00468796</t>
  </si>
  <si>
    <t>딥페이스</t>
  </si>
  <si>
    <t>RS-2024-00468390</t>
  </si>
  <si>
    <t>알트루</t>
  </si>
  <si>
    <t>RS-2024-00468914</t>
  </si>
  <si>
    <t>비이큐브</t>
  </si>
  <si>
    <t>RS-2024-00467418</t>
  </si>
  <si>
    <t>주식회사 탤런트시커</t>
  </si>
  <si>
    <t>RS-2024-00468122</t>
  </si>
  <si>
    <t>주식회사산소프트</t>
  </si>
  <si>
    <t>RS-2024-00468943</t>
  </si>
  <si>
    <t>아이메디</t>
  </si>
  <si>
    <t>RS-2024-00468378</t>
  </si>
  <si>
    <t>누이엔지아이티</t>
  </si>
  <si>
    <t>RS-2024-00468681</t>
  </si>
  <si>
    <t>주식회사 시뮬테크</t>
  </si>
  <si>
    <t>RS-2024-00467416</t>
  </si>
  <si>
    <t>주식회사 퐁</t>
  </si>
  <si>
    <t>RS-2024-00468131</t>
  </si>
  <si>
    <t>디아이랩(주)</t>
  </si>
  <si>
    <t>RS-2024-00468899</t>
  </si>
  <si>
    <t>주식회사 에프디</t>
  </si>
  <si>
    <t>RS-2024-00467771</t>
  </si>
  <si>
    <t>야미코코</t>
  </si>
  <si>
    <t>RS-2024-00467329</t>
  </si>
  <si>
    <t>(주)이너피플</t>
  </si>
  <si>
    <t>RS-2024-00467482</t>
  </si>
  <si>
    <t>(주)에이아이리더</t>
  </si>
  <si>
    <t>RS-2024-00467421</t>
  </si>
  <si>
    <t>주식회사 골프트렌드</t>
  </si>
  <si>
    <t>RS-2024-00468531</t>
  </si>
  <si>
    <t>주식회사 브이피소프트</t>
  </si>
  <si>
    <t>RS-2024-00468659</t>
  </si>
  <si>
    <t>하이&amp;J8</t>
  </si>
  <si>
    <t>RS-2024-00468878</t>
  </si>
  <si>
    <t>주식회사 조벡스</t>
  </si>
  <si>
    <t>RS-2024-00468788</t>
  </si>
  <si>
    <t>나그네들</t>
  </si>
  <si>
    <t>RS-2024-00468723</t>
  </si>
  <si>
    <t>엔씨데이터주식회사</t>
  </si>
  <si>
    <t>RS-2024-00467605</t>
  </si>
  <si>
    <t>(주)웨스트문</t>
  </si>
  <si>
    <t>RS-2024-00468457</t>
  </si>
  <si>
    <t>㈜에이아이빌</t>
  </si>
  <si>
    <t>RS-2024-00468623</t>
  </si>
  <si>
    <t>주식회사 왓위케어</t>
  </si>
  <si>
    <t>RS-2024-00467648</t>
  </si>
  <si>
    <t>주식회사 오앤손픽쳐스</t>
  </si>
  <si>
    <t>RS-2024-00467310</t>
  </si>
  <si>
    <t>(주) 에스엠솔루션즈</t>
  </si>
  <si>
    <t>RS-2024-00467858</t>
  </si>
  <si>
    <t>기획하는사람들 주식회사</t>
  </si>
  <si>
    <t>RS-2024-00468115</t>
  </si>
  <si>
    <t>주식회사 시드크래프트</t>
  </si>
  <si>
    <t>RS-2024-00468696</t>
  </si>
  <si>
    <t>엑스페이스라이브</t>
  </si>
  <si>
    <t>RS-2024-00467320</t>
  </si>
  <si>
    <t>주식회사제이로브컴퍼니</t>
  </si>
  <si>
    <t>RS-2024-00467342</t>
  </si>
  <si>
    <t>(주)다인바인</t>
  </si>
  <si>
    <t>RS-2024-00467922</t>
  </si>
  <si>
    <t>주식회사 이비스프라임</t>
  </si>
  <si>
    <t>RS-2024-00468497</t>
  </si>
  <si>
    <t>주식회사나눔스페이스</t>
  </si>
  <si>
    <t>RS-2024-00467532</t>
  </si>
  <si>
    <t>모스플러스</t>
  </si>
  <si>
    <t>RS-2024-00468130</t>
  </si>
  <si>
    <t>안암일사오</t>
  </si>
  <si>
    <t>RS-2024-00467548</t>
  </si>
  <si>
    <t>주식회사 비츠컴</t>
  </si>
  <si>
    <t>RS-2024-00467447</t>
  </si>
  <si>
    <t>더키퍼주식회사</t>
  </si>
  <si>
    <t>RS-2024-00468273</t>
  </si>
  <si>
    <t>(주)세드나</t>
  </si>
  <si>
    <t>RS-2024-00468635</t>
  </si>
  <si>
    <t>(주)유엠모빌리티</t>
  </si>
  <si>
    <t>RS-2024-00467729</t>
  </si>
  <si>
    <t>선인</t>
  </si>
  <si>
    <t>RS-2024-00467868</t>
  </si>
  <si>
    <t>캠터</t>
  </si>
  <si>
    <t>RS-2024-00467582</t>
  </si>
  <si>
    <t>어포나티 주식회사</t>
  </si>
  <si>
    <t>RS-2024-00467915</t>
  </si>
  <si>
    <t>솔트로보틱스</t>
  </si>
  <si>
    <t>RS-2024-00468092</t>
  </si>
  <si>
    <t>인투브이에스 주식회사</t>
  </si>
  <si>
    <t>RS-2024-00467489</t>
  </si>
  <si>
    <t>주식회사 디어그린</t>
  </si>
  <si>
    <t>RS-2024-00467590</t>
  </si>
  <si>
    <t>주식회사 원더룸</t>
  </si>
  <si>
    <t>RS-2024-00468159</t>
  </si>
  <si>
    <t>일상라인</t>
  </si>
  <si>
    <t>RS-2024-00467415</t>
  </si>
  <si>
    <t xml:space="preserve">로지텍코리아 </t>
  </si>
  <si>
    <t>RS-2024-00467754</t>
  </si>
  <si>
    <t>주식회사 카라아이엔씨</t>
  </si>
  <si>
    <t>RS-2024-00468288</t>
  </si>
  <si>
    <t>선우특수소재</t>
  </si>
  <si>
    <t>RS-2024-00467716</t>
  </si>
  <si>
    <t>(주)에스디텍</t>
  </si>
  <si>
    <t>RS-2024-00468345</t>
  </si>
  <si>
    <t>주식회사 엔빅스</t>
  </si>
  <si>
    <t>RS-2024-00467410</t>
  </si>
  <si>
    <t>주식회사 바라이노베이션</t>
  </si>
  <si>
    <t>RS-2024-00467382</t>
  </si>
  <si>
    <t>(주)비에이치산업</t>
  </si>
  <si>
    <t>RS-2024-00467668</t>
  </si>
  <si>
    <t>퓨리사이클솔루션주식회사</t>
  </si>
  <si>
    <t>RS-2024-00468512</t>
  </si>
  <si>
    <t>주식회사 라이셀</t>
  </si>
  <si>
    <t>RS-2024-00467336</t>
  </si>
  <si>
    <t>나우펄스테크(주)</t>
  </si>
  <si>
    <t>RS-2024-00468478</t>
  </si>
  <si>
    <t>(주)씨티콘</t>
  </si>
  <si>
    <t>RS-2024-00467711</t>
  </si>
  <si>
    <t>리볼틱스 주식회사</t>
  </si>
  <si>
    <t>2024-08-22(목) 14:20</t>
  </si>
  <si>
    <t>RS-2024-00468381</t>
  </si>
  <si>
    <t>벡텍(주)</t>
  </si>
  <si>
    <t>RS-2024-00467671</t>
  </si>
  <si>
    <t>주식회사 수랩</t>
  </si>
  <si>
    <t>RS-2024-00468359</t>
  </si>
  <si>
    <t>주식회사 한국방염기술</t>
  </si>
  <si>
    <t>RS-2024-00467379</t>
  </si>
  <si>
    <t>주식회사 브라이트퀀텀</t>
  </si>
  <si>
    <t>RS-2024-00467314</t>
  </si>
  <si>
    <t>주식회사 한국타우</t>
  </si>
  <si>
    <t>RS-2024-00468620</t>
  </si>
  <si>
    <t>미그림</t>
  </si>
  <si>
    <t>RS-2024-00468090</t>
  </si>
  <si>
    <t>(주)코스로닉</t>
  </si>
  <si>
    <t>RS-2024-00467439</t>
  </si>
  <si>
    <t>(주)피앤제이첨단소재</t>
  </si>
  <si>
    <t>RS-2024-00468262</t>
  </si>
  <si>
    <t>티케이코리아</t>
  </si>
  <si>
    <t>RS-2024-00467755</t>
  </si>
  <si>
    <t>(주)오라</t>
  </si>
  <si>
    <t>RS-2024-00467484</t>
  </si>
  <si>
    <t>(주)GHS</t>
  </si>
  <si>
    <t>RS-2024-00444608</t>
  </si>
  <si>
    <t>(주)에너리치</t>
  </si>
  <si>
    <t>RS-2024-00467400</t>
  </si>
  <si>
    <t>주식회사 메탈프린팅</t>
  </si>
  <si>
    <t>RS-2024-00467727</t>
  </si>
  <si>
    <t>복합재자동화기술</t>
  </si>
  <si>
    <t>RS-2024-00467887</t>
  </si>
  <si>
    <t>훈민솔루션(주)</t>
  </si>
  <si>
    <t>RS-2024-00468948</t>
  </si>
  <si>
    <t>주식회사 이노버스</t>
  </si>
  <si>
    <t>RS-2024-00468141</t>
  </si>
  <si>
    <t>주식회사 팸텍</t>
  </si>
  <si>
    <t>RS-2024-00468722</t>
  </si>
  <si>
    <t>(주)헬퍼로보틱스</t>
  </si>
  <si>
    <t>RS-2024-00448366</t>
  </si>
  <si>
    <t>주식회사 엔젠에프에이</t>
  </si>
  <si>
    <t>RS-2024-00468485</t>
  </si>
  <si>
    <t>(주)페이먼트인앱</t>
  </si>
  <si>
    <t>RS-2024-00468292</t>
  </si>
  <si>
    <t>주식회사 로웨인</t>
  </si>
  <si>
    <t>RS-2024-00448695</t>
  </si>
  <si>
    <t>(주)팀로보틱스</t>
  </si>
  <si>
    <t>RS-2024-00468774</t>
  </si>
  <si>
    <t>알지티</t>
  </si>
  <si>
    <t>RS-2024-00467348</t>
  </si>
  <si>
    <t>(주)창금코퍼레이션</t>
  </si>
  <si>
    <t>RS-2024-00468874</t>
  </si>
  <si>
    <t>그린에이아이</t>
  </si>
  <si>
    <t>RS-2024-00468120</t>
  </si>
  <si>
    <t>에프피엠테크놀러지</t>
  </si>
  <si>
    <t>RS-2024-00447192</t>
  </si>
  <si>
    <t>주식회사오즈시스템</t>
  </si>
  <si>
    <t>RS-2024-00467512</t>
  </si>
  <si>
    <t>주식회사 롭스</t>
  </si>
  <si>
    <t>RS-2024-00468043</t>
  </si>
  <si>
    <t>(주)유에스엔케이</t>
  </si>
  <si>
    <t>RS-2024-00467340</t>
  </si>
  <si>
    <t>연합과학기술사업화센터협동조합</t>
  </si>
  <si>
    <t>RS-2024-00443900</t>
  </si>
  <si>
    <t>인텔리맥스 주식회사</t>
  </si>
  <si>
    <t>RS-2024-00447458</t>
  </si>
  <si>
    <t>(주)인하글로텍</t>
  </si>
  <si>
    <t>RS-2024-00468066</t>
  </si>
  <si>
    <t>주식회사 파미트리</t>
  </si>
  <si>
    <t>RS-2024-00448092</t>
  </si>
  <si>
    <t>케이스퀘어</t>
  </si>
  <si>
    <t>RS-2024-00443254</t>
  </si>
  <si>
    <t>노스바이오테크놀러지</t>
  </si>
  <si>
    <t>RS-2024-00447918</t>
  </si>
  <si>
    <t>에이비비알 주식회사</t>
  </si>
  <si>
    <t>RS-2024-00467367</t>
  </si>
  <si>
    <t>(주)센솔</t>
  </si>
  <si>
    <t>RS-2024-00467543</t>
  </si>
  <si>
    <t>(주)케이에어</t>
  </si>
  <si>
    <t>RS-2024-00444376</t>
  </si>
  <si>
    <t>한국드라이어 (주)</t>
  </si>
  <si>
    <t>RS-2024-00443730</t>
  </si>
  <si>
    <t>주식회사 그린에어텍</t>
  </si>
  <si>
    <t>RS-2024-00448061</t>
  </si>
  <si>
    <t>(주)더펄스</t>
  </si>
  <si>
    <t>RS-2024-00448407</t>
  </si>
  <si>
    <t>포스텍(FORCE TECH)</t>
  </si>
  <si>
    <t>RS-2024-00467971</t>
  </si>
  <si>
    <t>헤카톤에이아이</t>
  </si>
  <si>
    <t>RS-2024-00442458</t>
  </si>
  <si>
    <t>주식회사 아이엠쓰리디</t>
  </si>
  <si>
    <t>RS-2024-00468220</t>
  </si>
  <si>
    <t>(주)솔라리노</t>
  </si>
  <si>
    <t>RS-2024-00467592</t>
  </si>
  <si>
    <t>퀀텀매트릭스</t>
  </si>
  <si>
    <t>RS-2024-00448173</t>
  </si>
  <si>
    <t>(주)비아이바이오포토닉스</t>
  </si>
  <si>
    <t>RS-2024-00468907</t>
  </si>
  <si>
    <t>주식회사 파일러니어</t>
  </si>
  <si>
    <t>RS-2024-00468413</t>
  </si>
  <si>
    <t>주식회사 라스트애플트리</t>
  </si>
  <si>
    <t>RS-2024-00468678</t>
  </si>
  <si>
    <t>위드위 주식회사</t>
  </si>
  <si>
    <t>RS-2024-00444925</t>
  </si>
  <si>
    <t>이터널글라스(주)</t>
  </si>
  <si>
    <t>RS-2024-00448180</t>
  </si>
  <si>
    <t>주식회사 숨터</t>
  </si>
  <si>
    <t>RS-2024-00468734</t>
  </si>
  <si>
    <t>주식회사애니락</t>
  </si>
  <si>
    <t>RS-2024-00467426</t>
  </si>
  <si>
    <t>(주)위글루</t>
  </si>
  <si>
    <t>RS-2024-00467486</t>
  </si>
  <si>
    <t>오토딘시스 주식회사</t>
  </si>
  <si>
    <t>RS-2024-00448044</t>
  </si>
  <si>
    <t>모비먼트</t>
  </si>
  <si>
    <t>RS-2024-00468454</t>
  </si>
  <si>
    <t>주식회사슈펜테크</t>
  </si>
  <si>
    <t>RS-2024-00468750</t>
  </si>
  <si>
    <t>(주)캠프티</t>
  </si>
  <si>
    <t>RS-2024-00446651</t>
  </si>
  <si>
    <t>(주)제이티컴퍼니</t>
  </si>
  <si>
    <t>RS-2024-00447884</t>
  </si>
  <si>
    <t>(주)리모트글로벌</t>
  </si>
  <si>
    <t>RS-2024-00447604</t>
  </si>
  <si>
    <t>(주)이즈랩</t>
  </si>
  <si>
    <t>RS-2024-00468855</t>
  </si>
  <si>
    <t>(주)성왕이앤에프</t>
  </si>
  <si>
    <t>RS-2024-00447874</t>
  </si>
  <si>
    <t>주식회사 두침</t>
  </si>
  <si>
    <t>RS-2024-00442852</t>
  </si>
  <si>
    <t xml:space="preserve">(주)비케이 소프트 </t>
  </si>
  <si>
    <t>RS-2024-00467847</t>
  </si>
  <si>
    <t>(주)투인테크</t>
  </si>
  <si>
    <t>RS-2024-00448813</t>
  </si>
  <si>
    <t>모바휠</t>
  </si>
  <si>
    <t>RS-2024-00446290</t>
  </si>
  <si>
    <t>주식회사 스텔라비전</t>
  </si>
  <si>
    <t>2024-09-03(화) 14:20</t>
  </si>
  <si>
    <t>RS-2024-00447735</t>
  </si>
  <si>
    <t>메이커원 주식회사</t>
  </si>
  <si>
    <t>RS-2024-00467831</t>
  </si>
  <si>
    <t>에버그린플러스</t>
  </si>
  <si>
    <t>RS-2024-00467872</t>
  </si>
  <si>
    <t>(주)바이오나노코리아</t>
  </si>
  <si>
    <t>RS-2024-00467414</t>
  </si>
  <si>
    <t>주식회사헥사프로</t>
  </si>
  <si>
    <t>RS-2024-00444002</t>
  </si>
  <si>
    <t>주식회사 에스피이노베이션</t>
  </si>
  <si>
    <t>RS-2024-00447759</t>
  </si>
  <si>
    <t>주식회사 세라미끄</t>
  </si>
  <si>
    <t>RS-2024-00467630</t>
  </si>
  <si>
    <t>썸띵바이피플</t>
  </si>
  <si>
    <t>RS-2024-00446718</t>
  </si>
  <si>
    <t>클레온</t>
  </si>
  <si>
    <t>RS-2024-00445120</t>
  </si>
  <si>
    <t>플랜트팻</t>
  </si>
  <si>
    <t>RS-2024-00467492</t>
  </si>
  <si>
    <t>(주)다인테크</t>
  </si>
  <si>
    <t>RS-2024-00467623</t>
  </si>
  <si>
    <t>휴카시스템 주식회사</t>
  </si>
  <si>
    <t>RS-2024-00447500</t>
  </si>
  <si>
    <t>(주)한국의료기술사업화센터</t>
  </si>
  <si>
    <t>RS-2024-00468114</t>
  </si>
  <si>
    <t>농업회사법인 벨아벨팜 주식회사</t>
  </si>
  <si>
    <t>RS-2024-00468838</t>
  </si>
  <si>
    <t>(주)파이토에코</t>
  </si>
  <si>
    <t>RS-2024-00468731</t>
  </si>
  <si>
    <t>주식회사 천년식향</t>
  </si>
  <si>
    <t>RS-2024-00467834</t>
  </si>
  <si>
    <t>농업회사법인 주식회사용정</t>
  </si>
  <si>
    <t>RS-2024-00442671</t>
  </si>
  <si>
    <t>주식회사 오렌지바이오메드</t>
  </si>
  <si>
    <t>RS-2024-00468895</t>
  </si>
  <si>
    <t>케이블루바이오 주식회사</t>
  </si>
  <si>
    <t>RS-2024-00468055</t>
  </si>
  <si>
    <t>키움바이오</t>
  </si>
  <si>
    <t>RS-2024-00467723</t>
  </si>
  <si>
    <t>제이에스바이오컴퍼니</t>
  </si>
  <si>
    <t>RS-2024-00468050</t>
  </si>
  <si>
    <t>올데이올가닉</t>
  </si>
  <si>
    <t>RS-2024-00447891</t>
  </si>
  <si>
    <t>주식회사 앤웍스</t>
  </si>
  <si>
    <t>RS-2024-00468582</t>
  </si>
  <si>
    <t>(주)제이뷰티</t>
  </si>
  <si>
    <t>RS-2024-00467966</t>
  </si>
  <si>
    <t>웰펩(주)</t>
  </si>
  <si>
    <t>RS-2024-00468661</t>
  </si>
  <si>
    <t>(주)스토리브</t>
  </si>
  <si>
    <t>RS-2024-00447434</t>
  </si>
  <si>
    <t>주식회사 펩티르나테라퓨틱스</t>
  </si>
  <si>
    <t>RS-2024-00468004</t>
  </si>
  <si>
    <t>노바락토</t>
  </si>
  <si>
    <t>RS-2024-00442785</t>
  </si>
  <si>
    <t>주식회사 케오알</t>
  </si>
  <si>
    <t>RS-2024-00467358</t>
  </si>
  <si>
    <t>비안</t>
  </si>
  <si>
    <t>RS-2024-00467319</t>
  </si>
  <si>
    <t>그로펙바이오 주식회사</t>
  </si>
  <si>
    <t>RS-2024-00467424</t>
  </si>
  <si>
    <t>주식회사 킹고바이오</t>
  </si>
  <si>
    <t>RS-2024-00467607</t>
  </si>
  <si>
    <t>(주)키베이직</t>
  </si>
  <si>
    <t>RS-2024-00468075</t>
  </si>
  <si>
    <t>(주)에스비바이오사이언스</t>
  </si>
  <si>
    <t>RS-2024-00446037</t>
  </si>
  <si>
    <t>벳엔진</t>
  </si>
  <si>
    <t>RS-2024-00468697</t>
  </si>
  <si>
    <t>앨리스헬스케어</t>
  </si>
  <si>
    <t>RS-2024-00468840</t>
  </si>
  <si>
    <t>(주)큐로젠</t>
  </si>
  <si>
    <t>RS-2024-00467433</t>
  </si>
  <si>
    <t>주식회사 움틀</t>
  </si>
  <si>
    <t>RS-2024-00467806</t>
  </si>
  <si>
    <t>셀라이온바이오메드(주)</t>
  </si>
  <si>
    <t>RS-2024-00467369</t>
  </si>
  <si>
    <t>주식회사 에이티삼일바이오</t>
  </si>
  <si>
    <t>RS-2024-00444894</t>
  </si>
  <si>
    <t>브레인이뮤넥스 주식회사</t>
  </si>
  <si>
    <t>RS-2024-00468464</t>
  </si>
  <si>
    <t>(주)라비</t>
  </si>
  <si>
    <t>RS-2024-00468250</t>
  </si>
  <si>
    <t>(주)비디매스</t>
  </si>
  <si>
    <t>RS-2024-00467572</t>
  </si>
  <si>
    <t>(주)에스앤케이테라퓨틱스</t>
  </si>
  <si>
    <t>RS-2024-00468839</t>
  </si>
  <si>
    <t>(주)올메이드</t>
  </si>
  <si>
    <t>RS-2024-00467810</t>
  </si>
  <si>
    <t>주식회사 씨엔엘바이오텍</t>
  </si>
  <si>
    <t>RS-2024-00467570</t>
  </si>
  <si>
    <t>주식회사 휴트리</t>
  </si>
  <si>
    <t>RS-2024-00448114</t>
  </si>
  <si>
    <t>주식회사 엔엠</t>
  </si>
  <si>
    <t>RS-2024-00468177</t>
  </si>
  <si>
    <t>(주)에이트마진</t>
  </si>
  <si>
    <t>RS-2024-00467307</t>
  </si>
  <si>
    <t>(주)아우라케어</t>
  </si>
  <si>
    <t>RS-2024-00467661</t>
  </si>
  <si>
    <t>(주)레디큐어</t>
  </si>
  <si>
    <t>RS-2024-00468965</t>
  </si>
  <si>
    <t>(주)돌봄드림</t>
  </si>
  <si>
    <t>RS-2024-00448059</t>
  </si>
  <si>
    <t>사람을이해하다 주식회사</t>
  </si>
  <si>
    <t>RS-2024-00467892</t>
  </si>
  <si>
    <t>덴큐</t>
  </si>
  <si>
    <t>RS-2024-00468646</t>
  </si>
  <si>
    <t>미주테크</t>
  </si>
  <si>
    <t>RS-2024-00448027</t>
  </si>
  <si>
    <t>주식회사 씨티바이오</t>
  </si>
  <si>
    <t>RS-2024-00467580</t>
  </si>
  <si>
    <t>(주)네오엔텍</t>
  </si>
  <si>
    <t>RS-2024-00468910</t>
  </si>
  <si>
    <t>에이비스</t>
  </si>
  <si>
    <t>RS-2024-00468658</t>
  </si>
  <si>
    <t>고큐바테크놀로지(주)</t>
  </si>
  <si>
    <t>RS-2024-00447799</t>
  </si>
  <si>
    <t>주식회사 솔라리치</t>
  </si>
  <si>
    <t>RS-2024-00448124</t>
  </si>
  <si>
    <t>갤럭시아테크</t>
  </si>
  <si>
    <t>RS-2024-00448577</t>
  </si>
  <si>
    <t>제로스바이오</t>
  </si>
  <si>
    <t>RS-2024-00468308</t>
  </si>
  <si>
    <t>(주)알이에스</t>
  </si>
  <si>
    <t>RS-2024-00467374</t>
  </si>
  <si>
    <t>주식회사 티씨알케이에너지</t>
  </si>
  <si>
    <t>RS-2024-00467823</t>
  </si>
  <si>
    <t>(주)어썸랩</t>
  </si>
  <si>
    <t>RS-2024-00468229</t>
  </si>
  <si>
    <t>(주)워터제네시스</t>
  </si>
  <si>
    <t>RS-2024-00467886</t>
  </si>
  <si>
    <t>(주)에이비</t>
  </si>
  <si>
    <t>RS-2024-00443954</t>
  </si>
  <si>
    <t xml:space="preserve"> 와이즈아이디어 주식회사</t>
  </si>
  <si>
    <t>RS-2024-00447487</t>
  </si>
  <si>
    <t>포토니솔</t>
  </si>
  <si>
    <t>2024-08-30(금) 14:20</t>
  </si>
  <si>
    <t>RS-2024-00448275</t>
  </si>
  <si>
    <t>케이엘코퍼레이션주식회사</t>
  </si>
  <si>
    <t>RS-2024-00468074</t>
  </si>
  <si>
    <t>(주)쉬즈엠</t>
  </si>
  <si>
    <t>RS-2024-00468864</t>
  </si>
  <si>
    <t>(주)리틀캣</t>
  </si>
  <si>
    <t>RS-2024-00467530</t>
  </si>
  <si>
    <t>피에스솔루텍 주식회사</t>
  </si>
  <si>
    <t>RS-2024-00467722</t>
  </si>
  <si>
    <t>주식회사 뉴원에스엔티</t>
  </si>
  <si>
    <t>RS-2024-00468087</t>
  </si>
  <si>
    <t>비즈웨이브(주)</t>
  </si>
  <si>
    <t>RS-2024-00468675</t>
  </si>
  <si>
    <t>주식회사이노테코</t>
  </si>
  <si>
    <t>RS-2024-00467587</t>
  </si>
  <si>
    <t>주식회사 더블유엠케이아이엔씨</t>
  </si>
  <si>
    <t>RS-2024-00448403</t>
  </si>
  <si>
    <t>키스톤에스앤티</t>
  </si>
  <si>
    <t>RS-2024-00468057</t>
  </si>
  <si>
    <t>주식회사운테크</t>
  </si>
  <si>
    <t>RS-2024-00467805</t>
  </si>
  <si>
    <t>포스 주식회사</t>
  </si>
  <si>
    <t>RS-2024-00467422</t>
  </si>
  <si>
    <t>제넥스글로벌</t>
  </si>
  <si>
    <t>RS-2024-00468887</t>
  </si>
  <si>
    <t>주식회사 디에스랩</t>
  </si>
  <si>
    <t>RS-2024-00467347</t>
  </si>
  <si>
    <t>주식회사 셀리코</t>
  </si>
  <si>
    <t>RS-2024-00467317</t>
  </si>
  <si>
    <t>주식회사 에이스실리콘</t>
  </si>
  <si>
    <t>RS-2024-00468063</t>
  </si>
  <si>
    <t>(주)옵티플</t>
  </si>
  <si>
    <t>RS-2024-00467525</t>
  </si>
  <si>
    <t>(주)어드밴스트뷰테크널러지</t>
  </si>
  <si>
    <t>RS-2024-00445941</t>
  </si>
  <si>
    <t>제스나 주식회사</t>
  </si>
  <si>
    <t>RS-2024-00448074</t>
  </si>
  <si>
    <t>(주)제이에스티</t>
  </si>
  <si>
    <t>RS-2024-00467452</t>
  </si>
  <si>
    <t>(주)디코</t>
  </si>
  <si>
    <t>RS-2024-00447885</t>
  </si>
  <si>
    <t>나노라티스</t>
  </si>
  <si>
    <t>RS-2024-00468866</t>
  </si>
  <si>
    <t>주식회사이머티리얼랩</t>
  </si>
  <si>
    <t>RS-2024-00468212</t>
  </si>
  <si>
    <t>(주)스핀와이드</t>
  </si>
  <si>
    <t>RS-2024-00468088</t>
  </si>
  <si>
    <t>(주)싸이프</t>
  </si>
  <si>
    <t>RS-2024-00467322</t>
  </si>
  <si>
    <t>(주)더블유피</t>
  </si>
  <si>
    <t>RS-2024-00467554</t>
  </si>
  <si>
    <t>주식회사 케이엑스티</t>
  </si>
  <si>
    <t>RS-2024-00467362</t>
  </si>
  <si>
    <t>알엔알랩</t>
  </si>
  <si>
    <t>RS-2024-00467959</t>
  </si>
  <si>
    <t>엠아이비</t>
  </si>
  <si>
    <t>RS-2024-00468013</t>
  </si>
  <si>
    <t>솔루원</t>
  </si>
  <si>
    <t>RS-2024-00444632</t>
  </si>
  <si>
    <t>엠리서치(주)</t>
  </si>
  <si>
    <t>RS-2024-00468067</t>
  </si>
  <si>
    <t>(주)휴원트</t>
  </si>
  <si>
    <t>RS-2024-00468543</t>
  </si>
  <si>
    <t>디오리진</t>
  </si>
  <si>
    <t>RS-2024-00447862</t>
  </si>
  <si>
    <t>주식회사 코스모크</t>
  </si>
  <si>
    <t>RS-2024-00443705</t>
  </si>
  <si>
    <t>주식회사바인</t>
  </si>
  <si>
    <t>RS-2024-00467511</t>
  </si>
  <si>
    <t>주식회사 히팅스퀘어</t>
  </si>
  <si>
    <t>RS-2024-00468081</t>
  </si>
  <si>
    <t>캐치플로우</t>
  </si>
  <si>
    <t>RS-2024-00467930</t>
  </si>
  <si>
    <t>휴바</t>
  </si>
  <si>
    <t>RS-2024-00467625</t>
  </si>
  <si>
    <t>데이터랩(주)</t>
  </si>
  <si>
    <t>RS-2024-00468103</t>
  </si>
  <si>
    <t>주식회사폼이즈</t>
  </si>
  <si>
    <t>RS-2024-00448629</t>
  </si>
  <si>
    <t>주식회사 배터랩</t>
  </si>
  <si>
    <t>RS-2024-00468135</t>
  </si>
  <si>
    <t>주식회사 쉐메카</t>
  </si>
  <si>
    <t>RS-2024-00442473</t>
  </si>
  <si>
    <t>주식회사 탑맥</t>
  </si>
  <si>
    <t>RS-2024-00468924</t>
  </si>
  <si>
    <t>(주)디온에너지</t>
  </si>
  <si>
    <t>RS-2024-00468673</t>
  </si>
  <si>
    <t>디엑스블록스 주식회사</t>
  </si>
  <si>
    <t>RS-2024-00446708</t>
  </si>
  <si>
    <t>주식회사 오씨에스솔루션</t>
  </si>
  <si>
    <t>RS-2024-00468505</t>
  </si>
  <si>
    <t>비콘랩</t>
  </si>
  <si>
    <t>RS-2024-00467713</t>
  </si>
  <si>
    <t>주식회사 터빈크루</t>
  </si>
  <si>
    <t>RS-2024-00445276</t>
  </si>
  <si>
    <t>주식회사 넥스트그리드</t>
  </si>
  <si>
    <t>RS-2024-00468841</t>
  </si>
  <si>
    <t>그래핀일렉트릭</t>
  </si>
  <si>
    <t>RS-2024-00467544</t>
  </si>
  <si>
    <t>바이온에버</t>
  </si>
  <si>
    <t>RS-2024-00467569</t>
  </si>
  <si>
    <t>망고이즈 주식회사</t>
  </si>
  <si>
    <t>RS-2024-00442368</t>
  </si>
  <si>
    <t>주식회사 더블유아이에스네트웍스</t>
  </si>
  <si>
    <t>RS-2024-00467434</t>
  </si>
  <si>
    <t>유비스랩</t>
  </si>
  <si>
    <t>RS-2024-00446732</t>
  </si>
  <si>
    <t>주식회사 넥스텝</t>
  </si>
  <si>
    <t>RS-2024-00448100</t>
  </si>
  <si>
    <t>주식회사 트라운드</t>
  </si>
  <si>
    <t>RS-2024-00448650</t>
  </si>
  <si>
    <t>주식회사 우리덜</t>
  </si>
  <si>
    <t>RS-2024-00468816</t>
  </si>
  <si>
    <t>체프</t>
  </si>
  <si>
    <t>RS-2024-00467682</t>
  </si>
  <si>
    <t>코보티스 (주)</t>
  </si>
  <si>
    <t>RS-2024-00467574</t>
  </si>
  <si>
    <t>(주)에이아이더블유</t>
  </si>
  <si>
    <t>RS-2024-00467857</t>
  </si>
  <si>
    <t>(주)스튜디오브이알</t>
  </si>
  <si>
    <t>RS-2024-00468048</t>
  </si>
  <si>
    <t>포그라운드(주)</t>
  </si>
  <si>
    <t>RS-2024-00467350</t>
  </si>
  <si>
    <t>주식회사 크리토</t>
  </si>
  <si>
    <t>RS-2024-00468773</t>
  </si>
  <si>
    <t>주식회사 틴커</t>
  </si>
  <si>
    <t>RS-2024-00468821</t>
  </si>
  <si>
    <t>주식회사 피노랩</t>
  </si>
  <si>
    <t>RS-2024-00448138</t>
  </si>
  <si>
    <t>주식회사 프롬디</t>
  </si>
  <si>
    <t>RS-2024-00446145</t>
  </si>
  <si>
    <t>주식회사 틸런</t>
  </si>
  <si>
    <t>RS-2024-00448533</t>
  </si>
  <si>
    <t>라마</t>
  </si>
  <si>
    <t>RS-2024-00468846</t>
  </si>
  <si>
    <t>큐엠아이티</t>
  </si>
  <si>
    <t>RS-2024-00468584</t>
  </si>
  <si>
    <t>주식회사 야타브엔터</t>
  </si>
  <si>
    <t>RS-2024-00468849</t>
  </si>
  <si>
    <t>더브이플래닛</t>
  </si>
  <si>
    <t>RS-2024-00468706</t>
  </si>
  <si>
    <t>주식회사 브레인벤쳐스</t>
  </si>
  <si>
    <t>RS-2024-00468946</t>
  </si>
  <si>
    <t>주식회사 마이링크</t>
  </si>
  <si>
    <t>RS-2024-00468759</t>
  </si>
  <si>
    <t>(주)콕스스페이스</t>
  </si>
  <si>
    <t>RS-2024-00467762</t>
  </si>
  <si>
    <t>주식회사 행복한다람쥐단</t>
  </si>
  <si>
    <t>RS-2024-00468749</t>
  </si>
  <si>
    <t>주식회사 트랙팜</t>
  </si>
  <si>
    <t>RS-2024-00467742</t>
  </si>
  <si>
    <t>주식회사 세레스테크놀로지스</t>
  </si>
  <si>
    <t>RS-2024-00467384</t>
  </si>
  <si>
    <t>카이어</t>
  </si>
  <si>
    <t>RS-2024-00467918</t>
  </si>
  <si>
    <t>주식회사 프롬서울 (FROMSEOUL)</t>
  </si>
  <si>
    <t>RS-2024-00468005</t>
  </si>
  <si>
    <t>주식회사 아이이에스지</t>
  </si>
  <si>
    <t>RS-2024-00468462</t>
  </si>
  <si>
    <t>주식회사 컴플렉시온</t>
  </si>
  <si>
    <t>RS-2024-00467917</t>
  </si>
  <si>
    <t>브이아이펫</t>
  </si>
  <si>
    <t>RS-2024-00468732</t>
  </si>
  <si>
    <t>에이블제이 주식회사</t>
  </si>
  <si>
    <t>RS-2024-00467417</t>
  </si>
  <si>
    <t>(주)비컨</t>
  </si>
  <si>
    <t>RS-2024-00468195</t>
  </si>
  <si>
    <t>(주)하마다랩스</t>
  </si>
  <si>
    <t>RS-2024-00468058</t>
  </si>
  <si>
    <t>주식회사 유어라운드</t>
  </si>
  <si>
    <t>RS-2024-00467875</t>
  </si>
  <si>
    <t>(주)인바이즈</t>
  </si>
  <si>
    <t>RS-2024-00468491</t>
  </si>
  <si>
    <t>주식회사 에이치에스컴퍼니</t>
  </si>
  <si>
    <t>RS-2024-00468827</t>
  </si>
  <si>
    <t>소프트웨어팩토리 주식회사</t>
  </si>
  <si>
    <t>RS-2024-00467654</t>
  </si>
  <si>
    <t>주식회사 썸아더플레이스</t>
  </si>
  <si>
    <t>RS-2024-00467665</t>
  </si>
  <si>
    <t>주식회사 카데아</t>
  </si>
  <si>
    <t>RS-2024-00468024</t>
  </si>
  <si>
    <t>주식회사 에이치디엠</t>
  </si>
  <si>
    <t>RS-2024-00468691</t>
  </si>
  <si>
    <t>하이퍼리티</t>
  </si>
  <si>
    <t>RS-2024-00468738</t>
  </si>
  <si>
    <t>라바그루 주식회사</t>
  </si>
  <si>
    <t>RS-2024-00468428</t>
  </si>
  <si>
    <t>빛글림</t>
  </si>
  <si>
    <t>RS-2024-00468916</t>
  </si>
  <si>
    <t>주식회사유니아이</t>
  </si>
  <si>
    <t>RS-2024-00468906</t>
  </si>
  <si>
    <t>(주)글루리</t>
  </si>
  <si>
    <t>RS-2024-00467933</t>
  </si>
  <si>
    <t>앱미디어(주)</t>
  </si>
  <si>
    <t>RS-2024-00468631</t>
  </si>
  <si>
    <t>닥터케이헬스케어 주식회사</t>
  </si>
  <si>
    <t>RS-2024-00468879</t>
  </si>
  <si>
    <t>바이오인터베이션</t>
  </si>
  <si>
    <t>RS-2024-00448835</t>
  </si>
  <si>
    <t>날리</t>
  </si>
  <si>
    <t>RS-2024-00445436</t>
  </si>
  <si>
    <t>위아소프트 주식회사</t>
  </si>
  <si>
    <t>RS-2024-00447686</t>
  </si>
  <si>
    <t>주식회사 보아스헬스</t>
  </si>
  <si>
    <t>RS-2024-00447037</t>
  </si>
  <si>
    <t>주식회사 에너지어스 (Energyus Co., Ltd.)</t>
  </si>
  <si>
    <t>RS-2024-00447824</t>
  </si>
  <si>
    <t>사이트큐빅</t>
  </si>
  <si>
    <t>RS-2024-00442413</t>
  </si>
  <si>
    <t>주식회사 배러머신</t>
  </si>
  <si>
    <t>RS-2024-00446449</t>
  </si>
  <si>
    <t>주식회사 코키</t>
  </si>
  <si>
    <t>RS-2024-00448704</t>
  </si>
  <si>
    <t>그밀가</t>
  </si>
  <si>
    <t>RS-2024-00443036</t>
  </si>
  <si>
    <t>젝사젠 주식회사</t>
  </si>
  <si>
    <t>RS-2024-00468621</t>
  </si>
  <si>
    <t>로이쿠</t>
  </si>
  <si>
    <t>RS-2024-00443990</t>
  </si>
  <si>
    <t>제타엠</t>
  </si>
  <si>
    <t>RS-2024-00467640</t>
  </si>
  <si>
    <t>하워드랩(주)</t>
  </si>
  <si>
    <t>RS-2024-00467923</t>
  </si>
  <si>
    <t>한국전력정보㈜</t>
  </si>
  <si>
    <t>RS-2024-00468611</t>
  </si>
  <si>
    <t>(주)위니드소프트</t>
  </si>
  <si>
    <t>RS-2024-00468766</t>
  </si>
  <si>
    <t>인트엣지</t>
  </si>
  <si>
    <t>RS-2024-00468837</t>
  </si>
  <si>
    <t>(주)셀디코리아</t>
  </si>
  <si>
    <t>RS-2024-00468967</t>
  </si>
  <si>
    <t>소프트랜더스</t>
  </si>
  <si>
    <t>RS-2024-00468798</t>
  </si>
  <si>
    <t>피크노렙시</t>
  </si>
  <si>
    <t>RS-2024-00448172</t>
  </si>
  <si>
    <t>보이스매치</t>
  </si>
  <si>
    <t>RS-2024-00447731</t>
  </si>
  <si>
    <t>주식회사 테나아이</t>
  </si>
  <si>
    <t>RS-2024-00447977</t>
  </si>
  <si>
    <t>주식회사 워킹스타</t>
  </si>
  <si>
    <t>RS-2024-00444753</t>
  </si>
  <si>
    <t>(주)디피에스비전</t>
  </si>
  <si>
    <t>RS-2024-00468443</t>
  </si>
  <si>
    <t>주식회사 버스크</t>
  </si>
  <si>
    <t>RS-2024-00446247</t>
  </si>
  <si>
    <t xml:space="preserve"> 주식회사 세원피엠티</t>
  </si>
  <si>
    <t>RS-2024-00442414</t>
  </si>
  <si>
    <t>(주)블루버틀러</t>
  </si>
  <si>
    <t>RS-2024-00448847</t>
  </si>
  <si>
    <t>유에이엠코리아</t>
  </si>
  <si>
    <t>RS-2024-00468765</t>
  </si>
  <si>
    <t>프레리스쿠너 주식회사</t>
  </si>
  <si>
    <t>RS-2024-00468093</t>
  </si>
  <si>
    <t>(주)에듀캔버스</t>
  </si>
  <si>
    <t>RS-2024-00448289</t>
  </si>
  <si>
    <t>주식회사 메타빌</t>
  </si>
  <si>
    <t>RS-2024-00448802</t>
  </si>
  <si>
    <t>(주)로드원</t>
  </si>
  <si>
    <t>RS-2024-00468216</t>
  </si>
  <si>
    <t>와이티씨</t>
  </si>
  <si>
    <t>RS-2024-00447872</t>
  </si>
  <si>
    <t>(주)커런트비앤씨</t>
  </si>
  <si>
    <t>RS-2024-00468941</t>
  </si>
  <si>
    <t>에이엠홀로</t>
  </si>
  <si>
    <t>RS-2024-00446440</t>
  </si>
  <si>
    <t>케이센테크 주식회사</t>
  </si>
  <si>
    <t>RS-2024-00468394</t>
  </si>
  <si>
    <t>쓰리피닷컴</t>
  </si>
  <si>
    <t>RS-2024-00467896</t>
  </si>
  <si>
    <t>미래에스앤에스넷</t>
  </si>
  <si>
    <t>RS-2024-00467315</t>
  </si>
  <si>
    <t>주식회사 에이비알(ABR Co., Ltd)</t>
  </si>
  <si>
    <t>RS-2024-00446090</t>
  </si>
  <si>
    <t>비전아이(주)</t>
  </si>
  <si>
    <t>RS-2024-00447321</t>
  </si>
  <si>
    <t>엔알아이</t>
  </si>
  <si>
    <t>RS-2024-00447676</t>
  </si>
  <si>
    <t>주식회사 텍스타일리</t>
  </si>
  <si>
    <t>RS-2024-00448119</t>
  </si>
  <si>
    <t>비앤씨솔루션</t>
  </si>
  <si>
    <t>RS-2024-00448735</t>
  </si>
  <si>
    <t>주식회사 씨제이에스</t>
  </si>
  <si>
    <t>RS-2024-00445553</t>
  </si>
  <si>
    <t>(주)웨어콤</t>
  </si>
  <si>
    <t>RS-2024-00467895</t>
  </si>
  <si>
    <t>커버써먼</t>
  </si>
  <si>
    <t>RS-2024-00468754</t>
  </si>
  <si>
    <t>(주)에스더블유케미컬즈</t>
  </si>
  <si>
    <t>RS-2024-00468042</t>
  </si>
  <si>
    <t>주식회사 라피스타</t>
  </si>
  <si>
    <t>RS-2024-00468012</t>
  </si>
  <si>
    <t>(주)한국나노오트</t>
  </si>
  <si>
    <t>RS-2024-00467622</t>
  </si>
  <si>
    <t>주식회사 엠티지</t>
  </si>
  <si>
    <t>RS-2024-00467552</t>
  </si>
  <si>
    <t>주식회사에이지엠지</t>
  </si>
  <si>
    <t>RS-2024-00468211</t>
  </si>
  <si>
    <t>주식회사 피텐</t>
  </si>
  <si>
    <t>RS-2024-00467657</t>
  </si>
  <si>
    <t>주식회사 신성바이오팜</t>
  </si>
  <si>
    <t>RS-2024-00467685</t>
  </si>
  <si>
    <t>방기정주식회사</t>
  </si>
  <si>
    <t>RS-2024-00468605</t>
  </si>
  <si>
    <t>주식회사 바오젠</t>
  </si>
  <si>
    <t>RS-2024-00444134</t>
  </si>
  <si>
    <t>(주)퓨롬</t>
  </si>
  <si>
    <t>RS-2024-00448105</t>
  </si>
  <si>
    <t>주식회사 서호랩</t>
  </si>
  <si>
    <t>RS-2024-00447722</t>
  </si>
  <si>
    <t>클린힐</t>
  </si>
  <si>
    <t>RS-2024-00448791</t>
  </si>
  <si>
    <t>(주)에스디코웍스</t>
  </si>
  <si>
    <t>RS-2024-00442642</t>
  </si>
  <si>
    <t>(주)푸른빛</t>
  </si>
  <si>
    <t>RS-2024-00467662</t>
  </si>
  <si>
    <t>(주)뉴트리어드바이저</t>
  </si>
  <si>
    <t>RS-2024-00468674</t>
  </si>
  <si>
    <t>주식회사씨포스</t>
  </si>
  <si>
    <t>박문식</t>
    <phoneticPr fontId="2" type="noConversion"/>
  </si>
  <si>
    <t>대표</t>
    <phoneticPr fontId="2" type="noConversion"/>
  </si>
  <si>
    <t>장길석</t>
    <phoneticPr fontId="2" type="noConversion"/>
  </si>
  <si>
    <t>수석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</si>
</sst>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76" formatCode="0.0%"/>
    <numFmt numFmtId="177" formatCode="_-* #,##0.0_-;\-* #,##0.0_-;_-* &quot;-&quot;?_-;_-@_-"/>
    <numFmt numFmtId="178" formatCode="_-* #,##0.000_-;\-* #,##0.000_-;_-* &quot;-&quot;??_-;_-@_-"/>
    <numFmt numFmtId="179" formatCode="_-* #,##0.0000_-;\-* #,##0.0000_-;_-* &quot;-&quot;??_-;_-@_-"/>
    <numFmt numFmtId="180" formatCode="0.000%"/>
    <numFmt numFmtId="181" formatCode="0.0_ "/>
  </numFmts>
  <fonts count="4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2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indexed="81"/>
      <name val="Tahoma"/>
      <family val="2"/>
    </font>
    <font>
      <b/>
      <sz val="11"/>
      <color indexed="81"/>
      <name val="돋움"/>
      <family val="3"/>
      <charset val="129"/>
    </font>
    <font>
      <sz val="11"/>
      <color indexed="81"/>
      <name val="돋움"/>
      <family val="3"/>
      <charset val="129"/>
    </font>
    <font>
      <sz val="11"/>
      <color indexed="81"/>
      <name val="맑은 고딕"/>
      <family val="3"/>
      <charset val="129"/>
    </font>
    <font>
      <b/>
      <sz val="11"/>
      <color indexed="81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6"/>
      <color rgb="FFFF0000"/>
      <name val="HY헤드라인M"/>
      <family val="1"/>
      <charset val="129"/>
    </font>
    <font>
      <b/>
      <sz val="14"/>
      <color rgb="FFFF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1"/>
      <color rgb="FF0000CC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4"/>
      <color rgb="FFFF0000"/>
      <name val="HY견고딕"/>
      <family val="1"/>
      <charset val="129"/>
    </font>
    <font>
      <sz val="10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u/>
      <sz val="10"/>
      <color rgb="FFFF000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b/>
      <sz val="12"/>
      <color indexed="81"/>
      <name val="Tahoma"/>
      <family val="2"/>
    </font>
    <font>
      <sz val="12"/>
      <color indexed="81"/>
      <name val="Tahoma"/>
      <family val="2"/>
    </font>
    <font>
      <sz val="12"/>
      <color indexed="81"/>
      <name val="돋움"/>
      <family val="3"/>
      <charset val="129"/>
    </font>
    <font>
      <b/>
      <sz val="14"/>
      <color indexed="81"/>
      <name val="Tahoma"/>
      <family val="2"/>
    </font>
    <font>
      <sz val="14"/>
      <color indexed="81"/>
      <name val="맑은 고딕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sz val="10"/>
      <color indexed="81"/>
      <name val="돋움"/>
      <family val="3"/>
      <charset val="129"/>
    </font>
    <font>
      <sz val="10"/>
      <color indexed="81"/>
      <name val="Tahoma"/>
      <family val="2"/>
    </font>
    <font>
      <sz val="11"/>
      <color indexed="81"/>
      <name val="MS Gothic"/>
      <family val="3"/>
      <charset val="128"/>
    </font>
    <font>
      <b/>
      <sz val="16"/>
      <color rgb="FF0000CC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b/>
      <sz val="14"/>
      <color indexed="81"/>
      <name val="맑은 고딕"/>
      <family val="3"/>
      <charset val="129"/>
      <scheme val="minor"/>
    </font>
    <font>
      <sz val="14"/>
      <color indexed="81"/>
      <name val="맑은 고딕"/>
      <family val="3"/>
      <charset val="129"/>
      <scheme val="minor"/>
    </font>
    <font>
      <sz val="14"/>
      <color indexed="81"/>
      <name val="맑은 고딕"/>
      <family val="3"/>
      <charset val="128"/>
      <scheme val="minor"/>
    </font>
    <font>
      <b/>
      <sz val="16"/>
      <color indexed="8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9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rgb="FF000000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351">
    <xf numFmtId="0" fontId="0" fillId="0" borderId="0" xfId="0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4" fillId="0" borderId="0" xfId="0" applyFont="1" applyProtection="1">
      <alignment vertical="center"/>
      <protection locked="0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17" fillId="0" borderId="0" xfId="0" applyFont="1" applyProtection="1">
      <alignment vertical="center"/>
      <protection locked="0"/>
    </xf>
    <xf numFmtId="0" fontId="18" fillId="9" borderId="65" xfId="0" applyFont="1" applyFill="1" applyBorder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14" fillId="4" borderId="63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0" fontId="19" fillId="0" borderId="26" xfId="0" applyFont="1" applyBorder="1" applyAlignment="1">
      <alignment horizontal="center" vertical="center"/>
    </xf>
    <xf numFmtId="41" fontId="19" fillId="8" borderId="27" xfId="1" applyFont="1" applyFill="1" applyBorder="1" applyAlignment="1">
      <alignment horizontal="center" vertical="center"/>
    </xf>
    <xf numFmtId="41" fontId="19" fillId="5" borderId="27" xfId="0" applyNumberFormat="1" applyFont="1" applyFill="1" applyBorder="1" applyAlignment="1">
      <alignment horizontal="center" vertical="center"/>
    </xf>
    <xf numFmtId="41" fontId="19" fillId="9" borderId="27" xfId="1" applyFont="1" applyFill="1" applyBorder="1" applyAlignment="1">
      <alignment horizontal="center" vertical="center"/>
    </xf>
    <xf numFmtId="41" fontId="19" fillId="9" borderId="28" xfId="1" applyFont="1" applyFill="1" applyBorder="1" applyAlignment="1">
      <alignment horizontal="center" vertical="center"/>
    </xf>
    <xf numFmtId="177" fontId="20" fillId="15" borderId="0" xfId="0" applyNumberFormat="1" applyFont="1" applyFill="1" applyAlignment="1">
      <alignment horizontal="center" vertical="center"/>
    </xf>
    <xf numFmtId="0" fontId="20" fillId="15" borderId="0" xfId="0" applyFont="1" applyFill="1" applyAlignment="1">
      <alignment horizontal="center" vertical="center"/>
    </xf>
    <xf numFmtId="177" fontId="14" fillId="0" borderId="0" xfId="0" applyNumberFormat="1" applyFont="1">
      <alignment vertical="center"/>
    </xf>
    <xf numFmtId="0" fontId="7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9" fillId="4" borderId="63" xfId="0" applyFont="1" applyFill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41" fontId="14" fillId="3" borderId="1" xfId="1" applyFont="1" applyFill="1" applyBorder="1" applyAlignment="1" applyProtection="1">
      <alignment horizontal="center" vertical="center"/>
      <protection locked="0"/>
    </xf>
    <xf numFmtId="41" fontId="14" fillId="2" borderId="1" xfId="1" applyFont="1" applyFill="1" applyBorder="1" applyAlignment="1">
      <alignment horizontal="center" vertical="center"/>
    </xf>
    <xf numFmtId="41" fontId="14" fillId="0" borderId="1" xfId="0" applyNumberFormat="1" applyFont="1" applyBorder="1" applyAlignment="1">
      <alignment horizontal="center" vertical="center"/>
    </xf>
    <xf numFmtId="0" fontId="19" fillId="7" borderId="25" xfId="0" applyFont="1" applyFill="1" applyBorder="1" applyAlignment="1">
      <alignment horizontal="center" vertical="center"/>
    </xf>
    <xf numFmtId="41" fontId="14" fillId="0" borderId="0" xfId="1" applyFont="1" applyBorder="1" applyAlignment="1">
      <alignment horizontal="center" vertical="center"/>
    </xf>
    <xf numFmtId="0" fontId="14" fillId="3" borderId="1" xfId="0" applyFont="1" applyFill="1" applyBorder="1" applyAlignment="1" applyProtection="1">
      <alignment horizontal="center" vertical="center" wrapText="1"/>
      <protection locked="0"/>
    </xf>
    <xf numFmtId="41" fontId="14" fillId="3" borderId="1" xfId="1" applyFont="1" applyFill="1" applyBorder="1" applyAlignment="1" applyProtection="1">
      <alignment horizontal="center" vertical="center" wrapText="1"/>
      <protection locked="0"/>
    </xf>
    <xf numFmtId="0" fontId="14" fillId="3" borderId="1" xfId="0" applyFont="1" applyFill="1" applyBorder="1" applyAlignment="1" applyProtection="1">
      <alignment horizontal="center" vertical="center"/>
      <protection locked="0"/>
    </xf>
    <xf numFmtId="0" fontId="14" fillId="0" borderId="72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41" fontId="14" fillId="3" borderId="7" xfId="1" applyFont="1" applyFill="1" applyBorder="1" applyAlignment="1" applyProtection="1">
      <alignment horizontal="center" vertical="center"/>
      <protection locked="0"/>
    </xf>
    <xf numFmtId="0" fontId="19" fillId="7" borderId="73" xfId="0" applyFont="1" applyFill="1" applyBorder="1" applyAlignment="1">
      <alignment horizontal="center" vertical="center"/>
    </xf>
    <xf numFmtId="0" fontId="19" fillId="6" borderId="26" xfId="0" applyFont="1" applyFill="1" applyBorder="1" applyAlignment="1">
      <alignment horizontal="center" vertical="center"/>
    </xf>
    <xf numFmtId="0" fontId="14" fillId="6" borderId="27" xfId="0" applyFont="1" applyFill="1" applyBorder="1" applyAlignment="1">
      <alignment horizontal="center" vertical="center"/>
    </xf>
    <xf numFmtId="41" fontId="14" fillId="6" borderId="27" xfId="0" applyNumberFormat="1" applyFont="1" applyFill="1" applyBorder="1" applyAlignment="1">
      <alignment horizontal="center" vertical="center"/>
    </xf>
    <xf numFmtId="41" fontId="14" fillId="6" borderId="27" xfId="1" applyFont="1" applyFill="1" applyBorder="1" applyAlignment="1">
      <alignment horizontal="center" vertical="center"/>
    </xf>
    <xf numFmtId="0" fontId="19" fillId="7" borderId="28" xfId="0" applyFont="1" applyFill="1" applyBorder="1" applyAlignment="1">
      <alignment horizontal="center" vertical="center"/>
    </xf>
    <xf numFmtId="0" fontId="19" fillId="7" borderId="65" xfId="0" applyFont="1" applyFill="1" applyBorder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19" fillId="0" borderId="0" xfId="0" applyFont="1" applyAlignment="1">
      <alignment horizontal="right" vertical="center"/>
    </xf>
    <xf numFmtId="0" fontId="19" fillId="4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/>
    </xf>
    <xf numFmtId="41" fontId="14" fillId="12" borderId="1" xfId="1" applyFont="1" applyFill="1" applyBorder="1" applyAlignment="1">
      <alignment horizontal="center" vertical="center"/>
    </xf>
    <xf numFmtId="10" fontId="14" fillId="0" borderId="1" xfId="2" applyNumberFormat="1" applyFont="1" applyFill="1" applyBorder="1" applyAlignment="1">
      <alignment horizontal="center" vertical="center"/>
    </xf>
    <xf numFmtId="41" fontId="14" fillId="0" borderId="1" xfId="1" applyFont="1" applyFill="1" applyBorder="1" applyAlignment="1">
      <alignment horizontal="center" vertical="center"/>
    </xf>
    <xf numFmtId="10" fontId="14" fillId="0" borderId="1" xfId="2" applyNumberFormat="1" applyFont="1" applyFill="1" applyBorder="1" applyAlignment="1">
      <alignment horizontal="right" vertical="center"/>
    </xf>
    <xf numFmtId="10" fontId="14" fillId="0" borderId="25" xfId="2" applyNumberFormat="1" applyFont="1" applyFill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9" fillId="0" borderId="1" xfId="0" applyFont="1" applyBorder="1">
      <alignment vertical="center"/>
    </xf>
    <xf numFmtId="41" fontId="14" fillId="11" borderId="1" xfId="1" applyFont="1" applyFill="1" applyBorder="1" applyAlignment="1">
      <alignment horizontal="center" vertical="center"/>
    </xf>
    <xf numFmtId="10" fontId="14" fillId="11" borderId="1" xfId="2" applyNumberFormat="1" applyFont="1" applyFill="1" applyBorder="1" applyAlignment="1">
      <alignment horizontal="center" vertical="center"/>
    </xf>
    <xf numFmtId="10" fontId="14" fillId="11" borderId="1" xfId="2" applyNumberFormat="1" applyFont="1" applyFill="1" applyBorder="1" applyAlignment="1">
      <alignment horizontal="right" vertical="center"/>
    </xf>
    <xf numFmtId="0" fontId="14" fillId="16" borderId="1" xfId="0" applyFont="1" applyFill="1" applyBorder="1" applyAlignment="1">
      <alignment horizontal="center" vertical="center"/>
    </xf>
    <xf numFmtId="0" fontId="14" fillId="16" borderId="25" xfId="0" applyFont="1" applyFill="1" applyBorder="1" applyAlignment="1">
      <alignment horizontal="center" vertical="center"/>
    </xf>
    <xf numFmtId="0" fontId="23" fillId="0" borderId="1" xfId="0" applyFont="1" applyBorder="1">
      <alignment vertical="center"/>
    </xf>
    <xf numFmtId="41" fontId="14" fillId="10" borderId="59" xfId="1" applyFont="1" applyFill="1" applyBorder="1" applyAlignment="1">
      <alignment horizontal="center" vertical="center"/>
    </xf>
    <xf numFmtId="10" fontId="14" fillId="10" borderId="59" xfId="2" applyNumberFormat="1" applyFont="1" applyFill="1" applyBorder="1" applyAlignment="1">
      <alignment horizontal="center" vertical="center"/>
    </xf>
    <xf numFmtId="179" fontId="14" fillId="7" borderId="1" xfId="2" applyNumberFormat="1" applyFont="1" applyFill="1" applyBorder="1" applyAlignment="1">
      <alignment horizontal="center" vertical="center"/>
    </xf>
    <xf numFmtId="43" fontId="14" fillId="0" borderId="1" xfId="2" applyNumberFormat="1" applyFont="1" applyFill="1" applyBorder="1" applyAlignment="1">
      <alignment horizontal="center" vertical="center"/>
    </xf>
    <xf numFmtId="41" fontId="14" fillId="11" borderId="7" xfId="1" applyFont="1" applyFill="1" applyBorder="1" applyAlignment="1">
      <alignment horizontal="center" vertical="center"/>
    </xf>
    <xf numFmtId="10" fontId="14" fillId="11" borderId="7" xfId="2" applyNumberFormat="1" applyFont="1" applyFill="1" applyBorder="1" applyAlignment="1">
      <alignment horizontal="center" vertical="center"/>
    </xf>
    <xf numFmtId="176" fontId="14" fillId="11" borderId="7" xfId="2" applyNumberFormat="1" applyFont="1" applyFill="1" applyBorder="1" applyAlignment="1">
      <alignment horizontal="right" vertical="center"/>
    </xf>
    <xf numFmtId="178" fontId="14" fillId="7" borderId="1" xfId="0" applyNumberFormat="1" applyFont="1" applyFill="1" applyBorder="1" applyAlignment="1">
      <alignment horizontal="center" vertical="center"/>
    </xf>
    <xf numFmtId="41" fontId="14" fillId="6" borderId="1" xfId="1" applyFont="1" applyFill="1" applyBorder="1" applyAlignment="1">
      <alignment horizontal="center" vertical="center"/>
    </xf>
    <xf numFmtId="10" fontId="14" fillId="6" borderId="1" xfId="2" applyNumberFormat="1" applyFont="1" applyFill="1" applyBorder="1" applyAlignment="1">
      <alignment horizontal="center" vertical="center"/>
    </xf>
    <xf numFmtId="10" fontId="14" fillId="6" borderId="1" xfId="2" applyNumberFormat="1" applyFont="1" applyFill="1" applyBorder="1" applyAlignment="1">
      <alignment horizontal="right" vertical="center"/>
    </xf>
    <xf numFmtId="10" fontId="14" fillId="2" borderId="1" xfId="2" applyNumberFormat="1" applyFont="1" applyFill="1" applyBorder="1" applyAlignment="1">
      <alignment horizontal="center" vertical="center"/>
    </xf>
    <xf numFmtId="0" fontId="14" fillId="0" borderId="1" xfId="2" applyNumberFormat="1" applyFont="1" applyFill="1" applyBorder="1" applyAlignment="1">
      <alignment horizontal="center" vertical="center"/>
    </xf>
    <xf numFmtId="0" fontId="14" fillId="0" borderId="25" xfId="2" applyNumberFormat="1" applyFont="1" applyFill="1" applyBorder="1" applyAlignment="1">
      <alignment horizontal="center" vertical="center"/>
    </xf>
    <xf numFmtId="0" fontId="17" fillId="6" borderId="27" xfId="0" applyFont="1" applyFill="1" applyBorder="1" applyAlignment="1">
      <alignment horizontal="center" vertical="center"/>
    </xf>
    <xf numFmtId="10" fontId="14" fillId="6" borderId="27" xfId="2" applyNumberFormat="1" applyFont="1" applyFill="1" applyBorder="1" applyAlignment="1">
      <alignment horizontal="center" vertical="center"/>
    </xf>
    <xf numFmtId="10" fontId="14" fillId="6" borderId="27" xfId="2" applyNumberFormat="1" applyFont="1" applyFill="1" applyBorder="1" applyAlignment="1">
      <alignment horizontal="right" vertical="center"/>
    </xf>
    <xf numFmtId="0" fontId="14" fillId="0" borderId="27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41" fontId="14" fillId="0" borderId="0" xfId="1" applyFont="1" applyFill="1" applyBorder="1" applyAlignment="1">
      <alignment horizontal="center" vertical="center"/>
    </xf>
    <xf numFmtId="10" fontId="14" fillId="0" borderId="0" xfId="2" applyNumberFormat="1" applyFont="1" applyFill="1" applyBorder="1" applyAlignment="1">
      <alignment horizontal="center" vertical="center"/>
    </xf>
    <xf numFmtId="41" fontId="14" fillId="0" borderId="0" xfId="0" applyNumberFormat="1" applyFont="1" applyAlignment="1">
      <alignment horizontal="center" vertical="center"/>
    </xf>
    <xf numFmtId="10" fontId="14" fillId="0" borderId="0" xfId="2" applyNumberFormat="1" applyFont="1" applyFill="1" applyBorder="1" applyAlignment="1">
      <alignment horizontal="right" vertical="center"/>
    </xf>
    <xf numFmtId="0" fontId="24" fillId="0" borderId="0" xfId="0" applyFont="1" applyAlignment="1">
      <alignment horizontal="left" vertical="center"/>
    </xf>
    <xf numFmtId="0" fontId="25" fillId="13" borderId="40" xfId="0" applyFont="1" applyFill="1" applyBorder="1" applyAlignment="1" applyProtection="1">
      <alignment horizontal="center" vertical="center" wrapText="1"/>
      <protection locked="0"/>
    </xf>
    <xf numFmtId="0" fontId="25" fillId="13" borderId="30" xfId="0" applyFont="1" applyFill="1" applyBorder="1" applyAlignment="1" applyProtection="1">
      <alignment horizontal="center" vertical="center" wrapText="1"/>
      <protection locked="0"/>
    </xf>
    <xf numFmtId="0" fontId="25" fillId="13" borderId="55" xfId="0" applyFont="1" applyFill="1" applyBorder="1" applyAlignment="1" applyProtection="1">
      <alignment horizontal="center" vertical="center" wrapText="1"/>
      <protection locked="0"/>
    </xf>
    <xf numFmtId="0" fontId="25" fillId="13" borderId="56" xfId="0" applyFont="1" applyFill="1" applyBorder="1" applyAlignment="1" applyProtection="1">
      <alignment horizontal="center" vertical="center" wrapText="1"/>
      <protection locked="0"/>
    </xf>
    <xf numFmtId="0" fontId="25" fillId="13" borderId="57" xfId="0" applyFont="1" applyFill="1" applyBorder="1" applyAlignment="1" applyProtection="1">
      <alignment horizontal="center" vertical="center" wrapText="1"/>
      <protection locked="0"/>
    </xf>
    <xf numFmtId="0" fontId="25" fillId="3" borderId="23" xfId="0" applyFont="1" applyFill="1" applyBorder="1" applyAlignment="1" applyProtection="1">
      <alignment horizontal="center" vertical="center" wrapText="1"/>
      <protection locked="0"/>
    </xf>
    <xf numFmtId="3" fontId="25" fillId="3" borderId="23" xfId="0" applyNumberFormat="1" applyFont="1" applyFill="1" applyBorder="1" applyAlignment="1" applyProtection="1">
      <alignment horizontal="center" vertical="center" wrapText="1"/>
      <protection locked="0"/>
    </xf>
    <xf numFmtId="41" fontId="25" fillId="3" borderId="23" xfId="1" applyFont="1" applyFill="1" applyBorder="1" applyAlignment="1" applyProtection="1">
      <alignment horizontal="center" vertical="center" wrapText="1"/>
      <protection locked="0"/>
    </xf>
    <xf numFmtId="3" fontId="25" fillId="0" borderId="54" xfId="0" applyNumberFormat="1" applyFont="1" applyBorder="1" applyAlignment="1" applyProtection="1">
      <alignment horizontal="center" vertical="center" wrapText="1"/>
      <protection locked="0"/>
    </xf>
    <xf numFmtId="0" fontId="25" fillId="3" borderId="22" xfId="0" applyFont="1" applyFill="1" applyBorder="1" applyAlignment="1" applyProtection="1">
      <alignment horizontal="center" vertical="center" wrapText="1"/>
      <protection locked="0"/>
    </xf>
    <xf numFmtId="3" fontId="25" fillId="3" borderId="22" xfId="0" applyNumberFormat="1" applyFont="1" applyFill="1" applyBorder="1" applyAlignment="1" applyProtection="1">
      <alignment horizontal="center" vertical="center" wrapText="1"/>
      <protection locked="0"/>
    </xf>
    <xf numFmtId="0" fontId="14" fillId="14" borderId="1" xfId="0" applyFont="1" applyFill="1" applyBorder="1" applyAlignment="1">
      <alignment horizontal="center" vertical="center"/>
    </xf>
    <xf numFmtId="0" fontId="19" fillId="14" borderId="25" xfId="0" applyFont="1" applyFill="1" applyBorder="1" applyAlignment="1">
      <alignment horizontal="center" vertical="center"/>
    </xf>
    <xf numFmtId="41" fontId="25" fillId="3" borderId="22" xfId="1" applyFont="1" applyFill="1" applyBorder="1" applyAlignment="1" applyProtection="1">
      <alignment horizontal="center" vertical="center" wrapText="1"/>
      <protection locked="0"/>
    </xf>
    <xf numFmtId="3" fontId="25" fillId="3" borderId="35" xfId="0" applyNumberFormat="1" applyFont="1" applyFill="1" applyBorder="1" applyAlignment="1" applyProtection="1">
      <alignment horizontal="center" vertical="center" wrapText="1"/>
      <protection locked="0"/>
    </xf>
    <xf numFmtId="0" fontId="25" fillId="3" borderId="34" xfId="0" applyFont="1" applyFill="1" applyBorder="1" applyAlignment="1" applyProtection="1">
      <alignment horizontal="center" vertical="center" wrapText="1"/>
      <protection locked="0"/>
    </xf>
    <xf numFmtId="9" fontId="14" fillId="7" borderId="1" xfId="2" applyFont="1" applyFill="1" applyBorder="1" applyAlignment="1">
      <alignment horizontal="center" vertical="center"/>
    </xf>
    <xf numFmtId="0" fontId="25" fillId="3" borderId="1" xfId="0" applyFont="1" applyFill="1" applyBorder="1" applyAlignment="1" applyProtection="1">
      <alignment horizontal="center" vertical="center" wrapText="1"/>
      <protection locked="0"/>
    </xf>
    <xf numFmtId="3" fontId="25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25" fillId="3" borderId="35" xfId="0" applyFont="1" applyFill="1" applyBorder="1" applyAlignment="1" applyProtection="1">
      <alignment horizontal="center" vertical="center" wrapText="1"/>
      <protection locked="0"/>
    </xf>
    <xf numFmtId="3" fontId="25" fillId="6" borderId="35" xfId="0" applyNumberFormat="1" applyFont="1" applyFill="1" applyBorder="1" applyAlignment="1" applyProtection="1">
      <alignment horizontal="center" vertical="center" wrapText="1"/>
      <protection locked="0"/>
    </xf>
    <xf numFmtId="3" fontId="25" fillId="6" borderId="22" xfId="0" applyNumberFormat="1" applyFont="1" applyFill="1" applyBorder="1" applyAlignment="1" applyProtection="1">
      <alignment horizontal="center" vertical="center" wrapText="1"/>
      <protection locked="0"/>
    </xf>
    <xf numFmtId="3" fontId="25" fillId="6" borderId="43" xfId="0" applyNumberFormat="1" applyFont="1" applyFill="1" applyBorder="1" applyAlignment="1" applyProtection="1">
      <alignment horizontal="center" vertical="center" wrapText="1"/>
      <protection locked="0"/>
    </xf>
    <xf numFmtId="0" fontId="25" fillId="3" borderId="1" xfId="0" applyFont="1" applyFill="1" applyBorder="1" applyAlignment="1" applyProtection="1">
      <alignment vertical="center" wrapText="1"/>
      <protection locked="0"/>
    </xf>
    <xf numFmtId="41" fontId="14" fillId="2" borderId="1" xfId="1" applyFont="1" applyFill="1" applyBorder="1" applyAlignment="1" applyProtection="1">
      <alignment horizontal="center" vertical="center"/>
      <protection locked="0"/>
    </xf>
    <xf numFmtId="41" fontId="14" fillId="11" borderId="1" xfId="1" applyFont="1" applyFill="1" applyBorder="1" applyAlignment="1" applyProtection="1">
      <alignment horizontal="center" vertical="center"/>
      <protection locked="0"/>
    </xf>
    <xf numFmtId="10" fontId="14" fillId="7" borderId="1" xfId="2" applyNumberFormat="1" applyFont="1" applyFill="1" applyBorder="1" applyAlignment="1">
      <alignment horizontal="center" vertical="center"/>
    </xf>
    <xf numFmtId="41" fontId="14" fillId="6" borderId="9" xfId="1" applyFont="1" applyFill="1" applyBorder="1" applyAlignment="1">
      <alignment horizontal="center" vertical="center"/>
    </xf>
    <xf numFmtId="10" fontId="14" fillId="6" borderId="9" xfId="2" applyNumberFormat="1" applyFont="1" applyFill="1" applyBorder="1" applyAlignment="1">
      <alignment horizontal="center" vertical="center"/>
    </xf>
    <xf numFmtId="0" fontId="25" fillId="6" borderId="22" xfId="0" applyFont="1" applyFill="1" applyBorder="1" applyAlignment="1" applyProtection="1">
      <alignment horizontal="center" vertical="center" wrapText="1"/>
      <protection locked="0"/>
    </xf>
    <xf numFmtId="3" fontId="25" fillId="0" borderId="44" xfId="0" applyNumberFormat="1" applyFont="1" applyBorder="1" applyAlignment="1" applyProtection="1">
      <alignment horizontal="center" vertical="center" wrapText="1"/>
      <protection locked="0"/>
    </xf>
    <xf numFmtId="3" fontId="25" fillId="0" borderId="60" xfId="0" applyNumberFormat="1" applyFont="1" applyBorder="1" applyAlignment="1" applyProtection="1">
      <alignment horizontal="center" vertical="center" wrapText="1"/>
      <protection locked="0"/>
    </xf>
    <xf numFmtId="0" fontId="23" fillId="0" borderId="0" xfId="0" applyFont="1" applyAlignment="1">
      <alignment horizontal="center" vertical="center"/>
    </xf>
    <xf numFmtId="41" fontId="14" fillId="10" borderId="1" xfId="1" applyFont="1" applyFill="1" applyBorder="1" applyAlignment="1">
      <alignment horizontal="center" vertical="center"/>
    </xf>
    <xf numFmtId="10" fontId="14" fillId="10" borderId="1" xfId="2" applyNumberFormat="1" applyFont="1" applyFill="1" applyBorder="1" applyAlignment="1">
      <alignment horizontal="center" vertical="center"/>
    </xf>
    <xf numFmtId="0" fontId="14" fillId="6" borderId="26" xfId="0" applyFont="1" applyFill="1" applyBorder="1" applyAlignment="1">
      <alignment horizontal="center" vertical="center"/>
    </xf>
    <xf numFmtId="0" fontId="19" fillId="6" borderId="27" xfId="0" applyFont="1" applyFill="1" applyBorder="1" applyAlignment="1">
      <alignment horizontal="center" vertical="center"/>
    </xf>
    <xf numFmtId="0" fontId="25" fillId="3" borderId="35" xfId="0" applyFont="1" applyFill="1" applyBorder="1" applyAlignment="1" applyProtection="1">
      <alignment vertical="center" wrapText="1"/>
      <protection locked="0"/>
    </xf>
    <xf numFmtId="0" fontId="25" fillId="3" borderId="36" xfId="0" applyFont="1" applyFill="1" applyBorder="1" applyAlignment="1" applyProtection="1">
      <alignment vertical="center" wrapText="1"/>
      <protection locked="0"/>
    </xf>
    <xf numFmtId="0" fontId="2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Protection="1">
      <alignment vertical="center"/>
      <protection locked="0"/>
    </xf>
    <xf numFmtId="0" fontId="19" fillId="4" borderId="66" xfId="0" applyFont="1" applyFill="1" applyBorder="1" applyAlignment="1">
      <alignment horizontal="center" vertical="center"/>
    </xf>
    <xf numFmtId="0" fontId="19" fillId="4" borderId="67" xfId="0" applyFont="1" applyFill="1" applyBorder="1" applyAlignment="1">
      <alignment horizontal="center" vertical="center"/>
    </xf>
    <xf numFmtId="0" fontId="19" fillId="4" borderId="68" xfId="0" applyFont="1" applyFill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18" fillId="9" borderId="65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 applyProtection="1">
      <alignment horizontal="center" vertical="center"/>
      <protection locked="0"/>
    </xf>
    <xf numFmtId="0" fontId="19" fillId="4" borderId="64" xfId="0" applyFont="1" applyFill="1" applyBorder="1" applyAlignment="1">
      <alignment horizontal="center" vertical="center"/>
    </xf>
    <xf numFmtId="0" fontId="19" fillId="4" borderId="25" xfId="0" applyFont="1" applyFill="1" applyBorder="1" applyAlignment="1">
      <alignment horizontal="center" vertical="center"/>
    </xf>
    <xf numFmtId="180" fontId="14" fillId="0" borderId="0" xfId="2" applyNumberFormat="1" applyFont="1" applyFill="1" applyBorder="1" applyAlignment="1">
      <alignment horizontal="center" vertical="center"/>
    </xf>
    <xf numFmtId="177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41" fontId="19" fillId="0" borderId="1" xfId="1" applyFont="1" applyFill="1" applyBorder="1" applyAlignment="1">
      <alignment horizontal="center" vertical="center"/>
    </xf>
    <xf numFmtId="41" fontId="19" fillId="0" borderId="1" xfId="0" applyNumberFormat="1" applyFont="1" applyBorder="1" applyAlignment="1">
      <alignment horizontal="center" vertical="center"/>
    </xf>
    <xf numFmtId="181" fontId="19" fillId="0" borderId="1" xfId="0" applyNumberFormat="1" applyFont="1" applyBorder="1" applyAlignment="1">
      <alignment horizontal="center" vertical="center"/>
    </xf>
    <xf numFmtId="41" fontId="19" fillId="0" borderId="1" xfId="1" applyFont="1" applyFill="1" applyBorder="1" applyAlignment="1">
      <alignment horizontal="right" vertical="center"/>
    </xf>
    <xf numFmtId="181" fontId="19" fillId="5" borderId="27" xfId="0" applyNumberFormat="1" applyFont="1" applyFill="1" applyBorder="1" applyAlignment="1">
      <alignment horizontal="center" vertical="center"/>
    </xf>
    <xf numFmtId="181" fontId="14" fillId="5" borderId="0" xfId="2" applyNumberFormat="1" applyFont="1" applyFill="1" applyBorder="1" applyAlignment="1">
      <alignment horizontal="center" vertical="center"/>
    </xf>
    <xf numFmtId="176" fontId="19" fillId="9" borderId="27" xfId="2" applyNumberFormat="1" applyFont="1" applyFill="1" applyBorder="1" applyAlignment="1">
      <alignment horizontal="center" vertical="center"/>
    </xf>
    <xf numFmtId="181" fontId="19" fillId="5" borderId="1" xfId="0" applyNumberFormat="1" applyFont="1" applyFill="1" applyBorder="1" applyAlignment="1">
      <alignment horizontal="center" vertical="center"/>
    </xf>
    <xf numFmtId="41" fontId="19" fillId="5" borderId="1" xfId="1" applyFont="1" applyFill="1" applyBorder="1" applyAlignment="1">
      <alignment horizontal="center" vertical="center"/>
    </xf>
    <xf numFmtId="181" fontId="19" fillId="5" borderId="1" xfId="2" applyNumberFormat="1" applyFont="1" applyFill="1" applyBorder="1" applyAlignment="1">
      <alignment horizontal="center" vertical="center"/>
    </xf>
    <xf numFmtId="0" fontId="19" fillId="14" borderId="1" xfId="0" applyFont="1" applyFill="1" applyBorder="1" applyAlignment="1">
      <alignment horizontal="center" vertical="center"/>
    </xf>
    <xf numFmtId="181" fontId="19" fillId="14" borderId="1" xfId="0" applyNumberFormat="1" applyFont="1" applyFill="1" applyBorder="1" applyAlignment="1">
      <alignment horizontal="center" vertical="center"/>
    </xf>
    <xf numFmtId="41" fontId="19" fillId="14" borderId="1" xfId="1" applyFont="1" applyFill="1" applyBorder="1" applyAlignment="1">
      <alignment horizontal="center" vertical="center"/>
    </xf>
    <xf numFmtId="41" fontId="19" fillId="14" borderId="1" xfId="0" applyNumberFormat="1" applyFont="1" applyFill="1" applyBorder="1" applyAlignment="1">
      <alignment horizontal="center" vertical="center"/>
    </xf>
    <xf numFmtId="181" fontId="19" fillId="14" borderId="1" xfId="2" applyNumberFormat="1" applyFont="1" applyFill="1" applyBorder="1" applyAlignment="1">
      <alignment horizontal="center" vertical="center"/>
    </xf>
    <xf numFmtId="9" fontId="19" fillId="14" borderId="1" xfId="2" applyFont="1" applyFill="1" applyBorder="1" applyAlignment="1">
      <alignment horizontal="center" vertical="center"/>
    </xf>
    <xf numFmtId="0" fontId="0" fillId="17" borderId="1" xfId="0" applyFill="1" applyBorder="1">
      <alignment vertical="center"/>
    </xf>
    <xf numFmtId="0" fontId="0" fillId="0" borderId="0" xfId="0" applyProtection="1">
      <alignment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180" fontId="14" fillId="5" borderId="0" xfId="2" applyNumberFormat="1" applyFont="1" applyFill="1" applyBorder="1" applyAlignment="1" applyProtection="1">
      <alignment horizontal="center" vertical="center"/>
      <protection locked="0"/>
    </xf>
    <xf numFmtId="177" fontId="20" fillId="15" borderId="0" xfId="0" applyNumberFormat="1" applyFont="1" applyFill="1" applyAlignment="1" applyProtection="1">
      <alignment horizontal="center" vertical="center"/>
      <protection locked="0"/>
    </xf>
    <xf numFmtId="0" fontId="20" fillId="15" borderId="0" xfId="0" applyFont="1" applyFill="1" applyAlignment="1" applyProtection="1">
      <alignment horizontal="center" vertical="center"/>
      <protection locked="0"/>
    </xf>
    <xf numFmtId="177" fontId="14" fillId="0" borderId="0" xfId="0" applyNumberFormat="1" applyFont="1" applyProtection="1">
      <alignment vertical="center"/>
      <protection locked="0"/>
    </xf>
    <xf numFmtId="180" fontId="14" fillId="0" borderId="0" xfId="2" applyNumberFormat="1" applyFont="1" applyFill="1" applyBorder="1" applyAlignment="1" applyProtection="1">
      <alignment horizontal="center" vertical="center"/>
      <protection locked="0"/>
    </xf>
    <xf numFmtId="177" fontId="20" fillId="0" borderId="0" xfId="0" applyNumberFormat="1" applyFont="1" applyAlignment="1" applyProtection="1">
      <alignment horizontal="center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36" fillId="0" borderId="0" xfId="0" applyFont="1" applyAlignment="1" applyProtection="1">
      <alignment horizontal="center" vertical="center"/>
      <protection locked="0"/>
    </xf>
    <xf numFmtId="0" fontId="0" fillId="17" borderId="12" xfId="0" applyFill="1" applyBorder="1">
      <alignment vertical="center"/>
    </xf>
    <xf numFmtId="0" fontId="3" fillId="0" borderId="0" xfId="0" applyFont="1">
      <alignment vertical="center"/>
    </xf>
    <xf numFmtId="41" fontId="47" fillId="0" borderId="1" xfId="1" applyFont="1" applyFill="1" applyBorder="1" applyAlignment="1">
      <alignment horizontal="center" vertical="center"/>
    </xf>
    <xf numFmtId="41" fontId="47" fillId="0" borderId="1" xfId="1" applyFont="1" applyFill="1" applyBorder="1" applyAlignment="1">
      <alignment horizontal="left" vertical="center"/>
    </xf>
    <xf numFmtId="9" fontId="25" fillId="3" borderId="23" xfId="0" applyNumberFormat="1" applyFont="1" applyFill="1" applyBorder="1" applyAlignment="1" applyProtection="1">
      <alignment horizontal="center" vertical="center" wrapText="1"/>
      <protection locked="0"/>
    </xf>
    <xf numFmtId="9" fontId="25" fillId="3" borderId="1" xfId="0" applyNumberFormat="1" applyFont="1" applyFill="1" applyBorder="1" applyAlignment="1" applyProtection="1">
      <alignment horizontal="center" vertical="center" wrapText="1"/>
      <protection locked="0"/>
    </xf>
    <xf numFmtId="9" fontId="14" fillId="0" borderId="0" xfId="0" applyNumberFormat="1" applyFont="1">
      <alignment vertical="center"/>
    </xf>
    <xf numFmtId="41" fontId="18" fillId="8" borderId="5" xfId="0" applyNumberFormat="1" applyFont="1" applyFill="1" applyBorder="1" applyAlignment="1">
      <alignment horizontal="center" vertical="center"/>
    </xf>
    <xf numFmtId="41" fontId="18" fillId="8" borderId="6" xfId="0" applyNumberFormat="1" applyFont="1" applyFill="1" applyBorder="1" applyAlignment="1">
      <alignment horizontal="center" vertical="center"/>
    </xf>
    <xf numFmtId="41" fontId="18" fillId="8" borderId="5" xfId="1" applyFont="1" applyFill="1" applyBorder="1" applyAlignment="1" applyProtection="1">
      <alignment horizontal="center" vertical="center"/>
    </xf>
    <xf numFmtId="41" fontId="18" fillId="8" borderId="61" xfId="1" applyFont="1" applyFill="1" applyBorder="1" applyAlignment="1" applyProtection="1">
      <alignment horizontal="center" vertical="center"/>
    </xf>
    <xf numFmtId="41" fontId="18" fillId="8" borderId="6" xfId="1" applyFont="1" applyFill="1" applyBorder="1" applyAlignment="1" applyProtection="1">
      <alignment horizontal="center" vertical="center"/>
    </xf>
    <xf numFmtId="0" fontId="19" fillId="4" borderId="70" xfId="0" applyFont="1" applyFill="1" applyBorder="1" applyAlignment="1">
      <alignment horizontal="center" vertical="center"/>
    </xf>
    <xf numFmtId="0" fontId="19" fillId="4" borderId="71" xfId="0" applyFont="1" applyFill="1" applyBorder="1" applyAlignment="1">
      <alignment horizontal="center" vertical="center"/>
    </xf>
    <xf numFmtId="0" fontId="15" fillId="3" borderId="14" xfId="0" applyFont="1" applyFill="1" applyBorder="1" applyAlignment="1">
      <alignment horizontal="center" vertical="center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9" xfId="0" applyFont="1" applyFill="1" applyBorder="1" applyAlignment="1">
      <alignment horizontal="center" vertical="center"/>
    </xf>
    <xf numFmtId="0" fontId="14" fillId="3" borderId="20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/>
    </xf>
    <xf numFmtId="41" fontId="18" fillId="8" borderId="65" xfId="0" applyNumberFormat="1" applyFont="1" applyFill="1" applyBorder="1" applyAlignment="1">
      <alignment horizontal="center" vertical="center"/>
    </xf>
    <xf numFmtId="0" fontId="18" fillId="8" borderId="5" xfId="0" applyFont="1" applyFill="1" applyBorder="1" applyAlignment="1">
      <alignment horizontal="center" vertical="center"/>
    </xf>
    <xf numFmtId="0" fontId="18" fillId="8" borderId="61" xfId="0" applyFont="1" applyFill="1" applyBorder="1" applyAlignment="1">
      <alignment horizontal="center" vertical="center"/>
    </xf>
    <xf numFmtId="0" fontId="18" fillId="8" borderId="6" xfId="0" applyFont="1" applyFill="1" applyBorder="1" applyAlignment="1">
      <alignment horizontal="center" vertical="center"/>
    </xf>
    <xf numFmtId="0" fontId="19" fillId="4" borderId="66" xfId="0" applyFont="1" applyFill="1" applyBorder="1" applyAlignment="1">
      <alignment horizontal="center" vertical="center"/>
    </xf>
    <xf numFmtId="0" fontId="19" fillId="4" borderId="67" xfId="0" applyFont="1" applyFill="1" applyBorder="1" applyAlignment="1">
      <alignment horizontal="center" vertical="center"/>
    </xf>
    <xf numFmtId="0" fontId="19" fillId="4" borderId="68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19" fillId="4" borderId="62" xfId="0" applyFont="1" applyFill="1" applyBorder="1" applyAlignment="1">
      <alignment horizontal="center" vertical="center"/>
    </xf>
    <xf numFmtId="0" fontId="19" fillId="4" borderId="24" xfId="0" applyFont="1" applyFill="1" applyBorder="1" applyAlignment="1">
      <alignment horizontal="center" vertical="center"/>
    </xf>
    <xf numFmtId="0" fontId="19" fillId="4" borderId="63" xfId="0" applyFont="1" applyFill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46" fillId="3" borderId="14" xfId="0" applyFont="1" applyFill="1" applyBorder="1" applyAlignment="1" applyProtection="1">
      <alignment horizontal="center" vertical="center"/>
      <protection locked="0"/>
    </xf>
    <xf numFmtId="0" fontId="46" fillId="3" borderId="16" xfId="0" applyFont="1" applyFill="1" applyBorder="1" applyAlignment="1" applyProtection="1">
      <alignment horizontal="center" vertical="center"/>
      <protection locked="0"/>
    </xf>
    <xf numFmtId="0" fontId="46" fillId="3" borderId="19" xfId="0" applyFont="1" applyFill="1" applyBorder="1" applyAlignment="1" applyProtection="1">
      <alignment horizontal="center" vertical="center"/>
      <protection locked="0"/>
    </xf>
    <xf numFmtId="0" fontId="46" fillId="3" borderId="21" xfId="0" applyFont="1" applyFill="1" applyBorder="1" applyAlignment="1" applyProtection="1">
      <alignment horizontal="center" vertical="center"/>
      <protection locked="0"/>
    </xf>
    <xf numFmtId="0" fontId="19" fillId="6" borderId="81" xfId="0" applyFont="1" applyFill="1" applyBorder="1" applyAlignment="1">
      <alignment horizontal="center" vertical="center"/>
    </xf>
    <xf numFmtId="0" fontId="19" fillId="6" borderId="82" xfId="0" applyFont="1" applyFill="1" applyBorder="1" applyAlignment="1">
      <alignment horizontal="center" vertical="center"/>
    </xf>
    <xf numFmtId="0" fontId="19" fillId="6" borderId="83" xfId="0" applyFont="1" applyFill="1" applyBorder="1" applyAlignment="1">
      <alignment horizontal="center" vertical="center"/>
    </xf>
    <xf numFmtId="0" fontId="25" fillId="0" borderId="19" xfId="0" applyFont="1" applyBorder="1" applyAlignment="1" applyProtection="1">
      <alignment horizontal="center" vertical="center" wrapText="1"/>
      <protection locked="0"/>
    </xf>
    <xf numFmtId="0" fontId="25" fillId="0" borderId="20" xfId="0" applyFont="1" applyBorder="1" applyAlignment="1" applyProtection="1">
      <alignment horizontal="center" vertical="center" wrapText="1"/>
      <protection locked="0"/>
    </xf>
    <xf numFmtId="0" fontId="19" fillId="8" borderId="14" xfId="0" applyFont="1" applyFill="1" applyBorder="1" applyAlignment="1">
      <alignment horizontal="left" vertical="center" wrapText="1"/>
    </xf>
    <xf numFmtId="0" fontId="19" fillId="8" borderId="15" xfId="0" applyFont="1" applyFill="1" applyBorder="1" applyAlignment="1">
      <alignment horizontal="left" vertical="center" wrapText="1"/>
    </xf>
    <xf numFmtId="0" fontId="19" fillId="8" borderId="16" xfId="0" applyFont="1" applyFill="1" applyBorder="1" applyAlignment="1">
      <alignment horizontal="left" vertical="center" wrapText="1"/>
    </xf>
    <xf numFmtId="0" fontId="19" fillId="8" borderId="17" xfId="0" applyFont="1" applyFill="1" applyBorder="1" applyAlignment="1">
      <alignment horizontal="left" vertical="center" wrapText="1"/>
    </xf>
    <xf numFmtId="0" fontId="19" fillId="8" borderId="0" xfId="0" applyFont="1" applyFill="1" applyAlignment="1">
      <alignment horizontal="left" vertical="center" wrapText="1"/>
    </xf>
    <xf numFmtId="0" fontId="19" fillId="8" borderId="18" xfId="0" applyFont="1" applyFill="1" applyBorder="1" applyAlignment="1">
      <alignment horizontal="left" vertical="center" wrapText="1"/>
    </xf>
    <xf numFmtId="0" fontId="19" fillId="8" borderId="19" xfId="0" applyFont="1" applyFill="1" applyBorder="1" applyAlignment="1">
      <alignment horizontal="left" vertical="center" wrapText="1"/>
    </xf>
    <xf numFmtId="0" fontId="19" fillId="8" borderId="20" xfId="0" applyFont="1" applyFill="1" applyBorder="1" applyAlignment="1">
      <alignment horizontal="left" vertical="center" wrapText="1"/>
    </xf>
    <xf numFmtId="0" fontId="19" fillId="8" borderId="21" xfId="0" applyFont="1" applyFill="1" applyBorder="1" applyAlignment="1">
      <alignment horizontal="left" vertical="center" wrapText="1"/>
    </xf>
    <xf numFmtId="0" fontId="23" fillId="6" borderId="10" xfId="0" applyFont="1" applyFill="1" applyBorder="1" applyAlignment="1">
      <alignment horizontal="center" vertical="center"/>
    </xf>
    <xf numFmtId="0" fontId="23" fillId="6" borderId="58" xfId="0" applyFont="1" applyFill="1" applyBorder="1" applyAlignment="1">
      <alignment horizontal="center" vertical="center"/>
    </xf>
    <xf numFmtId="0" fontId="23" fillId="6" borderId="11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/>
    </xf>
    <xf numFmtId="0" fontId="23" fillId="0" borderId="3" xfId="0" applyFont="1" applyBorder="1">
      <alignment vertical="center"/>
    </xf>
    <xf numFmtId="0" fontId="23" fillId="0" borderId="4" xfId="0" applyFont="1" applyBorder="1">
      <alignment vertical="center"/>
    </xf>
    <xf numFmtId="0" fontId="25" fillId="6" borderId="32" xfId="0" applyFont="1" applyFill="1" applyBorder="1" applyAlignment="1" applyProtection="1">
      <alignment horizontal="center" vertical="center" wrapText="1"/>
      <protection locked="0"/>
    </xf>
    <xf numFmtId="0" fontId="25" fillId="6" borderId="33" xfId="0" applyFont="1" applyFill="1" applyBorder="1" applyAlignment="1" applyProtection="1">
      <alignment horizontal="center" vertical="center" wrapText="1"/>
      <protection locked="0"/>
    </xf>
    <xf numFmtId="0" fontId="19" fillId="0" borderId="3" xfId="0" applyFont="1" applyBorder="1">
      <alignment vertical="center"/>
    </xf>
    <xf numFmtId="0" fontId="19" fillId="0" borderId="4" xfId="0" applyFont="1" applyBorder="1">
      <alignment vertical="center"/>
    </xf>
    <xf numFmtId="0" fontId="25" fillId="0" borderId="1" xfId="0" applyFont="1" applyBorder="1" applyAlignment="1" applyProtection="1">
      <alignment horizontal="center" vertical="center" wrapText="1"/>
      <protection locked="0"/>
    </xf>
    <xf numFmtId="0" fontId="25" fillId="0" borderId="52" xfId="0" applyFont="1" applyBorder="1" applyAlignment="1" applyProtection="1">
      <alignment horizontal="center" vertical="center" wrapText="1"/>
      <protection locked="0"/>
    </xf>
    <xf numFmtId="0" fontId="25" fillId="0" borderId="13" xfId="0" applyFont="1" applyBorder="1" applyAlignment="1" applyProtection="1">
      <alignment horizontal="center" vertical="center" wrapText="1"/>
      <protection locked="0"/>
    </xf>
    <xf numFmtId="0" fontId="25" fillId="0" borderId="53" xfId="0" applyFont="1" applyBorder="1" applyAlignment="1" applyProtection="1">
      <alignment horizontal="center" vertical="center" wrapText="1"/>
      <protection locked="0"/>
    </xf>
    <xf numFmtId="0" fontId="25" fillId="0" borderId="30" xfId="0" applyFont="1" applyBorder="1" applyAlignment="1" applyProtection="1">
      <alignment horizontal="center" vertical="center" wrapText="1"/>
      <protection locked="0"/>
    </xf>
    <xf numFmtId="0" fontId="25" fillId="0" borderId="23" xfId="0" applyFont="1" applyBorder="1" applyAlignment="1" applyProtection="1">
      <alignment horizontal="center" vertical="center" wrapText="1"/>
      <protection locked="0"/>
    </xf>
    <xf numFmtId="0" fontId="19" fillId="6" borderId="3" xfId="0" applyFont="1" applyFill="1" applyBorder="1" applyAlignment="1">
      <alignment horizontal="center" vertical="center"/>
    </xf>
    <xf numFmtId="0" fontId="19" fillId="6" borderId="4" xfId="0" applyFont="1" applyFill="1" applyBorder="1" applyAlignment="1">
      <alignment horizontal="center" vertical="center"/>
    </xf>
    <xf numFmtId="0" fontId="19" fillId="0" borderId="3" xfId="0" applyFont="1" applyBorder="1" applyAlignment="1">
      <alignment horizontal="left" vertical="center"/>
    </xf>
    <xf numFmtId="0" fontId="19" fillId="0" borderId="4" xfId="0" applyFont="1" applyBorder="1" applyAlignment="1">
      <alignment horizontal="left" vertical="center"/>
    </xf>
    <xf numFmtId="0" fontId="23" fillId="0" borderId="1" xfId="0" applyFont="1" applyBorder="1" applyAlignment="1">
      <alignment horizontal="center" vertical="center"/>
    </xf>
    <xf numFmtId="0" fontId="25" fillId="0" borderId="34" xfId="0" applyFont="1" applyBorder="1" applyAlignment="1" applyProtection="1">
      <alignment horizontal="center" vertical="center" wrapText="1"/>
      <protection locked="0"/>
    </xf>
    <xf numFmtId="0" fontId="25" fillId="6" borderId="37" xfId="0" applyFont="1" applyFill="1" applyBorder="1" applyAlignment="1" applyProtection="1">
      <alignment horizontal="center" vertical="center" wrapText="1"/>
      <protection locked="0"/>
    </xf>
    <xf numFmtId="0" fontId="25" fillId="6" borderId="38" xfId="0" applyFont="1" applyFill="1" applyBorder="1" applyAlignment="1" applyProtection="1">
      <alignment horizontal="center" vertical="center" wrapText="1"/>
      <protection locked="0"/>
    </xf>
    <xf numFmtId="0" fontId="25" fillId="13" borderId="40" xfId="0" applyFont="1" applyFill="1" applyBorder="1" applyAlignment="1" applyProtection="1">
      <alignment horizontal="center" vertical="center" wrapText="1"/>
      <protection locked="0"/>
    </xf>
    <xf numFmtId="0" fontId="25" fillId="13" borderId="30" xfId="0" applyFont="1" applyFill="1" applyBorder="1" applyAlignment="1" applyProtection="1">
      <alignment horizontal="center" vertical="center" wrapText="1"/>
      <protection locked="0"/>
    </xf>
    <xf numFmtId="0" fontId="25" fillId="13" borderId="31" xfId="0" applyFont="1" applyFill="1" applyBorder="1" applyAlignment="1" applyProtection="1">
      <alignment horizontal="center" vertical="center" wrapText="1"/>
      <protection locked="0"/>
    </xf>
    <xf numFmtId="0" fontId="25" fillId="13" borderId="41" xfId="0" applyFont="1" applyFill="1" applyBorder="1" applyAlignment="1" applyProtection="1">
      <alignment horizontal="center" vertical="center" wrapText="1"/>
      <protection locked="0"/>
    </xf>
    <xf numFmtId="0" fontId="25" fillId="13" borderId="15" xfId="0" applyFont="1" applyFill="1" applyBorder="1" applyAlignment="1" applyProtection="1">
      <alignment horizontal="center" vertical="center" wrapText="1"/>
      <protection locked="0"/>
    </xf>
    <xf numFmtId="0" fontId="25" fillId="13" borderId="16" xfId="0" applyFont="1" applyFill="1" applyBorder="1" applyAlignment="1" applyProtection="1">
      <alignment horizontal="center" vertical="center" wrapText="1"/>
      <protection locked="0"/>
    </xf>
    <xf numFmtId="0" fontId="25" fillId="13" borderId="32" xfId="0" applyFont="1" applyFill="1" applyBorder="1" applyAlignment="1" applyProtection="1">
      <alignment horizontal="center" vertical="center" wrapText="1"/>
      <protection locked="0"/>
    </xf>
    <xf numFmtId="0" fontId="25" fillId="13" borderId="33" xfId="0" applyFont="1" applyFill="1" applyBorder="1" applyAlignment="1" applyProtection="1">
      <alignment horizontal="center" vertical="center" wrapText="1"/>
      <protection locked="0"/>
    </xf>
    <xf numFmtId="0" fontId="25" fillId="13" borderId="42" xfId="0" applyFont="1" applyFill="1" applyBorder="1" applyAlignment="1" applyProtection="1">
      <alignment horizontal="center" vertical="center" wrapText="1"/>
      <protection locked="0"/>
    </xf>
    <xf numFmtId="0" fontId="18" fillId="0" borderId="72" xfId="0" applyFont="1" applyBorder="1" applyAlignment="1">
      <alignment horizontal="center" vertical="center"/>
    </xf>
    <xf numFmtId="0" fontId="18" fillId="0" borderId="49" xfId="0" applyFont="1" applyBorder="1" applyAlignment="1">
      <alignment horizontal="center" vertical="center"/>
    </xf>
    <xf numFmtId="0" fontId="18" fillId="0" borderId="77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8" fillId="12" borderId="7" xfId="0" applyFont="1" applyFill="1" applyBorder="1" applyAlignment="1">
      <alignment horizontal="center" vertical="center"/>
    </xf>
    <xf numFmtId="0" fontId="8" fillId="12" borderId="12" xfId="0" applyFont="1" applyFill="1" applyBorder="1" applyAlignment="1">
      <alignment horizontal="center" vertical="center"/>
    </xf>
    <xf numFmtId="0" fontId="8" fillId="12" borderId="9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26" fillId="0" borderId="48" xfId="0" applyFont="1" applyBorder="1" applyAlignment="1" applyProtection="1">
      <alignment horizontal="center" vertical="center" wrapText="1"/>
      <protection locked="0"/>
    </xf>
    <xf numFmtId="0" fontId="26" fillId="0" borderId="49" xfId="0" applyFont="1" applyBorder="1" applyAlignment="1" applyProtection="1">
      <alignment horizontal="center" vertical="center" wrapText="1"/>
      <protection locked="0"/>
    </xf>
    <xf numFmtId="0" fontId="26" fillId="0" borderId="50" xfId="0" applyFont="1" applyBorder="1" applyAlignment="1" applyProtection="1">
      <alignment horizontal="center" vertical="center" wrapText="1"/>
      <protection locked="0"/>
    </xf>
    <xf numFmtId="0" fontId="25" fillId="12" borderId="51" xfId="0" applyFont="1" applyFill="1" applyBorder="1" applyAlignment="1" applyProtection="1">
      <alignment horizontal="center" vertical="center" wrapText="1"/>
      <protection locked="0"/>
    </xf>
    <xf numFmtId="0" fontId="25" fillId="12" borderId="12" xfId="0" applyFont="1" applyFill="1" applyBorder="1" applyAlignment="1" applyProtection="1">
      <alignment horizontal="center" vertical="center" wrapText="1"/>
      <protection locked="0"/>
    </xf>
    <xf numFmtId="0" fontId="25" fillId="12" borderId="9" xfId="0" applyFont="1" applyFill="1" applyBorder="1" applyAlignment="1" applyProtection="1">
      <alignment horizontal="center" vertical="center" wrapText="1"/>
      <protection locked="0"/>
    </xf>
    <xf numFmtId="0" fontId="19" fillId="4" borderId="63" xfId="0" applyFont="1" applyFill="1" applyBorder="1" applyAlignment="1">
      <alignment horizontal="center" vertical="center" wrapText="1"/>
    </xf>
    <xf numFmtId="0" fontId="19" fillId="4" borderId="64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25" xfId="0" applyFont="1" applyFill="1" applyBorder="1" applyAlignment="1">
      <alignment horizontal="center" vertical="center" wrapText="1"/>
    </xf>
    <xf numFmtId="0" fontId="25" fillId="13" borderId="14" xfId="0" applyFont="1" applyFill="1" applyBorder="1" applyAlignment="1" applyProtection="1">
      <alignment horizontal="center" vertical="center" wrapText="1"/>
      <protection locked="0"/>
    </xf>
    <xf numFmtId="0" fontId="25" fillId="13" borderId="39" xfId="0" applyFont="1" applyFill="1" applyBorder="1" applyAlignment="1" applyProtection="1">
      <alignment horizontal="center" vertical="center" wrapText="1"/>
      <protection locked="0"/>
    </xf>
    <xf numFmtId="0" fontId="25" fillId="13" borderId="17" xfId="0" applyFont="1" applyFill="1" applyBorder="1" applyAlignment="1" applyProtection="1">
      <alignment horizontal="center" vertical="center" wrapText="1"/>
      <protection locked="0"/>
    </xf>
    <xf numFmtId="0" fontId="25" fillId="13" borderId="0" xfId="0" applyFont="1" applyFill="1" applyAlignment="1" applyProtection="1">
      <alignment horizontal="center" vertical="center" wrapText="1"/>
      <protection locked="0"/>
    </xf>
    <xf numFmtId="0" fontId="25" fillId="13" borderId="29" xfId="0" applyFont="1" applyFill="1" applyBorder="1" applyAlignment="1" applyProtection="1">
      <alignment horizontal="center" vertical="center" wrapText="1"/>
      <protection locked="0"/>
    </xf>
    <xf numFmtId="0" fontId="25" fillId="13" borderId="45" xfId="0" applyFont="1" applyFill="1" applyBorder="1" applyAlignment="1" applyProtection="1">
      <alignment horizontal="center" vertical="center" wrapText="1"/>
      <protection locked="0"/>
    </xf>
    <xf numFmtId="0" fontId="25" fillId="13" borderId="46" xfId="0" applyFont="1" applyFill="1" applyBorder="1" applyAlignment="1" applyProtection="1">
      <alignment horizontal="center" vertical="center" wrapText="1"/>
      <protection locked="0"/>
    </xf>
    <xf numFmtId="0" fontId="25" fillId="13" borderId="47" xfId="0" applyFont="1" applyFill="1" applyBorder="1" applyAlignment="1" applyProtection="1">
      <alignment horizontal="center" vertical="center" wrapText="1"/>
      <protection locked="0"/>
    </xf>
    <xf numFmtId="0" fontId="25" fillId="13" borderId="55" xfId="0" applyFont="1" applyFill="1" applyBorder="1" applyAlignment="1" applyProtection="1">
      <alignment horizontal="center" vertical="center" wrapText="1"/>
      <protection locked="0"/>
    </xf>
    <xf numFmtId="0" fontId="19" fillId="6" borderId="1" xfId="0" applyFont="1" applyFill="1" applyBorder="1" applyAlignment="1">
      <alignment horizontal="center" vertical="center"/>
    </xf>
    <xf numFmtId="0" fontId="19" fillId="4" borderId="74" xfId="0" applyFont="1" applyFill="1" applyBorder="1" applyAlignment="1">
      <alignment horizontal="center" vertical="center"/>
    </xf>
    <xf numFmtId="0" fontId="19" fillId="4" borderId="77" xfId="0" applyFont="1" applyFill="1" applyBorder="1" applyAlignment="1">
      <alignment horizontal="center" vertical="center"/>
    </xf>
    <xf numFmtId="0" fontId="19" fillId="4" borderId="69" xfId="0" applyFont="1" applyFill="1" applyBorder="1" applyAlignment="1">
      <alignment horizontal="center" vertical="center"/>
    </xf>
    <xf numFmtId="0" fontId="19" fillId="4" borderId="9" xfId="0" applyFont="1" applyFill="1" applyBorder="1" applyAlignment="1">
      <alignment horizontal="center" vertical="center"/>
    </xf>
    <xf numFmtId="0" fontId="19" fillId="4" borderId="75" xfId="0" applyFont="1" applyFill="1" applyBorder="1" applyAlignment="1">
      <alignment horizontal="center" vertical="center"/>
    </xf>
    <xf numFmtId="0" fontId="19" fillId="4" borderId="76" xfId="0" applyFont="1" applyFill="1" applyBorder="1" applyAlignment="1">
      <alignment horizontal="center" vertical="center"/>
    </xf>
    <xf numFmtId="0" fontId="19" fillId="4" borderId="10" xfId="0" applyFont="1" applyFill="1" applyBorder="1" applyAlignment="1">
      <alignment horizontal="center" vertical="center"/>
    </xf>
    <xf numFmtId="0" fontId="19" fillId="4" borderId="11" xfId="0" applyFont="1" applyFill="1" applyBorder="1" applyAlignment="1">
      <alignment horizontal="center" vertical="center"/>
    </xf>
    <xf numFmtId="0" fontId="23" fillId="0" borderId="3" xfId="0" applyFont="1" applyBorder="1" applyAlignment="1">
      <alignment horizontal="left" vertical="center"/>
    </xf>
    <xf numFmtId="0" fontId="23" fillId="0" borderId="4" xfId="0" applyFont="1" applyBorder="1" applyAlignment="1">
      <alignment horizontal="left" vertical="center"/>
    </xf>
    <xf numFmtId="0" fontId="25" fillId="6" borderId="1" xfId="0" applyFont="1" applyFill="1" applyBorder="1" applyAlignment="1" applyProtection="1">
      <alignment horizontal="center" vertical="center" wrapText="1"/>
      <protection locked="0"/>
    </xf>
    <xf numFmtId="0" fontId="19" fillId="6" borderId="10" xfId="0" applyFont="1" applyFill="1" applyBorder="1" applyAlignment="1">
      <alignment horizontal="center" vertical="center"/>
    </xf>
    <xf numFmtId="0" fontId="19" fillId="6" borderId="58" xfId="0" applyFont="1" applyFill="1" applyBorder="1" applyAlignment="1">
      <alignment horizontal="center" vertical="center"/>
    </xf>
    <xf numFmtId="0" fontId="19" fillId="6" borderId="1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/>
    </xf>
    <xf numFmtId="0" fontId="19" fillId="0" borderId="1" xfId="0" applyFont="1" applyBorder="1">
      <alignment vertical="center"/>
    </xf>
    <xf numFmtId="0" fontId="20" fillId="0" borderId="17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3" fillId="11" borderId="3" xfId="0" applyFont="1" applyFill="1" applyBorder="1" applyAlignment="1">
      <alignment horizontal="center" vertical="center"/>
    </xf>
    <xf numFmtId="0" fontId="23" fillId="11" borderId="4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40" fillId="0" borderId="5" xfId="0" applyFont="1" applyBorder="1" applyAlignment="1">
      <alignment horizontal="left" vertical="center"/>
    </xf>
    <xf numFmtId="0" fontId="40" fillId="0" borderId="61" xfId="0" applyFont="1" applyBorder="1" applyAlignment="1">
      <alignment horizontal="left" vertical="center"/>
    </xf>
    <xf numFmtId="0" fontId="40" fillId="0" borderId="6" xfId="0" applyFont="1" applyBorder="1" applyAlignment="1">
      <alignment horizontal="left" vertical="center"/>
    </xf>
    <xf numFmtId="0" fontId="21" fillId="0" borderId="5" xfId="0" applyFont="1" applyBorder="1" applyAlignment="1" applyProtection="1">
      <alignment horizontal="left" vertical="center"/>
      <protection locked="0"/>
    </xf>
    <xf numFmtId="0" fontId="21" fillId="0" borderId="61" xfId="0" applyFont="1" applyBorder="1" applyAlignment="1" applyProtection="1">
      <alignment horizontal="left" vertical="center"/>
      <protection locked="0"/>
    </xf>
    <xf numFmtId="0" fontId="21" fillId="0" borderId="6" xfId="0" applyFont="1" applyBorder="1" applyAlignment="1" applyProtection="1">
      <alignment horizontal="left" vertical="center"/>
      <protection locked="0"/>
    </xf>
    <xf numFmtId="0" fontId="19" fillId="4" borderId="75" xfId="0" applyFont="1" applyFill="1" applyBorder="1" applyAlignment="1">
      <alignment horizontal="center" vertical="center" wrapText="1"/>
    </xf>
    <xf numFmtId="0" fontId="19" fillId="4" borderId="16" xfId="0" applyFont="1" applyFill="1" applyBorder="1" applyAlignment="1">
      <alignment horizontal="center" vertical="center" wrapText="1"/>
    </xf>
    <xf numFmtId="0" fontId="19" fillId="4" borderId="10" xfId="0" applyFont="1" applyFill="1" applyBorder="1" applyAlignment="1">
      <alignment horizontal="center" vertical="center" wrapText="1"/>
    </xf>
    <xf numFmtId="0" fontId="19" fillId="4" borderId="78" xfId="0" applyFont="1" applyFill="1" applyBorder="1" applyAlignment="1">
      <alignment horizontal="center" vertical="center" wrapText="1"/>
    </xf>
    <xf numFmtId="0" fontId="18" fillId="0" borderId="80" xfId="0" applyFont="1" applyBorder="1" applyAlignment="1">
      <alignment horizontal="center" vertical="center"/>
    </xf>
    <xf numFmtId="41" fontId="19" fillId="12" borderId="7" xfId="0" applyNumberFormat="1" applyFont="1" applyFill="1" applyBorder="1" applyAlignment="1">
      <alignment horizontal="center" vertical="center"/>
    </xf>
    <xf numFmtId="0" fontId="19" fillId="12" borderId="12" xfId="0" applyFont="1" applyFill="1" applyBorder="1" applyAlignment="1">
      <alignment horizontal="center" vertical="center"/>
    </xf>
    <xf numFmtId="0" fontId="19" fillId="12" borderId="9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horizontal="center" vertical="center"/>
    </xf>
    <xf numFmtId="0" fontId="19" fillId="11" borderId="13" xfId="0" applyFont="1" applyFill="1" applyBorder="1" applyAlignment="1">
      <alignment horizontal="center" vertical="center"/>
    </xf>
    <xf numFmtId="0" fontId="19" fillId="11" borderId="79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5" fillId="17" borderId="14" xfId="0" applyFont="1" applyFill="1" applyBorder="1" applyAlignment="1">
      <alignment horizontal="center" vertical="center"/>
    </xf>
    <xf numFmtId="0" fontId="35" fillId="17" borderId="15" xfId="0" applyFont="1" applyFill="1" applyBorder="1" applyAlignment="1">
      <alignment horizontal="center" vertical="center"/>
    </xf>
    <xf numFmtId="0" fontId="35" fillId="17" borderId="16" xfId="0" applyFont="1" applyFill="1" applyBorder="1" applyAlignment="1">
      <alignment horizontal="center" vertical="center"/>
    </xf>
    <xf numFmtId="0" fontId="35" fillId="17" borderId="19" xfId="0" applyFont="1" applyFill="1" applyBorder="1" applyAlignment="1">
      <alignment horizontal="center" vertical="center"/>
    </xf>
    <xf numFmtId="0" fontId="35" fillId="17" borderId="20" xfId="0" applyFont="1" applyFill="1" applyBorder="1" applyAlignment="1">
      <alignment horizontal="center" vertical="center"/>
    </xf>
    <xf numFmtId="0" fontId="35" fillId="17" borderId="21" xfId="0" applyFont="1" applyFill="1" applyBorder="1" applyAlignment="1">
      <alignment horizontal="center" vertical="center"/>
    </xf>
    <xf numFmtId="0" fontId="21" fillId="0" borderId="5" xfId="0" applyFont="1" applyBorder="1" applyAlignment="1">
      <alignment horizontal="left" vertical="center"/>
    </xf>
    <xf numFmtId="0" fontId="21" fillId="0" borderId="6" xfId="0" applyFont="1" applyBorder="1" applyAlignment="1">
      <alignment horizontal="left" vertical="center"/>
    </xf>
    <xf numFmtId="0" fontId="19" fillId="4" borderId="1" xfId="0" applyFont="1" applyFill="1" applyBorder="1" applyAlignment="1">
      <alignment horizontal="center" vertical="center"/>
    </xf>
    <xf numFmtId="0" fontId="19" fillId="4" borderId="69" xfId="0" applyFont="1" applyFill="1" applyBorder="1" applyAlignment="1">
      <alignment horizontal="center" vertical="center" wrapText="1"/>
    </xf>
    <xf numFmtId="0" fontId="19" fillId="4" borderId="9" xfId="0" applyFont="1" applyFill="1" applyBorder="1" applyAlignment="1">
      <alignment horizontal="center" vertical="center" wrapText="1"/>
    </xf>
    <xf numFmtId="0" fontId="19" fillId="4" borderId="70" xfId="0" applyFont="1" applyFill="1" applyBorder="1" applyAlignment="1">
      <alignment horizontal="center" vertical="center" wrapText="1"/>
    </xf>
    <xf numFmtId="0" fontId="19" fillId="4" borderId="71" xfId="0" applyFont="1" applyFill="1" applyBorder="1" applyAlignment="1">
      <alignment horizontal="center" vertical="center" wrapText="1"/>
    </xf>
    <xf numFmtId="0" fontId="19" fillId="0" borderId="2" xfId="0" applyFont="1" applyBorder="1">
      <alignment vertical="center"/>
    </xf>
    <xf numFmtId="0" fontId="35" fillId="17" borderId="84" xfId="0" applyFont="1" applyFill="1" applyBorder="1" applyAlignment="1">
      <alignment horizontal="center" vertical="center"/>
    </xf>
    <xf numFmtId="0" fontId="35" fillId="17" borderId="85" xfId="0" applyFont="1" applyFill="1" applyBorder="1" applyAlignment="1">
      <alignment horizontal="center" vertical="center"/>
    </xf>
    <xf numFmtId="0" fontId="35" fillId="17" borderId="86" xfId="0" applyFont="1" applyFill="1" applyBorder="1" applyAlignment="1">
      <alignment horizontal="center" vertical="center"/>
    </xf>
    <xf numFmtId="0" fontId="35" fillId="17" borderId="87" xfId="0" applyFont="1" applyFill="1" applyBorder="1" applyAlignment="1">
      <alignment horizontal="center" vertical="center"/>
    </xf>
    <xf numFmtId="0" fontId="35" fillId="17" borderId="88" xfId="0" applyFont="1" applyFill="1" applyBorder="1" applyAlignment="1">
      <alignment horizontal="center" vertical="center"/>
    </xf>
    <xf numFmtId="0" fontId="35" fillId="17" borderId="89" xfId="0" applyFont="1" applyFill="1" applyBorder="1" applyAlignment="1">
      <alignment horizontal="center" vertical="center"/>
    </xf>
    <xf numFmtId="9" fontId="25" fillId="3" borderId="22" xfId="0" applyNumberFormat="1" applyFont="1" applyFill="1" applyBorder="1" applyAlignment="1" applyProtection="1">
      <alignment horizontal="center" vertical="center" wrapText="1"/>
      <protection locked="0"/>
    </xf>
  </cellXfs>
  <cellStyles count="12">
    <cellStyle name="백분율" xfId="2" builtinId="5"/>
    <cellStyle name="쉼표 [0]" xfId="1" builtinId="6"/>
    <cellStyle name="쉼표 [0] 2" xfId="9" xr:uid="{00000000-0005-0000-0000-000033000000}"/>
    <cellStyle name="쉼표 [0] 2 2" xfId="10" xr:uid="{00000000-0005-0000-0000-000001000000}"/>
    <cellStyle name="쉼표 [0] 3" xfId="3" xr:uid="{00000000-0005-0000-0000-000002000000}"/>
    <cellStyle name="표준" xfId="0" builtinId="0"/>
    <cellStyle name="표준 10" xfId="5" xr:uid="{00000000-0005-0000-0000-000004000000}"/>
    <cellStyle name="표준 19" xfId="6" xr:uid="{00000000-0005-0000-0000-000005000000}"/>
    <cellStyle name="표준 2" xfId="8" xr:uid="{00000000-0005-0000-0000-000004000000}"/>
    <cellStyle name="표준 2 2 2" xfId="11" xr:uid="{49EEB75A-D984-4320-8057-EB17B12B0565}"/>
    <cellStyle name="표준 2 2 2 2" xfId="4" xr:uid="{00000000-0005-0000-0000-000006000000}"/>
    <cellStyle name="표준 23" xfId="7" xr:uid="{00000000-0005-0000-0000-000005000000}"/>
  </cellStyles>
  <dxfs count="0"/>
  <tableStyles count="0" defaultTableStyle="TableStyleMedium9" defaultPivotStyle="PivotStyleLight16"/>
  <colors>
    <mruColors>
      <color rgb="FF0000CC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</sheetPr>
  <dimension ref="A1:AF27"/>
  <sheetViews>
    <sheetView topLeftCell="A10" zoomScale="85" zoomScaleNormal="85" workbookViewId="0">
      <selection activeCell="G6" sqref="G6"/>
    </sheetView>
  </sheetViews>
  <sheetFormatPr defaultColWidth="9" defaultRowHeight="13.5" x14ac:dyDescent="0.3"/>
  <cols>
    <col min="1" max="1" width="1" style="2" customWidth="1"/>
    <col min="2" max="2" width="17.125" style="1" customWidth="1"/>
    <col min="3" max="3" width="25.625" style="1" customWidth="1"/>
    <col min="4" max="5" width="25.5" style="1" customWidth="1"/>
    <col min="6" max="6" width="33.5" style="1" customWidth="1"/>
    <col min="7" max="7" width="33.375" style="1" customWidth="1"/>
    <col min="8" max="8" width="37.875" style="1" customWidth="1"/>
    <col min="9" max="9" width="16.5" style="1" bestFit="1" customWidth="1"/>
    <col min="10" max="10" width="15" style="1" customWidth="1"/>
    <col min="11" max="11" width="10.625" style="1" customWidth="1"/>
    <col min="12" max="12" width="15" style="1" customWidth="1"/>
    <col min="13" max="13" width="13.625" style="1" customWidth="1"/>
    <col min="14" max="14" width="9.875" style="1" customWidth="1"/>
    <col min="15" max="15" width="12.5" style="1" customWidth="1"/>
    <col min="16" max="17" width="4" style="2" customWidth="1"/>
    <col min="18" max="20" width="9" style="3"/>
    <col min="21" max="21" width="17.125" style="3" customWidth="1"/>
    <col min="22" max="23" width="9" style="3"/>
    <col min="24" max="24" width="12.5" style="3" customWidth="1"/>
    <col min="25" max="27" width="12" style="3" customWidth="1"/>
    <col min="28" max="29" width="9" style="3"/>
    <col min="30" max="30" width="10" style="3" customWidth="1"/>
    <col min="31" max="31" width="17.5" style="2" bestFit="1" customWidth="1"/>
    <col min="32" max="32" width="11.5" style="2" bestFit="1" customWidth="1"/>
    <col min="33" max="16384" width="9" style="2"/>
  </cols>
  <sheetData>
    <row r="1" spans="1:32" ht="14.25" thickBot="1" x14ac:dyDescent="0.35"/>
    <row r="2" spans="1:32" ht="44.25" customHeight="1" x14ac:dyDescent="0.3">
      <c r="C2" s="179" t="s">
        <v>0</v>
      </c>
      <c r="D2" s="180"/>
      <c r="E2" s="181"/>
      <c r="F2" s="198" t="s">
        <v>1</v>
      </c>
      <c r="G2" s="200">
        <v>7228602927</v>
      </c>
      <c r="H2" s="201"/>
      <c r="I2" s="136" t="s">
        <v>2</v>
      </c>
      <c r="K2" s="4"/>
      <c r="L2" s="5"/>
      <c r="M2" s="5"/>
      <c r="N2" s="6"/>
      <c r="O2" s="5"/>
      <c r="P2" s="5"/>
      <c r="Q2" s="5"/>
      <c r="R2" s="6"/>
    </row>
    <row r="3" spans="1:32" ht="27" thickBot="1" x14ac:dyDescent="0.35">
      <c r="C3" s="182"/>
      <c r="D3" s="183"/>
      <c r="E3" s="184"/>
      <c r="F3" s="199"/>
      <c r="G3" s="202"/>
      <c r="H3" s="203"/>
      <c r="I3"/>
      <c r="J3" s="129"/>
      <c r="K3" s="129"/>
      <c r="L3" s="129"/>
      <c r="M3" s="129"/>
      <c r="N3" s="164"/>
      <c r="O3" s="5"/>
      <c r="P3" s="5"/>
      <c r="Q3" s="5"/>
      <c r="R3" s="5"/>
    </row>
    <row r="4" spans="1:32" ht="27" thickBot="1" x14ac:dyDescent="0.35">
      <c r="B4" s="7" t="s">
        <v>3</v>
      </c>
      <c r="C4" s="185" t="str">
        <f>IFERROR(VLOOKUP(G2,Sheet2!$A$2:$G$556,2,0),"자동입력")</f>
        <v>RS-2024-00443036</v>
      </c>
      <c r="D4" s="186"/>
      <c r="E4" s="7" t="s">
        <v>4</v>
      </c>
      <c r="F4" s="186" t="str">
        <f>IFERROR(VLOOKUP(G2,Sheet2!$A$2:$G$556,3,0),"자동입력")</f>
        <v>젝사젠 주식회사</v>
      </c>
      <c r="G4" s="187"/>
      <c r="H4" s="188"/>
      <c r="J4" s="129"/>
      <c r="K4" s="129"/>
      <c r="L4" s="129"/>
      <c r="M4" s="129"/>
      <c r="N4" s="164"/>
      <c r="P4" s="1"/>
      <c r="Q4" s="1"/>
      <c r="R4" s="2"/>
    </row>
    <row r="5" spans="1:32" ht="38.25" customHeight="1" thickBot="1" x14ac:dyDescent="0.35">
      <c r="B5" s="7" t="s">
        <v>5</v>
      </c>
      <c r="C5" s="172" t="str">
        <f>IFERROR(VLOOKUP(G2,Sheet2!$A$2:$G$556,4,0),"자동입력")</f>
        <v>2024-08-22(목) 10:00</v>
      </c>
      <c r="D5" s="173"/>
      <c r="E5" s="130" t="s">
        <v>6</v>
      </c>
      <c r="F5" s="174">
        <f>IFERROR(VLOOKUP(G2,Sheet2!$A$2:$G$556,7,0),"자동입력")</f>
        <v>120000</v>
      </c>
      <c r="G5" s="175"/>
      <c r="H5" s="176"/>
      <c r="J5" s="129"/>
      <c r="K5" s="129"/>
      <c r="L5" s="129"/>
      <c r="M5" s="129"/>
      <c r="N5" s="164"/>
      <c r="P5" s="1"/>
      <c r="Q5" s="1"/>
      <c r="R5" s="2"/>
    </row>
    <row r="6" spans="1:32" customFormat="1" ht="30" customHeight="1" thickBot="1" x14ac:dyDescent="0.35">
      <c r="B6" s="155"/>
      <c r="C6" s="155"/>
      <c r="D6" s="155"/>
      <c r="E6" s="155"/>
      <c r="F6" s="155"/>
      <c r="G6" s="155"/>
      <c r="H6" s="155"/>
      <c r="I6" s="155"/>
      <c r="J6" s="155"/>
      <c r="K6" s="155"/>
      <c r="L6" s="155"/>
      <c r="M6" s="155"/>
      <c r="N6" s="155"/>
    </row>
    <row r="7" spans="1:32" ht="14.1" customHeight="1" thickBot="1" x14ac:dyDescent="0.35">
      <c r="B7" s="192" t="s">
        <v>7</v>
      </c>
      <c r="C7" s="193"/>
      <c r="E7" s="194" t="s">
        <v>8</v>
      </c>
      <c r="F7" s="194"/>
      <c r="G7" s="2"/>
      <c r="H7" s="194" t="s">
        <v>9</v>
      </c>
      <c r="I7" s="194"/>
      <c r="N7" s="156"/>
    </row>
    <row r="8" spans="1:32" ht="14.1" customHeight="1" thickBot="1" x14ac:dyDescent="0.35">
      <c r="M8" s="8" t="s">
        <v>10</v>
      </c>
      <c r="N8" s="156"/>
    </row>
    <row r="9" spans="1:32" ht="14.1" customHeight="1" x14ac:dyDescent="0.3">
      <c r="B9" s="195" t="s">
        <v>11</v>
      </c>
      <c r="C9" s="197" t="s">
        <v>12</v>
      </c>
      <c r="D9" s="197"/>
      <c r="E9" s="189" t="s">
        <v>13</v>
      </c>
      <c r="F9" s="190"/>
      <c r="G9" s="191"/>
      <c r="H9" s="9"/>
      <c r="I9" s="189" t="s">
        <v>14</v>
      </c>
      <c r="J9" s="190"/>
      <c r="K9" s="190"/>
      <c r="L9" s="191"/>
      <c r="M9" s="177" t="s">
        <v>15</v>
      </c>
      <c r="N9" s="3"/>
      <c r="O9" s="2"/>
    </row>
    <row r="10" spans="1:32" s="3" customFormat="1" ht="13.5" customHeight="1" x14ac:dyDescent="0.3">
      <c r="A10" s="2"/>
      <c r="B10" s="196"/>
      <c r="C10" s="10" t="s">
        <v>16</v>
      </c>
      <c r="D10" s="10" t="s">
        <v>17</v>
      </c>
      <c r="E10" s="10" t="s">
        <v>16</v>
      </c>
      <c r="F10" s="10" t="s">
        <v>17</v>
      </c>
      <c r="G10" s="10" t="s">
        <v>18</v>
      </c>
      <c r="H10" s="10" t="s">
        <v>19</v>
      </c>
      <c r="I10" s="10" t="s">
        <v>16</v>
      </c>
      <c r="J10" s="10" t="s">
        <v>17</v>
      </c>
      <c r="K10" s="10" t="s">
        <v>18</v>
      </c>
      <c r="L10" s="10" t="s">
        <v>17</v>
      </c>
      <c r="M10" s="178"/>
      <c r="O10" s="2"/>
      <c r="P10" s="2"/>
      <c r="Q10" s="2"/>
      <c r="AE10" s="2"/>
      <c r="AF10" s="2"/>
    </row>
    <row r="11" spans="1:32" s="3" customFormat="1" ht="13.5" customHeight="1" x14ac:dyDescent="0.3">
      <c r="A11" s="2"/>
      <c r="B11" s="137" t="s">
        <v>20</v>
      </c>
      <c r="C11" s="141">
        <f>C13/2</f>
        <v>60000</v>
      </c>
      <c r="D11" s="145">
        <f t="shared" ref="D11:D12" si="0">IFERROR(C11/M11*100,"")</f>
        <v>75</v>
      </c>
      <c r="E11" s="138">
        <f>E13/2</f>
        <v>2000</v>
      </c>
      <c r="F11" s="140">
        <f t="shared" ref="F11:F12" si="1">IFERROR(E11/(E11+G11)*100,"")</f>
        <v>10</v>
      </c>
      <c r="G11" s="146">
        <f>G13/2</f>
        <v>18000</v>
      </c>
      <c r="H11" s="139">
        <f t="shared" ref="H11:H12" si="2">E11+G11</f>
        <v>20000</v>
      </c>
      <c r="I11" s="138">
        <f>C11+E11</f>
        <v>62000</v>
      </c>
      <c r="J11" s="147">
        <f>IFERROR(I11/M11,"")</f>
        <v>0.77500000000000002</v>
      </c>
      <c r="K11" s="138">
        <f>G11</f>
        <v>18000</v>
      </c>
      <c r="L11" s="147">
        <f>IFERROR(K11/M11,"")</f>
        <v>0.22500000000000001</v>
      </c>
      <c r="M11" s="138">
        <f>I11+K11</f>
        <v>80000</v>
      </c>
      <c r="O11" s="2"/>
      <c r="P11" s="2"/>
      <c r="Q11" s="2"/>
      <c r="AE11" s="2"/>
      <c r="AF11" s="2"/>
    </row>
    <row r="12" spans="1:32" s="3" customFormat="1" ht="13.5" customHeight="1" x14ac:dyDescent="0.3">
      <c r="A12" s="2"/>
      <c r="B12" s="137" t="s">
        <v>21</v>
      </c>
      <c r="C12" s="141">
        <f>C13/2</f>
        <v>60000</v>
      </c>
      <c r="D12" s="145">
        <f t="shared" si="0"/>
        <v>75</v>
      </c>
      <c r="E12" s="138">
        <f>E13/2</f>
        <v>2000</v>
      </c>
      <c r="F12" s="140">
        <f t="shared" si="1"/>
        <v>10</v>
      </c>
      <c r="G12" s="146">
        <f>G13/2</f>
        <v>18000</v>
      </c>
      <c r="H12" s="139">
        <f t="shared" si="2"/>
        <v>20000</v>
      </c>
      <c r="I12" s="138">
        <f>C12+E12</f>
        <v>62000</v>
      </c>
      <c r="J12" s="147">
        <f>IFERROR(I12/M12,"")</f>
        <v>0.77500000000000002</v>
      </c>
      <c r="K12" s="138">
        <f>G12</f>
        <v>18000</v>
      </c>
      <c r="L12" s="147">
        <f>IFERROR(K12/M12,"")</f>
        <v>0.22500000000000001</v>
      </c>
      <c r="M12" s="138">
        <f>I12+K12</f>
        <v>80000</v>
      </c>
      <c r="O12" s="2"/>
      <c r="P12" s="2"/>
      <c r="Q12" s="2"/>
      <c r="AE12" s="2"/>
      <c r="AF12" s="2"/>
    </row>
    <row r="13" spans="1:32" s="3" customFormat="1" ht="14.1" customHeight="1" x14ac:dyDescent="0.3">
      <c r="A13" s="2"/>
      <c r="B13" s="148" t="s">
        <v>15</v>
      </c>
      <c r="C13" s="150">
        <f>F5</f>
        <v>120000</v>
      </c>
      <c r="D13" s="149">
        <f>IFERROR(C13/M13*100,"")</f>
        <v>75</v>
      </c>
      <c r="E13" s="150">
        <f>ROUNDUP(C13/3*0.1,0)</f>
        <v>4000</v>
      </c>
      <c r="F13" s="149">
        <f>IFERROR(E13/(E13+G13)*100,"")</f>
        <v>10</v>
      </c>
      <c r="G13" s="150">
        <f>C13/3*0.9</f>
        <v>36000</v>
      </c>
      <c r="H13" s="151">
        <f>E13+G13</f>
        <v>40000</v>
      </c>
      <c r="I13" s="150">
        <f>C13+E13</f>
        <v>124000</v>
      </c>
      <c r="J13" s="152">
        <f>IFERROR(I13/M13,"")</f>
        <v>0.77500000000000002</v>
      </c>
      <c r="K13" s="150">
        <f>G13</f>
        <v>36000</v>
      </c>
      <c r="L13" s="153">
        <f>IFERROR(K13/M13,"")</f>
        <v>0.22500000000000001</v>
      </c>
      <c r="M13" s="150">
        <f>I13+K13</f>
        <v>160000</v>
      </c>
      <c r="O13" s="2"/>
      <c r="P13" s="2"/>
      <c r="Q13" s="2"/>
      <c r="AE13" s="2"/>
      <c r="AF13" s="2"/>
    </row>
    <row r="14" spans="1:32" s="3" customFormat="1" ht="14.25" customHeight="1" x14ac:dyDescent="0.3">
      <c r="A14" s="2"/>
      <c r="B14" s="156"/>
      <c r="C14" s="156"/>
      <c r="D14" s="156"/>
      <c r="E14" s="156"/>
      <c r="F14" s="157">
        <f>IFERROR((E13+G13)/M13,"")</f>
        <v>0.25</v>
      </c>
      <c r="G14" s="158" t="str">
        <f>IF(F13&gt;=10,"적절","부적절")</f>
        <v>적절</v>
      </c>
      <c r="H14" s="159" t="str">
        <f>IF(((E13+G13)/(C13+E13+G13))&lt;0.25,"기관부담연구개발비 부족","적절")</f>
        <v>적절</v>
      </c>
      <c r="I14" s="156"/>
      <c r="J14" s="156"/>
      <c r="K14" s="156"/>
      <c r="L14" s="156"/>
      <c r="M14" s="160"/>
      <c r="O14" s="2"/>
      <c r="P14" s="2"/>
      <c r="Q14" s="2"/>
      <c r="AE14" s="2"/>
      <c r="AF14" s="2"/>
    </row>
    <row r="15" spans="1:32" s="3" customFormat="1" ht="14.25" customHeight="1" x14ac:dyDescent="0.3">
      <c r="A15" s="2"/>
      <c r="B15" s="156"/>
      <c r="C15" s="156"/>
      <c r="D15" s="156"/>
      <c r="E15" s="156"/>
      <c r="F15" s="161"/>
      <c r="G15" s="162"/>
      <c r="H15" s="163"/>
      <c r="I15" s="156"/>
      <c r="J15" s="156"/>
      <c r="K15" s="156"/>
      <c r="L15" s="156"/>
      <c r="M15" s="160"/>
      <c r="O15" s="2"/>
      <c r="P15" s="2"/>
      <c r="Q15" s="2"/>
      <c r="AE15" s="2"/>
      <c r="AF15" s="2"/>
    </row>
    <row r="16" spans="1:32" x14ac:dyDescent="0.3"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</row>
    <row r="17" spans="2:14" x14ac:dyDescent="0.3"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</row>
    <row r="18" spans="2:14" x14ac:dyDescent="0.3"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</row>
    <row r="19" spans="2:14" x14ac:dyDescent="0.3"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</row>
    <row r="20" spans="2:14" x14ac:dyDescent="0.3"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</row>
    <row r="21" spans="2:14" x14ac:dyDescent="0.3"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</row>
    <row r="22" spans="2:14" x14ac:dyDescent="0.3"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</row>
    <row r="23" spans="2:14" x14ac:dyDescent="0.3"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</row>
    <row r="24" spans="2:14" x14ac:dyDescent="0.3"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</row>
    <row r="25" spans="2:14" x14ac:dyDescent="0.3"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</row>
    <row r="26" spans="2:14" x14ac:dyDescent="0.3"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</row>
    <row r="27" spans="2:14" x14ac:dyDescent="0.3"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</row>
  </sheetData>
  <sheetProtection algorithmName="SHA-512" hashValue="sO0Q14rypSfHLCM/CSzIPeUFLZD2riqbF06i2rcGE7YEEg7AWMgnxfIfNdDqy9EqZAU7SA7JBzUyRY+u7lUvtg==" saltValue="DeG6FFyKOtYRPNFqZRvyCA==" spinCount="100000" sheet="1" selectLockedCells="1"/>
  <protectedRanges>
    <protectedRange sqref="G13 C13 E13 G4:G6 C4:C6" name="범위1"/>
  </protectedRanges>
  <mergeCells count="15">
    <mergeCell ref="C5:D5"/>
    <mergeCell ref="F5:H5"/>
    <mergeCell ref="M9:M10"/>
    <mergeCell ref="C2:E3"/>
    <mergeCell ref="C4:D4"/>
    <mergeCell ref="F4:H4"/>
    <mergeCell ref="I9:L9"/>
    <mergeCell ref="B7:C7"/>
    <mergeCell ref="E7:F7"/>
    <mergeCell ref="H7:I7"/>
    <mergeCell ref="B9:B10"/>
    <mergeCell ref="C9:D9"/>
    <mergeCell ref="E9:G9"/>
    <mergeCell ref="F2:F3"/>
    <mergeCell ref="G2:H3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rgb="FFFFFF00"/>
  </sheetPr>
  <dimension ref="A1:AG203"/>
  <sheetViews>
    <sheetView tabSelected="1" topLeftCell="A39" zoomScale="85" zoomScaleNormal="85" workbookViewId="0">
      <selection activeCell="I76" sqref="I76"/>
    </sheetView>
  </sheetViews>
  <sheetFormatPr defaultColWidth="9" defaultRowHeight="13.5" x14ac:dyDescent="0.3"/>
  <cols>
    <col min="1" max="1" width="1" style="2" customWidth="1"/>
    <col min="2" max="2" width="17.125" style="1" customWidth="1"/>
    <col min="3" max="3" width="25.625" style="1" customWidth="1"/>
    <col min="4" max="5" width="25.5" style="1" customWidth="1"/>
    <col min="6" max="6" width="18.125" style="1" customWidth="1"/>
    <col min="7" max="7" width="33.375" style="1" customWidth="1"/>
    <col min="8" max="8" width="26.375" style="1" customWidth="1"/>
    <col min="9" max="9" width="16.5" style="1" bestFit="1" customWidth="1"/>
    <col min="10" max="10" width="15" style="1" customWidth="1"/>
    <col min="11" max="11" width="10.625" style="1" customWidth="1"/>
    <col min="12" max="12" width="15" style="1" customWidth="1"/>
    <col min="13" max="13" width="13.625" style="1" customWidth="1"/>
    <col min="14" max="14" width="9.875" style="1" customWidth="1"/>
    <col min="15" max="15" width="12.5" style="1" customWidth="1"/>
    <col min="16" max="16" width="17.625" style="2" customWidth="1"/>
    <col min="17" max="17" width="4" style="2" customWidth="1"/>
    <col min="18" max="20" width="9" style="3"/>
    <col min="21" max="21" width="17.125" style="3" customWidth="1"/>
    <col min="22" max="23" width="9" style="3"/>
    <col min="24" max="24" width="12.5" style="3" customWidth="1"/>
    <col min="25" max="27" width="12" style="3" customWidth="1"/>
    <col min="28" max="29" width="9" style="3"/>
    <col min="30" max="30" width="10" style="3" customWidth="1"/>
    <col min="31" max="31" width="17.5" style="2" bestFit="1" customWidth="1"/>
    <col min="32" max="32" width="11.5" style="2" bestFit="1" customWidth="1"/>
    <col min="33" max="16384" width="9" style="2"/>
  </cols>
  <sheetData>
    <row r="1" spans="2:21" ht="21" customHeight="1" thickBot="1" x14ac:dyDescent="0.35">
      <c r="H1" s="136" t="s">
        <v>2</v>
      </c>
    </row>
    <row r="2" spans="2:21" ht="14.1" customHeight="1" thickBot="1" x14ac:dyDescent="0.35">
      <c r="B2" s="192" t="s">
        <v>22</v>
      </c>
      <c r="C2" s="193"/>
      <c r="E2" s="194"/>
      <c r="F2" s="194"/>
      <c r="G2" s="2"/>
      <c r="H2" s="194"/>
      <c r="I2" s="194"/>
    </row>
    <row r="3" spans="2:21" ht="14.1" customHeight="1" thickBot="1" x14ac:dyDescent="0.35">
      <c r="M3" s="8" t="s">
        <v>10</v>
      </c>
    </row>
    <row r="4" spans="2:21" ht="14.1" customHeight="1" x14ac:dyDescent="0.3">
      <c r="B4" s="195" t="s">
        <v>11</v>
      </c>
      <c r="C4" s="197" t="s">
        <v>12</v>
      </c>
      <c r="D4" s="197"/>
      <c r="E4" s="189" t="s">
        <v>13</v>
      </c>
      <c r="F4" s="190"/>
      <c r="G4" s="191"/>
      <c r="H4" s="9"/>
      <c r="I4" s="126" t="s">
        <v>14</v>
      </c>
      <c r="J4" s="127"/>
      <c r="K4" s="127"/>
      <c r="L4" s="128"/>
      <c r="M4" s="132" t="s">
        <v>15</v>
      </c>
      <c r="N4" s="2"/>
      <c r="O4" s="2"/>
      <c r="P4" s="330" t="s">
        <v>23</v>
      </c>
      <c r="Q4" s="331"/>
      <c r="R4" s="331"/>
      <c r="S4" s="331"/>
      <c r="T4" s="331"/>
      <c r="U4" s="332"/>
    </row>
    <row r="5" spans="2:21" ht="14.1" customHeight="1" thickBot="1" x14ac:dyDescent="0.35">
      <c r="B5" s="196"/>
      <c r="C5" s="10" t="s">
        <v>16</v>
      </c>
      <c r="D5" s="10" t="s">
        <v>17</v>
      </c>
      <c r="E5" s="10" t="s">
        <v>16</v>
      </c>
      <c r="F5" s="10" t="s">
        <v>17</v>
      </c>
      <c r="G5" s="10" t="s">
        <v>18</v>
      </c>
      <c r="H5" s="10" t="s">
        <v>19</v>
      </c>
      <c r="I5" s="10" t="s">
        <v>16</v>
      </c>
      <c r="J5" s="10" t="s">
        <v>17</v>
      </c>
      <c r="K5" s="10" t="s">
        <v>18</v>
      </c>
      <c r="L5" s="10" t="s">
        <v>17</v>
      </c>
      <c r="M5" s="133"/>
      <c r="N5" s="2"/>
      <c r="O5" s="2"/>
      <c r="P5" s="333"/>
      <c r="Q5" s="334"/>
      <c r="R5" s="334"/>
      <c r="S5" s="334"/>
      <c r="T5" s="334"/>
      <c r="U5" s="335"/>
    </row>
    <row r="6" spans="2:21" ht="14.1" customHeight="1" thickBot="1" x14ac:dyDescent="0.35">
      <c r="B6" s="11">
        <v>1</v>
      </c>
      <c r="C6" s="12">
        <f>'총괄(사업자번호 입력)'!C11</f>
        <v>60000</v>
      </c>
      <c r="D6" s="142">
        <f>IFERROR(C6/M6*100,"")</f>
        <v>75</v>
      </c>
      <c r="E6" s="12">
        <f>ROUNDUP(C6/3*0.1,0)</f>
        <v>2000</v>
      </c>
      <c r="F6" s="142">
        <f>IFERROR(E6/(E6+G6)*100,"")</f>
        <v>10</v>
      </c>
      <c r="G6" s="12">
        <f>C6/3*0.9</f>
        <v>18000</v>
      </c>
      <c r="H6" s="13">
        <f>E6+G6</f>
        <v>20000</v>
      </c>
      <c r="I6" s="14">
        <f>C6+E6</f>
        <v>62000</v>
      </c>
      <c r="J6" s="144">
        <f>IFERROR(I6/M6,"")</f>
        <v>0.77500000000000002</v>
      </c>
      <c r="K6" s="14">
        <f>G6</f>
        <v>18000</v>
      </c>
      <c r="L6" s="144">
        <f>IFERROR(K6/M6,"")</f>
        <v>0.22500000000000001</v>
      </c>
      <c r="M6" s="15">
        <f>I6+K6</f>
        <v>80000</v>
      </c>
      <c r="N6" s="2"/>
      <c r="O6" s="2"/>
    </row>
    <row r="7" spans="2:21" ht="14.25" customHeight="1" x14ac:dyDescent="0.3">
      <c r="F7" s="143">
        <f>IFERROR((E6+G6)/M6,"")</f>
        <v>0.25</v>
      </c>
      <c r="G7" s="16" t="str">
        <f>IF(F6&gt;=10,"적절","부적절")</f>
        <v>적절</v>
      </c>
      <c r="H7" s="17" t="str">
        <f>IF(((E6+G6)/(C6+E6+G6))&lt;0.2,"기관부담연구개발비 부족","적절")</f>
        <v>적절</v>
      </c>
      <c r="M7" s="18"/>
      <c r="N7" s="2"/>
      <c r="O7" s="2"/>
    </row>
    <row r="8" spans="2:21" ht="14.25" customHeight="1" x14ac:dyDescent="0.3">
      <c r="F8" s="134"/>
      <c r="G8" s="135"/>
      <c r="H8" s="136"/>
      <c r="M8" s="18"/>
      <c r="N8" s="2"/>
      <c r="O8" s="2"/>
    </row>
    <row r="9" spans="2:21" ht="14.25" customHeight="1" x14ac:dyDescent="0.3">
      <c r="F9" s="134"/>
      <c r="G9" s="135"/>
      <c r="H9" s="136"/>
      <c r="M9" s="18"/>
      <c r="N9" s="2"/>
      <c r="O9" s="2"/>
    </row>
    <row r="10" spans="2:21" ht="14.25" customHeight="1" x14ac:dyDescent="0.3">
      <c r="F10" s="134"/>
      <c r="G10" s="135"/>
      <c r="H10" s="136"/>
      <c r="M10" s="18"/>
      <c r="N10" s="2"/>
      <c r="O10" s="2"/>
    </row>
    <row r="11" spans="2:21" ht="14.25" customHeight="1" thickBot="1" x14ac:dyDescent="0.35">
      <c r="F11" s="134"/>
      <c r="G11" s="135"/>
      <c r="H11" s="136"/>
      <c r="M11" s="18"/>
      <c r="N11" s="2"/>
      <c r="O11" s="2"/>
    </row>
    <row r="12" spans="2:21" ht="14.1" customHeight="1" thickBot="1" x14ac:dyDescent="0.35">
      <c r="B12" s="336" t="s">
        <v>24</v>
      </c>
      <c r="C12" s="337"/>
      <c r="D12" s="19" t="s">
        <v>25</v>
      </c>
      <c r="E12" s="20"/>
      <c r="F12" s="20"/>
      <c r="G12" s="20"/>
      <c r="H12" s="20"/>
      <c r="I12" s="21"/>
      <c r="J12" s="21"/>
      <c r="K12" s="21"/>
      <c r="L12" s="21"/>
      <c r="M12" s="21"/>
      <c r="N12" s="21"/>
      <c r="O12" s="21"/>
    </row>
    <row r="13" spans="2:21" ht="14.1" customHeight="1" thickBot="1" x14ac:dyDescent="0.35">
      <c r="G13" s="2"/>
      <c r="J13" s="1" t="s">
        <v>10</v>
      </c>
    </row>
    <row r="14" spans="2:21" ht="14.1" customHeight="1" x14ac:dyDescent="0.3">
      <c r="B14" s="195" t="s">
        <v>11</v>
      </c>
      <c r="C14" s="197" t="s">
        <v>26</v>
      </c>
      <c r="D14" s="197" t="s">
        <v>27</v>
      </c>
      <c r="E14" s="22" t="s">
        <v>28</v>
      </c>
      <c r="F14" s="197" t="s">
        <v>29</v>
      </c>
      <c r="G14" s="197"/>
      <c r="H14" s="197"/>
      <c r="I14" s="339" t="s">
        <v>30</v>
      </c>
      <c r="J14" s="341" t="s">
        <v>31</v>
      </c>
      <c r="K14" s="2"/>
    </row>
    <row r="15" spans="2:21" ht="13.5" customHeight="1" x14ac:dyDescent="0.3">
      <c r="B15" s="196"/>
      <c r="C15" s="338"/>
      <c r="D15" s="338"/>
      <c r="E15" s="10" t="s">
        <v>16</v>
      </c>
      <c r="F15" s="10" t="s">
        <v>16</v>
      </c>
      <c r="G15" s="10" t="s">
        <v>18</v>
      </c>
      <c r="H15" s="10" t="s">
        <v>32</v>
      </c>
      <c r="I15" s="340"/>
      <c r="J15" s="342"/>
      <c r="K15" s="2"/>
    </row>
    <row r="16" spans="2:21" ht="14.1" customHeight="1" x14ac:dyDescent="0.3">
      <c r="B16" s="23">
        <v>1</v>
      </c>
      <c r="C16" s="24" t="s">
        <v>33</v>
      </c>
      <c r="D16" s="131" t="str">
        <f>'총괄(사업자번호 입력)'!F4</f>
        <v>젝사젠 주식회사</v>
      </c>
      <c r="E16" s="25">
        <v>60000</v>
      </c>
      <c r="F16" s="25">
        <v>2000</v>
      </c>
      <c r="G16" s="25">
        <v>18000</v>
      </c>
      <c r="H16" s="26">
        <f>SUM(F16:G16)</f>
        <v>20000</v>
      </c>
      <c r="I16" s="27">
        <f>H16+E16</f>
        <v>80000</v>
      </c>
      <c r="J16" s="28" t="str">
        <f>IF(COUNTBLANK(D16)=1,"적절",IF(I16=L86,"적절","부적절"))</f>
        <v>적절</v>
      </c>
      <c r="K16" s="2"/>
      <c r="L16" s="2"/>
      <c r="M16" s="2"/>
      <c r="N16" s="2"/>
      <c r="O16" s="2"/>
      <c r="P16" s="29"/>
      <c r="Q16" s="29"/>
    </row>
    <row r="17" spans="2:19" x14ac:dyDescent="0.3">
      <c r="B17" s="23">
        <v>1</v>
      </c>
      <c r="C17" s="24" t="s">
        <v>34</v>
      </c>
      <c r="D17" s="30"/>
      <c r="E17" s="31"/>
      <c r="F17" s="25"/>
      <c r="G17" s="25"/>
      <c r="H17" s="26">
        <f t="shared" ref="H17:H20" si="0">SUM(F17:G17)</f>
        <v>0</v>
      </c>
      <c r="I17" s="27">
        <f t="shared" ref="I17:I20" si="1">H17+E17</f>
        <v>0</v>
      </c>
      <c r="J17" s="28" t="str">
        <f>IF(COUNTBLANK(D17)=1,"적절",IF(I17=L111,"적절","부적절"))</f>
        <v>적절</v>
      </c>
      <c r="K17" s="2"/>
      <c r="L17" s="2"/>
      <c r="M17" s="2"/>
      <c r="N17" s="2"/>
      <c r="O17" s="2"/>
    </row>
    <row r="18" spans="2:19" x14ac:dyDescent="0.3">
      <c r="B18" s="23">
        <v>1</v>
      </c>
      <c r="C18" s="24" t="s">
        <v>35</v>
      </c>
      <c r="D18" s="30"/>
      <c r="E18" s="31"/>
      <c r="F18" s="25"/>
      <c r="G18" s="25"/>
      <c r="H18" s="26">
        <f t="shared" si="0"/>
        <v>0</v>
      </c>
      <c r="I18" s="27">
        <f t="shared" si="1"/>
        <v>0</v>
      </c>
      <c r="J18" s="28" t="str">
        <f>IF(COUNTBLANK(D18)=1,"적절",IF(I18=L136,"적절","부적절"))</f>
        <v>적절</v>
      </c>
      <c r="K18" s="2"/>
      <c r="L18" s="2"/>
      <c r="M18" s="2"/>
      <c r="N18" s="2"/>
      <c r="O18" s="2"/>
    </row>
    <row r="19" spans="2:19" ht="14.1" customHeight="1" x14ac:dyDescent="0.3">
      <c r="B19" s="23">
        <v>1</v>
      </c>
      <c r="C19" s="24" t="s">
        <v>36</v>
      </c>
      <c r="D19" s="32"/>
      <c r="E19" s="25"/>
      <c r="F19" s="25"/>
      <c r="G19" s="25"/>
      <c r="H19" s="26">
        <f t="shared" si="0"/>
        <v>0</v>
      </c>
      <c r="I19" s="27">
        <f t="shared" si="1"/>
        <v>0</v>
      </c>
      <c r="J19" s="28" t="str">
        <f>IF(COUNTBLANK(D19)=1,"적절",IF(I19=L162,"적절","부적절"))</f>
        <v>적절</v>
      </c>
      <c r="K19" s="2"/>
      <c r="L19" s="2"/>
      <c r="M19" s="2"/>
      <c r="N19" s="2"/>
      <c r="O19" s="2"/>
    </row>
    <row r="20" spans="2:19" ht="14.1" customHeight="1" x14ac:dyDescent="0.3">
      <c r="B20" s="33">
        <v>1</v>
      </c>
      <c r="C20" s="34" t="s">
        <v>37</v>
      </c>
      <c r="D20" s="32"/>
      <c r="E20" s="35"/>
      <c r="F20" s="35"/>
      <c r="G20" s="35"/>
      <c r="H20" s="26">
        <f t="shared" si="0"/>
        <v>0</v>
      </c>
      <c r="I20" s="27">
        <f t="shared" si="1"/>
        <v>0</v>
      </c>
      <c r="J20" s="36" t="str">
        <f>IF(COUNTBLANK(D20)=1,"적절",IF(I20=L188,"적절","부적절"))</f>
        <v>적절</v>
      </c>
      <c r="K20" s="2"/>
      <c r="L20" s="2"/>
      <c r="M20" s="2"/>
      <c r="N20" s="2"/>
      <c r="O20" s="2"/>
    </row>
    <row r="21" spans="2:19" ht="14.1" customHeight="1" thickBot="1" x14ac:dyDescent="0.35">
      <c r="B21" s="37" t="s">
        <v>15</v>
      </c>
      <c r="C21" s="38"/>
      <c r="D21" s="38"/>
      <c r="E21" s="39">
        <f>SUM(E16:E19)</f>
        <v>60000</v>
      </c>
      <c r="F21" s="40">
        <f>SUM(F16:F19)</f>
        <v>2000</v>
      </c>
      <c r="G21" s="40">
        <f>SUM(G16:G19)</f>
        <v>18000</v>
      </c>
      <c r="H21" s="40">
        <f>SUM(F21:G21)</f>
        <v>20000</v>
      </c>
      <c r="I21" s="40">
        <f>SUM(I16:I19)</f>
        <v>80000</v>
      </c>
      <c r="J21" s="41" t="str">
        <f>IF(I21=L54,"적절","부적절")</f>
        <v>적절</v>
      </c>
      <c r="K21" s="2"/>
      <c r="L21" s="2"/>
      <c r="M21" s="2"/>
      <c r="N21" s="2"/>
      <c r="O21" s="2"/>
    </row>
    <row r="22" spans="2:19" ht="14.1" customHeight="1" thickBot="1" x14ac:dyDescent="0.35">
      <c r="E22" s="42" t="str">
        <f>IF(E21=C6,"적절","부적절")</f>
        <v>적절</v>
      </c>
      <c r="F22" s="42" t="str">
        <f>IF(F21=E6,"적절","부적절")</f>
        <v>적절</v>
      </c>
      <c r="G22" s="42" t="str">
        <f>IF(G21=G6,"적절","부적절")</f>
        <v>적절</v>
      </c>
    </row>
    <row r="23" spans="2:19" ht="14.1" customHeight="1" thickBot="1" x14ac:dyDescent="0.35"/>
    <row r="24" spans="2:19" ht="14.1" customHeight="1" thickBot="1" x14ac:dyDescent="0.35">
      <c r="B24" s="192" t="s">
        <v>38</v>
      </c>
      <c r="C24" s="329"/>
      <c r="D24" s="43"/>
    </row>
    <row r="25" spans="2:19" ht="14.1" customHeight="1" thickBot="1" x14ac:dyDescent="0.35">
      <c r="M25" s="44" t="s">
        <v>10</v>
      </c>
    </row>
    <row r="26" spans="2:19" ht="18.600000000000001" customHeight="1" x14ac:dyDescent="0.3">
      <c r="B26" s="285" t="s">
        <v>11</v>
      </c>
      <c r="C26" s="287" t="s">
        <v>26</v>
      </c>
      <c r="D26" s="287" t="s">
        <v>3</v>
      </c>
      <c r="E26" s="287" t="s">
        <v>39</v>
      </c>
      <c r="F26" s="289" t="s">
        <v>40</v>
      </c>
      <c r="G26" s="290"/>
      <c r="H26" s="189" t="s">
        <v>16</v>
      </c>
      <c r="I26" s="191"/>
      <c r="J26" s="189" t="s">
        <v>18</v>
      </c>
      <c r="K26" s="191"/>
      <c r="L26" s="189" t="s">
        <v>41</v>
      </c>
      <c r="M26" s="191"/>
      <c r="N26" s="317" t="s">
        <v>42</v>
      </c>
      <c r="O26" s="318"/>
    </row>
    <row r="27" spans="2:19" ht="35.1" customHeight="1" x14ac:dyDescent="0.3">
      <c r="B27" s="286"/>
      <c r="C27" s="288"/>
      <c r="D27" s="288"/>
      <c r="E27" s="288"/>
      <c r="F27" s="291"/>
      <c r="G27" s="292"/>
      <c r="H27" s="45" t="s">
        <v>43</v>
      </c>
      <c r="I27" s="45" t="s">
        <v>44</v>
      </c>
      <c r="J27" s="45" t="s">
        <v>45</v>
      </c>
      <c r="K27" s="45" t="s">
        <v>46</v>
      </c>
      <c r="L27" s="45" t="s">
        <v>47</v>
      </c>
      <c r="M27" s="45" t="s">
        <v>48</v>
      </c>
      <c r="N27" s="319"/>
      <c r="O27" s="320"/>
    </row>
    <row r="28" spans="2:19" ht="14.1" customHeight="1" x14ac:dyDescent="0.3">
      <c r="B28" s="252">
        <v>1</v>
      </c>
      <c r="C28" s="255" t="s">
        <v>49</v>
      </c>
      <c r="D28" s="322">
        <f>'총괄(사업자번호 입력)'!C4:D4</f>
        <v>0</v>
      </c>
      <c r="E28" s="261" t="s">
        <v>50</v>
      </c>
      <c r="F28" s="221" t="s">
        <v>51</v>
      </c>
      <c r="G28" s="46" t="s">
        <v>52</v>
      </c>
      <c r="H28" s="47">
        <f>H61+H90+H115</f>
        <v>7500</v>
      </c>
      <c r="I28" s="48">
        <f>IFERROR(H28/L28,"")</f>
        <v>0.29411764705882354</v>
      </c>
      <c r="J28" s="47">
        <f>J61+J90+J115</f>
        <v>18000</v>
      </c>
      <c r="K28" s="48">
        <f>IFERROR(J28/L28,"")</f>
        <v>0.70588235294117652</v>
      </c>
      <c r="L28" s="49">
        <f>H28+J28</f>
        <v>25500</v>
      </c>
      <c r="M28" s="50">
        <f t="shared" ref="M28:M54" si="2">IFERROR(L28/$L$54,"")</f>
        <v>0.31874999999999998</v>
      </c>
      <c r="N28" s="48"/>
      <c r="O28" s="51"/>
    </row>
    <row r="29" spans="2:19" ht="14.1" customHeight="1" x14ac:dyDescent="0.3">
      <c r="B29" s="253"/>
      <c r="C29" s="256"/>
      <c r="D29" s="323"/>
      <c r="E29" s="222"/>
      <c r="F29" s="263"/>
      <c r="G29" s="46" t="s">
        <v>53</v>
      </c>
      <c r="H29" s="47">
        <f>H62+H91+H116</f>
        <v>43333</v>
      </c>
      <c r="I29" s="48">
        <f t="shared" ref="I29:I31" si="3">IFERROR(H29/L29,"")</f>
        <v>1</v>
      </c>
      <c r="J29" s="47">
        <f>J62+J91+J116</f>
        <v>0</v>
      </c>
      <c r="K29" s="48">
        <f>IFERROR(J29/L29,"")</f>
        <v>0</v>
      </c>
      <c r="L29" s="49">
        <f t="shared" ref="L29:L30" si="4">H29+J29</f>
        <v>43333</v>
      </c>
      <c r="M29" s="50">
        <f t="shared" si="2"/>
        <v>0.54166250000000005</v>
      </c>
      <c r="N29" s="24"/>
      <c r="O29" s="52"/>
      <c r="S29" s="2"/>
    </row>
    <row r="30" spans="2:19" ht="14.1" customHeight="1" x14ac:dyDescent="0.3">
      <c r="B30" s="253"/>
      <c r="C30" s="256"/>
      <c r="D30" s="323"/>
      <c r="E30" s="222"/>
      <c r="F30" s="264"/>
      <c r="G30" s="53" t="s">
        <v>54</v>
      </c>
      <c r="H30" s="47">
        <f>H63+H92+H117</f>
        <v>0</v>
      </c>
      <c r="I30" s="48" t="str">
        <f t="shared" si="3"/>
        <v/>
      </c>
      <c r="J30" s="47">
        <f>J63+J92+J117</f>
        <v>0</v>
      </c>
      <c r="K30" s="48" t="str">
        <f>IFERROR(J30/L30,"")</f>
        <v/>
      </c>
      <c r="L30" s="49">
        <f t="shared" si="4"/>
        <v>0</v>
      </c>
      <c r="M30" s="50">
        <f t="shared" si="2"/>
        <v>0</v>
      </c>
      <c r="N30" s="24"/>
      <c r="O30" s="52"/>
    </row>
    <row r="31" spans="2:19" ht="14.1" customHeight="1" x14ac:dyDescent="0.3">
      <c r="B31" s="253"/>
      <c r="C31" s="256"/>
      <c r="D31" s="323"/>
      <c r="E31" s="222"/>
      <c r="F31" s="325" t="s">
        <v>55</v>
      </c>
      <c r="G31" s="325"/>
      <c r="H31" s="54">
        <f>H28+H29+H30</f>
        <v>50833</v>
      </c>
      <c r="I31" s="55">
        <f t="shared" si="3"/>
        <v>0.73849752299042615</v>
      </c>
      <c r="J31" s="54">
        <f>SUM(J28:J30)</f>
        <v>18000</v>
      </c>
      <c r="K31" s="55">
        <f t="shared" ref="K31:K33" si="5">IFERROR(J31/L31,"")</f>
        <v>0.26150247700957391</v>
      </c>
      <c r="L31" s="54">
        <f>H31+J31</f>
        <v>68833</v>
      </c>
      <c r="M31" s="56">
        <f t="shared" si="2"/>
        <v>0.86041250000000002</v>
      </c>
      <c r="N31" s="57"/>
      <c r="O31" s="58"/>
    </row>
    <row r="32" spans="2:19" ht="14.1" customHeight="1" x14ac:dyDescent="0.3">
      <c r="B32" s="253"/>
      <c r="C32" s="256"/>
      <c r="D32" s="323"/>
      <c r="E32" s="222"/>
      <c r="F32" s="302" t="s">
        <v>56</v>
      </c>
      <c r="G32" s="302"/>
      <c r="H32" s="47">
        <f t="shared" ref="H32:H41" si="6">H65+H94+H119</f>
        <v>0</v>
      </c>
      <c r="I32" s="48" t="str">
        <f>IFERROR(H32/L32,"")</f>
        <v/>
      </c>
      <c r="J32" s="47">
        <f>J65+J94+J119</f>
        <v>0</v>
      </c>
      <c r="K32" s="48" t="str">
        <f t="shared" si="5"/>
        <v/>
      </c>
      <c r="L32" s="49">
        <f>H32+J32</f>
        <v>0</v>
      </c>
      <c r="M32" s="50">
        <f t="shared" si="2"/>
        <v>0</v>
      </c>
      <c r="N32" s="24"/>
      <c r="O32" s="52"/>
    </row>
    <row r="33" spans="2:20" ht="14.1" customHeight="1" x14ac:dyDescent="0.3">
      <c r="B33" s="253"/>
      <c r="C33" s="256"/>
      <c r="D33" s="323"/>
      <c r="E33" s="222"/>
      <c r="F33" s="303" t="s">
        <v>57</v>
      </c>
      <c r="G33" s="303"/>
      <c r="H33" s="47">
        <f t="shared" si="6"/>
        <v>0</v>
      </c>
      <c r="I33" s="48" t="str">
        <f t="shared" ref="I33:I54" si="7">IFERROR(H33/L33,"")</f>
        <v/>
      </c>
      <c r="J33" s="47">
        <f>J66+J95+J120</f>
        <v>0</v>
      </c>
      <c r="K33" s="48" t="str">
        <f t="shared" si="5"/>
        <v/>
      </c>
      <c r="L33" s="49">
        <f t="shared" ref="L33:L52" si="8">H33+J33</f>
        <v>0</v>
      </c>
      <c r="M33" s="50">
        <f t="shared" si="2"/>
        <v>0</v>
      </c>
      <c r="N33" s="24"/>
      <c r="O33" s="52"/>
    </row>
    <row r="34" spans="2:20" ht="14.1" customHeight="1" x14ac:dyDescent="0.3">
      <c r="B34" s="253"/>
      <c r="C34" s="256"/>
      <c r="D34" s="323"/>
      <c r="E34" s="222"/>
      <c r="F34" s="239" t="s">
        <v>58</v>
      </c>
      <c r="G34" s="59" t="s">
        <v>59</v>
      </c>
      <c r="H34" s="47">
        <f t="shared" si="6"/>
        <v>0</v>
      </c>
      <c r="I34" s="48" t="str">
        <f t="shared" si="7"/>
        <v/>
      </c>
      <c r="J34" s="60"/>
      <c r="K34" s="61"/>
      <c r="L34" s="49">
        <f t="shared" si="8"/>
        <v>0</v>
      </c>
      <c r="M34" s="50">
        <f t="shared" si="2"/>
        <v>0</v>
      </c>
      <c r="N34" s="24"/>
      <c r="O34" s="52"/>
      <c r="T34" s="2"/>
    </row>
    <row r="35" spans="2:20" ht="14.1" customHeight="1" x14ac:dyDescent="0.3">
      <c r="B35" s="253"/>
      <c r="C35" s="256"/>
      <c r="D35" s="323"/>
      <c r="E35" s="222"/>
      <c r="F35" s="239"/>
      <c r="G35" s="59" t="s">
        <v>60</v>
      </c>
      <c r="H35" s="47">
        <f t="shared" si="6"/>
        <v>600</v>
      </c>
      <c r="I35" s="48">
        <f t="shared" si="7"/>
        <v>1</v>
      </c>
      <c r="J35" s="60"/>
      <c r="K35" s="61"/>
      <c r="L35" s="49">
        <f t="shared" si="8"/>
        <v>600</v>
      </c>
      <c r="M35" s="50">
        <f t="shared" si="2"/>
        <v>7.4999999999999997E-3</v>
      </c>
      <c r="N35" s="62">
        <f>IFERROR(L35/L49,"")</f>
        <v>7.6726342710997444E-3</v>
      </c>
      <c r="O35" s="28" t="str">
        <f>IF(N35&lt;0.4,"적절","부적절")</f>
        <v>적절</v>
      </c>
    </row>
    <row r="36" spans="2:20" ht="14.1" customHeight="1" x14ac:dyDescent="0.3">
      <c r="B36" s="253"/>
      <c r="C36" s="256"/>
      <c r="D36" s="323"/>
      <c r="E36" s="222"/>
      <c r="F36" s="239"/>
      <c r="G36" s="59" t="s">
        <v>61</v>
      </c>
      <c r="H36" s="47">
        <f t="shared" si="6"/>
        <v>1000</v>
      </c>
      <c r="I36" s="48">
        <f t="shared" si="7"/>
        <v>1</v>
      </c>
      <c r="J36" s="60"/>
      <c r="K36" s="61"/>
      <c r="L36" s="49">
        <f t="shared" si="8"/>
        <v>1000</v>
      </c>
      <c r="M36" s="50">
        <f t="shared" si="2"/>
        <v>1.2500000000000001E-2</v>
      </c>
      <c r="N36" s="24"/>
      <c r="O36" s="52"/>
    </row>
    <row r="37" spans="2:20" ht="14.1" customHeight="1" x14ac:dyDescent="0.3">
      <c r="B37" s="253"/>
      <c r="C37" s="256"/>
      <c r="D37" s="323"/>
      <c r="E37" s="222"/>
      <c r="F37" s="239"/>
      <c r="G37" s="59" t="s">
        <v>62</v>
      </c>
      <c r="H37" s="47">
        <f t="shared" si="6"/>
        <v>0</v>
      </c>
      <c r="I37" s="48" t="str">
        <f t="shared" si="7"/>
        <v/>
      </c>
      <c r="J37" s="60"/>
      <c r="K37" s="61"/>
      <c r="L37" s="49">
        <f t="shared" si="8"/>
        <v>0</v>
      </c>
      <c r="M37" s="50">
        <f t="shared" si="2"/>
        <v>0</v>
      </c>
      <c r="N37" s="24"/>
      <c r="O37" s="52"/>
    </row>
    <row r="38" spans="2:20" ht="14.1" customHeight="1" x14ac:dyDescent="0.3">
      <c r="B38" s="253"/>
      <c r="C38" s="256"/>
      <c r="D38" s="323"/>
      <c r="E38" s="222"/>
      <c r="F38" s="239"/>
      <c r="G38" s="59" t="s">
        <v>63</v>
      </c>
      <c r="H38" s="47">
        <f t="shared" si="6"/>
        <v>3000</v>
      </c>
      <c r="I38" s="48">
        <f t="shared" si="7"/>
        <v>1</v>
      </c>
      <c r="J38" s="60"/>
      <c r="K38" s="61"/>
      <c r="L38" s="49">
        <f t="shared" si="8"/>
        <v>3000</v>
      </c>
      <c r="M38" s="50">
        <f t="shared" si="2"/>
        <v>3.7499999999999999E-2</v>
      </c>
      <c r="N38" s="24"/>
      <c r="O38" s="52"/>
    </row>
    <row r="39" spans="2:20" ht="14.1" customHeight="1" x14ac:dyDescent="0.3">
      <c r="B39" s="253"/>
      <c r="C39" s="256"/>
      <c r="D39" s="323"/>
      <c r="E39" s="222"/>
      <c r="F39" s="239"/>
      <c r="G39" s="59" t="s">
        <v>64</v>
      </c>
      <c r="H39" s="47">
        <f t="shared" si="6"/>
        <v>0</v>
      </c>
      <c r="I39" s="48" t="str">
        <f t="shared" si="7"/>
        <v/>
      </c>
      <c r="J39" s="60"/>
      <c r="K39" s="61"/>
      <c r="L39" s="49">
        <f t="shared" si="8"/>
        <v>0</v>
      </c>
      <c r="M39" s="50">
        <f t="shared" si="2"/>
        <v>0</v>
      </c>
      <c r="N39" s="24"/>
      <c r="O39" s="52"/>
    </row>
    <row r="40" spans="2:20" ht="14.1" customHeight="1" x14ac:dyDescent="0.3">
      <c r="B40" s="253"/>
      <c r="C40" s="256"/>
      <c r="D40" s="323"/>
      <c r="E40" s="222"/>
      <c r="F40" s="239"/>
      <c r="G40" s="59" t="s">
        <v>65</v>
      </c>
      <c r="H40" s="47">
        <f t="shared" si="6"/>
        <v>0</v>
      </c>
      <c r="I40" s="48" t="str">
        <f t="shared" si="7"/>
        <v/>
      </c>
      <c r="J40" s="60"/>
      <c r="K40" s="61"/>
      <c r="L40" s="49">
        <f t="shared" si="8"/>
        <v>0</v>
      </c>
      <c r="M40" s="50">
        <f t="shared" si="2"/>
        <v>0</v>
      </c>
      <c r="N40" s="24"/>
      <c r="O40" s="52"/>
    </row>
    <row r="41" spans="2:20" ht="14.1" customHeight="1" x14ac:dyDescent="0.3">
      <c r="B41" s="253"/>
      <c r="C41" s="256"/>
      <c r="D41" s="323"/>
      <c r="E41" s="222"/>
      <c r="F41" s="239"/>
      <c r="G41" s="59" t="s">
        <v>66</v>
      </c>
      <c r="H41" s="47">
        <f t="shared" si="6"/>
        <v>0</v>
      </c>
      <c r="I41" s="48" t="str">
        <f t="shared" si="7"/>
        <v/>
      </c>
      <c r="J41" s="60"/>
      <c r="K41" s="61"/>
      <c r="L41" s="49">
        <f t="shared" si="8"/>
        <v>0</v>
      </c>
      <c r="M41" s="50">
        <f t="shared" si="2"/>
        <v>0</v>
      </c>
      <c r="N41" s="24"/>
      <c r="O41" s="52"/>
    </row>
    <row r="42" spans="2:20" ht="14.1" customHeight="1" x14ac:dyDescent="0.3">
      <c r="B42" s="253"/>
      <c r="C42" s="256"/>
      <c r="D42" s="323"/>
      <c r="E42" s="222"/>
      <c r="F42" s="239"/>
      <c r="G42" s="59" t="s">
        <v>67</v>
      </c>
      <c r="H42" s="47">
        <f>H76+H104+H129+H75</f>
        <v>267</v>
      </c>
      <c r="I42" s="48">
        <f t="shared" si="7"/>
        <v>1</v>
      </c>
      <c r="J42" s="60"/>
      <c r="K42" s="61"/>
      <c r="L42" s="49">
        <f t="shared" si="8"/>
        <v>267</v>
      </c>
      <c r="M42" s="50">
        <f t="shared" si="2"/>
        <v>3.3375000000000002E-3</v>
      </c>
      <c r="N42" s="24"/>
      <c r="O42" s="52"/>
    </row>
    <row r="43" spans="2:20" ht="14.1" customHeight="1" x14ac:dyDescent="0.3">
      <c r="B43" s="253"/>
      <c r="C43" s="256"/>
      <c r="D43" s="323"/>
      <c r="E43" s="222"/>
      <c r="F43" s="306" t="s">
        <v>68</v>
      </c>
      <c r="G43" s="307"/>
      <c r="H43" s="54">
        <f>SUM(H34:H42)</f>
        <v>4867</v>
      </c>
      <c r="I43" s="55">
        <f t="shared" si="7"/>
        <v>1</v>
      </c>
      <c r="J43" s="60"/>
      <c r="K43" s="61"/>
      <c r="L43" s="54">
        <f t="shared" si="8"/>
        <v>4867</v>
      </c>
      <c r="M43" s="56">
        <f t="shared" si="2"/>
        <v>6.0837500000000003E-2</v>
      </c>
      <c r="N43" s="24"/>
      <c r="O43" s="52"/>
    </row>
    <row r="44" spans="2:20" ht="14.1" customHeight="1" x14ac:dyDescent="0.3">
      <c r="B44" s="253"/>
      <c r="C44" s="256"/>
      <c r="D44" s="323"/>
      <c r="E44" s="222"/>
      <c r="F44" s="299" t="s">
        <v>69</v>
      </c>
      <c r="G44" s="299"/>
      <c r="H44" s="47">
        <f>H78+H105+H130</f>
        <v>4500</v>
      </c>
      <c r="I44" s="48">
        <f t="shared" si="7"/>
        <v>1</v>
      </c>
      <c r="J44" s="60"/>
      <c r="K44" s="61"/>
      <c r="L44" s="49">
        <f t="shared" si="8"/>
        <v>4500</v>
      </c>
      <c r="M44" s="50">
        <f t="shared" si="2"/>
        <v>5.6250000000000001E-2</v>
      </c>
      <c r="N44" s="63"/>
      <c r="O44" s="52"/>
    </row>
    <row r="45" spans="2:20" ht="14.1" customHeight="1" x14ac:dyDescent="0.3">
      <c r="B45" s="253"/>
      <c r="C45" s="256"/>
      <c r="D45" s="323"/>
      <c r="E45" s="222"/>
      <c r="F45" s="239" t="s">
        <v>70</v>
      </c>
      <c r="G45" s="46" t="s">
        <v>71</v>
      </c>
      <c r="H45" s="47">
        <f>H144+H170</f>
        <v>0</v>
      </c>
      <c r="I45" s="48" t="str">
        <f t="shared" si="7"/>
        <v/>
      </c>
      <c r="J45" s="60"/>
      <c r="K45" s="61"/>
      <c r="L45" s="49">
        <f t="shared" si="8"/>
        <v>0</v>
      </c>
      <c r="M45" s="50">
        <f t="shared" si="2"/>
        <v>0</v>
      </c>
      <c r="N45" s="48"/>
      <c r="O45" s="51"/>
    </row>
    <row r="46" spans="2:20" ht="14.1" customHeight="1" x14ac:dyDescent="0.3">
      <c r="B46" s="253"/>
      <c r="C46" s="256"/>
      <c r="D46" s="323"/>
      <c r="E46" s="222"/>
      <c r="F46" s="239"/>
      <c r="G46" s="46" t="s">
        <v>72</v>
      </c>
      <c r="H46" s="47">
        <f>H157-H144+H183-H170</f>
        <v>0</v>
      </c>
      <c r="I46" s="48" t="str">
        <f t="shared" si="7"/>
        <v/>
      </c>
      <c r="J46" s="60"/>
      <c r="K46" s="61"/>
      <c r="L46" s="49">
        <f t="shared" si="8"/>
        <v>0</v>
      </c>
      <c r="M46" s="50">
        <f t="shared" si="2"/>
        <v>0</v>
      </c>
      <c r="N46" s="48"/>
      <c r="O46" s="51"/>
    </row>
    <row r="47" spans="2:20" ht="14.1" customHeight="1" x14ac:dyDescent="0.3">
      <c r="B47" s="253"/>
      <c r="C47" s="256"/>
      <c r="D47" s="323"/>
      <c r="E47" s="222"/>
      <c r="F47" s="239"/>
      <c r="G47" s="46" t="s">
        <v>73</v>
      </c>
      <c r="H47" s="47">
        <f>H161+H187</f>
        <v>0</v>
      </c>
      <c r="I47" s="48" t="str">
        <f t="shared" si="7"/>
        <v/>
      </c>
      <c r="J47" s="60"/>
      <c r="K47" s="61"/>
      <c r="L47" s="49">
        <f t="shared" si="8"/>
        <v>0</v>
      </c>
      <c r="M47" s="50">
        <f t="shared" si="2"/>
        <v>0</v>
      </c>
      <c r="N47" s="48"/>
      <c r="O47" s="51"/>
    </row>
    <row r="48" spans="2:20" ht="14.1" customHeight="1" x14ac:dyDescent="0.3">
      <c r="B48" s="253"/>
      <c r="C48" s="256"/>
      <c r="D48" s="323"/>
      <c r="E48" s="222"/>
      <c r="F48" s="327" t="s">
        <v>74</v>
      </c>
      <c r="G48" s="328"/>
      <c r="H48" s="64">
        <f>H45+H46+H47</f>
        <v>0</v>
      </c>
      <c r="I48" s="65" t="str">
        <f t="shared" si="7"/>
        <v/>
      </c>
      <c r="J48" s="64">
        <f>J45+J46+J47</f>
        <v>0</v>
      </c>
      <c r="K48" s="55" t="str">
        <f>IFERROR(J48/L48,"")</f>
        <v/>
      </c>
      <c r="L48" s="64">
        <f t="shared" si="8"/>
        <v>0</v>
      </c>
      <c r="M48" s="66">
        <f t="shared" si="2"/>
        <v>0</v>
      </c>
      <c r="N48" s="67">
        <f>IFERROR(L48/(L49-L48),"")</f>
        <v>0</v>
      </c>
      <c r="O48" s="28" t="str">
        <f>IF(N48&lt;0.4,"적절","부적절")</f>
        <v>적절</v>
      </c>
    </row>
    <row r="49" spans="2:32" ht="14.1" customHeight="1" x14ac:dyDescent="0.3">
      <c r="B49" s="253"/>
      <c r="C49" s="256"/>
      <c r="D49" s="323"/>
      <c r="E49" s="284" t="s">
        <v>75</v>
      </c>
      <c r="F49" s="284"/>
      <c r="G49" s="284"/>
      <c r="H49" s="68">
        <f>SUM(H31,H32,H33,H43,H44,H48)</f>
        <v>60200</v>
      </c>
      <c r="I49" s="69">
        <f t="shared" si="7"/>
        <v>0.76982097186700771</v>
      </c>
      <c r="J49" s="68">
        <f>J31+SUM(J32:J44)+J48</f>
        <v>18000</v>
      </c>
      <c r="K49" s="69">
        <f t="shared" ref="K49" si="9">IFERROR(J49/L49,"")</f>
        <v>0.23017902813299232</v>
      </c>
      <c r="L49" s="68">
        <f t="shared" si="8"/>
        <v>78200</v>
      </c>
      <c r="M49" s="70">
        <f t="shared" si="2"/>
        <v>0.97750000000000004</v>
      </c>
      <c r="N49" s="48"/>
      <c r="O49" s="51"/>
    </row>
    <row r="50" spans="2:32" ht="14.1" customHeight="1" x14ac:dyDescent="0.3">
      <c r="B50" s="253"/>
      <c r="C50" s="256"/>
      <c r="D50" s="323"/>
      <c r="E50" s="261" t="s">
        <v>73</v>
      </c>
      <c r="F50" s="299" t="s">
        <v>76</v>
      </c>
      <c r="G50" s="299"/>
      <c r="H50" s="47">
        <f>H80+H107+H132</f>
        <v>0</v>
      </c>
      <c r="I50" s="48" t="str">
        <f t="shared" si="7"/>
        <v/>
      </c>
      <c r="J50" s="60"/>
      <c r="K50" s="61"/>
      <c r="L50" s="49">
        <f t="shared" si="8"/>
        <v>0</v>
      </c>
      <c r="M50" s="50">
        <f t="shared" si="2"/>
        <v>0</v>
      </c>
      <c r="N50" s="24"/>
      <c r="O50" s="52"/>
    </row>
    <row r="51" spans="2:32" ht="14.1" customHeight="1" x14ac:dyDescent="0.3">
      <c r="B51" s="253"/>
      <c r="C51" s="256"/>
      <c r="D51" s="323"/>
      <c r="E51" s="222"/>
      <c r="F51" s="302" t="s">
        <v>77</v>
      </c>
      <c r="G51" s="302"/>
      <c r="H51" s="47">
        <f>H81+H108+H133+H82</f>
        <v>100</v>
      </c>
      <c r="I51" s="48">
        <f t="shared" si="7"/>
        <v>1</v>
      </c>
      <c r="J51" s="60"/>
      <c r="K51" s="61"/>
      <c r="L51" s="49">
        <f t="shared" si="8"/>
        <v>100</v>
      </c>
      <c r="M51" s="50">
        <f t="shared" si="2"/>
        <v>1.25E-3</v>
      </c>
      <c r="N51" s="24"/>
      <c r="O51" s="52"/>
    </row>
    <row r="52" spans="2:32" ht="14.1" customHeight="1" x14ac:dyDescent="0.3">
      <c r="B52" s="253"/>
      <c r="C52" s="256"/>
      <c r="D52" s="323"/>
      <c r="E52" s="262"/>
      <c r="F52" s="302" t="s">
        <v>78</v>
      </c>
      <c r="G52" s="302"/>
      <c r="H52" s="47">
        <f>H83+H84</f>
        <v>1700</v>
      </c>
      <c r="I52" s="48">
        <f t="shared" si="7"/>
        <v>1</v>
      </c>
      <c r="J52" s="60"/>
      <c r="K52" s="61"/>
      <c r="L52" s="49">
        <f t="shared" si="8"/>
        <v>1700</v>
      </c>
      <c r="M52" s="50">
        <f t="shared" si="2"/>
        <v>2.1250000000000002E-2</v>
      </c>
      <c r="N52" s="24"/>
      <c r="O52" s="52"/>
    </row>
    <row r="53" spans="2:32" ht="14.1" customHeight="1" x14ac:dyDescent="0.3">
      <c r="B53" s="253"/>
      <c r="C53" s="257"/>
      <c r="D53" s="324"/>
      <c r="E53" s="235" t="s">
        <v>79</v>
      </c>
      <c r="F53" s="326"/>
      <c r="G53" s="236"/>
      <c r="H53" s="68">
        <f>SUM(H50:H52)</f>
        <v>1800</v>
      </c>
      <c r="I53" s="69">
        <f t="shared" si="7"/>
        <v>1</v>
      </c>
      <c r="J53" s="26"/>
      <c r="K53" s="71"/>
      <c r="L53" s="68">
        <f>SUM(L50:L52)</f>
        <v>1800</v>
      </c>
      <c r="M53" s="70">
        <f t="shared" si="2"/>
        <v>2.2499999999999999E-2</v>
      </c>
      <c r="N53" s="72"/>
      <c r="O53" s="73"/>
    </row>
    <row r="54" spans="2:32" ht="14.1" customHeight="1" thickBot="1" x14ac:dyDescent="0.35">
      <c r="B54" s="321"/>
      <c r="C54" s="74"/>
      <c r="D54" s="204" t="s">
        <v>15</v>
      </c>
      <c r="E54" s="205"/>
      <c r="F54" s="205"/>
      <c r="G54" s="206"/>
      <c r="H54" s="40">
        <f>H49+H53</f>
        <v>62000</v>
      </c>
      <c r="I54" s="75">
        <f t="shared" si="7"/>
        <v>0.77500000000000002</v>
      </c>
      <c r="J54" s="40">
        <f>J49+J53</f>
        <v>18000</v>
      </c>
      <c r="K54" s="75">
        <f>IFERROR(J54/L54,"")</f>
        <v>0.22500000000000001</v>
      </c>
      <c r="L54" s="40">
        <f>L49+L53</f>
        <v>80000</v>
      </c>
      <c r="M54" s="76">
        <f t="shared" si="2"/>
        <v>1</v>
      </c>
      <c r="N54" s="77"/>
      <c r="O54" s="78"/>
    </row>
    <row r="55" spans="2:32" ht="14.1" customHeight="1" x14ac:dyDescent="0.3">
      <c r="H55" s="79"/>
      <c r="I55" s="80"/>
      <c r="J55" s="79"/>
      <c r="K55" s="80"/>
      <c r="L55" s="81"/>
      <c r="M55" s="82"/>
    </row>
    <row r="56" spans="2:32" ht="14.1" customHeight="1" thickBot="1" x14ac:dyDescent="0.35">
      <c r="M56" s="8"/>
    </row>
    <row r="57" spans="2:32" ht="35.25" customHeight="1" thickBot="1" x14ac:dyDescent="0.35">
      <c r="B57" s="311" t="s">
        <v>80</v>
      </c>
      <c r="C57" s="312"/>
      <c r="D57" s="313"/>
      <c r="E57" s="83" t="s">
        <v>81</v>
      </c>
      <c r="M57" s="8"/>
      <c r="R57" s="314" t="s">
        <v>82</v>
      </c>
      <c r="S57" s="315"/>
      <c r="T57" s="315"/>
      <c r="U57" s="316"/>
    </row>
    <row r="58" spans="2:32" ht="14.1" customHeight="1" thickBot="1" x14ac:dyDescent="0.35">
      <c r="M58" s="44" t="s">
        <v>10</v>
      </c>
      <c r="AD58" s="125" t="s">
        <v>83</v>
      </c>
    </row>
    <row r="59" spans="2:32" ht="24.75" customHeight="1" x14ac:dyDescent="0.3">
      <c r="B59" s="285" t="s">
        <v>11</v>
      </c>
      <c r="C59" s="287" t="s">
        <v>26</v>
      </c>
      <c r="D59" s="287" t="s">
        <v>27</v>
      </c>
      <c r="E59" s="287" t="s">
        <v>39</v>
      </c>
      <c r="F59" s="289" t="s">
        <v>40</v>
      </c>
      <c r="G59" s="290"/>
      <c r="H59" s="189" t="s">
        <v>16</v>
      </c>
      <c r="I59" s="191"/>
      <c r="J59" s="189" t="s">
        <v>18</v>
      </c>
      <c r="K59" s="191"/>
      <c r="L59" s="189" t="s">
        <v>41</v>
      </c>
      <c r="M59" s="191"/>
      <c r="N59" s="271" t="s">
        <v>42</v>
      </c>
      <c r="O59" s="272"/>
      <c r="R59" s="275" t="s">
        <v>84</v>
      </c>
      <c r="S59" s="247"/>
      <c r="T59" s="276"/>
      <c r="U59" s="243" t="s">
        <v>85</v>
      </c>
      <c r="V59" s="243" t="s">
        <v>86</v>
      </c>
      <c r="W59" s="243" t="s">
        <v>87</v>
      </c>
      <c r="X59" s="84" t="s">
        <v>88</v>
      </c>
      <c r="Y59" s="84" t="s">
        <v>89</v>
      </c>
      <c r="Z59" s="84" t="s">
        <v>90</v>
      </c>
      <c r="AA59" s="84" t="s">
        <v>91</v>
      </c>
      <c r="AB59" s="246" t="s">
        <v>92</v>
      </c>
      <c r="AC59" s="247"/>
      <c r="AD59" s="248"/>
    </row>
    <row r="60" spans="2:32" ht="46.5" customHeight="1" x14ac:dyDescent="0.3">
      <c r="B60" s="286"/>
      <c r="C60" s="288"/>
      <c r="D60" s="288"/>
      <c r="E60" s="288"/>
      <c r="F60" s="291"/>
      <c r="G60" s="292"/>
      <c r="H60" s="45" t="s">
        <v>43</v>
      </c>
      <c r="I60" s="45" t="s">
        <v>44</v>
      </c>
      <c r="J60" s="45" t="s">
        <v>45</v>
      </c>
      <c r="K60" s="45" t="s">
        <v>46</v>
      </c>
      <c r="L60" s="45" t="s">
        <v>47</v>
      </c>
      <c r="M60" s="45" t="s">
        <v>48</v>
      </c>
      <c r="N60" s="273"/>
      <c r="O60" s="274"/>
      <c r="R60" s="277"/>
      <c r="S60" s="278"/>
      <c r="T60" s="279"/>
      <c r="U60" s="244"/>
      <c r="V60" s="244"/>
      <c r="W60" s="244"/>
      <c r="X60" s="85" t="s">
        <v>93</v>
      </c>
      <c r="Y60" s="85" t="s">
        <v>94</v>
      </c>
      <c r="Z60" s="85" t="s">
        <v>94</v>
      </c>
      <c r="AA60" s="85" t="s">
        <v>94</v>
      </c>
      <c r="AB60" s="249"/>
      <c r="AC60" s="250"/>
      <c r="AD60" s="251"/>
    </row>
    <row r="61" spans="2:32" ht="14.1" customHeight="1" thickBot="1" x14ac:dyDescent="0.35">
      <c r="B61" s="252">
        <v>1</v>
      </c>
      <c r="C61" s="255" t="s">
        <v>95</v>
      </c>
      <c r="D61" s="258" t="str">
        <f>D16</f>
        <v>젝사젠 주식회사</v>
      </c>
      <c r="E61" s="300" t="s">
        <v>50</v>
      </c>
      <c r="F61" s="301" t="s">
        <v>51</v>
      </c>
      <c r="G61" s="46" t="s">
        <v>52</v>
      </c>
      <c r="H61" s="25">
        <v>7500</v>
      </c>
      <c r="I61" s="48">
        <f>IFERROR(H61/L61,"")</f>
        <v>0.29411764705882354</v>
      </c>
      <c r="J61" s="25">
        <v>18000</v>
      </c>
      <c r="K61" s="48">
        <f>IFERROR(J61/L61,"")</f>
        <v>0.70588235294117652</v>
      </c>
      <c r="L61" s="49">
        <f>H61+J61</f>
        <v>25500</v>
      </c>
      <c r="M61" s="50">
        <f t="shared" ref="M61:M70" si="10">IFERROR(L61/$L$86,"")</f>
        <v>0.31874999999999998</v>
      </c>
      <c r="N61" s="48"/>
      <c r="O61" s="51"/>
      <c r="R61" s="280"/>
      <c r="S61" s="281"/>
      <c r="T61" s="282"/>
      <c r="U61" s="283"/>
      <c r="V61" s="283"/>
      <c r="W61" s="283"/>
      <c r="X61" s="86" t="s">
        <v>96</v>
      </c>
      <c r="Y61" s="86" t="s">
        <v>97</v>
      </c>
      <c r="Z61" s="86" t="s">
        <v>98</v>
      </c>
      <c r="AA61" s="86"/>
      <c r="AB61" s="87" t="s">
        <v>16</v>
      </c>
      <c r="AC61" s="87" t="s">
        <v>99</v>
      </c>
      <c r="AD61" s="88" t="s">
        <v>32</v>
      </c>
      <c r="AE61"/>
    </row>
    <row r="62" spans="2:32" ht="14.1" customHeight="1" x14ac:dyDescent="0.3">
      <c r="B62" s="253"/>
      <c r="C62" s="256"/>
      <c r="D62" s="259"/>
      <c r="E62" s="300"/>
      <c r="F62" s="301"/>
      <c r="G62" s="46" t="s">
        <v>53</v>
      </c>
      <c r="H62" s="25">
        <v>43333</v>
      </c>
      <c r="I62" s="48">
        <f t="shared" ref="I62:I86" si="11">IFERROR(H62/L62,"")</f>
        <v>1</v>
      </c>
      <c r="J62" s="25"/>
      <c r="K62" s="48">
        <f t="shared" ref="K62:K66" si="12">IFERROR(J62/L62,"")</f>
        <v>0</v>
      </c>
      <c r="L62" s="49">
        <f t="shared" ref="L62:L84" si="13">H62+J62</f>
        <v>43333</v>
      </c>
      <c r="M62" s="50">
        <f t="shared" si="10"/>
        <v>0.54166250000000005</v>
      </c>
      <c r="N62" s="24"/>
      <c r="O62" s="52"/>
      <c r="R62" s="266" t="s">
        <v>95</v>
      </c>
      <c r="S62" s="269" t="str">
        <f>D16</f>
        <v>젝사젠 주식회사</v>
      </c>
      <c r="T62" s="231" t="s">
        <v>51</v>
      </c>
      <c r="U62" s="233" t="s">
        <v>100</v>
      </c>
      <c r="V62" s="89" t="s">
        <v>101</v>
      </c>
      <c r="W62" s="89" t="s">
        <v>102</v>
      </c>
      <c r="X62" s="90">
        <v>40000</v>
      </c>
      <c r="Y62" s="169">
        <v>0.1</v>
      </c>
      <c r="Z62" s="169">
        <v>0.36</v>
      </c>
      <c r="AA62" s="89"/>
      <c r="AB62" s="91">
        <f>X62*Y62</f>
        <v>4000</v>
      </c>
      <c r="AC62" s="90">
        <f>X62*Z62</f>
        <v>14400</v>
      </c>
      <c r="AD62" s="92">
        <f>SUM(AB62:AC62)</f>
        <v>18400</v>
      </c>
      <c r="AF62" s="124"/>
    </row>
    <row r="63" spans="2:32" ht="14.1" customHeight="1" x14ac:dyDescent="0.3">
      <c r="B63" s="253"/>
      <c r="C63" s="256"/>
      <c r="D63" s="259"/>
      <c r="E63" s="300"/>
      <c r="F63" s="301"/>
      <c r="G63" s="53" t="s">
        <v>54</v>
      </c>
      <c r="H63" s="25"/>
      <c r="I63" s="48" t="str">
        <f t="shared" si="11"/>
        <v/>
      </c>
      <c r="J63" s="25"/>
      <c r="K63" s="48" t="str">
        <f t="shared" si="12"/>
        <v/>
      </c>
      <c r="L63" s="49">
        <f t="shared" si="13"/>
        <v>0</v>
      </c>
      <c r="M63" s="50">
        <f t="shared" si="10"/>
        <v>0</v>
      </c>
      <c r="N63" s="24"/>
      <c r="O63" s="52"/>
      <c r="R63" s="266"/>
      <c r="S63" s="269"/>
      <c r="T63" s="231"/>
      <c r="U63" s="233"/>
      <c r="V63" s="93" t="s">
        <v>1306</v>
      </c>
      <c r="W63" s="93" t="s">
        <v>1307</v>
      </c>
      <c r="X63" s="94">
        <v>10000</v>
      </c>
      <c r="Y63" s="350">
        <v>0.35</v>
      </c>
      <c r="Z63" s="350">
        <v>0.36</v>
      </c>
      <c r="AA63" s="93"/>
      <c r="AB63" s="91">
        <v>3500</v>
      </c>
      <c r="AC63" s="93">
        <v>3600</v>
      </c>
      <c r="AD63" s="92">
        <f t="shared" ref="AD63:AD65" si="14">SUM(AB63:AC63)</f>
        <v>7100</v>
      </c>
      <c r="AF63" s="124"/>
    </row>
    <row r="64" spans="2:32" ht="14.1" customHeight="1" x14ac:dyDescent="0.3">
      <c r="B64" s="253"/>
      <c r="C64" s="256"/>
      <c r="D64" s="259"/>
      <c r="E64" s="300"/>
      <c r="F64" s="284" t="s">
        <v>103</v>
      </c>
      <c r="G64" s="284"/>
      <c r="H64" s="68">
        <f>SUM(H61:H63)</f>
        <v>50833</v>
      </c>
      <c r="I64" s="69">
        <f t="shared" si="11"/>
        <v>0.73849752299042615</v>
      </c>
      <c r="J64" s="68">
        <f>SUM(J61:J63)</f>
        <v>18000</v>
      </c>
      <c r="K64" s="69">
        <f t="shared" si="12"/>
        <v>0.26150247700957391</v>
      </c>
      <c r="L64" s="68">
        <f>SUM(L61:L63)</f>
        <v>68833</v>
      </c>
      <c r="M64" s="70">
        <f t="shared" si="10"/>
        <v>0.86041250000000002</v>
      </c>
      <c r="N64" s="95"/>
      <c r="O64" s="96"/>
      <c r="R64" s="266"/>
      <c r="S64" s="269"/>
      <c r="T64" s="231"/>
      <c r="U64" s="233"/>
      <c r="V64" s="93"/>
      <c r="W64" s="93"/>
      <c r="X64" s="94"/>
      <c r="Y64" s="93"/>
      <c r="Z64" s="93"/>
      <c r="AA64" s="93"/>
      <c r="AB64" s="97"/>
      <c r="AC64" s="93"/>
      <c r="AD64" s="92">
        <f t="shared" si="14"/>
        <v>0</v>
      </c>
      <c r="AF64" s="124"/>
    </row>
    <row r="65" spans="1:33" ht="14.1" customHeight="1" x14ac:dyDescent="0.3">
      <c r="B65" s="253"/>
      <c r="C65" s="256"/>
      <c r="D65" s="259"/>
      <c r="E65" s="300"/>
      <c r="F65" s="302" t="s">
        <v>56</v>
      </c>
      <c r="G65" s="302"/>
      <c r="H65" s="25"/>
      <c r="I65" s="48" t="str">
        <f t="shared" si="11"/>
        <v/>
      </c>
      <c r="J65" s="25"/>
      <c r="K65" s="48" t="str">
        <f t="shared" si="12"/>
        <v/>
      </c>
      <c r="L65" s="49">
        <f t="shared" si="13"/>
        <v>0</v>
      </c>
      <c r="M65" s="50">
        <f t="shared" si="10"/>
        <v>0</v>
      </c>
      <c r="N65" s="24"/>
      <c r="O65" s="52"/>
      <c r="R65" s="266"/>
      <c r="S65" s="269"/>
      <c r="T65" s="231"/>
      <c r="U65" s="233"/>
      <c r="V65" s="93"/>
      <c r="W65" s="93"/>
      <c r="X65" s="94"/>
      <c r="Y65" s="93"/>
      <c r="Z65" s="93"/>
      <c r="AA65" s="93"/>
      <c r="AB65" s="94"/>
      <c r="AC65" s="98"/>
      <c r="AD65" s="92">
        <f t="shared" si="14"/>
        <v>0</v>
      </c>
      <c r="AF65" s="124"/>
    </row>
    <row r="66" spans="1:33" ht="14.1" customHeight="1" x14ac:dyDescent="0.3">
      <c r="B66" s="253"/>
      <c r="C66" s="256"/>
      <c r="D66" s="259"/>
      <c r="E66" s="300"/>
      <c r="F66" s="303" t="s">
        <v>57</v>
      </c>
      <c r="G66" s="303"/>
      <c r="H66" s="25"/>
      <c r="I66" s="48" t="str">
        <f t="shared" si="11"/>
        <v/>
      </c>
      <c r="J66" s="25"/>
      <c r="K66" s="48" t="str">
        <f t="shared" si="12"/>
        <v/>
      </c>
      <c r="L66" s="49">
        <f t="shared" si="13"/>
        <v>0</v>
      </c>
      <c r="M66" s="50">
        <f t="shared" si="10"/>
        <v>0</v>
      </c>
      <c r="N66" s="24"/>
      <c r="O66" s="52"/>
      <c r="R66" s="266"/>
      <c r="S66" s="269"/>
      <c r="T66" s="231"/>
      <c r="U66" s="233"/>
      <c r="V66" s="93"/>
      <c r="W66" s="93"/>
      <c r="X66" s="94"/>
      <c r="Y66" s="93"/>
      <c r="Z66" s="93"/>
      <c r="AA66" s="93"/>
      <c r="AB66" s="94"/>
      <c r="AC66" s="93"/>
      <c r="AD66" s="92"/>
      <c r="AF66" s="124"/>
    </row>
    <row r="67" spans="1:33" ht="14.1" customHeight="1" x14ac:dyDescent="0.3">
      <c r="B67" s="253"/>
      <c r="C67" s="256"/>
      <c r="D67" s="259"/>
      <c r="E67" s="300"/>
      <c r="F67" s="239" t="s">
        <v>58</v>
      </c>
      <c r="G67" s="59" t="s">
        <v>59</v>
      </c>
      <c r="H67" s="25"/>
      <c r="I67" s="48" t="str">
        <f t="shared" si="11"/>
        <v/>
      </c>
      <c r="J67" s="60"/>
      <c r="K67" s="61"/>
      <c r="L67" s="49">
        <f t="shared" si="13"/>
        <v>0</v>
      </c>
      <c r="M67" s="50">
        <f t="shared" si="10"/>
        <v>0</v>
      </c>
      <c r="N67" s="24"/>
      <c r="O67" s="52"/>
      <c r="R67" s="266"/>
      <c r="S67" s="269"/>
      <c r="T67" s="231"/>
      <c r="U67" s="233"/>
      <c r="V67" s="99"/>
      <c r="W67" s="99"/>
      <c r="X67" s="99"/>
      <c r="Y67" s="99"/>
      <c r="Z67" s="99"/>
      <c r="AA67" s="99"/>
      <c r="AB67" s="93"/>
      <c r="AC67" s="93"/>
      <c r="AD67" s="92">
        <f t="shared" ref="AD67:AD78" si="15">SUM(AB67:AC67)</f>
        <v>0</v>
      </c>
      <c r="AF67" s="124"/>
    </row>
    <row r="68" spans="1:33" ht="14.1" customHeight="1" x14ac:dyDescent="0.3">
      <c r="B68" s="253"/>
      <c r="C68" s="256"/>
      <c r="D68" s="259"/>
      <c r="E68" s="300"/>
      <c r="F68" s="239"/>
      <c r="G68" s="59" t="s">
        <v>60</v>
      </c>
      <c r="H68" s="25">
        <v>600</v>
      </c>
      <c r="I68" s="48">
        <f t="shared" si="11"/>
        <v>1</v>
      </c>
      <c r="J68" s="60"/>
      <c r="K68" s="61"/>
      <c r="L68" s="49">
        <f t="shared" si="13"/>
        <v>600</v>
      </c>
      <c r="M68" s="50">
        <f t="shared" si="10"/>
        <v>7.4999999999999997E-3</v>
      </c>
      <c r="N68" s="100">
        <f>IFERROR(L68/L79,"")</f>
        <v>7.6726342710997444E-3</v>
      </c>
      <c r="O68" s="28" t="str">
        <f>IF(N68&lt;0.4,"적절","부적절")</f>
        <v>적절</v>
      </c>
      <c r="R68" s="266"/>
      <c r="S68" s="269"/>
      <c r="T68" s="231"/>
      <c r="U68" s="229" t="s">
        <v>104</v>
      </c>
      <c r="V68" s="101" t="s">
        <v>105</v>
      </c>
      <c r="W68" s="101" t="s">
        <v>106</v>
      </c>
      <c r="X68" s="102">
        <v>30000</v>
      </c>
      <c r="Y68" s="170">
        <v>0.55000000000000004</v>
      </c>
      <c r="Z68" s="170"/>
      <c r="AA68" s="101"/>
      <c r="AB68" s="91">
        <f>X68*Y68</f>
        <v>16500</v>
      </c>
      <c r="AC68" s="93"/>
      <c r="AD68" s="92">
        <f t="shared" si="15"/>
        <v>16500</v>
      </c>
      <c r="AF68" s="124"/>
      <c r="AG68" s="171"/>
    </row>
    <row r="69" spans="1:33" ht="13.5" customHeight="1" x14ac:dyDescent="0.3">
      <c r="B69" s="253"/>
      <c r="C69" s="256"/>
      <c r="D69" s="259"/>
      <c r="E69" s="300"/>
      <c r="F69" s="239"/>
      <c r="G69" s="59" t="s">
        <v>61</v>
      </c>
      <c r="H69" s="25">
        <v>1000</v>
      </c>
      <c r="I69" s="48">
        <f t="shared" si="11"/>
        <v>1</v>
      </c>
      <c r="J69" s="60"/>
      <c r="K69" s="61"/>
      <c r="L69" s="49">
        <f t="shared" si="13"/>
        <v>1000</v>
      </c>
      <c r="M69" s="50">
        <f t="shared" si="10"/>
        <v>1.2500000000000001E-2</v>
      </c>
      <c r="N69" s="24"/>
      <c r="O69" s="52"/>
      <c r="R69" s="266"/>
      <c r="S69" s="269"/>
      <c r="T69" s="231"/>
      <c r="U69" s="229"/>
      <c r="V69" s="101" t="s">
        <v>1308</v>
      </c>
      <c r="W69" s="101" t="s">
        <v>1309</v>
      </c>
      <c r="X69" s="102">
        <v>7500</v>
      </c>
      <c r="Y69" s="170">
        <v>0.4</v>
      </c>
      <c r="Z69" s="170"/>
      <c r="AA69" s="101"/>
      <c r="AB69" s="91">
        <f t="shared" ref="AB69:AB71" si="16">X69*Y69</f>
        <v>3000</v>
      </c>
      <c r="AC69" s="98"/>
      <c r="AD69" s="92">
        <f t="shared" si="15"/>
        <v>3000</v>
      </c>
      <c r="AF69" s="124"/>
      <c r="AG69" s="171"/>
    </row>
    <row r="70" spans="1:33" ht="13.5" customHeight="1" x14ac:dyDescent="0.3">
      <c r="B70" s="253"/>
      <c r="C70" s="256"/>
      <c r="D70" s="259"/>
      <c r="E70" s="300"/>
      <c r="F70" s="239"/>
      <c r="G70" s="59" t="s">
        <v>62</v>
      </c>
      <c r="H70" s="25"/>
      <c r="I70" s="48" t="str">
        <f t="shared" si="11"/>
        <v/>
      </c>
      <c r="J70" s="60"/>
      <c r="K70" s="61"/>
      <c r="L70" s="49">
        <f t="shared" si="13"/>
        <v>0</v>
      </c>
      <c r="M70" s="50">
        <f t="shared" si="10"/>
        <v>0</v>
      </c>
      <c r="N70" s="24"/>
      <c r="O70" s="52"/>
      <c r="R70" s="266"/>
      <c r="S70" s="269"/>
      <c r="T70" s="231"/>
      <c r="U70" s="229"/>
      <c r="V70" s="101" t="s">
        <v>107</v>
      </c>
      <c r="W70" s="101" t="s">
        <v>106</v>
      </c>
      <c r="X70" s="102">
        <v>33333</v>
      </c>
      <c r="Y70" s="170">
        <v>0.55000000000000004</v>
      </c>
      <c r="Z70" s="170"/>
      <c r="AA70" s="101"/>
      <c r="AB70" s="91">
        <f t="shared" si="16"/>
        <v>18333.150000000001</v>
      </c>
      <c r="AC70" s="93"/>
      <c r="AD70" s="92">
        <f t="shared" si="15"/>
        <v>18333.150000000001</v>
      </c>
      <c r="AF70" s="124"/>
      <c r="AG70" s="171"/>
    </row>
    <row r="71" spans="1:33" ht="13.5" customHeight="1" x14ac:dyDescent="0.3">
      <c r="B71" s="253"/>
      <c r="C71" s="256"/>
      <c r="D71" s="259"/>
      <c r="E71" s="300"/>
      <c r="F71" s="239"/>
      <c r="G71" s="59" t="s">
        <v>110</v>
      </c>
      <c r="H71" s="25">
        <v>3000</v>
      </c>
      <c r="I71" s="48"/>
      <c r="J71" s="60"/>
      <c r="K71" s="61"/>
      <c r="L71" s="49"/>
      <c r="M71" s="50"/>
      <c r="N71" s="24"/>
      <c r="O71" s="52"/>
      <c r="R71" s="266"/>
      <c r="S71" s="269"/>
      <c r="T71" s="231"/>
      <c r="U71" s="229"/>
      <c r="V71" s="101" t="s">
        <v>108</v>
      </c>
      <c r="W71" s="101" t="s">
        <v>109</v>
      </c>
      <c r="X71" s="102">
        <v>18333</v>
      </c>
      <c r="Y71" s="170">
        <v>0.3</v>
      </c>
      <c r="Z71" s="101"/>
      <c r="AA71" s="101"/>
      <c r="AB71" s="91">
        <f t="shared" si="16"/>
        <v>5499.9</v>
      </c>
      <c r="AC71" s="93"/>
      <c r="AD71" s="92">
        <f t="shared" ref="AD71" si="17">SUM(AB71:AC71)</f>
        <v>5499.9</v>
      </c>
      <c r="AF71" s="124"/>
      <c r="AG71" s="171"/>
    </row>
    <row r="72" spans="1:33" ht="13.5" customHeight="1" x14ac:dyDescent="0.3">
      <c r="A72" s="2" t="s">
        <v>111</v>
      </c>
      <c r="B72" s="253"/>
      <c r="C72" s="256"/>
      <c r="D72" s="259"/>
      <c r="E72" s="300"/>
      <c r="F72" s="239"/>
      <c r="G72" s="59" t="s">
        <v>112</v>
      </c>
      <c r="H72" s="25"/>
      <c r="I72" s="48" t="str">
        <f t="shared" si="11"/>
        <v/>
      </c>
      <c r="J72" s="60"/>
      <c r="K72" s="61"/>
      <c r="L72" s="49">
        <f t="shared" si="13"/>
        <v>0</v>
      </c>
      <c r="M72" s="50">
        <f>IFERROR(L72/$L$86,"")</f>
        <v>0</v>
      </c>
      <c r="N72" s="24"/>
      <c r="O72" s="52"/>
      <c r="R72" s="266"/>
      <c r="S72" s="269"/>
      <c r="T72" s="231"/>
      <c r="U72" s="229"/>
      <c r="V72" s="101"/>
      <c r="W72" s="101"/>
      <c r="X72" s="101"/>
      <c r="Y72" s="101"/>
      <c r="Z72" s="101"/>
      <c r="AA72" s="101"/>
      <c r="AB72" s="103"/>
      <c r="AC72" s="93"/>
      <c r="AD72" s="92">
        <f t="shared" si="15"/>
        <v>0</v>
      </c>
      <c r="AF72" s="124"/>
    </row>
    <row r="73" spans="1:33" ht="13.5" customHeight="1" x14ac:dyDescent="0.3">
      <c r="B73" s="253"/>
      <c r="C73" s="256"/>
      <c r="D73" s="259"/>
      <c r="E73" s="300"/>
      <c r="F73" s="239"/>
      <c r="G73" s="59" t="s">
        <v>113</v>
      </c>
      <c r="H73" s="25"/>
      <c r="I73" s="48" t="str">
        <f t="shared" si="11"/>
        <v/>
      </c>
      <c r="J73" s="60"/>
      <c r="K73" s="61"/>
      <c r="L73" s="49">
        <f t="shared" si="13"/>
        <v>0</v>
      </c>
      <c r="M73" s="50">
        <f>IFERROR(L73/$L$86,"")</f>
        <v>0</v>
      </c>
      <c r="N73" s="24"/>
      <c r="O73" s="52"/>
      <c r="R73" s="266"/>
      <c r="S73" s="269"/>
      <c r="T73" s="231"/>
      <c r="U73" s="295" t="s">
        <v>114</v>
      </c>
      <c r="V73" s="295"/>
      <c r="W73" s="295"/>
      <c r="X73" s="295"/>
      <c r="Y73" s="295"/>
      <c r="Z73" s="295"/>
      <c r="AA73" s="295"/>
      <c r="AB73" s="104">
        <f>SUM(AB62:AB72)</f>
        <v>50833.05</v>
      </c>
      <c r="AC73" s="105">
        <f>SUM(AC62:AC72)</f>
        <v>18000</v>
      </c>
      <c r="AD73" s="106">
        <f>SUM(AD62:AD72)</f>
        <v>68833.05</v>
      </c>
      <c r="AF73" s="124"/>
    </row>
    <row r="74" spans="1:33" ht="13.5" customHeight="1" x14ac:dyDescent="0.3">
      <c r="B74" s="253"/>
      <c r="C74" s="256"/>
      <c r="D74" s="259"/>
      <c r="E74" s="300"/>
      <c r="F74" s="239"/>
      <c r="G74" s="59" t="s">
        <v>66</v>
      </c>
      <c r="H74" s="25"/>
      <c r="I74" s="48" t="str">
        <f t="shared" si="11"/>
        <v/>
      </c>
      <c r="J74" s="60"/>
      <c r="K74" s="61"/>
      <c r="L74" s="49">
        <f t="shared" si="13"/>
        <v>0</v>
      </c>
      <c r="M74" s="50">
        <f>IFERROR(L74/$L$86,"")</f>
        <v>0</v>
      </c>
      <c r="N74" s="24"/>
      <c r="O74" s="52"/>
      <c r="R74" s="266"/>
      <c r="S74" s="269"/>
      <c r="T74" s="231"/>
      <c r="U74" s="229" t="s">
        <v>115</v>
      </c>
      <c r="V74" s="107"/>
      <c r="W74" s="101"/>
      <c r="X74" s="101"/>
      <c r="Y74" s="101"/>
      <c r="Z74" s="101"/>
      <c r="AA74" s="101"/>
      <c r="AB74" s="103"/>
      <c r="AC74" s="93"/>
      <c r="AD74" s="92">
        <f t="shared" si="15"/>
        <v>0</v>
      </c>
      <c r="AF74" s="124"/>
    </row>
    <row r="75" spans="1:33" ht="13.5" customHeight="1" x14ac:dyDescent="0.3">
      <c r="B75" s="253"/>
      <c r="C75" s="256"/>
      <c r="D75" s="259"/>
      <c r="E75" s="300"/>
      <c r="F75" s="239"/>
      <c r="G75" s="59" t="s">
        <v>67</v>
      </c>
      <c r="H75" s="25"/>
      <c r="I75" s="48" t="str">
        <f t="shared" si="11"/>
        <v/>
      </c>
      <c r="J75" s="60"/>
      <c r="K75" s="61"/>
      <c r="L75" s="49">
        <f t="shared" si="13"/>
        <v>0</v>
      </c>
      <c r="M75" s="50">
        <f t="shared" ref="M75" si="18">IFERROR(L75/$L$86,"")</f>
        <v>0</v>
      </c>
      <c r="N75" s="24"/>
      <c r="O75" s="52"/>
      <c r="R75" s="266"/>
      <c r="S75" s="269"/>
      <c r="T75" s="231"/>
      <c r="U75" s="229"/>
      <c r="V75" s="107"/>
      <c r="W75" s="101"/>
      <c r="X75" s="101"/>
      <c r="Y75" s="101"/>
      <c r="Z75" s="101"/>
      <c r="AA75" s="101"/>
      <c r="AB75" s="103"/>
      <c r="AC75" s="93"/>
      <c r="AD75" s="92">
        <f t="shared" si="15"/>
        <v>0</v>
      </c>
      <c r="AF75" s="124"/>
      <c r="AG75" s="171"/>
    </row>
    <row r="76" spans="1:33" ht="13.5" customHeight="1" x14ac:dyDescent="0.3">
      <c r="B76" s="253"/>
      <c r="C76" s="256"/>
      <c r="D76" s="259"/>
      <c r="E76" s="300"/>
      <c r="F76" s="239"/>
      <c r="G76" s="59" t="s">
        <v>116</v>
      </c>
      <c r="H76" s="25">
        <v>267</v>
      </c>
      <c r="I76" s="48">
        <f t="shared" si="11"/>
        <v>1</v>
      </c>
      <c r="J76" s="60"/>
      <c r="K76" s="61"/>
      <c r="L76" s="49">
        <f t="shared" si="13"/>
        <v>267</v>
      </c>
      <c r="M76" s="50">
        <f>IFERROR(L76/$L$86,"")</f>
        <v>3.3375000000000002E-3</v>
      </c>
      <c r="N76" s="24"/>
      <c r="O76" s="52"/>
      <c r="R76" s="266"/>
      <c r="S76" s="269"/>
      <c r="T76" s="231"/>
      <c r="U76" s="229"/>
      <c r="V76" s="107"/>
      <c r="W76" s="101"/>
      <c r="X76" s="101"/>
      <c r="Y76" s="101"/>
      <c r="Z76" s="101"/>
      <c r="AA76" s="101"/>
      <c r="AB76" s="103"/>
      <c r="AC76" s="93"/>
      <c r="AD76" s="92">
        <f t="shared" si="15"/>
        <v>0</v>
      </c>
      <c r="AF76" s="124"/>
    </row>
    <row r="77" spans="1:33" ht="13.5" customHeight="1" x14ac:dyDescent="0.3">
      <c r="B77" s="253"/>
      <c r="C77" s="256"/>
      <c r="D77" s="259"/>
      <c r="E77" s="300"/>
      <c r="F77" s="306" t="s">
        <v>68</v>
      </c>
      <c r="G77" s="307"/>
      <c r="H77" s="109">
        <f>SUM(H67:H76)</f>
        <v>4867</v>
      </c>
      <c r="I77" s="48">
        <f t="shared" si="11"/>
        <v>1</v>
      </c>
      <c r="J77" s="60"/>
      <c r="K77" s="61"/>
      <c r="L77" s="54">
        <f t="shared" si="13"/>
        <v>4867</v>
      </c>
      <c r="M77" s="56">
        <f>IFERROR(L77/$L$86,"")</f>
        <v>6.0837500000000003E-2</v>
      </c>
      <c r="N77" s="24"/>
      <c r="O77" s="52"/>
      <c r="R77" s="266"/>
      <c r="S77" s="269"/>
      <c r="T77" s="231"/>
      <c r="U77" s="229"/>
      <c r="V77" s="107"/>
      <c r="W77" s="101"/>
      <c r="X77" s="101"/>
      <c r="Y77" s="101"/>
      <c r="Z77" s="101"/>
      <c r="AA77" s="101"/>
      <c r="AB77" s="103"/>
      <c r="AC77" s="93"/>
      <c r="AD77" s="92">
        <f t="shared" si="15"/>
        <v>0</v>
      </c>
      <c r="AF77" s="124"/>
    </row>
    <row r="78" spans="1:33" ht="13.5" customHeight="1" x14ac:dyDescent="0.3">
      <c r="B78" s="253"/>
      <c r="C78" s="256"/>
      <c r="D78" s="259"/>
      <c r="E78" s="300"/>
      <c r="F78" s="299" t="s">
        <v>69</v>
      </c>
      <c r="G78" s="299"/>
      <c r="H78" s="25">
        <v>4500</v>
      </c>
      <c r="I78" s="48">
        <f t="shared" si="11"/>
        <v>1</v>
      </c>
      <c r="J78" s="60"/>
      <c r="K78" s="61"/>
      <c r="L78" s="49">
        <f t="shared" si="13"/>
        <v>4500</v>
      </c>
      <c r="M78" s="50">
        <f>IFERROR(L78/$L$86,"")</f>
        <v>5.6250000000000001E-2</v>
      </c>
      <c r="N78" s="110">
        <f>IFERROR(H78/L64,"")</f>
        <v>6.5375619252393477E-2</v>
      </c>
      <c r="O78" s="28" t="str">
        <f>IF(N78&lt;=0.2,"적절","부적절")</f>
        <v>적절</v>
      </c>
      <c r="R78" s="266"/>
      <c r="S78" s="269"/>
      <c r="T78" s="231"/>
      <c r="U78" s="229"/>
      <c r="V78" s="107"/>
      <c r="W78" s="101"/>
      <c r="X78" s="101"/>
      <c r="Y78" s="101"/>
      <c r="Z78" s="101"/>
      <c r="AA78" s="101"/>
      <c r="AB78" s="103"/>
      <c r="AC78" s="93"/>
      <c r="AD78" s="92">
        <f t="shared" si="15"/>
        <v>0</v>
      </c>
      <c r="AF78" s="124"/>
    </row>
    <row r="79" spans="1:33" ht="13.5" customHeight="1" x14ac:dyDescent="0.3">
      <c r="B79" s="253"/>
      <c r="C79" s="256"/>
      <c r="D79" s="259"/>
      <c r="E79" s="218" t="s">
        <v>75</v>
      </c>
      <c r="F79" s="219"/>
      <c r="G79" s="220"/>
      <c r="H79" s="111">
        <f>SUM(H64,H65,H66,H77,H78)</f>
        <v>60200</v>
      </c>
      <c r="I79" s="112">
        <f t="shared" si="11"/>
        <v>0.76982097186700771</v>
      </c>
      <c r="J79" s="111">
        <f>SUM(J64:J78)</f>
        <v>18000</v>
      </c>
      <c r="K79" s="112">
        <f>IFERROR(J79/L79,"")</f>
        <v>0.23017902813299232</v>
      </c>
      <c r="L79" s="68">
        <f>SUM(L64,L65,L66,L77,L78)</f>
        <v>78200</v>
      </c>
      <c r="M79" s="70">
        <f>IFERROR(L79/$L$86,"")</f>
        <v>0.97750000000000004</v>
      </c>
      <c r="N79" s="48"/>
      <c r="O79" s="51"/>
      <c r="R79" s="267"/>
      <c r="S79" s="270"/>
      <c r="T79" s="232"/>
      <c r="U79" s="225" t="s">
        <v>114</v>
      </c>
      <c r="V79" s="226"/>
      <c r="W79" s="226"/>
      <c r="X79" s="226"/>
      <c r="Y79" s="226"/>
      <c r="Z79" s="226"/>
      <c r="AA79" s="226"/>
      <c r="AB79" s="113">
        <f>SUM(AB74:AB78)</f>
        <v>0</v>
      </c>
      <c r="AC79" s="113">
        <f>SUM(AC74:AC78)</f>
        <v>0</v>
      </c>
      <c r="AD79" s="106">
        <f>SUM(AD74:AD78)</f>
        <v>0</v>
      </c>
    </row>
    <row r="80" spans="1:33" ht="13.5" customHeight="1" thickBot="1" x14ac:dyDescent="0.35">
      <c r="B80" s="253"/>
      <c r="C80" s="256"/>
      <c r="D80" s="259"/>
      <c r="E80" s="308" t="s">
        <v>73</v>
      </c>
      <c r="F80" s="223" t="s">
        <v>76</v>
      </c>
      <c r="G80" s="224"/>
      <c r="H80" s="25"/>
      <c r="I80" s="48" t="str">
        <f t="shared" si="11"/>
        <v/>
      </c>
      <c r="J80" s="60"/>
      <c r="K80" s="61"/>
      <c r="L80" s="49">
        <f t="shared" si="13"/>
        <v>0</v>
      </c>
      <c r="M80" s="50">
        <f>IFERROR(L80/$L$86,"")</f>
        <v>0</v>
      </c>
      <c r="N80" s="24"/>
      <c r="O80" s="52"/>
      <c r="R80" s="207" t="s">
        <v>117</v>
      </c>
      <c r="S80" s="208"/>
      <c r="T80" s="208"/>
      <c r="U80" s="208"/>
      <c r="V80" s="208"/>
      <c r="W80" s="208"/>
      <c r="X80" s="208"/>
      <c r="Y80" s="208"/>
      <c r="Z80" s="208"/>
      <c r="AA80" s="208"/>
      <c r="AB80" s="114">
        <f>AB73+AB79</f>
        <v>50833.05</v>
      </c>
      <c r="AC80" s="114">
        <f>AC73+AC79</f>
        <v>18000</v>
      </c>
      <c r="AD80" s="115">
        <f>AD73+AD79</f>
        <v>68833.05</v>
      </c>
      <c r="AE80" s="116"/>
    </row>
    <row r="81" spans="2:32" ht="14.1" customHeight="1" x14ac:dyDescent="0.3">
      <c r="B81" s="253"/>
      <c r="C81" s="256"/>
      <c r="D81" s="259"/>
      <c r="E81" s="309"/>
      <c r="F81" s="227" t="s">
        <v>77</v>
      </c>
      <c r="G81" s="228"/>
      <c r="H81" s="25">
        <v>100</v>
      </c>
      <c r="I81" s="48">
        <f t="shared" si="11"/>
        <v>1</v>
      </c>
      <c r="J81" s="60"/>
      <c r="K81" s="61"/>
      <c r="L81" s="49">
        <f t="shared" si="13"/>
        <v>100</v>
      </c>
      <c r="M81" s="50">
        <f t="shared" ref="M81:M84" si="19">IFERROR(L81/$L$86,"")</f>
        <v>1.25E-3</v>
      </c>
      <c r="N81" s="24"/>
      <c r="O81" s="52"/>
    </row>
    <row r="82" spans="2:32" ht="14.1" customHeight="1" x14ac:dyDescent="0.3">
      <c r="B82" s="253"/>
      <c r="C82" s="256"/>
      <c r="D82" s="259"/>
      <c r="E82" s="309"/>
      <c r="F82" s="227" t="s">
        <v>77</v>
      </c>
      <c r="G82" s="228"/>
      <c r="H82" s="25"/>
      <c r="I82" s="48"/>
      <c r="J82" s="60"/>
      <c r="K82" s="61"/>
      <c r="L82" s="49">
        <f t="shared" si="13"/>
        <v>0</v>
      </c>
      <c r="M82" s="50">
        <f t="shared" si="19"/>
        <v>0</v>
      </c>
      <c r="N82" s="24"/>
      <c r="O82" s="52"/>
    </row>
    <row r="83" spans="2:32" ht="14.1" customHeight="1" x14ac:dyDescent="0.3">
      <c r="B83" s="253"/>
      <c r="C83" s="256"/>
      <c r="D83" s="259"/>
      <c r="E83" s="309"/>
      <c r="F83" s="227" t="s">
        <v>78</v>
      </c>
      <c r="G83" s="228"/>
      <c r="H83" s="25">
        <v>1500</v>
      </c>
      <c r="I83" s="48">
        <f t="shared" si="11"/>
        <v>1</v>
      </c>
      <c r="J83" s="60"/>
      <c r="K83" s="61"/>
      <c r="L83" s="49">
        <f t="shared" si="13"/>
        <v>1500</v>
      </c>
      <c r="M83" s="50">
        <f t="shared" si="19"/>
        <v>1.8749999999999999E-2</v>
      </c>
      <c r="N83" s="24"/>
      <c r="O83" s="52"/>
    </row>
    <row r="84" spans="2:32" ht="14.1" customHeight="1" x14ac:dyDescent="0.3">
      <c r="B84" s="253"/>
      <c r="C84" s="256"/>
      <c r="D84" s="259"/>
      <c r="E84" s="310"/>
      <c r="F84" s="303" t="s">
        <v>118</v>
      </c>
      <c r="G84" s="303"/>
      <c r="H84" s="108">
        <v>200</v>
      </c>
      <c r="I84" s="48"/>
      <c r="J84" s="117"/>
      <c r="K84" s="118"/>
      <c r="L84" s="49">
        <f t="shared" si="13"/>
        <v>200</v>
      </c>
      <c r="M84" s="50">
        <f t="shared" si="19"/>
        <v>2.5000000000000001E-3</v>
      </c>
      <c r="N84" s="24"/>
      <c r="O84" s="52"/>
    </row>
    <row r="85" spans="2:32" ht="12.75" customHeight="1" x14ac:dyDescent="0.3">
      <c r="B85" s="254"/>
      <c r="C85" s="257"/>
      <c r="D85" s="260"/>
      <c r="E85" s="296" t="s">
        <v>119</v>
      </c>
      <c r="F85" s="297"/>
      <c r="G85" s="298"/>
      <c r="H85" s="68">
        <f>SUM(H80:H84)</f>
        <v>1800</v>
      </c>
      <c r="I85" s="69">
        <f t="shared" si="11"/>
        <v>1</v>
      </c>
      <c r="J85" s="60"/>
      <c r="K85" s="61"/>
      <c r="L85" s="68">
        <f>SUM(L80:L84)</f>
        <v>1800</v>
      </c>
      <c r="M85" s="70">
        <f>IFERROR(L85/H79,"")</f>
        <v>2.9900332225913623E-2</v>
      </c>
      <c r="N85" s="110">
        <f>IFERROR(L85/H79,"")</f>
        <v>2.9900332225913623E-2</v>
      </c>
      <c r="O85" s="28" t="str">
        <f>IF(N85&lt;0.1,"적절","부적절")</f>
        <v>적절</v>
      </c>
    </row>
    <row r="86" spans="2:32" ht="12.75" customHeight="1" thickBot="1" x14ac:dyDescent="0.35">
      <c r="B86" s="119"/>
      <c r="C86" s="38"/>
      <c r="D86" s="204" t="s">
        <v>15</v>
      </c>
      <c r="E86" s="205"/>
      <c r="F86" s="205"/>
      <c r="G86" s="206"/>
      <c r="H86" s="40">
        <f>H79+H85</f>
        <v>62000</v>
      </c>
      <c r="I86" s="75">
        <f t="shared" si="11"/>
        <v>0.77500000000000002</v>
      </c>
      <c r="J86" s="40">
        <f>J79+J85</f>
        <v>18000</v>
      </c>
      <c r="K86" s="75">
        <f t="shared" ref="K86" si="20">IFERROR(J86/L86,"")</f>
        <v>0.22500000000000001</v>
      </c>
      <c r="L86" s="40">
        <f>L79+L85</f>
        <v>80000</v>
      </c>
      <c r="M86" s="76">
        <f>IFERROR(L86/$L$86,"")</f>
        <v>1</v>
      </c>
      <c r="N86" s="77"/>
      <c r="O86" s="78"/>
    </row>
    <row r="87" spans="2:32" ht="12.75" customHeight="1" thickBot="1" x14ac:dyDescent="0.35">
      <c r="C87" s="304"/>
      <c r="D87" s="305"/>
      <c r="E87" s="305"/>
      <c r="H87" s="79"/>
      <c r="I87" s="80"/>
      <c r="J87" s="79"/>
      <c r="K87" s="80"/>
      <c r="L87" s="81"/>
      <c r="M87" s="44" t="s">
        <v>10</v>
      </c>
      <c r="AD87" s="3" t="s">
        <v>83</v>
      </c>
    </row>
    <row r="88" spans="2:32" ht="12.75" customHeight="1" x14ac:dyDescent="0.3">
      <c r="B88" s="285" t="s">
        <v>11</v>
      </c>
      <c r="C88" s="287" t="s">
        <v>26</v>
      </c>
      <c r="D88" s="287" t="s">
        <v>27</v>
      </c>
      <c r="E88" s="287" t="s">
        <v>39</v>
      </c>
      <c r="F88" s="289" t="s">
        <v>40</v>
      </c>
      <c r="G88" s="290"/>
      <c r="H88" s="189" t="s">
        <v>16</v>
      </c>
      <c r="I88" s="191"/>
      <c r="J88" s="189" t="s">
        <v>18</v>
      </c>
      <c r="K88" s="191"/>
      <c r="L88" s="189" t="s">
        <v>41</v>
      </c>
      <c r="M88" s="191"/>
      <c r="N88" s="271" t="s">
        <v>42</v>
      </c>
      <c r="O88" s="272"/>
      <c r="R88" s="275" t="s">
        <v>84</v>
      </c>
      <c r="S88" s="247"/>
      <c r="T88" s="276"/>
      <c r="U88" s="243" t="s">
        <v>85</v>
      </c>
      <c r="V88" s="243" t="s">
        <v>86</v>
      </c>
      <c r="W88" s="243" t="s">
        <v>87</v>
      </c>
      <c r="X88" s="84" t="s">
        <v>88</v>
      </c>
      <c r="Y88" s="84" t="s">
        <v>89</v>
      </c>
      <c r="Z88" s="84" t="s">
        <v>90</v>
      </c>
      <c r="AA88" s="84" t="s">
        <v>91</v>
      </c>
      <c r="AB88" s="246" t="s">
        <v>92</v>
      </c>
      <c r="AC88" s="247"/>
      <c r="AD88" s="248"/>
    </row>
    <row r="89" spans="2:32" ht="32.1" customHeight="1" x14ac:dyDescent="0.3">
      <c r="B89" s="286"/>
      <c r="C89" s="288"/>
      <c r="D89" s="288"/>
      <c r="E89" s="288"/>
      <c r="F89" s="291"/>
      <c r="G89" s="292"/>
      <c r="H89" s="45" t="s">
        <v>43</v>
      </c>
      <c r="I89" s="45" t="s">
        <v>44</v>
      </c>
      <c r="J89" s="45" t="s">
        <v>45</v>
      </c>
      <c r="K89" s="45" t="s">
        <v>46</v>
      </c>
      <c r="L89" s="45" t="s">
        <v>47</v>
      </c>
      <c r="M89" s="45" t="s">
        <v>48</v>
      </c>
      <c r="N89" s="273"/>
      <c r="O89" s="274"/>
      <c r="R89" s="277"/>
      <c r="S89" s="278"/>
      <c r="T89" s="279"/>
      <c r="U89" s="244"/>
      <c r="V89" s="244"/>
      <c r="W89" s="244"/>
      <c r="X89" s="85" t="s">
        <v>93</v>
      </c>
      <c r="Y89" s="85" t="s">
        <v>94</v>
      </c>
      <c r="Z89" s="85" t="s">
        <v>94</v>
      </c>
      <c r="AA89" s="85" t="s">
        <v>94</v>
      </c>
      <c r="AB89" s="249"/>
      <c r="AC89" s="250"/>
      <c r="AD89" s="251"/>
    </row>
    <row r="90" spans="2:32" ht="12.75" customHeight="1" thickBot="1" x14ac:dyDescent="0.35">
      <c r="B90" s="252">
        <v>1</v>
      </c>
      <c r="C90" s="255" t="s">
        <v>120</v>
      </c>
      <c r="D90" s="258">
        <f>D17</f>
        <v>0</v>
      </c>
      <c r="E90" s="300" t="s">
        <v>50</v>
      </c>
      <c r="F90" s="301" t="s">
        <v>51</v>
      </c>
      <c r="G90" s="46" t="s">
        <v>52</v>
      </c>
      <c r="H90" s="25"/>
      <c r="I90" s="48" t="str">
        <f>IFERROR(H90/L90,"")</f>
        <v/>
      </c>
      <c r="J90" s="25"/>
      <c r="K90" s="48" t="str">
        <f>IFERROR(J90/L90,"")</f>
        <v/>
      </c>
      <c r="L90" s="49">
        <f>H90+J90</f>
        <v>0</v>
      </c>
      <c r="M90" s="50" t="str">
        <f t="shared" ref="M90:M99" si="21">IFERROR(L90/$L$111,"")</f>
        <v/>
      </c>
      <c r="N90" s="48"/>
      <c r="O90" s="51"/>
      <c r="R90" s="280"/>
      <c r="S90" s="281"/>
      <c r="T90" s="282"/>
      <c r="U90" s="283"/>
      <c r="V90" s="283"/>
      <c r="W90" s="283"/>
      <c r="X90" s="86" t="s">
        <v>96</v>
      </c>
      <c r="Y90" s="86" t="s">
        <v>97</v>
      </c>
      <c r="Z90" s="86" t="s">
        <v>98</v>
      </c>
      <c r="AA90" s="86"/>
      <c r="AB90" s="87" t="s">
        <v>121</v>
      </c>
      <c r="AC90" s="87" t="s">
        <v>99</v>
      </c>
      <c r="AD90" s="88" t="s">
        <v>122</v>
      </c>
      <c r="AE90"/>
      <c r="AF90"/>
    </row>
    <row r="91" spans="2:32" ht="12.75" customHeight="1" thickTop="1" x14ac:dyDescent="0.3">
      <c r="B91" s="253"/>
      <c r="C91" s="256"/>
      <c r="D91" s="259"/>
      <c r="E91" s="300"/>
      <c r="F91" s="301"/>
      <c r="G91" s="46" t="s">
        <v>53</v>
      </c>
      <c r="H91" s="25"/>
      <c r="I91" s="48" t="str">
        <f t="shared" ref="I91:I110" si="22">IFERROR(H91/L91,"")</f>
        <v/>
      </c>
      <c r="J91" s="25"/>
      <c r="K91" s="48" t="str">
        <f t="shared" ref="K91:K95" si="23">IFERROR(J91/L91,"")</f>
        <v/>
      </c>
      <c r="L91" s="49">
        <f t="shared" ref="L91:L92" si="24">H91+J91</f>
        <v>0</v>
      </c>
      <c r="M91" s="50" t="str">
        <f t="shared" si="21"/>
        <v/>
      </c>
      <c r="N91" s="24"/>
      <c r="O91" s="52"/>
      <c r="R91" s="266" t="s">
        <v>120</v>
      </c>
      <c r="S91" s="269">
        <f>D17</f>
        <v>0</v>
      </c>
      <c r="T91" s="231" t="s">
        <v>51</v>
      </c>
      <c r="U91" s="233" t="s">
        <v>100</v>
      </c>
      <c r="V91" s="89"/>
      <c r="W91" s="89"/>
      <c r="X91" s="90"/>
      <c r="Y91" s="89"/>
      <c r="Z91" s="89"/>
      <c r="AA91" s="89"/>
      <c r="AB91" s="89"/>
      <c r="AC91" s="90"/>
      <c r="AD91" s="92">
        <f>SUM(AB91:AC91)</f>
        <v>0</v>
      </c>
      <c r="AE91"/>
      <c r="AF91"/>
    </row>
    <row r="92" spans="2:32" ht="12.75" customHeight="1" x14ac:dyDescent="0.3">
      <c r="B92" s="253"/>
      <c r="C92" s="256"/>
      <c r="D92" s="259"/>
      <c r="E92" s="300"/>
      <c r="F92" s="301"/>
      <c r="G92" s="53" t="s">
        <v>54</v>
      </c>
      <c r="H92" s="25"/>
      <c r="I92" s="48" t="str">
        <f t="shared" si="22"/>
        <v/>
      </c>
      <c r="J92" s="25"/>
      <c r="K92" s="48" t="str">
        <f t="shared" si="23"/>
        <v/>
      </c>
      <c r="L92" s="49">
        <f t="shared" si="24"/>
        <v>0</v>
      </c>
      <c r="M92" s="50" t="str">
        <f t="shared" si="21"/>
        <v/>
      </c>
      <c r="N92" s="24"/>
      <c r="O92" s="52"/>
      <c r="R92" s="266"/>
      <c r="S92" s="269"/>
      <c r="T92" s="231"/>
      <c r="U92" s="233"/>
      <c r="V92" s="93"/>
      <c r="W92" s="93"/>
      <c r="X92" s="94"/>
      <c r="Y92" s="93"/>
      <c r="Z92" s="93"/>
      <c r="AA92" s="93"/>
      <c r="AB92" s="94"/>
      <c r="AC92" s="94"/>
      <c r="AD92" s="92">
        <f t="shared" ref="AD92:AD102" si="25">SUM(AB92:AC92)</f>
        <v>0</v>
      </c>
      <c r="AE92"/>
      <c r="AF92"/>
    </row>
    <row r="93" spans="2:32" ht="12.75" customHeight="1" x14ac:dyDescent="0.3">
      <c r="B93" s="253"/>
      <c r="C93" s="256"/>
      <c r="D93" s="259"/>
      <c r="E93" s="300"/>
      <c r="F93" s="284" t="s">
        <v>123</v>
      </c>
      <c r="G93" s="284"/>
      <c r="H93" s="68">
        <f>SUM(H90:H92)</f>
        <v>0</v>
      </c>
      <c r="I93" s="69" t="str">
        <f t="shared" si="22"/>
        <v/>
      </c>
      <c r="J93" s="68">
        <f>SUM(J90:J92)</f>
        <v>0</v>
      </c>
      <c r="K93" s="69" t="str">
        <f t="shared" si="23"/>
        <v/>
      </c>
      <c r="L93" s="68">
        <f>SUM(L90:L92)</f>
        <v>0</v>
      </c>
      <c r="M93" s="70" t="str">
        <f t="shared" si="21"/>
        <v/>
      </c>
      <c r="N93" s="24"/>
      <c r="O93" s="52"/>
      <c r="R93" s="266"/>
      <c r="S93" s="269"/>
      <c r="T93" s="231"/>
      <c r="U93" s="233"/>
      <c r="V93" s="93"/>
      <c r="W93" s="93"/>
      <c r="X93" s="94"/>
      <c r="Y93" s="93"/>
      <c r="Z93" s="93"/>
      <c r="AA93" s="93"/>
      <c r="AB93" s="93"/>
      <c r="AC93" s="94"/>
      <c r="AD93" s="92">
        <f t="shared" si="25"/>
        <v>0</v>
      </c>
      <c r="AE93"/>
      <c r="AF93"/>
    </row>
    <row r="94" spans="2:32" ht="12.75" customHeight="1" x14ac:dyDescent="0.3">
      <c r="B94" s="253"/>
      <c r="C94" s="256"/>
      <c r="D94" s="259"/>
      <c r="E94" s="300"/>
      <c r="F94" s="302" t="s">
        <v>56</v>
      </c>
      <c r="G94" s="302"/>
      <c r="H94" s="25"/>
      <c r="I94" s="48" t="str">
        <f t="shared" si="22"/>
        <v/>
      </c>
      <c r="J94" s="25"/>
      <c r="K94" s="48" t="str">
        <f t="shared" si="23"/>
        <v/>
      </c>
      <c r="L94" s="49">
        <f t="shared" ref="L94:L105" si="26">H94+J94</f>
        <v>0</v>
      </c>
      <c r="M94" s="50" t="str">
        <f t="shared" si="21"/>
        <v/>
      </c>
      <c r="N94" s="24"/>
      <c r="O94" s="52"/>
      <c r="R94" s="266"/>
      <c r="S94" s="269"/>
      <c r="T94" s="231"/>
      <c r="U94" s="233"/>
      <c r="V94" s="93"/>
      <c r="W94" s="93"/>
      <c r="X94" s="94"/>
      <c r="Y94" s="93"/>
      <c r="Z94" s="93"/>
      <c r="AA94" s="93"/>
      <c r="AB94" s="94"/>
      <c r="AC94" s="93"/>
      <c r="AD94" s="92">
        <f t="shared" si="25"/>
        <v>0</v>
      </c>
      <c r="AE94"/>
      <c r="AF94"/>
    </row>
    <row r="95" spans="2:32" ht="12.75" customHeight="1" x14ac:dyDescent="0.3">
      <c r="B95" s="253"/>
      <c r="C95" s="256"/>
      <c r="D95" s="259"/>
      <c r="E95" s="300"/>
      <c r="F95" s="303" t="s">
        <v>57</v>
      </c>
      <c r="G95" s="303"/>
      <c r="H95" s="25"/>
      <c r="I95" s="48" t="str">
        <f t="shared" si="22"/>
        <v/>
      </c>
      <c r="J95" s="25"/>
      <c r="K95" s="48" t="str">
        <f t="shared" si="23"/>
        <v/>
      </c>
      <c r="L95" s="49">
        <f t="shared" si="26"/>
        <v>0</v>
      </c>
      <c r="M95" s="50" t="str">
        <f t="shared" si="21"/>
        <v/>
      </c>
      <c r="N95" s="24"/>
      <c r="O95" s="52"/>
      <c r="R95" s="266"/>
      <c r="S95" s="269"/>
      <c r="T95" s="231"/>
      <c r="U95" s="233"/>
      <c r="V95" s="93"/>
      <c r="W95" s="93"/>
      <c r="X95" s="94"/>
      <c r="Y95" s="93"/>
      <c r="Z95" s="93"/>
      <c r="AA95" s="93"/>
      <c r="AB95" s="94"/>
      <c r="AC95" s="93"/>
      <c r="AD95" s="92">
        <f t="shared" si="25"/>
        <v>0</v>
      </c>
      <c r="AE95"/>
      <c r="AF95"/>
    </row>
    <row r="96" spans="2:32" ht="12.75" customHeight="1" x14ac:dyDescent="0.3">
      <c r="B96" s="253"/>
      <c r="C96" s="256"/>
      <c r="D96" s="259"/>
      <c r="E96" s="300"/>
      <c r="F96" s="239" t="s">
        <v>58</v>
      </c>
      <c r="G96" s="59" t="s">
        <v>59</v>
      </c>
      <c r="H96" s="25"/>
      <c r="I96" s="48" t="str">
        <f t="shared" si="22"/>
        <v/>
      </c>
      <c r="J96" s="60"/>
      <c r="K96" s="61"/>
      <c r="L96" s="49">
        <f t="shared" si="26"/>
        <v>0</v>
      </c>
      <c r="M96" s="50" t="str">
        <f t="shared" si="21"/>
        <v/>
      </c>
      <c r="N96" s="24"/>
      <c r="O96" s="52"/>
      <c r="R96" s="266"/>
      <c r="S96" s="269"/>
      <c r="T96" s="231"/>
      <c r="U96" s="233"/>
      <c r="V96" s="93"/>
      <c r="W96" s="93"/>
      <c r="X96" s="94"/>
      <c r="Y96" s="93"/>
      <c r="Z96" s="93"/>
      <c r="AA96" s="93"/>
      <c r="AB96" s="94"/>
      <c r="AC96" s="93"/>
      <c r="AD96" s="92">
        <f t="shared" si="25"/>
        <v>0</v>
      </c>
      <c r="AE96"/>
      <c r="AF96"/>
    </row>
    <row r="97" spans="2:32" ht="12.75" customHeight="1" x14ac:dyDescent="0.3">
      <c r="B97" s="253"/>
      <c r="C97" s="256"/>
      <c r="D97" s="259"/>
      <c r="E97" s="300"/>
      <c r="F97" s="239"/>
      <c r="G97" s="59" t="s">
        <v>60</v>
      </c>
      <c r="H97" s="25"/>
      <c r="I97" s="48" t="str">
        <f t="shared" si="22"/>
        <v/>
      </c>
      <c r="J97" s="60"/>
      <c r="K97" s="61"/>
      <c r="L97" s="49"/>
      <c r="M97" s="50" t="str">
        <f t="shared" si="21"/>
        <v/>
      </c>
      <c r="N97" s="100">
        <f>IFERROR(L97/L106,0)</f>
        <v>0</v>
      </c>
      <c r="O97" s="28" t="str">
        <f>IF(N97&lt;0.4,"적절","부적절")</f>
        <v>적절</v>
      </c>
      <c r="R97" s="266"/>
      <c r="S97" s="269"/>
      <c r="T97" s="231"/>
      <c r="U97" s="233"/>
      <c r="V97" s="99"/>
      <c r="W97" s="99"/>
      <c r="X97" s="99"/>
      <c r="Y97" s="99"/>
      <c r="Z97" s="99"/>
      <c r="AA97" s="99"/>
      <c r="AB97" s="93"/>
      <c r="AC97" s="93"/>
      <c r="AD97" s="92">
        <f t="shared" si="25"/>
        <v>0</v>
      </c>
      <c r="AE97"/>
      <c r="AF97"/>
    </row>
    <row r="98" spans="2:32" ht="12.75" customHeight="1" x14ac:dyDescent="0.3">
      <c r="B98" s="253"/>
      <c r="C98" s="256"/>
      <c r="D98" s="259"/>
      <c r="E98" s="300"/>
      <c r="F98" s="239"/>
      <c r="G98" s="59" t="s">
        <v>61</v>
      </c>
      <c r="H98" s="25"/>
      <c r="I98" s="48" t="str">
        <f t="shared" si="22"/>
        <v/>
      </c>
      <c r="J98" s="60"/>
      <c r="K98" s="61"/>
      <c r="L98" s="49">
        <f t="shared" si="26"/>
        <v>0</v>
      </c>
      <c r="M98" s="50" t="str">
        <f t="shared" si="21"/>
        <v/>
      </c>
      <c r="N98" s="24"/>
      <c r="O98" s="52"/>
      <c r="R98" s="266"/>
      <c r="S98" s="269"/>
      <c r="T98" s="231"/>
      <c r="U98" s="229" t="s">
        <v>104</v>
      </c>
      <c r="V98" s="101"/>
      <c r="W98" s="101"/>
      <c r="X98" s="102"/>
      <c r="Y98" s="101"/>
      <c r="Z98" s="101"/>
      <c r="AA98" s="101"/>
      <c r="AB98" s="98"/>
      <c r="AC98" s="93"/>
      <c r="AD98" s="92">
        <f t="shared" si="25"/>
        <v>0</v>
      </c>
      <c r="AE98"/>
      <c r="AF98"/>
    </row>
    <row r="99" spans="2:32" ht="12.75" customHeight="1" x14ac:dyDescent="0.3">
      <c r="B99" s="253"/>
      <c r="C99" s="256"/>
      <c r="D99" s="259"/>
      <c r="E99" s="300"/>
      <c r="F99" s="239"/>
      <c r="G99" s="59" t="s">
        <v>62</v>
      </c>
      <c r="H99" s="25"/>
      <c r="I99" s="48" t="str">
        <f t="shared" si="22"/>
        <v/>
      </c>
      <c r="J99" s="60"/>
      <c r="K99" s="61"/>
      <c r="L99" s="49">
        <f t="shared" si="26"/>
        <v>0</v>
      </c>
      <c r="M99" s="50" t="str">
        <f t="shared" si="21"/>
        <v/>
      </c>
      <c r="N99" s="24"/>
      <c r="O99" s="52"/>
      <c r="R99" s="266"/>
      <c r="S99" s="269"/>
      <c r="T99" s="231"/>
      <c r="U99" s="229"/>
      <c r="V99" s="101"/>
      <c r="W99" s="101"/>
      <c r="X99" s="102"/>
      <c r="Y99" s="101"/>
      <c r="Z99" s="101"/>
      <c r="AA99" s="101"/>
      <c r="AB99" s="98"/>
      <c r="AC99" s="93"/>
      <c r="AD99" s="92">
        <f t="shared" si="25"/>
        <v>0</v>
      </c>
      <c r="AE99"/>
      <c r="AF99"/>
    </row>
    <row r="100" spans="2:32" ht="12.75" customHeight="1" x14ac:dyDescent="0.3">
      <c r="B100" s="253"/>
      <c r="C100" s="256"/>
      <c r="D100" s="259"/>
      <c r="E100" s="300"/>
      <c r="F100" s="239"/>
      <c r="G100" s="59" t="s">
        <v>110</v>
      </c>
      <c r="H100" s="25"/>
      <c r="I100" s="48"/>
      <c r="J100" s="60"/>
      <c r="K100" s="61"/>
      <c r="L100" s="49"/>
      <c r="M100" s="50"/>
      <c r="N100" s="24"/>
      <c r="O100" s="52"/>
      <c r="R100" s="266"/>
      <c r="S100" s="269"/>
      <c r="T100" s="231"/>
      <c r="U100" s="229"/>
      <c r="V100" s="101"/>
      <c r="W100" s="101"/>
      <c r="X100" s="102"/>
      <c r="Y100" s="101"/>
      <c r="Z100" s="101"/>
      <c r="AA100" s="101"/>
      <c r="AB100" s="98"/>
      <c r="AC100" s="93"/>
      <c r="AD100" s="92">
        <f t="shared" ref="AD100" si="27">SUM(AB100:AC100)</f>
        <v>0</v>
      </c>
      <c r="AE100"/>
      <c r="AF100"/>
    </row>
    <row r="101" spans="2:32" ht="12.75" customHeight="1" x14ac:dyDescent="0.3">
      <c r="B101" s="253"/>
      <c r="C101" s="256"/>
      <c r="D101" s="259"/>
      <c r="E101" s="300"/>
      <c r="F101" s="239"/>
      <c r="G101" s="59" t="s">
        <v>64</v>
      </c>
      <c r="H101" s="25"/>
      <c r="I101" s="48" t="str">
        <f t="shared" si="22"/>
        <v/>
      </c>
      <c r="J101" s="60"/>
      <c r="K101" s="61"/>
      <c r="L101" s="49"/>
      <c r="M101" s="50" t="str">
        <f t="shared" ref="M101:M111" si="28">IFERROR(L101/$L$111,"")</f>
        <v/>
      </c>
      <c r="N101" s="24"/>
      <c r="O101" s="52"/>
      <c r="R101" s="266"/>
      <c r="S101" s="269"/>
      <c r="T101" s="231"/>
      <c r="U101" s="229"/>
      <c r="V101" s="101"/>
      <c r="W101" s="101"/>
      <c r="X101" s="102"/>
      <c r="Y101" s="101"/>
      <c r="Z101" s="101"/>
      <c r="AA101" s="101"/>
      <c r="AB101" s="98"/>
      <c r="AC101" s="93"/>
      <c r="AD101" s="92">
        <f t="shared" si="25"/>
        <v>0</v>
      </c>
      <c r="AE101"/>
      <c r="AF101"/>
    </row>
    <row r="102" spans="2:32" ht="12.75" customHeight="1" x14ac:dyDescent="0.3">
      <c r="B102" s="253"/>
      <c r="C102" s="256"/>
      <c r="D102" s="259"/>
      <c r="E102" s="300"/>
      <c r="F102" s="239"/>
      <c r="G102" s="59" t="s">
        <v>65</v>
      </c>
      <c r="H102" s="25"/>
      <c r="I102" s="48" t="str">
        <f t="shared" si="22"/>
        <v/>
      </c>
      <c r="J102" s="60"/>
      <c r="K102" s="61"/>
      <c r="L102" s="49"/>
      <c r="M102" s="50" t="str">
        <f t="shared" si="28"/>
        <v/>
      </c>
      <c r="N102" s="24"/>
      <c r="O102" s="52"/>
      <c r="R102" s="266"/>
      <c r="S102" s="269"/>
      <c r="T102" s="231"/>
      <c r="U102" s="229"/>
      <c r="V102" s="101"/>
      <c r="W102" s="101"/>
      <c r="X102" s="101"/>
      <c r="Y102" s="101"/>
      <c r="Z102" s="101"/>
      <c r="AA102" s="101"/>
      <c r="AB102" s="103"/>
      <c r="AC102" s="93"/>
      <c r="AD102" s="92">
        <f t="shared" si="25"/>
        <v>0</v>
      </c>
      <c r="AE102"/>
      <c r="AF102"/>
    </row>
    <row r="103" spans="2:32" ht="12.75" customHeight="1" x14ac:dyDescent="0.3">
      <c r="B103" s="253"/>
      <c r="C103" s="256"/>
      <c r="D103" s="259"/>
      <c r="E103" s="300"/>
      <c r="F103" s="239"/>
      <c r="G103" s="59" t="s">
        <v>66</v>
      </c>
      <c r="H103" s="25"/>
      <c r="I103" s="48" t="str">
        <f t="shared" si="22"/>
        <v/>
      </c>
      <c r="J103" s="60"/>
      <c r="K103" s="61"/>
      <c r="L103" s="49"/>
      <c r="M103" s="50" t="str">
        <f t="shared" si="28"/>
        <v/>
      </c>
      <c r="N103" s="24"/>
      <c r="O103" s="52"/>
      <c r="R103" s="266"/>
      <c r="S103" s="269"/>
      <c r="T103" s="231"/>
      <c r="U103" s="295" t="s">
        <v>114</v>
      </c>
      <c r="V103" s="295"/>
      <c r="W103" s="295"/>
      <c r="X103" s="295"/>
      <c r="Y103" s="295"/>
      <c r="Z103" s="295"/>
      <c r="AA103" s="295"/>
      <c r="AB103" s="106">
        <f t="shared" ref="AB103:AC103" si="29">SUM(AB91:AB102)</f>
        <v>0</v>
      </c>
      <c r="AC103" s="106">
        <f t="shared" si="29"/>
        <v>0</v>
      </c>
      <c r="AD103" s="106">
        <f>SUM(AD91:AD102)</f>
        <v>0</v>
      </c>
      <c r="AE103"/>
      <c r="AF103"/>
    </row>
    <row r="104" spans="2:32" ht="12.75" customHeight="1" x14ac:dyDescent="0.3">
      <c r="B104" s="253"/>
      <c r="C104" s="256"/>
      <c r="D104" s="259"/>
      <c r="E104" s="300"/>
      <c r="F104" s="239"/>
      <c r="G104" s="59" t="s">
        <v>67</v>
      </c>
      <c r="H104" s="25"/>
      <c r="I104" s="48" t="str">
        <f t="shared" si="22"/>
        <v/>
      </c>
      <c r="J104" s="60"/>
      <c r="K104" s="61"/>
      <c r="L104" s="49">
        <f t="shared" si="26"/>
        <v>0</v>
      </c>
      <c r="M104" s="50" t="str">
        <f t="shared" si="28"/>
        <v/>
      </c>
      <c r="N104" s="24"/>
      <c r="O104" s="52"/>
      <c r="R104" s="266"/>
      <c r="S104" s="269"/>
      <c r="T104" s="231"/>
      <c r="U104" s="229" t="s">
        <v>115</v>
      </c>
      <c r="V104" s="107"/>
      <c r="W104" s="101"/>
      <c r="X104" s="101"/>
      <c r="Y104" s="101"/>
      <c r="Z104" s="101"/>
      <c r="AA104" s="101"/>
      <c r="AB104" s="103"/>
      <c r="AC104" s="93"/>
      <c r="AD104" s="92">
        <f t="shared" ref="AD104:AD107" si="30">SUM(AB104:AC104)</f>
        <v>0</v>
      </c>
      <c r="AE104"/>
      <c r="AF104"/>
    </row>
    <row r="105" spans="2:32" ht="12.75" customHeight="1" x14ac:dyDescent="0.3">
      <c r="B105" s="253"/>
      <c r="C105" s="256"/>
      <c r="D105" s="259"/>
      <c r="E105" s="300"/>
      <c r="F105" s="299" t="s">
        <v>69</v>
      </c>
      <c r="G105" s="299"/>
      <c r="H105" s="25"/>
      <c r="I105" s="48" t="str">
        <f t="shared" si="22"/>
        <v/>
      </c>
      <c r="J105" s="60"/>
      <c r="K105" s="61"/>
      <c r="L105" s="49">
        <f t="shared" si="26"/>
        <v>0</v>
      </c>
      <c r="M105" s="50" t="str">
        <f t="shared" si="28"/>
        <v/>
      </c>
      <c r="N105" s="110">
        <f>IFERROR(H105/L93,0)</f>
        <v>0</v>
      </c>
      <c r="O105" s="28" t="str">
        <f>IF(N105&lt;0.2,"적절","부적절")</f>
        <v>적절</v>
      </c>
      <c r="R105" s="266"/>
      <c r="S105" s="269"/>
      <c r="T105" s="231"/>
      <c r="U105" s="229"/>
      <c r="V105" s="107"/>
      <c r="W105" s="101"/>
      <c r="X105" s="101"/>
      <c r="Y105" s="101"/>
      <c r="Z105" s="101"/>
      <c r="AA105" s="101"/>
      <c r="AB105" s="103"/>
      <c r="AC105" s="93"/>
      <c r="AD105" s="92">
        <f t="shared" si="30"/>
        <v>0</v>
      </c>
      <c r="AE105"/>
      <c r="AF105"/>
    </row>
    <row r="106" spans="2:32" ht="12.75" customHeight="1" x14ac:dyDescent="0.3">
      <c r="B106" s="253"/>
      <c r="C106" s="256"/>
      <c r="D106" s="259"/>
      <c r="E106" s="218" t="s">
        <v>75</v>
      </c>
      <c r="F106" s="219"/>
      <c r="G106" s="220"/>
      <c r="H106" s="111">
        <f>SUM(H93:H105)</f>
        <v>0</v>
      </c>
      <c r="I106" s="112" t="str">
        <f t="shared" si="22"/>
        <v/>
      </c>
      <c r="J106" s="111">
        <f>SUM(J93:J105)</f>
        <v>0</v>
      </c>
      <c r="K106" s="112" t="str">
        <f>IFERROR(J106/L106,"")</f>
        <v/>
      </c>
      <c r="L106" s="68">
        <f>SUM(L93:L105)</f>
        <v>0</v>
      </c>
      <c r="M106" s="70" t="str">
        <f t="shared" si="28"/>
        <v/>
      </c>
      <c r="N106" s="48"/>
      <c r="O106" s="51"/>
      <c r="R106" s="266"/>
      <c r="S106" s="269"/>
      <c r="T106" s="231"/>
      <c r="U106" s="229"/>
      <c r="V106" s="107"/>
      <c r="W106" s="101"/>
      <c r="X106" s="101"/>
      <c r="Y106" s="101"/>
      <c r="Z106" s="101"/>
      <c r="AA106" s="101"/>
      <c r="AB106" s="103"/>
      <c r="AC106" s="93"/>
      <c r="AD106" s="92">
        <f t="shared" si="30"/>
        <v>0</v>
      </c>
      <c r="AE106"/>
      <c r="AF106"/>
    </row>
    <row r="107" spans="2:32" ht="12.75" customHeight="1" x14ac:dyDescent="0.3">
      <c r="B107" s="253"/>
      <c r="C107" s="256"/>
      <c r="D107" s="259"/>
      <c r="E107" s="300" t="s">
        <v>73</v>
      </c>
      <c r="F107" s="223" t="s">
        <v>76</v>
      </c>
      <c r="G107" s="224"/>
      <c r="H107" s="25"/>
      <c r="I107" s="48" t="str">
        <f t="shared" si="22"/>
        <v/>
      </c>
      <c r="J107" s="60"/>
      <c r="K107" s="61"/>
      <c r="L107" s="49">
        <f t="shared" ref="L107:L109" si="31">H107+J107</f>
        <v>0</v>
      </c>
      <c r="M107" s="50" t="str">
        <f t="shared" si="28"/>
        <v/>
      </c>
      <c r="N107" s="24"/>
      <c r="O107" s="52"/>
      <c r="R107" s="266"/>
      <c r="S107" s="269"/>
      <c r="T107" s="231"/>
      <c r="U107" s="229"/>
      <c r="V107" s="107"/>
      <c r="W107" s="101"/>
      <c r="X107" s="101"/>
      <c r="Y107" s="101"/>
      <c r="Z107" s="101"/>
      <c r="AA107" s="101"/>
      <c r="AB107" s="103"/>
      <c r="AC107" s="93"/>
      <c r="AD107" s="92">
        <f t="shared" si="30"/>
        <v>0</v>
      </c>
      <c r="AE107"/>
      <c r="AF107"/>
    </row>
    <row r="108" spans="2:32" ht="12.75" customHeight="1" x14ac:dyDescent="0.3">
      <c r="B108" s="253"/>
      <c r="C108" s="256"/>
      <c r="D108" s="259"/>
      <c r="E108" s="300"/>
      <c r="F108" s="227" t="s">
        <v>77</v>
      </c>
      <c r="G108" s="228"/>
      <c r="H108" s="25">
        <v>0</v>
      </c>
      <c r="I108" s="48" t="str">
        <f t="shared" si="22"/>
        <v/>
      </c>
      <c r="J108" s="60"/>
      <c r="K108" s="61"/>
      <c r="L108" s="49">
        <f t="shared" si="31"/>
        <v>0</v>
      </c>
      <c r="M108" s="50" t="str">
        <f t="shared" si="28"/>
        <v/>
      </c>
      <c r="N108" s="24"/>
      <c r="O108" s="52"/>
      <c r="R108" s="267"/>
      <c r="S108" s="270"/>
      <c r="T108" s="232"/>
      <c r="U108" s="225" t="s">
        <v>114</v>
      </c>
      <c r="V108" s="226"/>
      <c r="W108" s="226"/>
      <c r="X108" s="226"/>
      <c r="Y108" s="226"/>
      <c r="Z108" s="226"/>
      <c r="AA108" s="226"/>
      <c r="AB108" s="113">
        <f>SUM(AB104:AB107)</f>
        <v>0</v>
      </c>
      <c r="AC108" s="113">
        <f>SUM(AC104:AC107)</f>
        <v>0</v>
      </c>
      <c r="AD108" s="106">
        <f>SUM(AD104:AD107)</f>
        <v>0</v>
      </c>
      <c r="AE108"/>
      <c r="AF108"/>
    </row>
    <row r="109" spans="2:32" ht="12.75" customHeight="1" thickBot="1" x14ac:dyDescent="0.35">
      <c r="B109" s="253"/>
      <c r="C109" s="256"/>
      <c r="D109" s="259"/>
      <c r="E109" s="300"/>
      <c r="F109" s="227" t="s">
        <v>78</v>
      </c>
      <c r="G109" s="228"/>
      <c r="H109" s="25"/>
      <c r="I109" s="48" t="str">
        <f t="shared" si="22"/>
        <v/>
      </c>
      <c r="J109" s="60"/>
      <c r="K109" s="61"/>
      <c r="L109" s="49">
        <f t="shared" si="31"/>
        <v>0</v>
      </c>
      <c r="M109" s="50" t="str">
        <f t="shared" si="28"/>
        <v/>
      </c>
      <c r="N109" s="24"/>
      <c r="O109" s="52"/>
      <c r="R109" s="207" t="s">
        <v>117</v>
      </c>
      <c r="S109" s="208"/>
      <c r="T109" s="208"/>
      <c r="U109" s="208"/>
      <c r="V109" s="208"/>
      <c r="W109" s="208"/>
      <c r="X109" s="208"/>
      <c r="Y109" s="208"/>
      <c r="Z109" s="208"/>
      <c r="AA109" s="208"/>
      <c r="AB109" s="114">
        <f>AB103+AB108</f>
        <v>0</v>
      </c>
      <c r="AC109" s="114">
        <f>AC103+AC108</f>
        <v>0</v>
      </c>
      <c r="AD109" s="115">
        <f>AD103+AD108</f>
        <v>0</v>
      </c>
      <c r="AE109" s="116"/>
    </row>
    <row r="110" spans="2:32" ht="12.75" customHeight="1" x14ac:dyDescent="0.3">
      <c r="B110" s="254"/>
      <c r="C110" s="257"/>
      <c r="D110" s="260"/>
      <c r="E110" s="296" t="s">
        <v>119</v>
      </c>
      <c r="F110" s="297"/>
      <c r="G110" s="298"/>
      <c r="H110" s="68">
        <f>SUM(H107:H109)</f>
        <v>0</v>
      </c>
      <c r="I110" s="69" t="str">
        <f t="shared" si="22"/>
        <v/>
      </c>
      <c r="J110" s="68">
        <f>SUM(J107:J109)</f>
        <v>0</v>
      </c>
      <c r="K110" s="69" t="str">
        <f t="shared" ref="K110" si="32">IFERROR(J110/L110,"")</f>
        <v/>
      </c>
      <c r="L110" s="68">
        <f>SUM(L107:L109)</f>
        <v>0</v>
      </c>
      <c r="M110" s="70" t="str">
        <f>IFERROR(L110/H106,"")</f>
        <v/>
      </c>
      <c r="N110" s="110" t="str">
        <f>IFERROR(L110/H106,"")</f>
        <v/>
      </c>
      <c r="O110" s="28" t="str">
        <f>IF(N110&lt;0.1,"적절","부적절")</f>
        <v>부적절</v>
      </c>
    </row>
    <row r="111" spans="2:32" ht="12.75" customHeight="1" thickBot="1" x14ac:dyDescent="0.35">
      <c r="B111" s="37"/>
      <c r="C111" s="120"/>
      <c r="D111" s="204" t="s">
        <v>15</v>
      </c>
      <c r="E111" s="205"/>
      <c r="F111" s="205"/>
      <c r="G111" s="206"/>
      <c r="H111" s="40">
        <f>H106+H110</f>
        <v>0</v>
      </c>
      <c r="I111" s="75"/>
      <c r="J111" s="40">
        <f>J106+J110</f>
        <v>0</v>
      </c>
      <c r="K111" s="75"/>
      <c r="L111" s="40">
        <f>L106+L110</f>
        <v>0</v>
      </c>
      <c r="M111" s="76" t="str">
        <f t="shared" si="28"/>
        <v/>
      </c>
      <c r="N111" s="77"/>
      <c r="O111" s="78"/>
    </row>
    <row r="112" spans="2:32" ht="12.75" customHeight="1" thickBot="1" x14ac:dyDescent="0.35">
      <c r="H112" s="79"/>
      <c r="I112" s="80"/>
      <c r="J112" s="79"/>
      <c r="K112" s="80"/>
      <c r="L112" s="81"/>
      <c r="M112" s="44" t="s">
        <v>10</v>
      </c>
      <c r="AD112" s="3" t="s">
        <v>83</v>
      </c>
    </row>
    <row r="113" spans="2:32" ht="12.75" customHeight="1" x14ac:dyDescent="0.3">
      <c r="B113" s="285" t="s">
        <v>11</v>
      </c>
      <c r="C113" s="287" t="s">
        <v>26</v>
      </c>
      <c r="D113" s="287" t="s">
        <v>27</v>
      </c>
      <c r="E113" s="287" t="s">
        <v>39</v>
      </c>
      <c r="F113" s="289" t="s">
        <v>40</v>
      </c>
      <c r="G113" s="290"/>
      <c r="H113" s="189" t="s">
        <v>16</v>
      </c>
      <c r="I113" s="191"/>
      <c r="J113" s="189" t="s">
        <v>18</v>
      </c>
      <c r="K113" s="191"/>
      <c r="L113" s="189" t="s">
        <v>41</v>
      </c>
      <c r="M113" s="191"/>
      <c r="N113" s="271" t="s">
        <v>42</v>
      </c>
      <c r="O113" s="272"/>
      <c r="R113" s="275" t="s">
        <v>84</v>
      </c>
      <c r="S113" s="247"/>
      <c r="T113" s="276"/>
      <c r="U113" s="243" t="s">
        <v>85</v>
      </c>
      <c r="V113" s="243" t="s">
        <v>86</v>
      </c>
      <c r="W113" s="243" t="s">
        <v>87</v>
      </c>
      <c r="X113" s="84" t="s">
        <v>88</v>
      </c>
      <c r="Y113" s="84" t="s">
        <v>89</v>
      </c>
      <c r="Z113" s="84" t="s">
        <v>90</v>
      </c>
      <c r="AA113" s="84" t="s">
        <v>91</v>
      </c>
      <c r="AB113" s="246" t="s">
        <v>92</v>
      </c>
      <c r="AC113" s="247"/>
      <c r="AD113" s="248"/>
    </row>
    <row r="114" spans="2:32" ht="32.1" customHeight="1" x14ac:dyDescent="0.3">
      <c r="B114" s="286"/>
      <c r="C114" s="288"/>
      <c r="D114" s="288"/>
      <c r="E114" s="288"/>
      <c r="F114" s="291"/>
      <c r="G114" s="292"/>
      <c r="H114" s="45" t="s">
        <v>43</v>
      </c>
      <c r="I114" s="45" t="s">
        <v>44</v>
      </c>
      <c r="J114" s="45" t="s">
        <v>45</v>
      </c>
      <c r="K114" s="45" t="s">
        <v>46</v>
      </c>
      <c r="L114" s="45" t="s">
        <v>47</v>
      </c>
      <c r="M114" s="45" t="s">
        <v>48</v>
      </c>
      <c r="N114" s="273"/>
      <c r="O114" s="274"/>
      <c r="R114" s="277"/>
      <c r="S114" s="278"/>
      <c r="T114" s="279"/>
      <c r="U114" s="244"/>
      <c r="V114" s="244"/>
      <c r="W114" s="244"/>
      <c r="X114" s="85" t="s">
        <v>93</v>
      </c>
      <c r="Y114" s="85" t="s">
        <v>94</v>
      </c>
      <c r="Z114" s="85" t="s">
        <v>94</v>
      </c>
      <c r="AA114" s="85" t="s">
        <v>94</v>
      </c>
      <c r="AB114" s="249"/>
      <c r="AC114" s="250"/>
      <c r="AD114" s="251"/>
    </row>
    <row r="115" spans="2:32" ht="12.75" customHeight="1" thickBot="1" x14ac:dyDescent="0.35">
      <c r="B115" s="252">
        <v>1</v>
      </c>
      <c r="C115" s="255" t="s">
        <v>124</v>
      </c>
      <c r="D115" s="258">
        <f>D45</f>
        <v>0</v>
      </c>
      <c r="E115" s="300" t="s">
        <v>50</v>
      </c>
      <c r="F115" s="301" t="s">
        <v>51</v>
      </c>
      <c r="G115" s="46" t="s">
        <v>52</v>
      </c>
      <c r="H115" s="25"/>
      <c r="I115" s="48" t="str">
        <f>IFERROR(H115/L115,"")</f>
        <v/>
      </c>
      <c r="J115" s="25"/>
      <c r="K115" s="48" t="str">
        <f>IFERROR(J115/L115,"")</f>
        <v/>
      </c>
      <c r="L115" s="49">
        <f>H115+J115</f>
        <v>0</v>
      </c>
      <c r="M115" s="50" t="str">
        <f>IFERROR(L115/$L$111,"")</f>
        <v/>
      </c>
      <c r="N115" s="48"/>
      <c r="O115" s="51"/>
      <c r="R115" s="280"/>
      <c r="S115" s="281"/>
      <c r="T115" s="282"/>
      <c r="U115" s="283"/>
      <c r="V115" s="283"/>
      <c r="W115" s="283"/>
      <c r="X115" s="86" t="s">
        <v>96</v>
      </c>
      <c r="Y115" s="86" t="s">
        <v>97</v>
      </c>
      <c r="Z115" s="86" t="s">
        <v>98</v>
      </c>
      <c r="AA115" s="86"/>
      <c r="AB115" s="87" t="s">
        <v>121</v>
      </c>
      <c r="AC115" s="87" t="s">
        <v>99</v>
      </c>
      <c r="AD115" s="88" t="s">
        <v>122</v>
      </c>
    </row>
    <row r="116" spans="2:32" ht="12.75" customHeight="1" thickTop="1" x14ac:dyDescent="0.3">
      <c r="B116" s="253"/>
      <c r="C116" s="256"/>
      <c r="D116" s="259"/>
      <c r="E116" s="300"/>
      <c r="F116" s="301"/>
      <c r="G116" s="46" t="s">
        <v>53</v>
      </c>
      <c r="H116" s="25"/>
      <c r="I116" s="48" t="str">
        <f t="shared" ref="I116:I135" si="33">IFERROR(H116/L116,"")</f>
        <v/>
      </c>
      <c r="J116" s="25"/>
      <c r="K116" s="48" t="str">
        <f t="shared" ref="K116:K120" si="34">IFERROR(J116/L116,"")</f>
        <v/>
      </c>
      <c r="L116" s="49">
        <f t="shared" ref="L116:L117" si="35">H116+J116</f>
        <v>0</v>
      </c>
      <c r="M116" s="50" t="str">
        <f t="shared" ref="M116:M136" si="36">IFERROR(L116/$L$111,"")</f>
        <v/>
      </c>
      <c r="N116" s="24"/>
      <c r="O116" s="52"/>
      <c r="R116" s="266" t="s">
        <v>120</v>
      </c>
      <c r="S116" s="269">
        <f>D45</f>
        <v>0</v>
      </c>
      <c r="T116" s="231" t="s">
        <v>51</v>
      </c>
      <c r="U116" s="233" t="s">
        <v>100</v>
      </c>
      <c r="V116" s="89"/>
      <c r="W116" s="89"/>
      <c r="X116" s="90"/>
      <c r="Y116" s="89"/>
      <c r="Z116" s="89"/>
      <c r="AA116" s="89"/>
      <c r="AB116" s="89"/>
      <c r="AC116" s="90"/>
      <c r="AD116" s="92">
        <f t="shared" ref="AD116:AD127" si="37">SUM(AB116:AC116)</f>
        <v>0</v>
      </c>
      <c r="AF116" s="124"/>
    </row>
    <row r="117" spans="2:32" ht="12.75" customHeight="1" x14ac:dyDescent="0.3">
      <c r="B117" s="253"/>
      <c r="C117" s="256"/>
      <c r="D117" s="259"/>
      <c r="E117" s="300"/>
      <c r="F117" s="301"/>
      <c r="G117" s="53" t="s">
        <v>54</v>
      </c>
      <c r="H117" s="25"/>
      <c r="I117" s="48" t="str">
        <f t="shared" si="33"/>
        <v/>
      </c>
      <c r="J117" s="25"/>
      <c r="K117" s="48" t="str">
        <f t="shared" si="34"/>
        <v/>
      </c>
      <c r="L117" s="49">
        <f t="shared" si="35"/>
        <v>0</v>
      </c>
      <c r="M117" s="50" t="str">
        <f t="shared" si="36"/>
        <v/>
      </c>
      <c r="N117" s="24"/>
      <c r="O117" s="52"/>
      <c r="R117" s="266"/>
      <c r="S117" s="269"/>
      <c r="T117" s="231"/>
      <c r="U117" s="233"/>
      <c r="V117" s="93"/>
      <c r="W117" s="93"/>
      <c r="X117" s="94"/>
      <c r="Y117" s="93"/>
      <c r="Z117" s="93"/>
      <c r="AA117" s="93"/>
      <c r="AB117" s="94"/>
      <c r="AC117" s="94"/>
      <c r="AD117" s="92">
        <f t="shared" si="37"/>
        <v>0</v>
      </c>
      <c r="AF117" s="124"/>
    </row>
    <row r="118" spans="2:32" ht="12.75" customHeight="1" x14ac:dyDescent="0.3">
      <c r="B118" s="253"/>
      <c r="C118" s="256"/>
      <c r="D118" s="259"/>
      <c r="E118" s="300"/>
      <c r="F118" s="284" t="s">
        <v>123</v>
      </c>
      <c r="G118" s="284"/>
      <c r="H118" s="68">
        <f>SUM(H115:H117)</f>
        <v>0</v>
      </c>
      <c r="I118" s="69" t="str">
        <f t="shared" si="33"/>
        <v/>
      </c>
      <c r="J118" s="68">
        <f>SUM(J115:J117)</f>
        <v>0</v>
      </c>
      <c r="K118" s="69" t="str">
        <f t="shared" si="34"/>
        <v/>
      </c>
      <c r="L118" s="68">
        <f>SUM(L115:L117)</f>
        <v>0</v>
      </c>
      <c r="M118" s="70" t="str">
        <f t="shared" si="36"/>
        <v/>
      </c>
      <c r="N118" s="24"/>
      <c r="O118" s="52"/>
      <c r="R118" s="266"/>
      <c r="S118" s="269"/>
      <c r="T118" s="231"/>
      <c r="U118" s="233"/>
      <c r="V118" s="93"/>
      <c r="W118" s="93"/>
      <c r="X118" s="94"/>
      <c r="Y118" s="93"/>
      <c r="Z118" s="93"/>
      <c r="AA118" s="93"/>
      <c r="AB118" s="93"/>
      <c r="AC118" s="94"/>
      <c r="AD118" s="92">
        <f t="shared" si="37"/>
        <v>0</v>
      </c>
      <c r="AF118" s="124"/>
    </row>
    <row r="119" spans="2:32" ht="12.75" customHeight="1" x14ac:dyDescent="0.3">
      <c r="B119" s="253"/>
      <c r="C119" s="256"/>
      <c r="D119" s="259"/>
      <c r="E119" s="300"/>
      <c r="F119" s="302" t="s">
        <v>56</v>
      </c>
      <c r="G119" s="302"/>
      <c r="H119" s="25"/>
      <c r="I119" s="48" t="str">
        <f t="shared" si="33"/>
        <v/>
      </c>
      <c r="J119" s="25"/>
      <c r="K119" s="48" t="str">
        <f t="shared" si="34"/>
        <v/>
      </c>
      <c r="L119" s="49">
        <f t="shared" ref="L119:L130" si="38">H119+J119</f>
        <v>0</v>
      </c>
      <c r="M119" s="50" t="str">
        <f t="shared" si="36"/>
        <v/>
      </c>
      <c r="N119" s="24"/>
      <c r="O119" s="52"/>
      <c r="R119" s="266"/>
      <c r="S119" s="269"/>
      <c r="T119" s="231"/>
      <c r="U119" s="233"/>
      <c r="V119" s="93"/>
      <c r="W119" s="93"/>
      <c r="X119" s="94"/>
      <c r="Y119" s="93"/>
      <c r="Z119" s="93"/>
      <c r="AA119" s="93"/>
      <c r="AB119" s="94"/>
      <c r="AC119" s="93"/>
      <c r="AD119" s="92">
        <f t="shared" si="37"/>
        <v>0</v>
      </c>
      <c r="AF119" s="124"/>
    </row>
    <row r="120" spans="2:32" ht="12.75" customHeight="1" x14ac:dyDescent="0.3">
      <c r="B120" s="253"/>
      <c r="C120" s="256"/>
      <c r="D120" s="259"/>
      <c r="E120" s="300"/>
      <c r="F120" s="303" t="s">
        <v>57</v>
      </c>
      <c r="G120" s="303"/>
      <c r="H120" s="25"/>
      <c r="I120" s="48" t="str">
        <f t="shared" si="33"/>
        <v/>
      </c>
      <c r="J120" s="25"/>
      <c r="K120" s="48" t="str">
        <f t="shared" si="34"/>
        <v/>
      </c>
      <c r="L120" s="49">
        <f t="shared" si="38"/>
        <v>0</v>
      </c>
      <c r="M120" s="50" t="str">
        <f t="shared" si="36"/>
        <v/>
      </c>
      <c r="N120" s="24"/>
      <c r="O120" s="52"/>
      <c r="R120" s="266"/>
      <c r="S120" s="269"/>
      <c r="T120" s="231"/>
      <c r="U120" s="233"/>
      <c r="V120" s="93"/>
      <c r="W120" s="93"/>
      <c r="X120" s="94"/>
      <c r="Y120" s="93"/>
      <c r="Z120" s="93"/>
      <c r="AA120" s="93"/>
      <c r="AB120" s="94"/>
      <c r="AC120" s="93"/>
      <c r="AD120" s="92">
        <f t="shared" si="37"/>
        <v>0</v>
      </c>
      <c r="AF120" s="124"/>
    </row>
    <row r="121" spans="2:32" ht="12.75" customHeight="1" x14ac:dyDescent="0.3">
      <c r="B121" s="253"/>
      <c r="C121" s="256"/>
      <c r="D121" s="259"/>
      <c r="E121" s="300"/>
      <c r="F121" s="239" t="s">
        <v>58</v>
      </c>
      <c r="G121" s="59" t="s">
        <v>59</v>
      </c>
      <c r="H121" s="25"/>
      <c r="I121" s="48" t="str">
        <f t="shared" si="33"/>
        <v/>
      </c>
      <c r="J121" s="60"/>
      <c r="K121" s="61"/>
      <c r="L121" s="49">
        <f t="shared" si="38"/>
        <v>0</v>
      </c>
      <c r="M121" s="50" t="str">
        <f t="shared" si="36"/>
        <v/>
      </c>
      <c r="N121" s="24"/>
      <c r="O121" s="52"/>
      <c r="R121" s="266"/>
      <c r="S121" s="269"/>
      <c r="T121" s="231"/>
      <c r="U121" s="233"/>
      <c r="V121" s="93"/>
      <c r="W121" s="93"/>
      <c r="X121" s="94"/>
      <c r="Y121" s="93"/>
      <c r="Z121" s="93"/>
      <c r="AA121" s="93"/>
      <c r="AB121" s="94"/>
      <c r="AC121" s="93"/>
      <c r="AD121" s="92">
        <f t="shared" si="37"/>
        <v>0</v>
      </c>
      <c r="AF121" s="124"/>
    </row>
    <row r="122" spans="2:32" ht="12.75" customHeight="1" x14ac:dyDescent="0.3">
      <c r="B122" s="253"/>
      <c r="C122" s="256"/>
      <c r="D122" s="259"/>
      <c r="E122" s="300"/>
      <c r="F122" s="239"/>
      <c r="G122" s="59" t="s">
        <v>60</v>
      </c>
      <c r="H122" s="25"/>
      <c r="I122" s="48" t="str">
        <f t="shared" si="33"/>
        <v/>
      </c>
      <c r="J122" s="60"/>
      <c r="K122" s="61"/>
      <c r="L122" s="49">
        <f t="shared" si="38"/>
        <v>0</v>
      </c>
      <c r="M122" s="50" t="str">
        <f t="shared" si="36"/>
        <v/>
      </c>
      <c r="N122" s="100">
        <f>IFERROR(L122/L131,0)</f>
        <v>0</v>
      </c>
      <c r="O122" s="28" t="str">
        <f>IF(N122&lt;0.4,"적절","부적절")</f>
        <v>적절</v>
      </c>
      <c r="R122" s="266"/>
      <c r="S122" s="269"/>
      <c r="T122" s="231"/>
      <c r="U122" s="233"/>
      <c r="V122" s="99"/>
      <c r="W122" s="99"/>
      <c r="X122" s="99"/>
      <c r="Y122" s="99"/>
      <c r="Z122" s="99"/>
      <c r="AA122" s="99"/>
      <c r="AB122" s="93"/>
      <c r="AC122" s="93"/>
      <c r="AD122" s="92">
        <f t="shared" si="37"/>
        <v>0</v>
      </c>
      <c r="AF122" s="124"/>
    </row>
    <row r="123" spans="2:32" ht="12.75" customHeight="1" x14ac:dyDescent="0.3">
      <c r="B123" s="253"/>
      <c r="C123" s="256"/>
      <c r="D123" s="259"/>
      <c r="E123" s="300"/>
      <c r="F123" s="239"/>
      <c r="G123" s="59" t="s">
        <v>61</v>
      </c>
      <c r="H123" s="25"/>
      <c r="I123" s="48" t="str">
        <f t="shared" si="33"/>
        <v/>
      </c>
      <c r="J123" s="60"/>
      <c r="K123" s="61"/>
      <c r="L123" s="49">
        <f t="shared" si="38"/>
        <v>0</v>
      </c>
      <c r="M123" s="50" t="str">
        <f t="shared" si="36"/>
        <v/>
      </c>
      <c r="N123" s="24"/>
      <c r="O123" s="52"/>
      <c r="R123" s="266"/>
      <c r="S123" s="269"/>
      <c r="T123" s="231"/>
      <c r="U123" s="229" t="s">
        <v>104</v>
      </c>
      <c r="V123" s="101"/>
      <c r="W123" s="101"/>
      <c r="X123" s="102"/>
      <c r="Y123" s="101"/>
      <c r="Z123" s="101"/>
      <c r="AA123" s="101"/>
      <c r="AB123" s="98"/>
      <c r="AC123" s="93"/>
      <c r="AD123" s="92">
        <f t="shared" si="37"/>
        <v>0</v>
      </c>
      <c r="AF123" s="124"/>
    </row>
    <row r="124" spans="2:32" ht="12.75" customHeight="1" x14ac:dyDescent="0.3">
      <c r="B124" s="253"/>
      <c r="C124" s="256"/>
      <c r="D124" s="259"/>
      <c r="E124" s="300"/>
      <c r="F124" s="239"/>
      <c r="G124" s="59" t="s">
        <v>62</v>
      </c>
      <c r="H124" s="25"/>
      <c r="I124" s="48" t="str">
        <f t="shared" si="33"/>
        <v/>
      </c>
      <c r="J124" s="60"/>
      <c r="K124" s="61"/>
      <c r="L124" s="49">
        <f t="shared" si="38"/>
        <v>0</v>
      </c>
      <c r="M124" s="50" t="str">
        <f t="shared" si="36"/>
        <v/>
      </c>
      <c r="N124" s="24"/>
      <c r="O124" s="52"/>
      <c r="R124" s="266"/>
      <c r="S124" s="269"/>
      <c r="T124" s="231"/>
      <c r="U124" s="229"/>
      <c r="V124" s="101"/>
      <c r="W124" s="101"/>
      <c r="X124" s="102"/>
      <c r="Y124" s="101"/>
      <c r="Z124" s="101"/>
      <c r="AA124" s="101"/>
      <c r="AB124" s="98"/>
      <c r="AC124" s="93"/>
      <c r="AD124" s="92">
        <f t="shared" si="37"/>
        <v>0</v>
      </c>
      <c r="AF124" s="124"/>
    </row>
    <row r="125" spans="2:32" ht="12.75" customHeight="1" x14ac:dyDescent="0.3">
      <c r="B125" s="253"/>
      <c r="C125" s="256"/>
      <c r="D125" s="259"/>
      <c r="E125" s="300"/>
      <c r="F125" s="239"/>
      <c r="G125" s="59" t="s">
        <v>110</v>
      </c>
      <c r="H125" s="25"/>
      <c r="I125" s="48"/>
      <c r="J125" s="60"/>
      <c r="K125" s="61"/>
      <c r="L125" s="49"/>
      <c r="M125" s="50"/>
      <c r="N125" s="24"/>
      <c r="O125" s="52"/>
      <c r="R125" s="266"/>
      <c r="S125" s="269"/>
      <c r="T125" s="231"/>
      <c r="U125" s="229"/>
      <c r="V125" s="101"/>
      <c r="W125" s="101"/>
      <c r="X125" s="102"/>
      <c r="Y125" s="101"/>
      <c r="Z125" s="101"/>
      <c r="AA125" s="101"/>
      <c r="AB125" s="98"/>
      <c r="AC125" s="93"/>
      <c r="AD125" s="92">
        <f t="shared" ref="AD125" si="39">SUM(AB125:AC125)</f>
        <v>0</v>
      </c>
      <c r="AF125" s="124"/>
    </row>
    <row r="126" spans="2:32" ht="12.75" customHeight="1" x14ac:dyDescent="0.3">
      <c r="B126" s="253"/>
      <c r="C126" s="256"/>
      <c r="D126" s="259"/>
      <c r="E126" s="300"/>
      <c r="F126" s="239"/>
      <c r="G126" s="59" t="s">
        <v>64</v>
      </c>
      <c r="H126" s="25"/>
      <c r="I126" s="48" t="str">
        <f t="shared" si="33"/>
        <v/>
      </c>
      <c r="J126" s="60"/>
      <c r="K126" s="61"/>
      <c r="L126" s="49">
        <f t="shared" si="38"/>
        <v>0</v>
      </c>
      <c r="M126" s="50" t="str">
        <f t="shared" si="36"/>
        <v/>
      </c>
      <c r="N126" s="24"/>
      <c r="O126" s="52"/>
      <c r="R126" s="266"/>
      <c r="S126" s="269"/>
      <c r="T126" s="231"/>
      <c r="U126" s="229"/>
      <c r="V126" s="101"/>
      <c r="W126" s="101"/>
      <c r="X126" s="102"/>
      <c r="Y126" s="101"/>
      <c r="Z126" s="101"/>
      <c r="AA126" s="101"/>
      <c r="AB126" s="98"/>
      <c r="AC126" s="93"/>
      <c r="AD126" s="92">
        <f t="shared" si="37"/>
        <v>0</v>
      </c>
      <c r="AF126" s="124"/>
    </row>
    <row r="127" spans="2:32" ht="12.75" customHeight="1" x14ac:dyDescent="0.3">
      <c r="B127" s="253"/>
      <c r="C127" s="256"/>
      <c r="D127" s="259"/>
      <c r="E127" s="300"/>
      <c r="F127" s="239"/>
      <c r="G127" s="59" t="s">
        <v>65</v>
      </c>
      <c r="H127" s="25"/>
      <c r="I127" s="48" t="str">
        <f t="shared" si="33"/>
        <v/>
      </c>
      <c r="J127" s="60"/>
      <c r="K127" s="61"/>
      <c r="L127" s="49">
        <f t="shared" si="38"/>
        <v>0</v>
      </c>
      <c r="M127" s="50" t="str">
        <f t="shared" si="36"/>
        <v/>
      </c>
      <c r="N127" s="24"/>
      <c r="O127" s="52"/>
      <c r="R127" s="266"/>
      <c r="S127" s="269"/>
      <c r="T127" s="231"/>
      <c r="U127" s="229"/>
      <c r="V127" s="101"/>
      <c r="W127" s="101"/>
      <c r="X127" s="101"/>
      <c r="Y127" s="101"/>
      <c r="Z127" s="101"/>
      <c r="AA127" s="101"/>
      <c r="AB127" s="103"/>
      <c r="AC127" s="93"/>
      <c r="AD127" s="92">
        <f t="shared" si="37"/>
        <v>0</v>
      </c>
      <c r="AF127" s="124"/>
    </row>
    <row r="128" spans="2:32" ht="12.75" customHeight="1" x14ac:dyDescent="0.3">
      <c r="B128" s="253"/>
      <c r="C128" s="256"/>
      <c r="D128" s="259"/>
      <c r="E128" s="300"/>
      <c r="F128" s="239"/>
      <c r="G128" s="59" t="s">
        <v>66</v>
      </c>
      <c r="H128" s="25"/>
      <c r="I128" s="48" t="str">
        <f t="shared" si="33"/>
        <v/>
      </c>
      <c r="J128" s="60"/>
      <c r="K128" s="61"/>
      <c r="L128" s="49">
        <f t="shared" si="38"/>
        <v>0</v>
      </c>
      <c r="M128" s="50" t="str">
        <f t="shared" si="36"/>
        <v/>
      </c>
      <c r="N128" s="24"/>
      <c r="O128" s="52"/>
      <c r="R128" s="266"/>
      <c r="S128" s="269"/>
      <c r="T128" s="231"/>
      <c r="U128" s="295" t="s">
        <v>114</v>
      </c>
      <c r="V128" s="295"/>
      <c r="W128" s="295"/>
      <c r="X128" s="295"/>
      <c r="Y128" s="295"/>
      <c r="Z128" s="295"/>
      <c r="AA128" s="295"/>
      <c r="AB128" s="104">
        <f>SUM(AB116:AB127)</f>
        <v>0</v>
      </c>
      <c r="AC128" s="105">
        <f>SUM(AC116:AC127)</f>
        <v>0</v>
      </c>
      <c r="AD128" s="106">
        <f>SUM(AD116:AD127)</f>
        <v>0</v>
      </c>
      <c r="AF128" s="124"/>
    </row>
    <row r="129" spans="2:32" ht="12.75" customHeight="1" x14ac:dyDescent="0.3">
      <c r="B129" s="253"/>
      <c r="C129" s="256"/>
      <c r="D129" s="259"/>
      <c r="E129" s="300"/>
      <c r="F129" s="239"/>
      <c r="G129" s="59" t="s">
        <v>67</v>
      </c>
      <c r="H129" s="25"/>
      <c r="I129" s="48" t="str">
        <f t="shared" si="33"/>
        <v/>
      </c>
      <c r="J129" s="60"/>
      <c r="K129" s="61"/>
      <c r="L129" s="49">
        <f t="shared" si="38"/>
        <v>0</v>
      </c>
      <c r="M129" s="50" t="str">
        <f t="shared" si="36"/>
        <v/>
      </c>
      <c r="N129" s="24"/>
      <c r="O129" s="52"/>
      <c r="R129" s="266"/>
      <c r="S129" s="269"/>
      <c r="T129" s="231"/>
      <c r="U129" s="229" t="s">
        <v>115</v>
      </c>
      <c r="V129" s="107"/>
      <c r="W129" s="101"/>
      <c r="X129" s="101"/>
      <c r="Y129" s="101"/>
      <c r="Z129" s="101"/>
      <c r="AA129" s="101"/>
      <c r="AB129" s="103"/>
      <c r="AC129" s="93"/>
      <c r="AD129" s="92">
        <f t="shared" ref="AD129:AD132" si="40">SUM(AB129:AC129)</f>
        <v>0</v>
      </c>
      <c r="AF129" s="124"/>
    </row>
    <row r="130" spans="2:32" ht="12.75" customHeight="1" x14ac:dyDescent="0.3">
      <c r="B130" s="253"/>
      <c r="C130" s="256"/>
      <c r="D130" s="259"/>
      <c r="E130" s="300"/>
      <c r="F130" s="299" t="s">
        <v>69</v>
      </c>
      <c r="G130" s="299"/>
      <c r="H130" s="25"/>
      <c r="I130" s="48" t="str">
        <f t="shared" si="33"/>
        <v/>
      </c>
      <c r="J130" s="60"/>
      <c r="K130" s="61"/>
      <c r="L130" s="49">
        <f t="shared" si="38"/>
        <v>0</v>
      </c>
      <c r="M130" s="50" t="str">
        <f t="shared" si="36"/>
        <v/>
      </c>
      <c r="N130" s="110">
        <f>IFERROR(H130/L118,0)</f>
        <v>0</v>
      </c>
      <c r="O130" s="28" t="str">
        <f>IF(N130&lt;0.2,"적절","부적절")</f>
        <v>적절</v>
      </c>
      <c r="R130" s="266"/>
      <c r="S130" s="269"/>
      <c r="T130" s="231"/>
      <c r="U130" s="229"/>
      <c r="V130" s="107"/>
      <c r="W130" s="101"/>
      <c r="X130" s="101"/>
      <c r="Y130" s="101"/>
      <c r="Z130" s="101"/>
      <c r="AA130" s="101"/>
      <c r="AB130" s="103"/>
      <c r="AC130" s="93"/>
      <c r="AD130" s="92">
        <f t="shared" si="40"/>
        <v>0</v>
      </c>
      <c r="AF130" s="124"/>
    </row>
    <row r="131" spans="2:32" ht="12.75" customHeight="1" x14ac:dyDescent="0.3">
      <c r="B131" s="253"/>
      <c r="C131" s="256"/>
      <c r="D131" s="259"/>
      <c r="E131" s="218" t="s">
        <v>75</v>
      </c>
      <c r="F131" s="219"/>
      <c r="G131" s="220"/>
      <c r="H131" s="111">
        <f>SUM(H118:H130)</f>
        <v>0</v>
      </c>
      <c r="I131" s="112" t="str">
        <f t="shared" si="33"/>
        <v/>
      </c>
      <c r="J131" s="111">
        <f>SUM(J118:J130)</f>
        <v>0</v>
      </c>
      <c r="K131" s="112" t="str">
        <f>IFERROR(J131/L131,"")</f>
        <v/>
      </c>
      <c r="L131" s="68">
        <f>SUM(L118:L130)</f>
        <v>0</v>
      </c>
      <c r="M131" s="70" t="str">
        <f t="shared" si="36"/>
        <v/>
      </c>
      <c r="N131" s="48"/>
      <c r="O131" s="51"/>
      <c r="R131" s="266"/>
      <c r="S131" s="269"/>
      <c r="T131" s="231"/>
      <c r="U131" s="229"/>
      <c r="V131" s="107"/>
      <c r="W131" s="101"/>
      <c r="X131" s="101"/>
      <c r="Y131" s="101"/>
      <c r="Z131" s="101"/>
      <c r="AA131" s="101"/>
      <c r="AB131" s="103"/>
      <c r="AC131" s="93"/>
      <c r="AD131" s="92">
        <f t="shared" si="40"/>
        <v>0</v>
      </c>
      <c r="AF131" s="124"/>
    </row>
    <row r="132" spans="2:32" ht="12.75" customHeight="1" x14ac:dyDescent="0.3">
      <c r="B132" s="253"/>
      <c r="C132" s="256"/>
      <c r="D132" s="259"/>
      <c r="E132" s="300" t="s">
        <v>73</v>
      </c>
      <c r="F132" s="223" t="s">
        <v>76</v>
      </c>
      <c r="G132" s="224"/>
      <c r="H132" s="25"/>
      <c r="I132" s="48" t="str">
        <f t="shared" si="33"/>
        <v/>
      </c>
      <c r="J132" s="60"/>
      <c r="K132" s="61"/>
      <c r="L132" s="49">
        <f t="shared" ref="L132:L134" si="41">H132+J132</f>
        <v>0</v>
      </c>
      <c r="M132" s="50" t="str">
        <f t="shared" si="36"/>
        <v/>
      </c>
      <c r="N132" s="24"/>
      <c r="O132" s="52"/>
      <c r="R132" s="266"/>
      <c r="S132" s="269"/>
      <c r="T132" s="231"/>
      <c r="U132" s="229"/>
      <c r="V132" s="107"/>
      <c r="W132" s="101"/>
      <c r="X132" s="101"/>
      <c r="Y132" s="101"/>
      <c r="Z132" s="101"/>
      <c r="AA132" s="101"/>
      <c r="AB132" s="103"/>
      <c r="AC132" s="93"/>
      <c r="AD132" s="92">
        <f t="shared" si="40"/>
        <v>0</v>
      </c>
      <c r="AF132" s="124"/>
    </row>
    <row r="133" spans="2:32" ht="12.75" customHeight="1" x14ac:dyDescent="0.3">
      <c r="B133" s="253"/>
      <c r="C133" s="256"/>
      <c r="D133" s="259"/>
      <c r="E133" s="300"/>
      <c r="F133" s="227" t="s">
        <v>77</v>
      </c>
      <c r="G133" s="228"/>
      <c r="H133" s="25">
        <v>0</v>
      </c>
      <c r="I133" s="48" t="str">
        <f t="shared" si="33"/>
        <v/>
      </c>
      <c r="J133" s="60"/>
      <c r="K133" s="61"/>
      <c r="L133" s="49">
        <f t="shared" si="41"/>
        <v>0</v>
      </c>
      <c r="M133" s="50" t="str">
        <f t="shared" si="36"/>
        <v/>
      </c>
      <c r="N133" s="24"/>
      <c r="O133" s="52"/>
      <c r="R133" s="267"/>
      <c r="S133" s="270"/>
      <c r="T133" s="232"/>
      <c r="U133" s="225" t="s">
        <v>114</v>
      </c>
      <c r="V133" s="226"/>
      <c r="W133" s="226"/>
      <c r="X133" s="226"/>
      <c r="Y133" s="226"/>
      <c r="Z133" s="226"/>
      <c r="AA133" s="226"/>
      <c r="AB133" s="113">
        <f>SUM(AB129:AB132)</f>
        <v>0</v>
      </c>
      <c r="AC133" s="113">
        <f>SUM(AC129:AC132)</f>
        <v>0</v>
      </c>
      <c r="AD133" s="106">
        <f>SUM(AD129:AD132)</f>
        <v>0</v>
      </c>
    </row>
    <row r="134" spans="2:32" ht="12.75" customHeight="1" thickBot="1" x14ac:dyDescent="0.35">
      <c r="B134" s="253"/>
      <c r="C134" s="256"/>
      <c r="D134" s="259"/>
      <c r="E134" s="300"/>
      <c r="F134" s="227" t="s">
        <v>78</v>
      </c>
      <c r="G134" s="228"/>
      <c r="H134" s="25"/>
      <c r="I134" s="48" t="str">
        <f t="shared" si="33"/>
        <v/>
      </c>
      <c r="J134" s="60"/>
      <c r="K134" s="61"/>
      <c r="L134" s="49">
        <f t="shared" si="41"/>
        <v>0</v>
      </c>
      <c r="M134" s="50" t="str">
        <f t="shared" si="36"/>
        <v/>
      </c>
      <c r="N134" s="24"/>
      <c r="O134" s="52"/>
      <c r="R134" s="207" t="s">
        <v>117</v>
      </c>
      <c r="S134" s="208"/>
      <c r="T134" s="208"/>
      <c r="U134" s="208"/>
      <c r="V134" s="208"/>
      <c r="W134" s="208"/>
      <c r="X134" s="208"/>
      <c r="Y134" s="208"/>
      <c r="Z134" s="208"/>
      <c r="AA134" s="208"/>
      <c r="AB134" s="114">
        <f>AB128+AB133</f>
        <v>0</v>
      </c>
      <c r="AC134" s="114">
        <f>AC128+AC133</f>
        <v>0</v>
      </c>
      <c r="AD134" s="115">
        <f>AD128+AD133</f>
        <v>0</v>
      </c>
      <c r="AE134" s="116"/>
    </row>
    <row r="135" spans="2:32" ht="12.75" customHeight="1" x14ac:dyDescent="0.3">
      <c r="B135" s="254"/>
      <c r="C135" s="257"/>
      <c r="D135" s="260"/>
      <c r="E135" s="296" t="s">
        <v>119</v>
      </c>
      <c r="F135" s="297"/>
      <c r="G135" s="298"/>
      <c r="H135" s="68">
        <f>SUM(H132:H134)</f>
        <v>0</v>
      </c>
      <c r="I135" s="69" t="str">
        <f t="shared" si="33"/>
        <v/>
      </c>
      <c r="J135" s="68">
        <f>SUM(J132:J134)</f>
        <v>0</v>
      </c>
      <c r="K135" s="69" t="str">
        <f t="shared" ref="K135" si="42">IFERROR(J135/L135,"")</f>
        <v/>
      </c>
      <c r="L135" s="68">
        <f>SUM(L132:L134)</f>
        <v>0</v>
      </c>
      <c r="M135" s="70" t="str">
        <f>IFERROR(L135/H131,"")</f>
        <v/>
      </c>
      <c r="N135" s="110" t="str">
        <f>IFERROR(L135/H131,"")</f>
        <v/>
      </c>
      <c r="O135" s="28" t="str">
        <f>IF(N135&lt;0.1,"적절","부적절")</f>
        <v>부적절</v>
      </c>
    </row>
    <row r="136" spans="2:32" ht="12.75" customHeight="1" thickBot="1" x14ac:dyDescent="0.35">
      <c r="B136" s="37"/>
      <c r="C136" s="120"/>
      <c r="D136" s="204" t="s">
        <v>15</v>
      </c>
      <c r="E136" s="205"/>
      <c r="F136" s="205"/>
      <c r="G136" s="206"/>
      <c r="H136" s="40">
        <f>H131+H135</f>
        <v>0</v>
      </c>
      <c r="I136" s="75"/>
      <c r="J136" s="40">
        <f>J131+J135</f>
        <v>0</v>
      </c>
      <c r="K136" s="75"/>
      <c r="L136" s="40">
        <f>L131+L135</f>
        <v>0</v>
      </c>
      <c r="M136" s="76" t="str">
        <f t="shared" si="36"/>
        <v/>
      </c>
      <c r="N136" s="77"/>
      <c r="O136" s="78"/>
    </row>
    <row r="137" spans="2:32" ht="12.75" customHeight="1" thickBot="1" x14ac:dyDescent="0.35">
      <c r="H137" s="79"/>
      <c r="I137" s="80"/>
      <c r="J137" s="79"/>
      <c r="K137" s="80"/>
      <c r="L137" s="81"/>
      <c r="M137" s="44" t="s">
        <v>10</v>
      </c>
      <c r="AD137" s="3" t="s">
        <v>83</v>
      </c>
    </row>
    <row r="138" spans="2:32" ht="12.75" customHeight="1" x14ac:dyDescent="0.3">
      <c r="B138" s="285" t="s">
        <v>11</v>
      </c>
      <c r="C138" s="287" t="s">
        <v>26</v>
      </c>
      <c r="D138" s="287" t="s">
        <v>27</v>
      </c>
      <c r="E138" s="287" t="s">
        <v>39</v>
      </c>
      <c r="F138" s="289" t="s">
        <v>40</v>
      </c>
      <c r="G138" s="290"/>
      <c r="H138" s="189" t="s">
        <v>16</v>
      </c>
      <c r="I138" s="191"/>
      <c r="J138" s="189" t="s">
        <v>18</v>
      </c>
      <c r="K138" s="191"/>
      <c r="L138" s="189" t="s">
        <v>41</v>
      </c>
      <c r="M138" s="191"/>
      <c r="N138" s="271" t="s">
        <v>42</v>
      </c>
      <c r="O138" s="272"/>
      <c r="R138" s="275" t="s">
        <v>84</v>
      </c>
      <c r="S138" s="247"/>
      <c r="T138" s="276"/>
      <c r="U138" s="243" t="s">
        <v>85</v>
      </c>
      <c r="V138" s="243" t="s">
        <v>86</v>
      </c>
      <c r="W138" s="243" t="s">
        <v>87</v>
      </c>
      <c r="X138" s="84" t="s">
        <v>88</v>
      </c>
      <c r="Y138" s="84" t="s">
        <v>89</v>
      </c>
      <c r="Z138" s="84" t="s">
        <v>90</v>
      </c>
      <c r="AA138" s="84" t="s">
        <v>91</v>
      </c>
      <c r="AB138" s="246" t="s">
        <v>92</v>
      </c>
      <c r="AC138" s="247"/>
      <c r="AD138" s="248"/>
    </row>
    <row r="139" spans="2:32" ht="35.450000000000003" customHeight="1" x14ac:dyDescent="0.3">
      <c r="B139" s="286"/>
      <c r="C139" s="288"/>
      <c r="D139" s="288"/>
      <c r="E139" s="288"/>
      <c r="F139" s="291"/>
      <c r="G139" s="292"/>
      <c r="H139" s="45" t="s">
        <v>43</v>
      </c>
      <c r="I139" s="45" t="s">
        <v>44</v>
      </c>
      <c r="J139" s="45" t="s">
        <v>45</v>
      </c>
      <c r="K139" s="45" t="s">
        <v>46</v>
      </c>
      <c r="L139" s="45" t="s">
        <v>47</v>
      </c>
      <c r="M139" s="45" t="s">
        <v>48</v>
      </c>
      <c r="N139" s="273"/>
      <c r="O139" s="274"/>
      <c r="R139" s="277"/>
      <c r="S139" s="278"/>
      <c r="T139" s="279"/>
      <c r="U139" s="244"/>
      <c r="V139" s="244"/>
      <c r="W139" s="244"/>
      <c r="X139" s="85" t="s">
        <v>93</v>
      </c>
      <c r="Y139" s="85" t="s">
        <v>94</v>
      </c>
      <c r="Z139" s="85" t="s">
        <v>94</v>
      </c>
      <c r="AA139" s="85" t="s">
        <v>94</v>
      </c>
      <c r="AB139" s="249"/>
      <c r="AC139" s="250"/>
      <c r="AD139" s="251"/>
    </row>
    <row r="140" spans="2:32" ht="12.75" customHeight="1" thickBot="1" x14ac:dyDescent="0.35">
      <c r="B140" s="252">
        <v>1</v>
      </c>
      <c r="C140" s="255" t="s">
        <v>125</v>
      </c>
      <c r="D140" s="258">
        <f>D19</f>
        <v>0</v>
      </c>
      <c r="E140" s="261" t="s">
        <v>50</v>
      </c>
      <c r="F140" s="221" t="s">
        <v>51</v>
      </c>
      <c r="G140" s="46" t="s">
        <v>52</v>
      </c>
      <c r="H140" s="25"/>
      <c r="I140" s="48" t="str">
        <f>IFERROR(H140/L140,"")</f>
        <v/>
      </c>
      <c r="J140" s="25"/>
      <c r="K140" s="48" t="str">
        <f>IFERROR(J140/L140,"")</f>
        <v/>
      </c>
      <c r="L140" s="49">
        <f>H140+J140</f>
        <v>0</v>
      </c>
      <c r="M140" s="50" t="str">
        <f t="shared" ref="M140:M150" si="43">IFERROR(L140/$L$162,"")</f>
        <v/>
      </c>
      <c r="N140" s="48"/>
      <c r="O140" s="51"/>
      <c r="R140" s="280"/>
      <c r="S140" s="281"/>
      <c r="T140" s="282"/>
      <c r="U140" s="283"/>
      <c r="V140" s="245"/>
      <c r="W140" s="245"/>
      <c r="X140" s="86" t="s">
        <v>96</v>
      </c>
      <c r="Y140" s="86" t="s">
        <v>97</v>
      </c>
      <c r="Z140" s="86" t="s">
        <v>98</v>
      </c>
      <c r="AA140" s="86"/>
      <c r="AB140" s="87" t="s">
        <v>121</v>
      </c>
      <c r="AC140" s="87" t="s">
        <v>99</v>
      </c>
      <c r="AD140" s="88" t="s">
        <v>122</v>
      </c>
    </row>
    <row r="141" spans="2:32" ht="12.75" customHeight="1" thickTop="1" x14ac:dyDescent="0.3">
      <c r="B141" s="253"/>
      <c r="C141" s="256"/>
      <c r="D141" s="259"/>
      <c r="E141" s="222"/>
      <c r="F141" s="263"/>
      <c r="G141" s="46" t="s">
        <v>53</v>
      </c>
      <c r="H141" s="25"/>
      <c r="I141" s="48" t="str">
        <f t="shared" ref="I141:I162" si="44">IFERROR(H141/L141,"")</f>
        <v/>
      </c>
      <c r="J141" s="25"/>
      <c r="K141" s="48" t="str">
        <f t="shared" ref="K141:K162" si="45">IFERROR(J141/L141,"")</f>
        <v/>
      </c>
      <c r="L141" s="49">
        <f t="shared" ref="L141:L143" si="46">H141+J141</f>
        <v>0</v>
      </c>
      <c r="M141" s="50" t="str">
        <f t="shared" si="43"/>
        <v/>
      </c>
      <c r="N141" s="24"/>
      <c r="O141" s="52"/>
      <c r="R141" s="265" t="s">
        <v>125</v>
      </c>
      <c r="S141" s="268">
        <f>D140</f>
        <v>0</v>
      </c>
      <c r="T141" s="230" t="s">
        <v>51</v>
      </c>
      <c r="U141" s="233" t="s">
        <v>100</v>
      </c>
      <c r="V141" s="89"/>
      <c r="W141" s="89"/>
      <c r="X141" s="90"/>
      <c r="Y141" s="89"/>
      <c r="Z141" s="89"/>
      <c r="AA141" s="89"/>
      <c r="AB141" s="89"/>
      <c r="AC141" s="90"/>
      <c r="AD141" s="92">
        <f t="shared" ref="AD141:AD152" si="47">SUM(AB141:AC141)</f>
        <v>0</v>
      </c>
      <c r="AF141" s="124"/>
    </row>
    <row r="142" spans="2:32" ht="12.75" customHeight="1" x14ac:dyDescent="0.3">
      <c r="B142" s="253"/>
      <c r="C142" s="256"/>
      <c r="D142" s="259"/>
      <c r="E142" s="222"/>
      <c r="F142" s="263"/>
      <c r="G142" s="46" t="s">
        <v>126</v>
      </c>
      <c r="H142" s="25"/>
      <c r="I142" s="48" t="str">
        <f t="shared" si="44"/>
        <v/>
      </c>
      <c r="J142" s="25"/>
      <c r="K142" s="48" t="str">
        <f t="shared" si="45"/>
        <v/>
      </c>
      <c r="L142" s="49">
        <f t="shared" si="46"/>
        <v>0</v>
      </c>
      <c r="M142" s="50" t="str">
        <f t="shared" si="43"/>
        <v/>
      </c>
      <c r="N142" s="24"/>
      <c r="O142" s="52"/>
      <c r="R142" s="266"/>
      <c r="S142" s="269"/>
      <c r="T142" s="231"/>
      <c r="U142" s="233"/>
      <c r="V142" s="93"/>
      <c r="W142" s="93"/>
      <c r="X142" s="94"/>
      <c r="Y142" s="93"/>
      <c r="Z142" s="93"/>
      <c r="AA142" s="93"/>
      <c r="AB142" s="94"/>
      <c r="AC142" s="94"/>
      <c r="AD142" s="92">
        <f t="shared" si="47"/>
        <v>0</v>
      </c>
      <c r="AF142" s="124"/>
    </row>
    <row r="143" spans="2:32" ht="12.75" customHeight="1" x14ac:dyDescent="0.3">
      <c r="B143" s="253"/>
      <c r="C143" s="256"/>
      <c r="D143" s="259"/>
      <c r="E143" s="222"/>
      <c r="F143" s="264"/>
      <c r="G143" s="53" t="s">
        <v>127</v>
      </c>
      <c r="H143" s="25"/>
      <c r="I143" s="48" t="str">
        <f t="shared" si="44"/>
        <v/>
      </c>
      <c r="J143" s="25"/>
      <c r="K143" s="48" t="str">
        <f t="shared" si="45"/>
        <v/>
      </c>
      <c r="L143" s="49">
        <f t="shared" si="46"/>
        <v>0</v>
      </c>
      <c r="M143" s="50" t="str">
        <f t="shared" si="43"/>
        <v/>
      </c>
      <c r="N143" s="24"/>
      <c r="O143" s="52"/>
      <c r="R143" s="266"/>
      <c r="S143" s="269"/>
      <c r="T143" s="231"/>
      <c r="U143" s="233"/>
      <c r="V143" s="93"/>
      <c r="W143" s="93"/>
      <c r="X143" s="94"/>
      <c r="Y143" s="93"/>
      <c r="Z143" s="93"/>
      <c r="AA143" s="93"/>
      <c r="AB143" s="93"/>
      <c r="AC143" s="94"/>
      <c r="AD143" s="92">
        <f t="shared" si="47"/>
        <v>0</v>
      </c>
      <c r="AF143" s="124"/>
    </row>
    <row r="144" spans="2:32" ht="12.75" customHeight="1" x14ac:dyDescent="0.3">
      <c r="B144" s="253"/>
      <c r="C144" s="256"/>
      <c r="D144" s="259"/>
      <c r="E144" s="222"/>
      <c r="F144" s="235" t="s">
        <v>128</v>
      </c>
      <c r="G144" s="236"/>
      <c r="H144" s="68">
        <f>SUM(H140:H143)</f>
        <v>0</v>
      </c>
      <c r="I144" s="69" t="str">
        <f t="shared" si="44"/>
        <v/>
      </c>
      <c r="J144" s="68">
        <f>SUM(J140:J143)</f>
        <v>0</v>
      </c>
      <c r="K144" s="69" t="str">
        <f t="shared" si="45"/>
        <v/>
      </c>
      <c r="L144" s="68">
        <f>SUM(L140:L143)</f>
        <v>0</v>
      </c>
      <c r="M144" s="70" t="str">
        <f t="shared" si="43"/>
        <v/>
      </c>
      <c r="N144" s="24"/>
      <c r="O144" s="52"/>
      <c r="R144" s="266"/>
      <c r="S144" s="269"/>
      <c r="T144" s="231"/>
      <c r="U144" s="233"/>
      <c r="V144" s="93"/>
      <c r="W144" s="93"/>
      <c r="X144" s="94"/>
      <c r="Y144" s="93"/>
      <c r="Z144" s="93"/>
      <c r="AA144" s="93"/>
      <c r="AB144" s="94"/>
      <c r="AC144" s="93"/>
      <c r="AD144" s="92">
        <f t="shared" si="47"/>
        <v>0</v>
      </c>
      <c r="AF144" s="124"/>
    </row>
    <row r="145" spans="2:32" ht="12.75" customHeight="1" x14ac:dyDescent="0.3">
      <c r="B145" s="253"/>
      <c r="C145" s="256"/>
      <c r="D145" s="259"/>
      <c r="E145" s="222"/>
      <c r="F145" s="237" t="s">
        <v>56</v>
      </c>
      <c r="G145" s="238"/>
      <c r="H145" s="25"/>
      <c r="I145" s="48" t="str">
        <f t="shared" si="44"/>
        <v/>
      </c>
      <c r="J145" s="25"/>
      <c r="K145" s="48" t="str">
        <f t="shared" si="45"/>
        <v/>
      </c>
      <c r="L145" s="49">
        <f t="shared" ref="L145:L160" si="48">H145+J145</f>
        <v>0</v>
      </c>
      <c r="M145" s="50" t="str">
        <f t="shared" si="43"/>
        <v/>
      </c>
      <c r="N145" s="24"/>
      <c r="O145" s="52"/>
      <c r="R145" s="266"/>
      <c r="S145" s="269"/>
      <c r="T145" s="231"/>
      <c r="U145" s="233"/>
      <c r="V145" s="93"/>
      <c r="W145" s="93"/>
      <c r="X145" s="94"/>
      <c r="Y145" s="93"/>
      <c r="Z145" s="93"/>
      <c r="AA145" s="93"/>
      <c r="AB145" s="94"/>
      <c r="AC145" s="93"/>
      <c r="AD145" s="92">
        <f t="shared" si="47"/>
        <v>0</v>
      </c>
      <c r="AF145" s="124"/>
    </row>
    <row r="146" spans="2:32" ht="12.75" customHeight="1" x14ac:dyDescent="0.3">
      <c r="B146" s="253"/>
      <c r="C146" s="256"/>
      <c r="D146" s="259"/>
      <c r="E146" s="222"/>
      <c r="F146" s="227" t="s">
        <v>57</v>
      </c>
      <c r="G146" s="228"/>
      <c r="H146" s="25"/>
      <c r="I146" s="48" t="str">
        <f t="shared" si="44"/>
        <v/>
      </c>
      <c r="J146" s="25"/>
      <c r="K146" s="48" t="str">
        <f t="shared" si="45"/>
        <v/>
      </c>
      <c r="L146" s="49">
        <f t="shared" si="48"/>
        <v>0</v>
      </c>
      <c r="M146" s="50" t="str">
        <f t="shared" si="43"/>
        <v/>
      </c>
      <c r="N146" s="24"/>
      <c r="O146" s="52"/>
      <c r="R146" s="266"/>
      <c r="S146" s="269"/>
      <c r="T146" s="231"/>
      <c r="U146" s="233"/>
      <c r="V146" s="93"/>
      <c r="W146" s="93"/>
      <c r="X146" s="94"/>
      <c r="Y146" s="93"/>
      <c r="Z146" s="93"/>
      <c r="AA146" s="93"/>
      <c r="AB146" s="94"/>
      <c r="AC146" s="93"/>
      <c r="AD146" s="92">
        <f t="shared" si="47"/>
        <v>0</v>
      </c>
      <c r="AF146" s="124"/>
    </row>
    <row r="147" spans="2:32" ht="12.75" customHeight="1" x14ac:dyDescent="0.3">
      <c r="B147" s="253"/>
      <c r="C147" s="256"/>
      <c r="D147" s="259"/>
      <c r="E147" s="222"/>
      <c r="F147" s="239" t="s">
        <v>58</v>
      </c>
      <c r="G147" s="59" t="s">
        <v>59</v>
      </c>
      <c r="H147" s="25"/>
      <c r="I147" s="48" t="str">
        <f t="shared" si="44"/>
        <v/>
      </c>
      <c r="J147" s="60"/>
      <c r="K147" s="61"/>
      <c r="L147" s="49">
        <f t="shared" si="48"/>
        <v>0</v>
      </c>
      <c r="M147" s="50" t="str">
        <f t="shared" si="43"/>
        <v/>
      </c>
      <c r="N147" s="24"/>
      <c r="O147" s="52"/>
      <c r="R147" s="266"/>
      <c r="S147" s="269"/>
      <c r="T147" s="231"/>
      <c r="U147" s="234"/>
      <c r="V147" s="93"/>
      <c r="W147" s="93"/>
      <c r="X147" s="93"/>
      <c r="Y147" s="93"/>
      <c r="Z147" s="93"/>
      <c r="AA147" s="93"/>
      <c r="AB147" s="93"/>
      <c r="AC147" s="93"/>
      <c r="AD147" s="92">
        <f t="shared" si="47"/>
        <v>0</v>
      </c>
      <c r="AF147" s="124"/>
    </row>
    <row r="148" spans="2:32" ht="12.75" customHeight="1" x14ac:dyDescent="0.3">
      <c r="B148" s="253"/>
      <c r="C148" s="256"/>
      <c r="D148" s="259"/>
      <c r="E148" s="222"/>
      <c r="F148" s="239"/>
      <c r="G148" s="59" t="s">
        <v>60</v>
      </c>
      <c r="H148" s="25"/>
      <c r="I148" s="48" t="str">
        <f t="shared" si="44"/>
        <v/>
      </c>
      <c r="J148" s="60"/>
      <c r="K148" s="61"/>
      <c r="L148" s="49">
        <f t="shared" si="48"/>
        <v>0</v>
      </c>
      <c r="M148" s="50" t="str">
        <f t="shared" si="43"/>
        <v/>
      </c>
      <c r="N148" s="100">
        <f>IFERROR(L148/L157,0)</f>
        <v>0</v>
      </c>
      <c r="O148" s="28" t="str">
        <f>IF(N148&lt;0.4,"적절","부적절")</f>
        <v>적절</v>
      </c>
      <c r="R148" s="266"/>
      <c r="S148" s="269"/>
      <c r="T148" s="231"/>
      <c r="U148" s="240" t="s">
        <v>104</v>
      </c>
      <c r="V148" s="93"/>
      <c r="W148" s="93"/>
      <c r="X148" s="94"/>
      <c r="Y148" s="93"/>
      <c r="Z148" s="93"/>
      <c r="AA148" s="93"/>
      <c r="AB148" s="94"/>
      <c r="AC148" s="93"/>
      <c r="AD148" s="92">
        <f t="shared" si="47"/>
        <v>0</v>
      </c>
      <c r="AF148" s="124"/>
    </row>
    <row r="149" spans="2:32" ht="12.75" customHeight="1" x14ac:dyDescent="0.3">
      <c r="B149" s="253"/>
      <c r="C149" s="256"/>
      <c r="D149" s="259"/>
      <c r="E149" s="222"/>
      <c r="F149" s="239"/>
      <c r="G149" s="59" t="s">
        <v>61</v>
      </c>
      <c r="H149" s="25"/>
      <c r="I149" s="48" t="str">
        <f t="shared" si="44"/>
        <v/>
      </c>
      <c r="J149" s="60"/>
      <c r="K149" s="61"/>
      <c r="L149" s="49">
        <f t="shared" si="48"/>
        <v>0</v>
      </c>
      <c r="M149" s="50" t="str">
        <f t="shared" si="43"/>
        <v/>
      </c>
      <c r="N149" s="24"/>
      <c r="O149" s="52"/>
      <c r="R149" s="266"/>
      <c r="S149" s="269"/>
      <c r="T149" s="231"/>
      <c r="U149" s="233"/>
      <c r="V149" s="93"/>
      <c r="W149" s="93"/>
      <c r="X149" s="94"/>
      <c r="Y149" s="93"/>
      <c r="Z149" s="93"/>
      <c r="AA149" s="93"/>
      <c r="AB149" s="94"/>
      <c r="AC149" s="93"/>
      <c r="AD149" s="92">
        <f t="shared" si="47"/>
        <v>0</v>
      </c>
      <c r="AF149" s="124"/>
    </row>
    <row r="150" spans="2:32" ht="12.75" customHeight="1" x14ac:dyDescent="0.3">
      <c r="B150" s="253"/>
      <c r="C150" s="256"/>
      <c r="D150" s="259"/>
      <c r="E150" s="222"/>
      <c r="F150" s="239"/>
      <c r="G150" s="59" t="s">
        <v>62</v>
      </c>
      <c r="H150" s="25"/>
      <c r="I150" s="48" t="str">
        <f t="shared" si="44"/>
        <v/>
      </c>
      <c r="J150" s="60"/>
      <c r="K150" s="61"/>
      <c r="L150" s="49">
        <f t="shared" si="48"/>
        <v>0</v>
      </c>
      <c r="M150" s="50" t="str">
        <f t="shared" si="43"/>
        <v/>
      </c>
      <c r="N150" s="24"/>
      <c r="O150" s="52"/>
      <c r="R150" s="266"/>
      <c r="S150" s="269"/>
      <c r="T150" s="231"/>
      <c r="U150" s="233"/>
      <c r="V150" s="93"/>
      <c r="W150" s="93"/>
      <c r="X150" s="94"/>
      <c r="Y150" s="93"/>
      <c r="Z150" s="93"/>
      <c r="AA150" s="93"/>
      <c r="AB150" s="94"/>
      <c r="AC150" s="93"/>
      <c r="AD150" s="92">
        <f t="shared" si="47"/>
        <v>0</v>
      </c>
      <c r="AF150" s="124"/>
    </row>
    <row r="151" spans="2:32" ht="12.75" customHeight="1" x14ac:dyDescent="0.3">
      <c r="B151" s="253"/>
      <c r="C151" s="256"/>
      <c r="D151" s="259"/>
      <c r="E151" s="222"/>
      <c r="F151" s="239"/>
      <c r="G151" s="59" t="s">
        <v>110</v>
      </c>
      <c r="H151" s="25"/>
      <c r="I151" s="48"/>
      <c r="J151" s="60"/>
      <c r="K151" s="61"/>
      <c r="L151" s="49"/>
      <c r="M151" s="50"/>
      <c r="N151" s="24"/>
      <c r="O151" s="52"/>
      <c r="R151" s="266"/>
      <c r="S151" s="269"/>
      <c r="T151" s="231"/>
      <c r="U151" s="233"/>
      <c r="V151" s="93"/>
      <c r="W151" s="93"/>
      <c r="X151" s="94"/>
      <c r="Y151" s="93"/>
      <c r="Z151" s="93"/>
      <c r="AA151" s="93"/>
      <c r="AB151" s="94"/>
      <c r="AC151" s="93"/>
      <c r="AD151" s="92">
        <f t="shared" ref="AD151" si="49">SUM(AB151:AC151)</f>
        <v>0</v>
      </c>
      <c r="AF151" s="124"/>
    </row>
    <row r="152" spans="2:32" ht="12.75" customHeight="1" x14ac:dyDescent="0.3">
      <c r="B152" s="253"/>
      <c r="C152" s="256"/>
      <c r="D152" s="259"/>
      <c r="E152" s="222"/>
      <c r="F152" s="239"/>
      <c r="G152" s="59" t="s">
        <v>64</v>
      </c>
      <c r="H152" s="25"/>
      <c r="I152" s="48" t="str">
        <f t="shared" si="44"/>
        <v/>
      </c>
      <c r="J152" s="60"/>
      <c r="K152" s="61"/>
      <c r="L152" s="49">
        <f t="shared" si="48"/>
        <v>0</v>
      </c>
      <c r="M152" s="50" t="str">
        <f t="shared" ref="M152:M162" si="50">IFERROR(L152/$L$162,"")</f>
        <v/>
      </c>
      <c r="N152" s="24"/>
      <c r="O152" s="52"/>
      <c r="R152" s="266"/>
      <c r="S152" s="269"/>
      <c r="T152" s="231"/>
      <c r="U152" s="234"/>
      <c r="V152" s="93"/>
      <c r="W152" s="93"/>
      <c r="X152" s="93"/>
      <c r="Y152" s="93"/>
      <c r="Z152" s="93"/>
      <c r="AA152" s="93"/>
      <c r="AB152" s="93"/>
      <c r="AC152" s="93"/>
      <c r="AD152" s="92">
        <f t="shared" si="47"/>
        <v>0</v>
      </c>
      <c r="AF152" s="124"/>
    </row>
    <row r="153" spans="2:32" ht="12.75" customHeight="1" x14ac:dyDescent="0.3">
      <c r="B153" s="253"/>
      <c r="C153" s="256"/>
      <c r="D153" s="259"/>
      <c r="E153" s="222"/>
      <c r="F153" s="239"/>
      <c r="G153" s="59" t="s">
        <v>65</v>
      </c>
      <c r="H153" s="25"/>
      <c r="I153" s="48" t="str">
        <f t="shared" si="44"/>
        <v/>
      </c>
      <c r="J153" s="60"/>
      <c r="K153" s="61"/>
      <c r="L153" s="49">
        <f t="shared" si="48"/>
        <v>0</v>
      </c>
      <c r="M153" s="50" t="str">
        <f t="shared" si="50"/>
        <v/>
      </c>
      <c r="N153" s="24"/>
      <c r="O153" s="52"/>
      <c r="R153" s="266"/>
      <c r="S153" s="269"/>
      <c r="T153" s="231"/>
      <c r="U153" s="241" t="s">
        <v>114</v>
      </c>
      <c r="V153" s="242"/>
      <c r="W153" s="242"/>
      <c r="X153" s="242"/>
      <c r="Y153" s="242"/>
      <c r="Z153" s="242"/>
      <c r="AA153" s="242"/>
      <c r="AB153" s="105">
        <f>SUM(AB141:AB152)</f>
        <v>0</v>
      </c>
      <c r="AC153" s="105">
        <f>SUM(AC141:AC152)</f>
        <v>0</v>
      </c>
      <c r="AD153" s="106">
        <f>SUM(AD141:AD152)</f>
        <v>0</v>
      </c>
    </row>
    <row r="154" spans="2:32" ht="12.75" customHeight="1" x14ac:dyDescent="0.3">
      <c r="B154" s="253"/>
      <c r="C154" s="256"/>
      <c r="D154" s="259"/>
      <c r="E154" s="222"/>
      <c r="F154" s="239"/>
      <c r="G154" s="59" t="s">
        <v>66</v>
      </c>
      <c r="H154" s="25"/>
      <c r="I154" s="48" t="str">
        <f t="shared" si="44"/>
        <v/>
      </c>
      <c r="J154" s="60"/>
      <c r="K154" s="61"/>
      <c r="L154" s="49">
        <f t="shared" si="48"/>
        <v>0</v>
      </c>
      <c r="M154" s="50" t="str">
        <f t="shared" si="50"/>
        <v/>
      </c>
      <c r="N154" s="24"/>
      <c r="O154" s="52"/>
      <c r="R154" s="266"/>
      <c r="S154" s="269"/>
      <c r="T154" s="231"/>
      <c r="U154" s="229" t="s">
        <v>115</v>
      </c>
      <c r="V154" s="121"/>
      <c r="W154" s="93"/>
      <c r="X154" s="93"/>
      <c r="Y154" s="93"/>
      <c r="Z154" s="93"/>
      <c r="AA154" s="93"/>
      <c r="AB154" s="93"/>
      <c r="AC154" s="93"/>
      <c r="AD154" s="92">
        <f t="shared" ref="AD154:AD157" si="51">SUM(AB154:AC154)</f>
        <v>0</v>
      </c>
      <c r="AF154" s="124"/>
    </row>
    <row r="155" spans="2:32" ht="12.75" customHeight="1" x14ac:dyDescent="0.3">
      <c r="B155" s="253"/>
      <c r="C155" s="256"/>
      <c r="D155" s="259"/>
      <c r="E155" s="222"/>
      <c r="F155" s="239"/>
      <c r="G155" s="59" t="s">
        <v>67</v>
      </c>
      <c r="H155" s="25"/>
      <c r="I155" s="48" t="str">
        <f t="shared" si="44"/>
        <v/>
      </c>
      <c r="J155" s="60"/>
      <c r="K155" s="61"/>
      <c r="L155" s="49">
        <f t="shared" si="48"/>
        <v>0</v>
      </c>
      <c r="M155" s="50" t="str">
        <f t="shared" si="50"/>
        <v/>
      </c>
      <c r="N155" s="24"/>
      <c r="O155" s="52"/>
      <c r="R155" s="266"/>
      <c r="S155" s="269"/>
      <c r="T155" s="231"/>
      <c r="U155" s="229"/>
      <c r="V155" s="121"/>
      <c r="W155" s="93"/>
      <c r="X155" s="93"/>
      <c r="Y155" s="93"/>
      <c r="Z155" s="93"/>
      <c r="AA155" s="93"/>
      <c r="AB155" s="93"/>
      <c r="AC155" s="93"/>
      <c r="AD155" s="92">
        <f t="shared" si="51"/>
        <v>0</v>
      </c>
      <c r="AF155" s="124"/>
    </row>
    <row r="156" spans="2:32" ht="12.75" customHeight="1" x14ac:dyDescent="0.3">
      <c r="B156" s="253"/>
      <c r="C156" s="256"/>
      <c r="D156" s="259"/>
      <c r="E156" s="262"/>
      <c r="F156" s="293" t="s">
        <v>69</v>
      </c>
      <c r="G156" s="294"/>
      <c r="H156" s="25"/>
      <c r="I156" s="48" t="str">
        <f t="shared" si="44"/>
        <v/>
      </c>
      <c r="J156" s="60"/>
      <c r="K156" s="61"/>
      <c r="L156" s="49">
        <f t="shared" si="48"/>
        <v>0</v>
      </c>
      <c r="M156" s="50" t="str">
        <f t="shared" si="50"/>
        <v/>
      </c>
      <c r="N156" s="110">
        <f>IFERROR(H156/L144,0)</f>
        <v>0</v>
      </c>
      <c r="O156" s="28" t="str">
        <f>IF(N156&lt;0.2,"적절","부적절")</f>
        <v>적절</v>
      </c>
      <c r="R156" s="266"/>
      <c r="S156" s="269"/>
      <c r="T156" s="231"/>
      <c r="U156" s="229"/>
      <c r="V156" s="122"/>
      <c r="W156" s="99"/>
      <c r="X156" s="99"/>
      <c r="Y156" s="99"/>
      <c r="Z156" s="99"/>
      <c r="AA156" s="99"/>
      <c r="AB156" s="93"/>
      <c r="AC156" s="93"/>
      <c r="AD156" s="92">
        <f t="shared" si="51"/>
        <v>0</v>
      </c>
      <c r="AF156" s="124"/>
    </row>
    <row r="157" spans="2:32" ht="12.75" customHeight="1" x14ac:dyDescent="0.3">
      <c r="B157" s="253"/>
      <c r="C157" s="256"/>
      <c r="D157" s="259"/>
      <c r="E157" s="218" t="s">
        <v>75</v>
      </c>
      <c r="F157" s="219"/>
      <c r="G157" s="220"/>
      <c r="H157" s="111">
        <f>SUM(H144:H156)</f>
        <v>0</v>
      </c>
      <c r="I157" s="112" t="str">
        <f t="shared" si="44"/>
        <v/>
      </c>
      <c r="J157" s="111">
        <f>SUM(J144:J156)</f>
        <v>0</v>
      </c>
      <c r="K157" s="112" t="str">
        <f>IFERROR(J157/L157,"")</f>
        <v/>
      </c>
      <c r="L157" s="68">
        <f>SUM(L144:L156)</f>
        <v>0</v>
      </c>
      <c r="M157" s="70" t="str">
        <f t="shared" si="50"/>
        <v/>
      </c>
      <c r="N157" s="48"/>
      <c r="O157" s="52"/>
      <c r="R157" s="266"/>
      <c r="S157" s="269"/>
      <c r="T157" s="231"/>
      <c r="U157" s="229"/>
      <c r="V157" s="107"/>
      <c r="W157" s="101"/>
      <c r="X157" s="101"/>
      <c r="Y157" s="101"/>
      <c r="Z157" s="101"/>
      <c r="AA157" s="101"/>
      <c r="AB157" s="103"/>
      <c r="AC157" s="93"/>
      <c r="AD157" s="92">
        <f t="shared" si="51"/>
        <v>0</v>
      </c>
      <c r="AF157" s="124"/>
    </row>
    <row r="158" spans="2:32" ht="12.75" customHeight="1" x14ac:dyDescent="0.3">
      <c r="B158" s="253"/>
      <c r="C158" s="256"/>
      <c r="D158" s="259"/>
      <c r="E158" s="221" t="s">
        <v>129</v>
      </c>
      <c r="F158" s="223" t="s">
        <v>76</v>
      </c>
      <c r="G158" s="224"/>
      <c r="H158" s="25"/>
      <c r="I158" s="48" t="str">
        <f t="shared" si="44"/>
        <v/>
      </c>
      <c r="J158" s="60"/>
      <c r="K158" s="61"/>
      <c r="L158" s="49">
        <f t="shared" si="48"/>
        <v>0</v>
      </c>
      <c r="M158" s="50" t="str">
        <f t="shared" si="50"/>
        <v/>
      </c>
      <c r="N158" s="24"/>
      <c r="O158" s="52"/>
      <c r="R158" s="266"/>
      <c r="S158" s="269"/>
      <c r="T158" s="231"/>
      <c r="U158" s="225" t="s">
        <v>114</v>
      </c>
      <c r="V158" s="226"/>
      <c r="W158" s="226"/>
      <c r="X158" s="226"/>
      <c r="Y158" s="226"/>
      <c r="Z158" s="226"/>
      <c r="AA158" s="226"/>
      <c r="AB158" s="113">
        <f>SUM(AB154:AB157)</f>
        <v>0</v>
      </c>
      <c r="AC158" s="113">
        <f>SUM(AC154:AC157)</f>
        <v>0</v>
      </c>
      <c r="AD158" s="106">
        <f>SUM(AD154:AD157)</f>
        <v>0</v>
      </c>
    </row>
    <row r="159" spans="2:32" ht="12.75" customHeight="1" x14ac:dyDescent="0.3">
      <c r="B159" s="253"/>
      <c r="C159" s="256"/>
      <c r="D159" s="259"/>
      <c r="E159" s="222"/>
      <c r="F159" s="227" t="s">
        <v>77</v>
      </c>
      <c r="G159" s="228"/>
      <c r="H159" s="25"/>
      <c r="I159" s="48" t="str">
        <f t="shared" si="44"/>
        <v/>
      </c>
      <c r="J159" s="60"/>
      <c r="K159" s="61"/>
      <c r="L159" s="49">
        <f t="shared" si="48"/>
        <v>0</v>
      </c>
      <c r="M159" s="50" t="str">
        <f t="shared" si="50"/>
        <v/>
      </c>
      <c r="N159" s="24"/>
      <c r="O159" s="52"/>
      <c r="R159" s="266"/>
      <c r="S159" s="269"/>
      <c r="T159" s="231"/>
      <c r="U159" s="229" t="s">
        <v>130</v>
      </c>
      <c r="V159" s="107"/>
      <c r="W159" s="101"/>
      <c r="X159" s="101"/>
      <c r="Y159" s="101"/>
      <c r="Z159" s="101"/>
      <c r="AA159" s="101"/>
      <c r="AB159" s="103"/>
      <c r="AC159" s="93"/>
      <c r="AD159" s="92">
        <f t="shared" ref="AD159:AD160" si="52">SUM(AB159:AC159)</f>
        <v>0</v>
      </c>
      <c r="AF159" s="124"/>
    </row>
    <row r="160" spans="2:32" ht="12.75" customHeight="1" x14ac:dyDescent="0.3">
      <c r="B160" s="253"/>
      <c r="C160" s="256"/>
      <c r="D160" s="259"/>
      <c r="E160" s="222"/>
      <c r="F160" s="227" t="s">
        <v>78</v>
      </c>
      <c r="G160" s="228"/>
      <c r="H160" s="25"/>
      <c r="I160" s="48" t="str">
        <f t="shared" si="44"/>
        <v/>
      </c>
      <c r="J160" s="60"/>
      <c r="K160" s="61"/>
      <c r="L160" s="49">
        <f t="shared" si="48"/>
        <v>0</v>
      </c>
      <c r="M160" s="50" t="str">
        <f t="shared" si="50"/>
        <v/>
      </c>
      <c r="N160" s="24"/>
      <c r="O160" s="52"/>
      <c r="R160" s="266"/>
      <c r="S160" s="269"/>
      <c r="T160" s="231"/>
      <c r="U160" s="229"/>
      <c r="V160" s="107"/>
      <c r="W160" s="101"/>
      <c r="X160" s="101"/>
      <c r="Y160" s="101"/>
      <c r="Z160" s="101"/>
      <c r="AA160" s="101"/>
      <c r="AB160" s="103"/>
      <c r="AC160" s="93"/>
      <c r="AD160" s="92">
        <f t="shared" si="52"/>
        <v>0</v>
      </c>
      <c r="AF160" s="124"/>
    </row>
    <row r="161" spans="2:32" ht="12.75" customHeight="1" x14ac:dyDescent="0.3">
      <c r="B161" s="254"/>
      <c r="C161" s="257"/>
      <c r="D161" s="260"/>
      <c r="E161" s="284" t="s">
        <v>119</v>
      </c>
      <c r="F161" s="284"/>
      <c r="G161" s="284"/>
      <c r="H161" s="68">
        <f>SUM(H158:H160)</f>
        <v>0</v>
      </c>
      <c r="I161" s="69" t="str">
        <f t="shared" si="44"/>
        <v/>
      </c>
      <c r="J161" s="68">
        <f>SUM(J158:J160)</f>
        <v>0</v>
      </c>
      <c r="K161" s="69" t="str">
        <f t="shared" si="45"/>
        <v/>
      </c>
      <c r="L161" s="68">
        <f>SUM(L158:L160)</f>
        <v>0</v>
      </c>
      <c r="M161" s="70" t="str">
        <f t="shared" si="50"/>
        <v/>
      </c>
      <c r="N161" s="72"/>
      <c r="O161" s="73"/>
      <c r="R161" s="267"/>
      <c r="S161" s="270"/>
      <c r="T161" s="232"/>
      <c r="U161" s="225" t="s">
        <v>114</v>
      </c>
      <c r="V161" s="226"/>
      <c r="W161" s="226"/>
      <c r="X161" s="226"/>
      <c r="Y161" s="226"/>
      <c r="Z161" s="226"/>
      <c r="AA161" s="226"/>
      <c r="AB161" s="113">
        <f>SUM(AB159:AB160)</f>
        <v>0</v>
      </c>
      <c r="AC161" s="113">
        <f>SUM(AC159:AC160)</f>
        <v>0</v>
      </c>
      <c r="AD161" s="106">
        <f>SUM(AD159:AD160)</f>
        <v>0</v>
      </c>
    </row>
    <row r="162" spans="2:32" ht="12.75" customHeight="1" thickBot="1" x14ac:dyDescent="0.35">
      <c r="B162" s="119"/>
      <c r="C162" s="38"/>
      <c r="D162" s="204" t="s">
        <v>15</v>
      </c>
      <c r="E162" s="205"/>
      <c r="F162" s="205"/>
      <c r="G162" s="206"/>
      <c r="H162" s="40">
        <f>H157+H161</f>
        <v>0</v>
      </c>
      <c r="I162" s="75" t="str">
        <f t="shared" si="44"/>
        <v/>
      </c>
      <c r="J162" s="40">
        <f>J157+J161</f>
        <v>0</v>
      </c>
      <c r="K162" s="75" t="str">
        <f t="shared" si="45"/>
        <v/>
      </c>
      <c r="L162" s="40">
        <f>L157+L161</f>
        <v>0</v>
      </c>
      <c r="M162" s="76" t="str">
        <f t="shared" si="50"/>
        <v/>
      </c>
      <c r="N162" s="77"/>
      <c r="O162" s="78"/>
      <c r="R162" s="207" t="s">
        <v>117</v>
      </c>
      <c r="S162" s="208"/>
      <c r="T162" s="208"/>
      <c r="U162" s="208"/>
      <c r="V162" s="208"/>
      <c r="W162" s="208"/>
      <c r="X162" s="208"/>
      <c r="Y162" s="208"/>
      <c r="Z162" s="208"/>
      <c r="AA162" s="208"/>
      <c r="AB162" s="114">
        <f>AB153+AB158+AB161</f>
        <v>0</v>
      </c>
      <c r="AC162" s="114">
        <f t="shared" ref="AC162:AD162" si="53">AC153+AC158+AC161</f>
        <v>0</v>
      </c>
      <c r="AD162" s="115">
        <f t="shared" si="53"/>
        <v>0</v>
      </c>
      <c r="AE162" s="116"/>
    </row>
    <row r="163" spans="2:32" ht="12.75" customHeight="1" thickBot="1" x14ac:dyDescent="0.35">
      <c r="H163" s="79"/>
      <c r="I163" s="80"/>
      <c r="J163" s="79"/>
      <c r="K163" s="80"/>
      <c r="L163" s="81"/>
      <c r="M163" s="44" t="s">
        <v>10</v>
      </c>
      <c r="AD163" s="3" t="s">
        <v>83</v>
      </c>
    </row>
    <row r="164" spans="2:32" ht="12.75" customHeight="1" x14ac:dyDescent="0.3">
      <c r="B164" s="285" t="s">
        <v>11</v>
      </c>
      <c r="C164" s="287" t="s">
        <v>26</v>
      </c>
      <c r="D164" s="287" t="s">
        <v>27</v>
      </c>
      <c r="E164" s="287" t="s">
        <v>39</v>
      </c>
      <c r="F164" s="289" t="s">
        <v>40</v>
      </c>
      <c r="G164" s="290"/>
      <c r="H164" s="189" t="s">
        <v>16</v>
      </c>
      <c r="I164" s="191"/>
      <c r="J164" s="189" t="s">
        <v>18</v>
      </c>
      <c r="K164" s="191"/>
      <c r="L164" s="189" t="s">
        <v>41</v>
      </c>
      <c r="M164" s="191"/>
      <c r="N164" s="271" t="s">
        <v>42</v>
      </c>
      <c r="O164" s="272"/>
      <c r="R164" s="275" t="s">
        <v>84</v>
      </c>
      <c r="S164" s="247"/>
      <c r="T164" s="276"/>
      <c r="U164" s="243" t="s">
        <v>85</v>
      </c>
      <c r="V164" s="243" t="s">
        <v>86</v>
      </c>
      <c r="W164" s="243" t="s">
        <v>87</v>
      </c>
      <c r="X164" s="84" t="s">
        <v>88</v>
      </c>
      <c r="Y164" s="84" t="s">
        <v>89</v>
      </c>
      <c r="Z164" s="84" t="s">
        <v>90</v>
      </c>
      <c r="AA164" s="84" t="s">
        <v>91</v>
      </c>
      <c r="AB164" s="246" t="s">
        <v>92</v>
      </c>
      <c r="AC164" s="247"/>
      <c r="AD164" s="248"/>
    </row>
    <row r="165" spans="2:32" ht="35.450000000000003" customHeight="1" x14ac:dyDescent="0.3">
      <c r="B165" s="286"/>
      <c r="C165" s="288"/>
      <c r="D165" s="288"/>
      <c r="E165" s="288"/>
      <c r="F165" s="291"/>
      <c r="G165" s="292"/>
      <c r="H165" s="45" t="s">
        <v>43</v>
      </c>
      <c r="I165" s="45" t="s">
        <v>44</v>
      </c>
      <c r="J165" s="45" t="s">
        <v>45</v>
      </c>
      <c r="K165" s="45" t="s">
        <v>46</v>
      </c>
      <c r="L165" s="45" t="s">
        <v>47</v>
      </c>
      <c r="M165" s="45" t="s">
        <v>48</v>
      </c>
      <c r="N165" s="273"/>
      <c r="O165" s="274"/>
      <c r="R165" s="277"/>
      <c r="S165" s="278"/>
      <c r="T165" s="279"/>
      <c r="U165" s="244"/>
      <c r="V165" s="244"/>
      <c r="W165" s="244"/>
      <c r="X165" s="85" t="s">
        <v>93</v>
      </c>
      <c r="Y165" s="85" t="s">
        <v>94</v>
      </c>
      <c r="Z165" s="85" t="s">
        <v>94</v>
      </c>
      <c r="AA165" s="85" t="s">
        <v>94</v>
      </c>
      <c r="AB165" s="249"/>
      <c r="AC165" s="250"/>
      <c r="AD165" s="251"/>
    </row>
    <row r="166" spans="2:32" ht="12.75" customHeight="1" thickBot="1" x14ac:dyDescent="0.35">
      <c r="B166" s="252">
        <v>1</v>
      </c>
      <c r="C166" s="255" t="s">
        <v>131</v>
      </c>
      <c r="D166" s="258">
        <f>D47</f>
        <v>0</v>
      </c>
      <c r="E166" s="261" t="s">
        <v>50</v>
      </c>
      <c r="F166" s="221" t="s">
        <v>51</v>
      </c>
      <c r="G166" s="46" t="s">
        <v>52</v>
      </c>
      <c r="H166" s="25"/>
      <c r="I166" s="48" t="str">
        <f>IFERROR(H166/L166,"")</f>
        <v/>
      </c>
      <c r="J166" s="25"/>
      <c r="K166" s="48" t="str">
        <f>IFERROR(J166/L166,"")</f>
        <v/>
      </c>
      <c r="L166" s="49">
        <f>H166+J166</f>
        <v>0</v>
      </c>
      <c r="M166" s="50" t="str">
        <f>IFERROR(L166/$L$162,"")</f>
        <v/>
      </c>
      <c r="N166" s="48"/>
      <c r="O166" s="51"/>
      <c r="R166" s="280"/>
      <c r="S166" s="281"/>
      <c r="T166" s="282"/>
      <c r="U166" s="283"/>
      <c r="V166" s="245"/>
      <c r="W166" s="245"/>
      <c r="X166" s="86" t="s">
        <v>96</v>
      </c>
      <c r="Y166" s="86" t="s">
        <v>97</v>
      </c>
      <c r="Z166" s="86" t="s">
        <v>98</v>
      </c>
      <c r="AA166" s="86"/>
      <c r="AB166" s="87" t="s">
        <v>121</v>
      </c>
      <c r="AC166" s="87" t="s">
        <v>99</v>
      </c>
      <c r="AD166" s="88" t="s">
        <v>122</v>
      </c>
    </row>
    <row r="167" spans="2:32" ht="12.75" customHeight="1" thickTop="1" x14ac:dyDescent="0.3">
      <c r="B167" s="253"/>
      <c r="C167" s="256"/>
      <c r="D167" s="259"/>
      <c r="E167" s="222"/>
      <c r="F167" s="263"/>
      <c r="G167" s="46" t="s">
        <v>53</v>
      </c>
      <c r="H167" s="25"/>
      <c r="I167" s="48" t="str">
        <f t="shared" ref="I167:I188" si="54">IFERROR(H167/L167,"")</f>
        <v/>
      </c>
      <c r="J167" s="25"/>
      <c r="K167" s="48" t="str">
        <f t="shared" ref="K167:K172" si="55">IFERROR(J167/L167,"")</f>
        <v/>
      </c>
      <c r="L167" s="49">
        <f t="shared" ref="L167:L169" si="56">H167+J167</f>
        <v>0</v>
      </c>
      <c r="M167" s="50" t="str">
        <f t="shared" ref="M167:M188" si="57">IFERROR(L167/$L$162,"")</f>
        <v/>
      </c>
      <c r="N167" s="24"/>
      <c r="O167" s="52"/>
      <c r="R167" s="265" t="s">
        <v>125</v>
      </c>
      <c r="S167" s="268">
        <f>D166</f>
        <v>0</v>
      </c>
      <c r="T167" s="230" t="s">
        <v>51</v>
      </c>
      <c r="U167" s="233" t="s">
        <v>100</v>
      </c>
      <c r="V167" s="89"/>
      <c r="W167" s="89"/>
      <c r="X167" s="90"/>
      <c r="Y167" s="89"/>
      <c r="Z167" s="89"/>
      <c r="AA167" s="89"/>
      <c r="AB167" s="89"/>
      <c r="AC167" s="90"/>
      <c r="AD167" s="92">
        <f t="shared" ref="AD167:AD178" si="58">SUM(AB167:AC167)</f>
        <v>0</v>
      </c>
      <c r="AF167" s="124"/>
    </row>
    <row r="168" spans="2:32" ht="12.75" customHeight="1" x14ac:dyDescent="0.3">
      <c r="B168" s="253"/>
      <c r="C168" s="256"/>
      <c r="D168" s="259"/>
      <c r="E168" s="222"/>
      <c r="F168" s="263"/>
      <c r="G168" s="46" t="s">
        <v>126</v>
      </c>
      <c r="H168" s="25"/>
      <c r="I168" s="48" t="str">
        <f t="shared" si="54"/>
        <v/>
      </c>
      <c r="J168" s="25"/>
      <c r="K168" s="48" t="str">
        <f t="shared" si="55"/>
        <v/>
      </c>
      <c r="L168" s="49">
        <f t="shared" si="56"/>
        <v>0</v>
      </c>
      <c r="M168" s="50" t="str">
        <f t="shared" si="57"/>
        <v/>
      </c>
      <c r="N168" s="24"/>
      <c r="O168" s="52"/>
      <c r="R168" s="266"/>
      <c r="S168" s="269"/>
      <c r="T168" s="231"/>
      <c r="U168" s="233"/>
      <c r="V168" s="93"/>
      <c r="W168" s="93"/>
      <c r="X168" s="94"/>
      <c r="Y168" s="93"/>
      <c r="Z168" s="93"/>
      <c r="AA168" s="93"/>
      <c r="AB168" s="94"/>
      <c r="AC168" s="94"/>
      <c r="AD168" s="92">
        <f t="shared" si="58"/>
        <v>0</v>
      </c>
      <c r="AF168" s="124"/>
    </row>
    <row r="169" spans="2:32" ht="12.75" customHeight="1" x14ac:dyDescent="0.3">
      <c r="B169" s="253"/>
      <c r="C169" s="256"/>
      <c r="D169" s="259"/>
      <c r="E169" s="222"/>
      <c r="F169" s="264"/>
      <c r="G169" s="53" t="s">
        <v>127</v>
      </c>
      <c r="H169" s="25"/>
      <c r="I169" s="48" t="str">
        <f t="shared" si="54"/>
        <v/>
      </c>
      <c r="J169" s="25"/>
      <c r="K169" s="48" t="str">
        <f t="shared" si="55"/>
        <v/>
      </c>
      <c r="L169" s="49">
        <f t="shared" si="56"/>
        <v>0</v>
      </c>
      <c r="M169" s="50" t="str">
        <f t="shared" si="57"/>
        <v/>
      </c>
      <c r="N169" s="24"/>
      <c r="O169" s="52"/>
      <c r="R169" s="266"/>
      <c r="S169" s="269"/>
      <c r="T169" s="231"/>
      <c r="U169" s="233"/>
      <c r="V169" s="93"/>
      <c r="W169" s="93"/>
      <c r="X169" s="94"/>
      <c r="Y169" s="93"/>
      <c r="Z169" s="93"/>
      <c r="AA169" s="93"/>
      <c r="AB169" s="93"/>
      <c r="AC169" s="94"/>
      <c r="AD169" s="92">
        <f t="shared" si="58"/>
        <v>0</v>
      </c>
      <c r="AF169" s="124"/>
    </row>
    <row r="170" spans="2:32" ht="12.75" customHeight="1" x14ac:dyDescent="0.3">
      <c r="B170" s="253"/>
      <c r="C170" s="256"/>
      <c r="D170" s="259"/>
      <c r="E170" s="222"/>
      <c r="F170" s="235" t="s">
        <v>128</v>
      </c>
      <c r="G170" s="236"/>
      <c r="H170" s="68">
        <f>SUM(H166:H169)</f>
        <v>0</v>
      </c>
      <c r="I170" s="69" t="str">
        <f t="shared" si="54"/>
        <v/>
      </c>
      <c r="J170" s="68">
        <f>SUM(J166:J169)</f>
        <v>0</v>
      </c>
      <c r="K170" s="69" t="str">
        <f t="shared" si="55"/>
        <v/>
      </c>
      <c r="L170" s="68">
        <f>SUM(L166:L169)</f>
        <v>0</v>
      </c>
      <c r="M170" s="70" t="str">
        <f t="shared" si="57"/>
        <v/>
      </c>
      <c r="N170" s="24"/>
      <c r="O170" s="52"/>
      <c r="R170" s="266"/>
      <c r="S170" s="269"/>
      <c r="T170" s="231"/>
      <c r="U170" s="233"/>
      <c r="V170" s="93"/>
      <c r="W170" s="93"/>
      <c r="X170" s="94"/>
      <c r="Y170" s="93"/>
      <c r="Z170" s="93"/>
      <c r="AA170" s="93"/>
      <c r="AB170" s="94"/>
      <c r="AC170" s="93"/>
      <c r="AD170" s="92">
        <f t="shared" si="58"/>
        <v>0</v>
      </c>
      <c r="AF170" s="124"/>
    </row>
    <row r="171" spans="2:32" ht="12.75" customHeight="1" x14ac:dyDescent="0.3">
      <c r="B171" s="253"/>
      <c r="C171" s="256"/>
      <c r="D171" s="259"/>
      <c r="E171" s="222"/>
      <c r="F171" s="237" t="s">
        <v>56</v>
      </c>
      <c r="G171" s="238"/>
      <c r="H171" s="25"/>
      <c r="I171" s="48" t="str">
        <f t="shared" si="54"/>
        <v/>
      </c>
      <c r="J171" s="25"/>
      <c r="K171" s="48" t="str">
        <f t="shared" si="55"/>
        <v/>
      </c>
      <c r="L171" s="49">
        <f t="shared" ref="L171:L182" si="59">H171+J171</f>
        <v>0</v>
      </c>
      <c r="M171" s="50" t="str">
        <f t="shared" si="57"/>
        <v/>
      </c>
      <c r="N171" s="24"/>
      <c r="O171" s="52"/>
      <c r="R171" s="266"/>
      <c r="S171" s="269"/>
      <c r="T171" s="231"/>
      <c r="U171" s="233"/>
      <c r="V171" s="93"/>
      <c r="W171" s="93"/>
      <c r="X171" s="94"/>
      <c r="Y171" s="93"/>
      <c r="Z171" s="93"/>
      <c r="AA171" s="93"/>
      <c r="AB171" s="94"/>
      <c r="AC171" s="93"/>
      <c r="AD171" s="92">
        <f t="shared" si="58"/>
        <v>0</v>
      </c>
      <c r="AF171" s="124"/>
    </row>
    <row r="172" spans="2:32" ht="12.75" customHeight="1" x14ac:dyDescent="0.3">
      <c r="B172" s="253"/>
      <c r="C172" s="256"/>
      <c r="D172" s="259"/>
      <c r="E172" s="222"/>
      <c r="F172" s="227" t="s">
        <v>57</v>
      </c>
      <c r="G172" s="228"/>
      <c r="H172" s="25"/>
      <c r="I172" s="48" t="str">
        <f t="shared" si="54"/>
        <v/>
      </c>
      <c r="J172" s="25"/>
      <c r="K172" s="48" t="str">
        <f t="shared" si="55"/>
        <v/>
      </c>
      <c r="L172" s="49">
        <f t="shared" si="59"/>
        <v>0</v>
      </c>
      <c r="M172" s="50" t="str">
        <f t="shared" si="57"/>
        <v/>
      </c>
      <c r="N172" s="24"/>
      <c r="O172" s="52"/>
      <c r="R172" s="266"/>
      <c r="S172" s="269"/>
      <c r="T172" s="231"/>
      <c r="U172" s="233"/>
      <c r="V172" s="93"/>
      <c r="W172" s="93"/>
      <c r="X172" s="94"/>
      <c r="Y172" s="93"/>
      <c r="Z172" s="93"/>
      <c r="AA172" s="93"/>
      <c r="AB172" s="94"/>
      <c r="AC172" s="93"/>
      <c r="AD172" s="92">
        <f t="shared" si="58"/>
        <v>0</v>
      </c>
      <c r="AF172" s="124"/>
    </row>
    <row r="173" spans="2:32" ht="12.75" customHeight="1" x14ac:dyDescent="0.3">
      <c r="B173" s="253"/>
      <c r="C173" s="256"/>
      <c r="D173" s="259"/>
      <c r="E173" s="222"/>
      <c r="F173" s="239" t="s">
        <v>58</v>
      </c>
      <c r="G173" s="59" t="s">
        <v>59</v>
      </c>
      <c r="H173" s="25"/>
      <c r="I173" s="48" t="str">
        <f t="shared" si="54"/>
        <v/>
      </c>
      <c r="J173" s="60"/>
      <c r="K173" s="61"/>
      <c r="L173" s="49">
        <f t="shared" si="59"/>
        <v>0</v>
      </c>
      <c r="M173" s="50" t="str">
        <f t="shared" si="57"/>
        <v/>
      </c>
      <c r="N173" s="24"/>
      <c r="O173" s="52"/>
      <c r="R173" s="266"/>
      <c r="S173" s="269"/>
      <c r="T173" s="231"/>
      <c r="U173" s="234"/>
      <c r="V173" s="93"/>
      <c r="W173" s="93"/>
      <c r="X173" s="93"/>
      <c r="Y173" s="93"/>
      <c r="Z173" s="93"/>
      <c r="AA173" s="93"/>
      <c r="AB173" s="93"/>
      <c r="AC173" s="93"/>
      <c r="AD173" s="92">
        <f t="shared" si="58"/>
        <v>0</v>
      </c>
      <c r="AF173" s="124"/>
    </row>
    <row r="174" spans="2:32" ht="12.75" customHeight="1" x14ac:dyDescent="0.3">
      <c r="B174" s="253"/>
      <c r="C174" s="256"/>
      <c r="D174" s="259"/>
      <c r="E174" s="222"/>
      <c r="F174" s="239"/>
      <c r="G174" s="59" t="s">
        <v>60</v>
      </c>
      <c r="H174" s="25"/>
      <c r="I174" s="48" t="str">
        <f t="shared" si="54"/>
        <v/>
      </c>
      <c r="J174" s="60"/>
      <c r="K174" s="61"/>
      <c r="L174" s="49">
        <f t="shared" si="59"/>
        <v>0</v>
      </c>
      <c r="M174" s="50" t="str">
        <f t="shared" si="57"/>
        <v/>
      </c>
      <c r="N174" s="100">
        <f>IFERROR(L174/L183,0)</f>
        <v>0</v>
      </c>
      <c r="O174" s="28" t="str">
        <f>IF(N174&lt;0.4,"적절","부적절")</f>
        <v>적절</v>
      </c>
      <c r="R174" s="266"/>
      <c r="S174" s="269"/>
      <c r="T174" s="231"/>
      <c r="U174" s="240" t="s">
        <v>104</v>
      </c>
      <c r="V174" s="93"/>
      <c r="W174" s="93"/>
      <c r="X174" s="94"/>
      <c r="Y174" s="93"/>
      <c r="Z174" s="93"/>
      <c r="AA174" s="93"/>
      <c r="AB174" s="94"/>
      <c r="AC174" s="93"/>
      <c r="AD174" s="92">
        <f t="shared" si="58"/>
        <v>0</v>
      </c>
      <c r="AF174" s="124"/>
    </row>
    <row r="175" spans="2:32" ht="12.75" customHeight="1" x14ac:dyDescent="0.3">
      <c r="B175" s="253"/>
      <c r="C175" s="256"/>
      <c r="D175" s="259"/>
      <c r="E175" s="222"/>
      <c r="F175" s="239"/>
      <c r="G175" s="59" t="s">
        <v>61</v>
      </c>
      <c r="H175" s="25"/>
      <c r="I175" s="48" t="str">
        <f t="shared" si="54"/>
        <v/>
      </c>
      <c r="J175" s="60"/>
      <c r="K175" s="61"/>
      <c r="L175" s="49">
        <f t="shared" si="59"/>
        <v>0</v>
      </c>
      <c r="M175" s="50" t="str">
        <f t="shared" si="57"/>
        <v/>
      </c>
      <c r="N175" s="24"/>
      <c r="O175" s="52"/>
      <c r="R175" s="266"/>
      <c r="S175" s="269"/>
      <c r="T175" s="231"/>
      <c r="U175" s="233"/>
      <c r="V175" s="93"/>
      <c r="W175" s="93"/>
      <c r="X175" s="94"/>
      <c r="Y175" s="93"/>
      <c r="Z175" s="93"/>
      <c r="AA175" s="93"/>
      <c r="AB175" s="94"/>
      <c r="AC175" s="93"/>
      <c r="AD175" s="92">
        <f t="shared" si="58"/>
        <v>0</v>
      </c>
      <c r="AF175" s="124"/>
    </row>
    <row r="176" spans="2:32" ht="12.75" customHeight="1" x14ac:dyDescent="0.3">
      <c r="B176" s="253"/>
      <c r="C176" s="256"/>
      <c r="D176" s="259"/>
      <c r="E176" s="222"/>
      <c r="F176" s="239"/>
      <c r="G176" s="59" t="s">
        <v>62</v>
      </c>
      <c r="H176" s="25"/>
      <c r="I176" s="48" t="str">
        <f t="shared" si="54"/>
        <v/>
      </c>
      <c r="J176" s="60"/>
      <c r="K176" s="61"/>
      <c r="L176" s="49">
        <f t="shared" si="59"/>
        <v>0</v>
      </c>
      <c r="M176" s="50" t="str">
        <f t="shared" si="57"/>
        <v/>
      </c>
      <c r="N176" s="24"/>
      <c r="O176" s="52"/>
      <c r="R176" s="266"/>
      <c r="S176" s="269"/>
      <c r="T176" s="231"/>
      <c r="U176" s="233"/>
      <c r="V176" s="93"/>
      <c r="W176" s="93"/>
      <c r="X176" s="94"/>
      <c r="Y176" s="93"/>
      <c r="Z176" s="93"/>
      <c r="AA176" s="93"/>
      <c r="AB176" s="94"/>
      <c r="AC176" s="93"/>
      <c r="AD176" s="92">
        <f t="shared" si="58"/>
        <v>0</v>
      </c>
      <c r="AF176" s="124"/>
    </row>
    <row r="177" spans="2:32" ht="12.75" customHeight="1" x14ac:dyDescent="0.3">
      <c r="B177" s="253"/>
      <c r="C177" s="256"/>
      <c r="D177" s="259"/>
      <c r="E177" s="222"/>
      <c r="F177" s="239"/>
      <c r="G177" s="59" t="s">
        <v>110</v>
      </c>
      <c r="H177" s="25"/>
      <c r="I177" s="48"/>
      <c r="J177" s="60"/>
      <c r="K177" s="61"/>
      <c r="L177" s="49"/>
      <c r="M177" s="50"/>
      <c r="N177" s="24"/>
      <c r="O177" s="52"/>
      <c r="R177" s="266"/>
      <c r="S177" s="269"/>
      <c r="T177" s="231"/>
      <c r="U177" s="233"/>
      <c r="V177" s="93"/>
      <c r="W177" s="93"/>
      <c r="X177" s="94"/>
      <c r="Y177" s="93"/>
      <c r="Z177" s="93"/>
      <c r="AA177" s="93"/>
      <c r="AB177" s="94"/>
      <c r="AC177" s="93"/>
      <c r="AD177" s="92">
        <f t="shared" ref="AD177" si="60">SUM(AB177:AC177)</f>
        <v>0</v>
      </c>
      <c r="AF177" s="124"/>
    </row>
    <row r="178" spans="2:32" ht="12.75" customHeight="1" x14ac:dyDescent="0.3">
      <c r="B178" s="253"/>
      <c r="C178" s="256"/>
      <c r="D178" s="259"/>
      <c r="E178" s="222"/>
      <c r="F178" s="239"/>
      <c r="G178" s="59" t="s">
        <v>64</v>
      </c>
      <c r="H178" s="25"/>
      <c r="I178" s="48" t="str">
        <f t="shared" si="54"/>
        <v/>
      </c>
      <c r="J178" s="60"/>
      <c r="K178" s="61"/>
      <c r="L178" s="49">
        <f t="shared" si="59"/>
        <v>0</v>
      </c>
      <c r="M178" s="50" t="str">
        <f t="shared" si="57"/>
        <v/>
      </c>
      <c r="N178" s="24"/>
      <c r="O178" s="52"/>
      <c r="R178" s="266"/>
      <c r="S178" s="269"/>
      <c r="T178" s="231"/>
      <c r="U178" s="234"/>
      <c r="V178" s="93"/>
      <c r="W178" s="93"/>
      <c r="X178" s="93"/>
      <c r="Y178" s="93"/>
      <c r="Z178" s="93"/>
      <c r="AA178" s="93"/>
      <c r="AB178" s="93"/>
      <c r="AC178" s="93"/>
      <c r="AD178" s="92">
        <f t="shared" si="58"/>
        <v>0</v>
      </c>
      <c r="AF178" s="124"/>
    </row>
    <row r="179" spans="2:32" ht="12.75" customHeight="1" x14ac:dyDescent="0.3">
      <c r="B179" s="253"/>
      <c r="C179" s="256"/>
      <c r="D179" s="259"/>
      <c r="E179" s="222"/>
      <c r="F179" s="239"/>
      <c r="G179" s="59" t="s">
        <v>65</v>
      </c>
      <c r="H179" s="25"/>
      <c r="I179" s="48" t="str">
        <f t="shared" si="54"/>
        <v/>
      </c>
      <c r="J179" s="60"/>
      <c r="K179" s="61"/>
      <c r="L179" s="49">
        <f t="shared" si="59"/>
        <v>0</v>
      </c>
      <c r="M179" s="50" t="str">
        <f t="shared" si="57"/>
        <v/>
      </c>
      <c r="N179" s="24"/>
      <c r="O179" s="52"/>
      <c r="R179" s="266"/>
      <c r="S179" s="269"/>
      <c r="T179" s="231"/>
      <c r="U179" s="241" t="s">
        <v>114</v>
      </c>
      <c r="V179" s="242"/>
      <c r="W179" s="242"/>
      <c r="X179" s="242"/>
      <c r="Y179" s="242"/>
      <c r="Z179" s="242"/>
      <c r="AA179" s="242"/>
      <c r="AB179" s="105">
        <f>SUM(AB167:AB178)</f>
        <v>0</v>
      </c>
      <c r="AC179" s="105">
        <f>SUM(AC167:AC178)</f>
        <v>0</v>
      </c>
      <c r="AD179" s="106">
        <f>SUM(AD167:AD178)</f>
        <v>0</v>
      </c>
    </row>
    <row r="180" spans="2:32" ht="12.75" customHeight="1" x14ac:dyDescent="0.3">
      <c r="B180" s="253"/>
      <c r="C180" s="256"/>
      <c r="D180" s="259"/>
      <c r="E180" s="222"/>
      <c r="F180" s="239"/>
      <c r="G180" s="59" t="s">
        <v>66</v>
      </c>
      <c r="H180" s="25"/>
      <c r="I180" s="48" t="str">
        <f t="shared" si="54"/>
        <v/>
      </c>
      <c r="J180" s="60"/>
      <c r="K180" s="61"/>
      <c r="L180" s="49">
        <f t="shared" si="59"/>
        <v>0</v>
      </c>
      <c r="M180" s="50" t="str">
        <f t="shared" si="57"/>
        <v/>
      </c>
      <c r="N180" s="24"/>
      <c r="O180" s="52"/>
      <c r="R180" s="266"/>
      <c r="S180" s="269"/>
      <c r="T180" s="231"/>
      <c r="U180" s="229" t="s">
        <v>115</v>
      </c>
      <c r="V180" s="121"/>
      <c r="W180" s="93"/>
      <c r="X180" s="93"/>
      <c r="Y180" s="93"/>
      <c r="Z180" s="93"/>
      <c r="AA180" s="93"/>
      <c r="AB180" s="93"/>
      <c r="AC180" s="93"/>
      <c r="AD180" s="92">
        <f t="shared" ref="AD180:AD183" si="61">SUM(AB180:AC180)</f>
        <v>0</v>
      </c>
      <c r="AF180" s="124"/>
    </row>
    <row r="181" spans="2:32" ht="12.75" customHeight="1" x14ac:dyDescent="0.3">
      <c r="B181" s="253"/>
      <c r="C181" s="256"/>
      <c r="D181" s="259"/>
      <c r="E181" s="222"/>
      <c r="F181" s="239"/>
      <c r="G181" s="59" t="s">
        <v>67</v>
      </c>
      <c r="H181" s="25"/>
      <c r="I181" s="48" t="str">
        <f t="shared" si="54"/>
        <v/>
      </c>
      <c r="J181" s="60"/>
      <c r="K181" s="61"/>
      <c r="L181" s="49">
        <f t="shared" si="59"/>
        <v>0</v>
      </c>
      <c r="M181" s="50" t="str">
        <f t="shared" si="57"/>
        <v/>
      </c>
      <c r="N181" s="24"/>
      <c r="O181" s="52"/>
      <c r="R181" s="266"/>
      <c r="S181" s="269"/>
      <c r="T181" s="231"/>
      <c r="U181" s="229"/>
      <c r="V181" s="121"/>
      <c r="W181" s="93"/>
      <c r="X181" s="93"/>
      <c r="Y181" s="93"/>
      <c r="Z181" s="93"/>
      <c r="AA181" s="93"/>
      <c r="AB181" s="93"/>
      <c r="AC181" s="93"/>
      <c r="AD181" s="92">
        <f t="shared" si="61"/>
        <v>0</v>
      </c>
      <c r="AF181" s="124"/>
    </row>
    <row r="182" spans="2:32" ht="12.75" customHeight="1" x14ac:dyDescent="0.3">
      <c r="B182" s="253"/>
      <c r="C182" s="256"/>
      <c r="D182" s="259"/>
      <c r="E182" s="262"/>
      <c r="F182" s="293" t="s">
        <v>69</v>
      </c>
      <c r="G182" s="294"/>
      <c r="H182" s="25"/>
      <c r="I182" s="48" t="str">
        <f t="shared" si="54"/>
        <v/>
      </c>
      <c r="J182" s="60"/>
      <c r="K182" s="61"/>
      <c r="L182" s="49">
        <f t="shared" si="59"/>
        <v>0</v>
      </c>
      <c r="M182" s="50" t="str">
        <f t="shared" si="57"/>
        <v/>
      </c>
      <c r="N182" s="110">
        <f>IFERROR(H182/L170,0)</f>
        <v>0</v>
      </c>
      <c r="O182" s="28" t="str">
        <f>IF(N182&lt;0.2,"적절","부적절")</f>
        <v>적절</v>
      </c>
      <c r="R182" s="266"/>
      <c r="S182" s="269"/>
      <c r="T182" s="231"/>
      <c r="U182" s="229"/>
      <c r="V182" s="122"/>
      <c r="W182" s="99"/>
      <c r="X182" s="99"/>
      <c r="Y182" s="99"/>
      <c r="Z182" s="99"/>
      <c r="AA182" s="99"/>
      <c r="AB182" s="93"/>
      <c r="AC182" s="93"/>
      <c r="AD182" s="92">
        <f t="shared" si="61"/>
        <v>0</v>
      </c>
      <c r="AF182" s="124"/>
    </row>
    <row r="183" spans="2:32" ht="12.75" customHeight="1" x14ac:dyDescent="0.3">
      <c r="B183" s="253"/>
      <c r="C183" s="256"/>
      <c r="D183" s="259"/>
      <c r="E183" s="218" t="s">
        <v>75</v>
      </c>
      <c r="F183" s="219"/>
      <c r="G183" s="220"/>
      <c r="H183" s="111">
        <f>SUM(H170:H182)</f>
        <v>0</v>
      </c>
      <c r="I183" s="112" t="str">
        <f t="shared" si="54"/>
        <v/>
      </c>
      <c r="J183" s="111">
        <f>SUM(J170:J182)</f>
        <v>0</v>
      </c>
      <c r="K183" s="112" t="str">
        <f>IFERROR(J183/L183,"")</f>
        <v/>
      </c>
      <c r="L183" s="68">
        <f>SUM(L170:L182)</f>
        <v>0</v>
      </c>
      <c r="M183" s="70" t="str">
        <f t="shared" si="57"/>
        <v/>
      </c>
      <c r="N183" s="48"/>
      <c r="O183" s="52"/>
      <c r="R183" s="266"/>
      <c r="S183" s="269"/>
      <c r="T183" s="231"/>
      <c r="U183" s="229"/>
      <c r="V183" s="107"/>
      <c r="W183" s="101"/>
      <c r="X183" s="101"/>
      <c r="Y183" s="101"/>
      <c r="Z183" s="101"/>
      <c r="AA183" s="101"/>
      <c r="AB183" s="103"/>
      <c r="AC183" s="93"/>
      <c r="AD183" s="92">
        <f t="shared" si="61"/>
        <v>0</v>
      </c>
      <c r="AF183" s="124"/>
    </row>
    <row r="184" spans="2:32" ht="12.75" customHeight="1" x14ac:dyDescent="0.3">
      <c r="B184" s="253"/>
      <c r="C184" s="256"/>
      <c r="D184" s="259"/>
      <c r="E184" s="221" t="s">
        <v>129</v>
      </c>
      <c r="F184" s="223" t="s">
        <v>76</v>
      </c>
      <c r="G184" s="224"/>
      <c r="H184" s="25"/>
      <c r="I184" s="48" t="str">
        <f t="shared" si="54"/>
        <v/>
      </c>
      <c r="J184" s="60"/>
      <c r="K184" s="61"/>
      <c r="L184" s="49">
        <f t="shared" ref="L184:L186" si="62">H184+J184</f>
        <v>0</v>
      </c>
      <c r="M184" s="50" t="str">
        <f t="shared" si="57"/>
        <v/>
      </c>
      <c r="N184" s="24"/>
      <c r="O184" s="52"/>
      <c r="R184" s="266"/>
      <c r="S184" s="269"/>
      <c r="T184" s="231"/>
      <c r="U184" s="225" t="s">
        <v>114</v>
      </c>
      <c r="V184" s="226"/>
      <c r="W184" s="226"/>
      <c r="X184" s="226"/>
      <c r="Y184" s="226"/>
      <c r="Z184" s="226"/>
      <c r="AA184" s="226"/>
      <c r="AB184" s="113">
        <f>SUM(AB180:AB183)</f>
        <v>0</v>
      </c>
      <c r="AC184" s="113">
        <f>SUM(AC180:AC183)</f>
        <v>0</v>
      </c>
      <c r="AD184" s="106">
        <f>SUM(AD180:AD183)</f>
        <v>0</v>
      </c>
    </row>
    <row r="185" spans="2:32" ht="12.75" customHeight="1" x14ac:dyDescent="0.3">
      <c r="B185" s="253"/>
      <c r="C185" s="256"/>
      <c r="D185" s="259"/>
      <c r="E185" s="222"/>
      <c r="F185" s="227" t="s">
        <v>77</v>
      </c>
      <c r="G185" s="228"/>
      <c r="H185" s="25"/>
      <c r="I185" s="48" t="str">
        <f t="shared" si="54"/>
        <v/>
      </c>
      <c r="J185" s="60"/>
      <c r="K185" s="61"/>
      <c r="L185" s="49">
        <f t="shared" si="62"/>
        <v>0</v>
      </c>
      <c r="M185" s="50" t="str">
        <f t="shared" si="57"/>
        <v/>
      </c>
      <c r="N185" s="24"/>
      <c r="O185" s="52"/>
      <c r="R185" s="266"/>
      <c r="S185" s="269"/>
      <c r="T185" s="231"/>
      <c r="U185" s="229" t="s">
        <v>130</v>
      </c>
      <c r="V185" s="107"/>
      <c r="W185" s="101"/>
      <c r="X185" s="101"/>
      <c r="Y185" s="101"/>
      <c r="Z185" s="101"/>
      <c r="AA185" s="101"/>
      <c r="AB185" s="103"/>
      <c r="AC185" s="93"/>
      <c r="AD185" s="92">
        <f t="shared" ref="AD185:AD186" si="63">SUM(AB185:AC185)</f>
        <v>0</v>
      </c>
      <c r="AF185" s="124"/>
    </row>
    <row r="186" spans="2:32" ht="12.75" customHeight="1" x14ac:dyDescent="0.3">
      <c r="B186" s="253"/>
      <c r="C186" s="256"/>
      <c r="D186" s="259"/>
      <c r="E186" s="222"/>
      <c r="F186" s="227" t="s">
        <v>78</v>
      </c>
      <c r="G186" s="228"/>
      <c r="H186" s="25"/>
      <c r="I186" s="48" t="str">
        <f t="shared" si="54"/>
        <v/>
      </c>
      <c r="J186" s="60"/>
      <c r="K186" s="61"/>
      <c r="L186" s="49">
        <f t="shared" si="62"/>
        <v>0</v>
      </c>
      <c r="M186" s="50" t="str">
        <f t="shared" si="57"/>
        <v/>
      </c>
      <c r="N186" s="24"/>
      <c r="O186" s="52"/>
      <c r="R186" s="266"/>
      <c r="S186" s="269"/>
      <c r="T186" s="231"/>
      <c r="U186" s="229"/>
      <c r="V186" s="107"/>
      <c r="W186" s="101"/>
      <c r="X186" s="101"/>
      <c r="Y186" s="101"/>
      <c r="Z186" s="101"/>
      <c r="AA186" s="101"/>
      <c r="AB186" s="103"/>
      <c r="AC186" s="93"/>
      <c r="AD186" s="92">
        <f t="shared" si="63"/>
        <v>0</v>
      </c>
      <c r="AF186" s="124"/>
    </row>
    <row r="187" spans="2:32" ht="12.75" customHeight="1" x14ac:dyDescent="0.3">
      <c r="B187" s="254"/>
      <c r="C187" s="257"/>
      <c r="D187" s="260"/>
      <c r="E187" s="284" t="s">
        <v>119</v>
      </c>
      <c r="F187" s="284"/>
      <c r="G187" s="284"/>
      <c r="H187" s="68">
        <f>SUM(H184:H186)</f>
        <v>0</v>
      </c>
      <c r="I187" s="69" t="str">
        <f t="shared" si="54"/>
        <v/>
      </c>
      <c r="J187" s="68">
        <f>SUM(J184:J186)</f>
        <v>0</v>
      </c>
      <c r="K187" s="69" t="str">
        <f t="shared" ref="K187:K188" si="64">IFERROR(J187/L187,"")</f>
        <v/>
      </c>
      <c r="L187" s="68">
        <f>SUM(L184:L186)</f>
        <v>0</v>
      </c>
      <c r="M187" s="70" t="str">
        <f t="shared" si="57"/>
        <v/>
      </c>
      <c r="N187" s="72"/>
      <c r="O187" s="73"/>
      <c r="R187" s="267"/>
      <c r="S187" s="270"/>
      <c r="T187" s="232"/>
      <c r="U187" s="225" t="s">
        <v>114</v>
      </c>
      <c r="V187" s="226"/>
      <c r="W187" s="226"/>
      <c r="X187" s="226"/>
      <c r="Y187" s="226"/>
      <c r="Z187" s="226"/>
      <c r="AA187" s="226"/>
      <c r="AB187" s="113">
        <f>SUM(AB185:AB186)</f>
        <v>0</v>
      </c>
      <c r="AC187" s="113">
        <f>SUM(AC185:AC186)</f>
        <v>0</v>
      </c>
      <c r="AD187" s="106">
        <f>SUM(AD185:AD186)</f>
        <v>0</v>
      </c>
    </row>
    <row r="188" spans="2:32" ht="12.75" customHeight="1" thickBot="1" x14ac:dyDescent="0.35">
      <c r="B188" s="119"/>
      <c r="C188" s="38"/>
      <c r="D188" s="204" t="s">
        <v>15</v>
      </c>
      <c r="E188" s="205"/>
      <c r="F188" s="205"/>
      <c r="G188" s="206"/>
      <c r="H188" s="40">
        <f>H183+H187</f>
        <v>0</v>
      </c>
      <c r="I188" s="75" t="str">
        <f t="shared" si="54"/>
        <v/>
      </c>
      <c r="J188" s="40">
        <f>J183+J187</f>
        <v>0</v>
      </c>
      <c r="K188" s="75" t="str">
        <f t="shared" si="64"/>
        <v/>
      </c>
      <c r="L188" s="40">
        <f>L183+L187</f>
        <v>0</v>
      </c>
      <c r="M188" s="76" t="str">
        <f t="shared" si="57"/>
        <v/>
      </c>
      <c r="N188" s="77"/>
      <c r="O188" s="78"/>
      <c r="R188" s="207" t="s">
        <v>117</v>
      </c>
      <c r="S188" s="208"/>
      <c r="T188" s="208"/>
      <c r="U188" s="208"/>
      <c r="V188" s="208"/>
      <c r="W188" s="208"/>
      <c r="X188" s="208"/>
      <c r="Y188" s="208"/>
      <c r="Z188" s="208"/>
      <c r="AA188" s="208"/>
      <c r="AB188" s="114">
        <f>AB179+AB184+AB187</f>
        <v>0</v>
      </c>
      <c r="AC188" s="114">
        <f t="shared" ref="AC188:AD188" si="65">AC179+AC184+AC187</f>
        <v>0</v>
      </c>
      <c r="AD188" s="115">
        <f t="shared" si="65"/>
        <v>0</v>
      </c>
      <c r="AE188" s="116"/>
    </row>
    <row r="189" spans="2:32" ht="12.75" customHeight="1" x14ac:dyDescent="0.3">
      <c r="H189" s="79"/>
      <c r="I189" s="80"/>
      <c r="J189" s="79"/>
      <c r="K189" s="80"/>
      <c r="L189" s="81"/>
      <c r="M189" s="82"/>
    </row>
    <row r="190" spans="2:32" ht="12.75" customHeight="1" x14ac:dyDescent="0.3">
      <c r="H190" s="79"/>
      <c r="I190" s="80"/>
      <c r="J190" s="79"/>
      <c r="K190" s="80"/>
      <c r="L190" s="81"/>
      <c r="M190" s="82"/>
    </row>
    <row r="191" spans="2:32" ht="12.75" customHeight="1" x14ac:dyDescent="0.3">
      <c r="H191" s="79"/>
      <c r="I191" s="80"/>
      <c r="J191" s="79"/>
      <c r="K191" s="80"/>
      <c r="L191" s="81"/>
      <c r="M191" s="82"/>
      <c r="X191" s="3" t="s">
        <v>132</v>
      </c>
    </row>
    <row r="192" spans="2:32" ht="14.25" thickBot="1" x14ac:dyDescent="0.35"/>
    <row r="193" spans="2:15" ht="12" customHeight="1" x14ac:dyDescent="0.3">
      <c r="B193" s="209" t="s">
        <v>133</v>
      </c>
      <c r="C193" s="210"/>
      <c r="D193" s="210"/>
      <c r="E193" s="210"/>
      <c r="F193" s="210"/>
      <c r="G193" s="210"/>
      <c r="H193" s="210"/>
      <c r="I193" s="210"/>
      <c r="J193" s="210"/>
      <c r="K193" s="210"/>
      <c r="L193" s="210"/>
      <c r="M193" s="210"/>
      <c r="N193" s="210"/>
      <c r="O193" s="211"/>
    </row>
    <row r="194" spans="2:15" ht="16.5" customHeight="1" x14ac:dyDescent="0.3">
      <c r="B194" s="212"/>
      <c r="C194" s="213"/>
      <c r="D194" s="213"/>
      <c r="E194" s="213"/>
      <c r="F194" s="213"/>
      <c r="G194" s="213"/>
      <c r="H194" s="213"/>
      <c r="I194" s="213"/>
      <c r="J194" s="213"/>
      <c r="K194" s="213"/>
      <c r="L194" s="213"/>
      <c r="M194" s="213"/>
      <c r="N194" s="213"/>
      <c r="O194" s="214"/>
    </row>
    <row r="195" spans="2:15" ht="16.5" customHeight="1" x14ac:dyDescent="0.3">
      <c r="B195" s="212"/>
      <c r="C195" s="213"/>
      <c r="D195" s="213"/>
      <c r="E195" s="213"/>
      <c r="F195" s="213"/>
      <c r="G195" s="213"/>
      <c r="H195" s="213"/>
      <c r="I195" s="213"/>
      <c r="J195" s="213"/>
      <c r="K195" s="213"/>
      <c r="L195" s="213"/>
      <c r="M195" s="213"/>
      <c r="N195" s="213"/>
      <c r="O195" s="214"/>
    </row>
    <row r="196" spans="2:15" ht="16.5" customHeight="1" x14ac:dyDescent="0.3">
      <c r="B196" s="212"/>
      <c r="C196" s="213"/>
      <c r="D196" s="213"/>
      <c r="E196" s="213"/>
      <c r="F196" s="213"/>
      <c r="G196" s="213"/>
      <c r="H196" s="213"/>
      <c r="I196" s="213"/>
      <c r="J196" s="213"/>
      <c r="K196" s="213"/>
      <c r="L196" s="213"/>
      <c r="M196" s="213"/>
      <c r="N196" s="213"/>
      <c r="O196" s="214"/>
    </row>
    <row r="197" spans="2:15" ht="16.5" customHeight="1" x14ac:dyDescent="0.3">
      <c r="B197" s="212"/>
      <c r="C197" s="213"/>
      <c r="D197" s="213"/>
      <c r="E197" s="213"/>
      <c r="F197" s="213"/>
      <c r="G197" s="213"/>
      <c r="H197" s="213"/>
      <c r="I197" s="213"/>
      <c r="J197" s="213"/>
      <c r="K197" s="213"/>
      <c r="L197" s="213"/>
      <c r="M197" s="213"/>
      <c r="N197" s="213"/>
      <c r="O197" s="214"/>
    </row>
    <row r="198" spans="2:15" ht="16.5" customHeight="1" x14ac:dyDescent="0.3">
      <c r="B198" s="212"/>
      <c r="C198" s="213"/>
      <c r="D198" s="213"/>
      <c r="E198" s="213"/>
      <c r="F198" s="213"/>
      <c r="G198" s="213"/>
      <c r="H198" s="213"/>
      <c r="I198" s="213"/>
      <c r="J198" s="213"/>
      <c r="K198" s="213"/>
      <c r="L198" s="213"/>
      <c r="M198" s="213"/>
      <c r="N198" s="213"/>
      <c r="O198" s="214"/>
    </row>
    <row r="199" spans="2:15" ht="16.5" customHeight="1" x14ac:dyDescent="0.3">
      <c r="B199" s="212"/>
      <c r="C199" s="213"/>
      <c r="D199" s="213"/>
      <c r="E199" s="213"/>
      <c r="F199" s="213"/>
      <c r="G199" s="213"/>
      <c r="H199" s="213"/>
      <c r="I199" s="213"/>
      <c r="J199" s="213"/>
      <c r="K199" s="213"/>
      <c r="L199" s="213"/>
      <c r="M199" s="213"/>
      <c r="N199" s="213"/>
      <c r="O199" s="214"/>
    </row>
    <row r="200" spans="2:15" ht="16.5" customHeight="1" x14ac:dyDescent="0.3">
      <c r="B200" s="212"/>
      <c r="C200" s="213"/>
      <c r="D200" s="213"/>
      <c r="E200" s="213"/>
      <c r="F200" s="213"/>
      <c r="G200" s="213"/>
      <c r="H200" s="213"/>
      <c r="I200" s="213"/>
      <c r="J200" s="213"/>
      <c r="K200" s="213"/>
      <c r="L200" s="213"/>
      <c r="M200" s="213"/>
      <c r="N200" s="213"/>
      <c r="O200" s="214"/>
    </row>
    <row r="201" spans="2:15" ht="16.5" customHeight="1" thickBot="1" x14ac:dyDescent="0.35">
      <c r="B201" s="215"/>
      <c r="C201" s="216"/>
      <c r="D201" s="216"/>
      <c r="E201" s="216"/>
      <c r="F201" s="216"/>
      <c r="G201" s="216"/>
      <c r="H201" s="216"/>
      <c r="I201" s="216"/>
      <c r="J201" s="216"/>
      <c r="K201" s="216"/>
      <c r="L201" s="216"/>
      <c r="M201" s="216"/>
      <c r="N201" s="216"/>
      <c r="O201" s="217"/>
    </row>
    <row r="202" spans="2:15" x14ac:dyDescent="0.3">
      <c r="C202" s="123" t="s">
        <v>134</v>
      </c>
    </row>
    <row r="203" spans="2:15" x14ac:dyDescent="0.3">
      <c r="C203" s="123" t="s">
        <v>135</v>
      </c>
    </row>
  </sheetData>
  <protectedRanges>
    <protectedRange sqref="D140 D166 V74:AD78 V185:AD186 V180:AD183 V129:AD132 V104:AD107 V159:AD160 V154:AD157 V91:AD102 V116:AD127 V141:AD152 V167:AD178 V62:AD72" name="범위2"/>
    <protectedRange sqref="D61 C6 E6 H61:H63 J61:J63 H80:H84 J65:J66 H90:H92 H94:H105 H107:H109 J90:J92 J94:J95 H158:H160 J140:J143 J145:J146 H140:H143 D90 D140 H145:H156 H115:H117 H119:H130 H132:H134 J115:J117 J119:J120 D115 H184:H186 J166:J169 J171:J172 H166:H169 D166 H171:H182 D16:H20 H65:H78 G6" name="범위1"/>
  </protectedRanges>
  <mergeCells count="255">
    <mergeCell ref="P4:U5"/>
    <mergeCell ref="B2:C2"/>
    <mergeCell ref="B4:B5"/>
    <mergeCell ref="C4:D4"/>
    <mergeCell ref="E4:G4"/>
    <mergeCell ref="B12:C12"/>
    <mergeCell ref="B14:B15"/>
    <mergeCell ref="C14:C15"/>
    <mergeCell ref="D14:D15"/>
    <mergeCell ref="F14:H14"/>
    <mergeCell ref="I14:I15"/>
    <mergeCell ref="J14:J15"/>
    <mergeCell ref="B24:C24"/>
    <mergeCell ref="B26:B27"/>
    <mergeCell ref="C26:C27"/>
    <mergeCell ref="D26:D27"/>
    <mergeCell ref="E26:E27"/>
    <mergeCell ref="F26:G27"/>
    <mergeCell ref="H26:I26"/>
    <mergeCell ref="J26:K26"/>
    <mergeCell ref="L26:M26"/>
    <mergeCell ref="N26:O27"/>
    <mergeCell ref="B28:B54"/>
    <mergeCell ref="C28:C53"/>
    <mergeCell ref="D28:D53"/>
    <mergeCell ref="E28:E48"/>
    <mergeCell ref="F28:F30"/>
    <mergeCell ref="F31:G31"/>
    <mergeCell ref="F32:G32"/>
    <mergeCell ref="F33:G33"/>
    <mergeCell ref="E50:E52"/>
    <mergeCell ref="F50:G50"/>
    <mergeCell ref="F51:G51"/>
    <mergeCell ref="F52:G52"/>
    <mergeCell ref="E53:G53"/>
    <mergeCell ref="D54:G54"/>
    <mergeCell ref="F34:F42"/>
    <mergeCell ref="F43:G43"/>
    <mergeCell ref="F44:G44"/>
    <mergeCell ref="F45:F47"/>
    <mergeCell ref="F48:G48"/>
    <mergeCell ref="E49:G49"/>
    <mergeCell ref="B57:D57"/>
    <mergeCell ref="R57:U57"/>
    <mergeCell ref="B59:B60"/>
    <mergeCell ref="C59:C60"/>
    <mergeCell ref="D59:D60"/>
    <mergeCell ref="E59:E60"/>
    <mergeCell ref="F59:G60"/>
    <mergeCell ref="H59:I59"/>
    <mergeCell ref="J59:K59"/>
    <mergeCell ref="L59:M59"/>
    <mergeCell ref="AB59:AD60"/>
    <mergeCell ref="B61:B85"/>
    <mergeCell ref="C61:C85"/>
    <mergeCell ref="D61:D85"/>
    <mergeCell ref="E61:E78"/>
    <mergeCell ref="F61:F63"/>
    <mergeCell ref="R62:R79"/>
    <mergeCell ref="S62:S79"/>
    <mergeCell ref="T62:T79"/>
    <mergeCell ref="U62:U67"/>
    <mergeCell ref="N59:O60"/>
    <mergeCell ref="R59:T61"/>
    <mergeCell ref="U59:U61"/>
    <mergeCell ref="V59:V61"/>
    <mergeCell ref="W59:W61"/>
    <mergeCell ref="U79:AA79"/>
    <mergeCell ref="E80:E84"/>
    <mergeCell ref="F80:G80"/>
    <mergeCell ref="R80:AA80"/>
    <mergeCell ref="F81:G81"/>
    <mergeCell ref="F82:G82"/>
    <mergeCell ref="F83:G83"/>
    <mergeCell ref="F84:G84"/>
    <mergeCell ref="F64:G64"/>
    <mergeCell ref="F65:G65"/>
    <mergeCell ref="F66:G66"/>
    <mergeCell ref="F67:F76"/>
    <mergeCell ref="U68:U72"/>
    <mergeCell ref="U73:AA73"/>
    <mergeCell ref="U74:U78"/>
    <mergeCell ref="F77:G77"/>
    <mergeCell ref="F78:G78"/>
    <mergeCell ref="E85:G85"/>
    <mergeCell ref="D86:G86"/>
    <mergeCell ref="C87:E87"/>
    <mergeCell ref="B88:B89"/>
    <mergeCell ref="C88:C89"/>
    <mergeCell ref="D88:D89"/>
    <mergeCell ref="E88:E89"/>
    <mergeCell ref="F88:G89"/>
    <mergeCell ref="E79:G79"/>
    <mergeCell ref="V88:V90"/>
    <mergeCell ref="W88:W90"/>
    <mergeCell ref="AB88:AD89"/>
    <mergeCell ref="B90:B110"/>
    <mergeCell ref="C90:C110"/>
    <mergeCell ref="D90:D110"/>
    <mergeCell ref="E90:E105"/>
    <mergeCell ref="F90:F92"/>
    <mergeCell ref="R91:R108"/>
    <mergeCell ref="H88:I88"/>
    <mergeCell ref="J88:K88"/>
    <mergeCell ref="L88:M88"/>
    <mergeCell ref="N88:O89"/>
    <mergeCell ref="R88:T90"/>
    <mergeCell ref="U88:U90"/>
    <mergeCell ref="U108:AA108"/>
    <mergeCell ref="F109:G109"/>
    <mergeCell ref="R109:AA109"/>
    <mergeCell ref="S91:S108"/>
    <mergeCell ref="T91:T108"/>
    <mergeCell ref="U91:U97"/>
    <mergeCell ref="F93:G93"/>
    <mergeCell ref="F94:G94"/>
    <mergeCell ref="F95:G95"/>
    <mergeCell ref="F96:F104"/>
    <mergeCell ref="U98:U102"/>
    <mergeCell ref="U103:AA103"/>
    <mergeCell ref="U104:U107"/>
    <mergeCell ref="E110:G110"/>
    <mergeCell ref="D111:G111"/>
    <mergeCell ref="B113:B114"/>
    <mergeCell ref="C113:C114"/>
    <mergeCell ref="D113:D114"/>
    <mergeCell ref="E113:E114"/>
    <mergeCell ref="F113:G114"/>
    <mergeCell ref="F105:G105"/>
    <mergeCell ref="E106:G106"/>
    <mergeCell ref="E107:E109"/>
    <mergeCell ref="F107:G107"/>
    <mergeCell ref="F108:G108"/>
    <mergeCell ref="V113:V115"/>
    <mergeCell ref="W113:W115"/>
    <mergeCell ref="AB113:AD114"/>
    <mergeCell ref="B115:B135"/>
    <mergeCell ref="C115:C135"/>
    <mergeCell ref="D115:D135"/>
    <mergeCell ref="E115:E130"/>
    <mergeCell ref="F115:F117"/>
    <mergeCell ref="R116:R133"/>
    <mergeCell ref="H113:I113"/>
    <mergeCell ref="J113:K113"/>
    <mergeCell ref="L113:M113"/>
    <mergeCell ref="N113:O114"/>
    <mergeCell ref="R113:T115"/>
    <mergeCell ref="U113:U115"/>
    <mergeCell ref="U133:AA133"/>
    <mergeCell ref="F134:G134"/>
    <mergeCell ref="R134:AA134"/>
    <mergeCell ref="S116:S133"/>
    <mergeCell ref="T116:T133"/>
    <mergeCell ref="U116:U122"/>
    <mergeCell ref="F118:G118"/>
    <mergeCell ref="F119:G119"/>
    <mergeCell ref="F120:G120"/>
    <mergeCell ref="F121:F129"/>
    <mergeCell ref="U123:U127"/>
    <mergeCell ref="U128:AA128"/>
    <mergeCell ref="U129:U132"/>
    <mergeCell ref="E135:G135"/>
    <mergeCell ref="D136:G136"/>
    <mergeCell ref="B138:B139"/>
    <mergeCell ref="C138:C139"/>
    <mergeCell ref="D138:D139"/>
    <mergeCell ref="E138:E139"/>
    <mergeCell ref="F138:G139"/>
    <mergeCell ref="F130:G130"/>
    <mergeCell ref="E131:G131"/>
    <mergeCell ref="E132:E134"/>
    <mergeCell ref="F132:G132"/>
    <mergeCell ref="F133:G133"/>
    <mergeCell ref="V138:V140"/>
    <mergeCell ref="W138:W140"/>
    <mergeCell ref="B140:B161"/>
    <mergeCell ref="C140:C161"/>
    <mergeCell ref="D140:D161"/>
    <mergeCell ref="E140:E156"/>
    <mergeCell ref="F140:F143"/>
    <mergeCell ref="R141:R161"/>
    <mergeCell ref="H138:I138"/>
    <mergeCell ref="J138:K138"/>
    <mergeCell ref="U148:U152"/>
    <mergeCell ref="U153:AA153"/>
    <mergeCell ref="U154:U157"/>
    <mergeCell ref="E161:G161"/>
    <mergeCell ref="U161:AA161"/>
    <mergeCell ref="AB138:AD139"/>
    <mergeCell ref="U138:U140"/>
    <mergeCell ref="U158:AA158"/>
    <mergeCell ref="U159:U160"/>
    <mergeCell ref="U141:U147"/>
    <mergeCell ref="L138:M138"/>
    <mergeCell ref="N138:O139"/>
    <mergeCell ref="R138:T140"/>
    <mergeCell ref="F156:G156"/>
    <mergeCell ref="E157:G157"/>
    <mergeCell ref="E158:E160"/>
    <mergeCell ref="F158:G158"/>
    <mergeCell ref="F159:G159"/>
    <mergeCell ref="F160:G160"/>
    <mergeCell ref="S141:S161"/>
    <mergeCell ref="T141:T161"/>
    <mergeCell ref="F145:G145"/>
    <mergeCell ref="F146:G146"/>
    <mergeCell ref="F147:F155"/>
    <mergeCell ref="AB164:AD165"/>
    <mergeCell ref="B166:B187"/>
    <mergeCell ref="C166:C187"/>
    <mergeCell ref="D166:D187"/>
    <mergeCell ref="E166:E182"/>
    <mergeCell ref="F166:F169"/>
    <mergeCell ref="R167:R187"/>
    <mergeCell ref="S167:S187"/>
    <mergeCell ref="J164:K164"/>
    <mergeCell ref="L164:M164"/>
    <mergeCell ref="N164:O165"/>
    <mergeCell ref="R164:T166"/>
    <mergeCell ref="U164:U166"/>
    <mergeCell ref="V164:V166"/>
    <mergeCell ref="E187:G187"/>
    <mergeCell ref="U187:AA187"/>
    <mergeCell ref="B164:B165"/>
    <mergeCell ref="C164:C165"/>
    <mergeCell ref="D164:D165"/>
    <mergeCell ref="E164:E165"/>
    <mergeCell ref="F164:G165"/>
    <mergeCell ref="H164:I164"/>
    <mergeCell ref="U180:U183"/>
    <mergeCell ref="F182:G182"/>
    <mergeCell ref="D188:G188"/>
    <mergeCell ref="R188:AA188"/>
    <mergeCell ref="B193:O201"/>
    <mergeCell ref="E2:F2"/>
    <mergeCell ref="H2:I2"/>
    <mergeCell ref="E183:G183"/>
    <mergeCell ref="E184:E186"/>
    <mergeCell ref="F184:G184"/>
    <mergeCell ref="U184:AA184"/>
    <mergeCell ref="F185:G185"/>
    <mergeCell ref="U185:U186"/>
    <mergeCell ref="F186:G186"/>
    <mergeCell ref="T167:T187"/>
    <mergeCell ref="U167:U173"/>
    <mergeCell ref="F170:G170"/>
    <mergeCell ref="F171:G171"/>
    <mergeCell ref="F172:G172"/>
    <mergeCell ref="F173:F181"/>
    <mergeCell ref="U174:U178"/>
    <mergeCell ref="U179:AA179"/>
    <mergeCell ref="D162:G162"/>
    <mergeCell ref="R162:AA162"/>
    <mergeCell ref="W164:W166"/>
    <mergeCell ref="F144:G144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AF203"/>
  <sheetViews>
    <sheetView topLeftCell="G46" zoomScale="85" zoomScaleNormal="85" workbookViewId="0">
      <selection activeCell="J61" activeCellId="1" sqref="H62 J61"/>
    </sheetView>
  </sheetViews>
  <sheetFormatPr defaultColWidth="9" defaultRowHeight="13.5" x14ac:dyDescent="0.3"/>
  <cols>
    <col min="1" max="1" width="1" style="2" customWidth="1"/>
    <col min="2" max="2" width="17.125" style="1" customWidth="1"/>
    <col min="3" max="3" width="25.625" style="1" customWidth="1"/>
    <col min="4" max="5" width="25.5" style="1" customWidth="1"/>
    <col min="6" max="6" width="18.125" style="1" customWidth="1"/>
    <col min="7" max="7" width="33.375" style="1" customWidth="1"/>
    <col min="8" max="8" width="26.375" style="1" customWidth="1"/>
    <col min="9" max="9" width="16.5" style="1" bestFit="1" customWidth="1"/>
    <col min="10" max="10" width="15" style="1" customWidth="1"/>
    <col min="11" max="11" width="10.625" style="1" customWidth="1"/>
    <col min="12" max="12" width="15" style="1" customWidth="1"/>
    <col min="13" max="13" width="13.625" style="1" customWidth="1"/>
    <col min="14" max="14" width="9.875" style="1" customWidth="1"/>
    <col min="15" max="15" width="12.5" style="1" customWidth="1"/>
    <col min="16" max="16" width="17.625" style="2" customWidth="1"/>
    <col min="17" max="17" width="4" style="2" customWidth="1"/>
    <col min="18" max="20" width="9" style="3"/>
    <col min="21" max="21" width="17.125" style="3" customWidth="1"/>
    <col min="22" max="23" width="9" style="3"/>
    <col min="24" max="24" width="12.5" style="3" customWidth="1"/>
    <col min="25" max="27" width="12" style="3" customWidth="1"/>
    <col min="28" max="29" width="9" style="3"/>
    <col min="30" max="30" width="10" style="3" customWidth="1"/>
    <col min="31" max="31" width="17.5" style="2" bestFit="1" customWidth="1"/>
    <col min="32" max="32" width="11.5" style="2" bestFit="1" customWidth="1"/>
    <col min="33" max="16384" width="9" style="2"/>
  </cols>
  <sheetData>
    <row r="1" spans="2:17" ht="21" customHeight="1" thickBot="1" x14ac:dyDescent="0.35">
      <c r="H1" s="136" t="s">
        <v>2</v>
      </c>
    </row>
    <row r="2" spans="2:17" ht="14.1" customHeight="1" thickBot="1" x14ac:dyDescent="0.35">
      <c r="B2" s="192" t="s">
        <v>136</v>
      </c>
      <c r="C2" s="193"/>
      <c r="E2" s="194"/>
      <c r="F2" s="194"/>
      <c r="G2" s="2"/>
      <c r="H2" s="194"/>
      <c r="I2" s="194"/>
    </row>
    <row r="3" spans="2:17" ht="14.1" customHeight="1" thickBot="1" x14ac:dyDescent="0.35">
      <c r="M3" s="8" t="s">
        <v>10</v>
      </c>
    </row>
    <row r="4" spans="2:17" ht="14.1" customHeight="1" x14ac:dyDescent="0.3">
      <c r="B4" s="195" t="s">
        <v>11</v>
      </c>
      <c r="C4" s="197" t="s">
        <v>12</v>
      </c>
      <c r="D4" s="197"/>
      <c r="E4" s="189" t="s">
        <v>13</v>
      </c>
      <c r="F4" s="190"/>
      <c r="G4" s="191"/>
      <c r="H4" s="9"/>
      <c r="I4" s="126" t="s">
        <v>14</v>
      </c>
      <c r="J4" s="127"/>
      <c r="K4" s="127"/>
      <c r="L4" s="128"/>
      <c r="M4" s="132" t="s">
        <v>15</v>
      </c>
      <c r="N4" s="2"/>
      <c r="O4" s="2"/>
    </row>
    <row r="5" spans="2:17" ht="14.1" customHeight="1" x14ac:dyDescent="0.3">
      <c r="B5" s="196"/>
      <c r="C5" s="10" t="s">
        <v>16</v>
      </c>
      <c r="D5" s="10" t="s">
        <v>17</v>
      </c>
      <c r="E5" s="10" t="s">
        <v>16</v>
      </c>
      <c r="F5" s="10" t="s">
        <v>17</v>
      </c>
      <c r="G5" s="10" t="s">
        <v>18</v>
      </c>
      <c r="H5" s="10" t="s">
        <v>19</v>
      </c>
      <c r="I5" s="10" t="s">
        <v>16</v>
      </c>
      <c r="J5" s="10" t="s">
        <v>17</v>
      </c>
      <c r="K5" s="10" t="s">
        <v>18</v>
      </c>
      <c r="L5" s="10" t="s">
        <v>17</v>
      </c>
      <c r="M5" s="133"/>
      <c r="N5" s="2"/>
      <c r="O5" s="2"/>
    </row>
    <row r="6" spans="2:17" ht="14.1" customHeight="1" thickBot="1" x14ac:dyDescent="0.35">
      <c r="B6" s="11">
        <v>1</v>
      </c>
      <c r="C6" s="12">
        <f>'총괄(사업자번호 입력)'!C12</f>
        <v>60000</v>
      </c>
      <c r="D6" s="142">
        <f>IFERROR(C6/M6*100,"")</f>
        <v>75</v>
      </c>
      <c r="E6" s="12">
        <f>ROUNDUP(C6/3*0.1,0)</f>
        <v>2000</v>
      </c>
      <c r="F6" s="142">
        <f>IFERROR(E6/(E6+G6)*100,"")</f>
        <v>10</v>
      </c>
      <c r="G6" s="12">
        <f>C6/3*0.9</f>
        <v>18000</v>
      </c>
      <c r="H6" s="13">
        <f>E6+G6</f>
        <v>20000</v>
      </c>
      <c r="I6" s="14">
        <f>C6+E6</f>
        <v>62000</v>
      </c>
      <c r="J6" s="144">
        <f>IFERROR(I6/M6,"")</f>
        <v>0.77500000000000002</v>
      </c>
      <c r="K6" s="14">
        <f>G6</f>
        <v>18000</v>
      </c>
      <c r="L6" s="144">
        <f>IFERROR(K6/M6,"")</f>
        <v>0.22500000000000001</v>
      </c>
      <c r="M6" s="15">
        <f>I6+K6</f>
        <v>80000</v>
      </c>
      <c r="N6" s="2"/>
      <c r="O6" s="2"/>
    </row>
    <row r="7" spans="2:17" ht="14.25" customHeight="1" x14ac:dyDescent="0.3">
      <c r="F7" s="143">
        <f>IFERROR((E6+G6)/M6,"")</f>
        <v>0.25</v>
      </c>
      <c r="G7" s="16" t="str">
        <f>IF(F6&gt;=10,"적절","부적절")</f>
        <v>적절</v>
      </c>
      <c r="H7" s="17" t="str">
        <f>IF(((E6+G6)/(C6+E6+G6))&lt;0.2,"기관부담연구개발비 부족","적절")</f>
        <v>적절</v>
      </c>
      <c r="M7" s="18"/>
      <c r="N7" s="2"/>
      <c r="O7" s="2"/>
    </row>
    <row r="8" spans="2:17" ht="14.25" customHeight="1" x14ac:dyDescent="0.3">
      <c r="F8" s="134"/>
      <c r="G8" s="135"/>
      <c r="H8" s="136"/>
      <c r="M8" s="18"/>
      <c r="N8" s="2"/>
      <c r="O8" s="2"/>
    </row>
    <row r="9" spans="2:17" ht="14.25" customHeight="1" x14ac:dyDescent="0.3">
      <c r="F9" s="134"/>
      <c r="G9" s="135"/>
      <c r="H9" s="136"/>
      <c r="M9" s="18"/>
      <c r="N9" s="2"/>
      <c r="O9" s="2"/>
    </row>
    <row r="10" spans="2:17" ht="14.25" customHeight="1" x14ac:dyDescent="0.3">
      <c r="F10" s="134"/>
      <c r="G10" s="135"/>
      <c r="H10" s="136"/>
      <c r="M10" s="18"/>
      <c r="N10" s="2"/>
      <c r="O10" s="2"/>
    </row>
    <row r="11" spans="2:17" ht="14.25" customHeight="1" thickBot="1" x14ac:dyDescent="0.35">
      <c r="F11" s="134"/>
      <c r="G11" s="135"/>
      <c r="H11" s="136"/>
      <c r="M11" s="18"/>
      <c r="N11" s="2"/>
      <c r="O11" s="2"/>
    </row>
    <row r="12" spans="2:17" ht="14.1" customHeight="1" thickBot="1" x14ac:dyDescent="0.35">
      <c r="B12" s="336" t="s">
        <v>24</v>
      </c>
      <c r="C12" s="337"/>
      <c r="D12" s="19" t="s">
        <v>25</v>
      </c>
      <c r="E12" s="20"/>
      <c r="F12" s="20"/>
      <c r="G12" s="20"/>
      <c r="H12" s="20"/>
      <c r="I12" s="21"/>
      <c r="J12" s="21"/>
      <c r="K12" s="21"/>
      <c r="L12" s="21"/>
      <c r="M12" s="21"/>
      <c r="N12" s="21"/>
      <c r="O12" s="21"/>
    </row>
    <row r="13" spans="2:17" ht="14.1" customHeight="1" thickBot="1" x14ac:dyDescent="0.35">
      <c r="G13" s="2"/>
      <c r="J13" s="1" t="s">
        <v>10</v>
      </c>
    </row>
    <row r="14" spans="2:17" ht="14.1" customHeight="1" thickTop="1" x14ac:dyDescent="0.3">
      <c r="B14" s="195" t="s">
        <v>11</v>
      </c>
      <c r="C14" s="197" t="s">
        <v>26</v>
      </c>
      <c r="D14" s="197" t="s">
        <v>27</v>
      </c>
      <c r="E14" s="22" t="s">
        <v>28</v>
      </c>
      <c r="F14" s="197" t="s">
        <v>29</v>
      </c>
      <c r="G14" s="197"/>
      <c r="H14" s="197"/>
      <c r="I14" s="339" t="s">
        <v>30</v>
      </c>
      <c r="J14" s="341" t="s">
        <v>31</v>
      </c>
      <c r="K14" s="2"/>
      <c r="L14" s="344" t="s">
        <v>23</v>
      </c>
      <c r="M14" s="345"/>
      <c r="N14" s="345"/>
      <c r="O14" s="345"/>
      <c r="P14" s="346"/>
    </row>
    <row r="15" spans="2:17" ht="13.5" customHeight="1" thickBot="1" x14ac:dyDescent="0.35">
      <c r="B15" s="196"/>
      <c r="C15" s="338"/>
      <c r="D15" s="338"/>
      <c r="E15" s="10" t="s">
        <v>16</v>
      </c>
      <c r="F15" s="10" t="s">
        <v>16</v>
      </c>
      <c r="G15" s="10" t="s">
        <v>18</v>
      </c>
      <c r="H15" s="10" t="s">
        <v>32</v>
      </c>
      <c r="I15" s="340"/>
      <c r="J15" s="342"/>
      <c r="K15" s="2"/>
      <c r="L15" s="347"/>
      <c r="M15" s="348"/>
      <c r="N15" s="348"/>
      <c r="O15" s="348"/>
      <c r="P15" s="349"/>
    </row>
    <row r="16" spans="2:17" ht="14.1" customHeight="1" thickTop="1" x14ac:dyDescent="0.3">
      <c r="B16" s="23">
        <v>1</v>
      </c>
      <c r="C16" s="24" t="s">
        <v>33</v>
      </c>
      <c r="D16" s="131" t="str">
        <f>'총괄(사업자번호 입력)'!F4</f>
        <v>젝사젠 주식회사</v>
      </c>
      <c r="E16" s="25">
        <v>60000</v>
      </c>
      <c r="F16" s="25">
        <v>2000</v>
      </c>
      <c r="G16" s="25">
        <v>18000</v>
      </c>
      <c r="H16" s="26">
        <f>SUM(F16:G16)</f>
        <v>20000</v>
      </c>
      <c r="I16" s="27">
        <f>H16+E16</f>
        <v>80000</v>
      </c>
      <c r="J16" s="28" t="str">
        <f>IF(COUNTBLANK(D16)=1,"적절",IF(I16=L86,"적절","부적절"))</f>
        <v>적절</v>
      </c>
      <c r="K16" s="2"/>
      <c r="L16" s="2"/>
      <c r="M16" s="2"/>
      <c r="N16" s="2"/>
      <c r="O16" s="2"/>
      <c r="P16" s="29"/>
      <c r="Q16" s="29"/>
    </row>
    <row r="17" spans="2:19" x14ac:dyDescent="0.3">
      <c r="B17" s="23">
        <v>1</v>
      </c>
      <c r="C17" s="24" t="s">
        <v>34</v>
      </c>
      <c r="D17" s="30"/>
      <c r="E17" s="31"/>
      <c r="F17" s="25"/>
      <c r="G17" s="25"/>
      <c r="H17" s="26">
        <f t="shared" ref="H17:H20" si="0">SUM(F17:G17)</f>
        <v>0</v>
      </c>
      <c r="I17" s="27">
        <f t="shared" ref="I17:I20" si="1">H17+E17</f>
        <v>0</v>
      </c>
      <c r="J17" s="28" t="str">
        <f>IF(COUNTBLANK(D17)=1,"적절",IF(I17=L111,"적절","부적절"))</f>
        <v>적절</v>
      </c>
      <c r="K17" s="2"/>
      <c r="L17" s="2"/>
      <c r="M17" s="2"/>
      <c r="N17" s="2"/>
      <c r="O17" s="2"/>
    </row>
    <row r="18" spans="2:19" x14ac:dyDescent="0.3">
      <c r="B18" s="23">
        <v>1</v>
      </c>
      <c r="C18" s="24" t="s">
        <v>35</v>
      </c>
      <c r="D18" s="30"/>
      <c r="E18" s="31"/>
      <c r="F18" s="25"/>
      <c r="G18" s="25"/>
      <c r="H18" s="26">
        <f t="shared" si="0"/>
        <v>0</v>
      </c>
      <c r="I18" s="27">
        <f t="shared" si="1"/>
        <v>0</v>
      </c>
      <c r="J18" s="28" t="str">
        <f>IF(COUNTBLANK(D18)=1,"적절",IF(I18=L136,"적절","부적절"))</f>
        <v>적절</v>
      </c>
      <c r="K18" s="2"/>
      <c r="L18" s="2"/>
      <c r="M18" s="2"/>
      <c r="N18" s="2"/>
      <c r="O18" s="2"/>
    </row>
    <row r="19" spans="2:19" ht="14.1" customHeight="1" x14ac:dyDescent="0.3">
      <c r="B19" s="23">
        <v>1</v>
      </c>
      <c r="C19" s="24" t="s">
        <v>36</v>
      </c>
      <c r="D19" s="32"/>
      <c r="E19" s="25"/>
      <c r="F19" s="25"/>
      <c r="G19" s="25"/>
      <c r="H19" s="26">
        <f t="shared" si="0"/>
        <v>0</v>
      </c>
      <c r="I19" s="27">
        <f t="shared" si="1"/>
        <v>0</v>
      </c>
      <c r="J19" s="28" t="str">
        <f>IF(COUNTBLANK(D19)=1,"적절",IF(I19=L162,"적절","부적절"))</f>
        <v>적절</v>
      </c>
      <c r="K19" s="2"/>
      <c r="L19" s="2"/>
      <c r="M19" s="2"/>
      <c r="N19" s="2"/>
      <c r="O19" s="2"/>
    </row>
    <row r="20" spans="2:19" ht="14.1" customHeight="1" x14ac:dyDescent="0.3">
      <c r="B20" s="33">
        <v>1</v>
      </c>
      <c r="C20" s="34" t="s">
        <v>37</v>
      </c>
      <c r="D20" s="32"/>
      <c r="E20" s="35"/>
      <c r="F20" s="35"/>
      <c r="G20" s="35"/>
      <c r="H20" s="26">
        <f t="shared" si="0"/>
        <v>0</v>
      </c>
      <c r="I20" s="27">
        <f t="shared" si="1"/>
        <v>0</v>
      </c>
      <c r="J20" s="36" t="str">
        <f>IF(COUNTBLANK(D20)=1,"적절",IF(I20=L188,"적절","부적절"))</f>
        <v>적절</v>
      </c>
      <c r="K20" s="2"/>
      <c r="L20" s="2"/>
      <c r="M20" s="2"/>
      <c r="N20" s="2"/>
      <c r="O20" s="2"/>
    </row>
    <row r="21" spans="2:19" ht="14.1" customHeight="1" thickBot="1" x14ac:dyDescent="0.35">
      <c r="B21" s="37" t="s">
        <v>15</v>
      </c>
      <c r="C21" s="38"/>
      <c r="D21" s="38"/>
      <c r="E21" s="39">
        <f>SUM(E16:E19)</f>
        <v>60000</v>
      </c>
      <c r="F21" s="40">
        <f>SUM(F16:F19)</f>
        <v>2000</v>
      </c>
      <c r="G21" s="40">
        <f>SUM(G16:G19)</f>
        <v>18000</v>
      </c>
      <c r="H21" s="40">
        <f>SUM(F21:G21)</f>
        <v>20000</v>
      </c>
      <c r="I21" s="40">
        <f>SUM(I16:I19)</f>
        <v>80000</v>
      </c>
      <c r="J21" s="41" t="str">
        <f>IF(I21=L54,"적절","부적절")</f>
        <v>적절</v>
      </c>
      <c r="K21" s="2"/>
      <c r="L21" s="2"/>
      <c r="M21" s="2"/>
      <c r="N21" s="2"/>
      <c r="O21" s="2"/>
    </row>
    <row r="22" spans="2:19" ht="14.1" customHeight="1" thickBot="1" x14ac:dyDescent="0.35">
      <c r="E22" s="42" t="str">
        <f>IF(E21=C6,"적절","부적절")</f>
        <v>적절</v>
      </c>
      <c r="F22" s="42" t="str">
        <f>IF(F21=E6,"적절","부적절")</f>
        <v>적절</v>
      </c>
      <c r="G22" s="42" t="str">
        <f>IF(G21=G6,"적절","부적절")</f>
        <v>적절</v>
      </c>
    </row>
    <row r="23" spans="2:19" ht="14.1" customHeight="1" thickBot="1" x14ac:dyDescent="0.35"/>
    <row r="24" spans="2:19" ht="14.1" customHeight="1" thickBot="1" x14ac:dyDescent="0.35">
      <c r="B24" s="192" t="s">
        <v>38</v>
      </c>
      <c r="C24" s="329"/>
      <c r="D24" s="43"/>
    </row>
    <row r="25" spans="2:19" ht="14.1" customHeight="1" thickBot="1" x14ac:dyDescent="0.35">
      <c r="M25" s="44" t="s">
        <v>10</v>
      </c>
    </row>
    <row r="26" spans="2:19" ht="18.600000000000001" customHeight="1" x14ac:dyDescent="0.3">
      <c r="B26" s="285" t="s">
        <v>11</v>
      </c>
      <c r="C26" s="287" t="s">
        <v>26</v>
      </c>
      <c r="D26" s="287" t="s">
        <v>3</v>
      </c>
      <c r="E26" s="287" t="s">
        <v>39</v>
      </c>
      <c r="F26" s="289" t="s">
        <v>40</v>
      </c>
      <c r="G26" s="290"/>
      <c r="H26" s="189" t="s">
        <v>16</v>
      </c>
      <c r="I26" s="191"/>
      <c r="J26" s="189" t="s">
        <v>18</v>
      </c>
      <c r="K26" s="191"/>
      <c r="L26" s="189" t="s">
        <v>41</v>
      </c>
      <c r="M26" s="191"/>
      <c r="N26" s="317" t="s">
        <v>42</v>
      </c>
      <c r="O26" s="318"/>
    </row>
    <row r="27" spans="2:19" ht="35.1" customHeight="1" x14ac:dyDescent="0.3">
      <c r="B27" s="286"/>
      <c r="C27" s="288"/>
      <c r="D27" s="288"/>
      <c r="E27" s="288"/>
      <c r="F27" s="291"/>
      <c r="G27" s="292"/>
      <c r="H27" s="45" t="s">
        <v>43</v>
      </c>
      <c r="I27" s="45" t="s">
        <v>44</v>
      </c>
      <c r="J27" s="45" t="s">
        <v>45</v>
      </c>
      <c r="K27" s="45" t="s">
        <v>46</v>
      </c>
      <c r="L27" s="45" t="s">
        <v>47</v>
      </c>
      <c r="M27" s="45" t="s">
        <v>48</v>
      </c>
      <c r="N27" s="319"/>
      <c r="O27" s="320"/>
    </row>
    <row r="28" spans="2:19" ht="14.1" customHeight="1" x14ac:dyDescent="0.3">
      <c r="B28" s="252">
        <v>1</v>
      </c>
      <c r="C28" s="255" t="s">
        <v>49</v>
      </c>
      <c r="D28" s="322">
        <f>'총괄(사업자번호 입력)'!C4:D4</f>
        <v>0</v>
      </c>
      <c r="E28" s="261" t="s">
        <v>50</v>
      </c>
      <c r="F28" s="221" t="s">
        <v>51</v>
      </c>
      <c r="G28" s="46" t="s">
        <v>52</v>
      </c>
      <c r="H28" s="47">
        <f>H61+H90+H115</f>
        <v>0</v>
      </c>
      <c r="I28" s="48">
        <f>IFERROR(H28/L28,"")</f>
        <v>0</v>
      </c>
      <c r="J28" s="47">
        <f>J61+J90+J115</f>
        <v>18000</v>
      </c>
      <c r="K28" s="48">
        <f>IFERROR(J28/L28,"")</f>
        <v>1</v>
      </c>
      <c r="L28" s="49">
        <f>H28+J28</f>
        <v>18000</v>
      </c>
      <c r="M28" s="50">
        <f t="shared" ref="M28:M54" si="2">IFERROR(L28/$L$54,"")</f>
        <v>0.22500000000000001</v>
      </c>
      <c r="N28" s="48"/>
      <c r="O28" s="51"/>
    </row>
    <row r="29" spans="2:19" ht="14.1" customHeight="1" x14ac:dyDescent="0.3">
      <c r="B29" s="253"/>
      <c r="C29" s="256"/>
      <c r="D29" s="323"/>
      <c r="E29" s="222"/>
      <c r="F29" s="263"/>
      <c r="G29" s="46" t="s">
        <v>53</v>
      </c>
      <c r="H29" s="47">
        <f>H62+H91+H116</f>
        <v>50895</v>
      </c>
      <c r="I29" s="48">
        <f t="shared" ref="I29:I31" si="3">IFERROR(H29/L29,"")</f>
        <v>1</v>
      </c>
      <c r="J29" s="47">
        <f>J62+J91+J116</f>
        <v>0</v>
      </c>
      <c r="K29" s="48">
        <f>IFERROR(J29/L29,"")</f>
        <v>0</v>
      </c>
      <c r="L29" s="49">
        <f t="shared" ref="L29:L30" si="4">H29+J29</f>
        <v>50895</v>
      </c>
      <c r="M29" s="50">
        <f t="shared" si="2"/>
        <v>0.63618750000000002</v>
      </c>
      <c r="N29" s="24"/>
      <c r="O29" s="52"/>
      <c r="S29" s="2"/>
    </row>
    <row r="30" spans="2:19" ht="14.1" customHeight="1" x14ac:dyDescent="0.3">
      <c r="B30" s="253"/>
      <c r="C30" s="256"/>
      <c r="D30" s="323"/>
      <c r="E30" s="222"/>
      <c r="F30" s="264"/>
      <c r="G30" s="53" t="s">
        <v>54</v>
      </c>
      <c r="H30" s="47">
        <f>H63+H92+H117</f>
        <v>0</v>
      </c>
      <c r="I30" s="48" t="str">
        <f t="shared" si="3"/>
        <v/>
      </c>
      <c r="J30" s="47">
        <f>J63+J92+J117</f>
        <v>0</v>
      </c>
      <c r="K30" s="48" t="str">
        <f>IFERROR(J30/L30,"")</f>
        <v/>
      </c>
      <c r="L30" s="49">
        <f t="shared" si="4"/>
        <v>0</v>
      </c>
      <c r="M30" s="50">
        <f t="shared" si="2"/>
        <v>0</v>
      </c>
      <c r="N30" s="24"/>
      <c r="O30" s="52"/>
    </row>
    <row r="31" spans="2:19" ht="14.1" customHeight="1" x14ac:dyDescent="0.3">
      <c r="B31" s="253"/>
      <c r="C31" s="256"/>
      <c r="D31" s="323"/>
      <c r="E31" s="222"/>
      <c r="F31" s="325" t="s">
        <v>55</v>
      </c>
      <c r="G31" s="325"/>
      <c r="H31" s="54">
        <f>H28+H29+H30</f>
        <v>50895</v>
      </c>
      <c r="I31" s="55">
        <f t="shared" si="3"/>
        <v>0.73873285434356628</v>
      </c>
      <c r="J31" s="54">
        <f>SUM(J28:J30)</f>
        <v>18000</v>
      </c>
      <c r="K31" s="55">
        <f t="shared" ref="K31:K33" si="5">IFERROR(J31/L31,"")</f>
        <v>0.26126714565643372</v>
      </c>
      <c r="L31" s="54">
        <f>H31+J31</f>
        <v>68895</v>
      </c>
      <c r="M31" s="56">
        <f t="shared" si="2"/>
        <v>0.86118749999999999</v>
      </c>
      <c r="N31" s="57"/>
      <c r="O31" s="58"/>
    </row>
    <row r="32" spans="2:19" ht="14.1" customHeight="1" x14ac:dyDescent="0.3">
      <c r="B32" s="253"/>
      <c r="C32" s="256"/>
      <c r="D32" s="323"/>
      <c r="E32" s="222"/>
      <c r="F32" s="302" t="s">
        <v>56</v>
      </c>
      <c r="G32" s="302"/>
      <c r="H32" s="47">
        <f t="shared" ref="H32:H41" si="6">H65+H94+H119</f>
        <v>0</v>
      </c>
      <c r="I32" s="48" t="str">
        <f>IFERROR(H32/L32,"")</f>
        <v/>
      </c>
      <c r="J32" s="47">
        <f>J65+J94+J119</f>
        <v>0</v>
      </c>
      <c r="K32" s="48" t="str">
        <f t="shared" si="5"/>
        <v/>
      </c>
      <c r="L32" s="49">
        <f>H32+J32</f>
        <v>0</v>
      </c>
      <c r="M32" s="50">
        <f t="shared" si="2"/>
        <v>0</v>
      </c>
      <c r="N32" s="24"/>
      <c r="O32" s="52"/>
    </row>
    <row r="33" spans="2:20" ht="14.1" customHeight="1" x14ac:dyDescent="0.3">
      <c r="B33" s="253"/>
      <c r="C33" s="256"/>
      <c r="D33" s="323"/>
      <c r="E33" s="222"/>
      <c r="F33" s="303" t="s">
        <v>57</v>
      </c>
      <c r="G33" s="303"/>
      <c r="H33" s="47">
        <f t="shared" si="6"/>
        <v>0</v>
      </c>
      <c r="I33" s="48" t="str">
        <f t="shared" ref="I33:I54" si="7">IFERROR(H33/L33,"")</f>
        <v/>
      </c>
      <c r="J33" s="47">
        <f>J66+J95+J120</f>
        <v>0</v>
      </c>
      <c r="K33" s="48" t="str">
        <f t="shared" si="5"/>
        <v/>
      </c>
      <c r="L33" s="49">
        <f t="shared" ref="L33:L52" si="8">H33+J33</f>
        <v>0</v>
      </c>
      <c r="M33" s="50">
        <f t="shared" si="2"/>
        <v>0</v>
      </c>
      <c r="N33" s="24"/>
      <c r="O33" s="52"/>
    </row>
    <row r="34" spans="2:20" ht="14.1" customHeight="1" x14ac:dyDescent="0.3">
      <c r="B34" s="253"/>
      <c r="C34" s="256"/>
      <c r="D34" s="323"/>
      <c r="E34" s="222"/>
      <c r="F34" s="239" t="s">
        <v>58</v>
      </c>
      <c r="G34" s="59" t="s">
        <v>59</v>
      </c>
      <c r="H34" s="47">
        <f t="shared" si="6"/>
        <v>0</v>
      </c>
      <c r="I34" s="48" t="str">
        <f t="shared" si="7"/>
        <v/>
      </c>
      <c r="J34" s="60"/>
      <c r="K34" s="61"/>
      <c r="L34" s="49">
        <f t="shared" si="8"/>
        <v>0</v>
      </c>
      <c r="M34" s="50">
        <f t="shared" si="2"/>
        <v>0</v>
      </c>
      <c r="N34" s="24"/>
      <c r="O34" s="52"/>
      <c r="T34" s="2"/>
    </row>
    <row r="35" spans="2:20" ht="14.1" customHeight="1" x14ac:dyDescent="0.3">
      <c r="B35" s="253"/>
      <c r="C35" s="256"/>
      <c r="D35" s="323"/>
      <c r="E35" s="222"/>
      <c r="F35" s="239"/>
      <c r="G35" s="59" t="s">
        <v>60</v>
      </c>
      <c r="H35" s="47">
        <f t="shared" si="6"/>
        <v>900</v>
      </c>
      <c r="I35" s="48">
        <f t="shared" si="7"/>
        <v>1</v>
      </c>
      <c r="J35" s="60"/>
      <c r="K35" s="61"/>
      <c r="L35" s="49">
        <f t="shared" si="8"/>
        <v>900</v>
      </c>
      <c r="M35" s="50">
        <f t="shared" si="2"/>
        <v>1.125E-2</v>
      </c>
      <c r="N35" s="62">
        <f>IFERROR(L35/L49,"")</f>
        <v>1.1292346298619825E-2</v>
      </c>
      <c r="O35" s="28" t="str">
        <f>IF(N35&lt;0.4,"적절","부적절")</f>
        <v>적절</v>
      </c>
    </row>
    <row r="36" spans="2:20" ht="14.1" customHeight="1" x14ac:dyDescent="0.3">
      <c r="B36" s="253"/>
      <c r="C36" s="256"/>
      <c r="D36" s="323"/>
      <c r="E36" s="222"/>
      <c r="F36" s="239"/>
      <c r="G36" s="59" t="s">
        <v>61</v>
      </c>
      <c r="H36" s="47">
        <f t="shared" si="6"/>
        <v>1000</v>
      </c>
      <c r="I36" s="48">
        <f t="shared" si="7"/>
        <v>1</v>
      </c>
      <c r="J36" s="60"/>
      <c r="K36" s="61"/>
      <c r="L36" s="49">
        <f t="shared" si="8"/>
        <v>1000</v>
      </c>
      <c r="M36" s="50">
        <f t="shared" si="2"/>
        <v>1.2500000000000001E-2</v>
      </c>
      <c r="N36" s="24"/>
      <c r="O36" s="52"/>
    </row>
    <row r="37" spans="2:20" ht="14.1" customHeight="1" x14ac:dyDescent="0.3">
      <c r="B37" s="253"/>
      <c r="C37" s="256"/>
      <c r="D37" s="323"/>
      <c r="E37" s="222"/>
      <c r="F37" s="239"/>
      <c r="G37" s="59" t="s">
        <v>62</v>
      </c>
      <c r="H37" s="47">
        <f t="shared" si="6"/>
        <v>0</v>
      </c>
      <c r="I37" s="48" t="str">
        <f t="shared" si="7"/>
        <v/>
      </c>
      <c r="J37" s="60"/>
      <c r="K37" s="61"/>
      <c r="L37" s="49">
        <f t="shared" si="8"/>
        <v>0</v>
      </c>
      <c r="M37" s="50">
        <f t="shared" si="2"/>
        <v>0</v>
      </c>
      <c r="N37" s="24"/>
      <c r="O37" s="52"/>
    </row>
    <row r="38" spans="2:20" ht="14.1" customHeight="1" x14ac:dyDescent="0.3">
      <c r="B38" s="253"/>
      <c r="C38" s="256"/>
      <c r="D38" s="323"/>
      <c r="E38" s="222"/>
      <c r="F38" s="239"/>
      <c r="G38" s="59" t="s">
        <v>63</v>
      </c>
      <c r="H38" s="47">
        <f t="shared" si="6"/>
        <v>3000</v>
      </c>
      <c r="I38" s="48">
        <f t="shared" si="7"/>
        <v>1</v>
      </c>
      <c r="J38" s="60"/>
      <c r="K38" s="61"/>
      <c r="L38" s="49">
        <f t="shared" si="8"/>
        <v>3000</v>
      </c>
      <c r="M38" s="50">
        <f t="shared" si="2"/>
        <v>3.7499999999999999E-2</v>
      </c>
      <c r="N38" s="24"/>
      <c r="O38" s="52"/>
    </row>
    <row r="39" spans="2:20" ht="14.1" customHeight="1" x14ac:dyDescent="0.3">
      <c r="B39" s="253"/>
      <c r="C39" s="256"/>
      <c r="D39" s="323"/>
      <c r="E39" s="222"/>
      <c r="F39" s="239"/>
      <c r="G39" s="59" t="s">
        <v>64</v>
      </c>
      <c r="H39" s="47">
        <f t="shared" si="6"/>
        <v>0</v>
      </c>
      <c r="I39" s="48" t="str">
        <f t="shared" si="7"/>
        <v/>
      </c>
      <c r="J39" s="60"/>
      <c r="K39" s="61"/>
      <c r="L39" s="49">
        <f t="shared" si="8"/>
        <v>0</v>
      </c>
      <c r="M39" s="50">
        <f t="shared" si="2"/>
        <v>0</v>
      </c>
      <c r="N39" s="24"/>
      <c r="O39" s="52"/>
    </row>
    <row r="40" spans="2:20" ht="14.1" customHeight="1" x14ac:dyDescent="0.3">
      <c r="B40" s="253"/>
      <c r="C40" s="256"/>
      <c r="D40" s="323"/>
      <c r="E40" s="222"/>
      <c r="F40" s="239"/>
      <c r="G40" s="59" t="s">
        <v>65</v>
      </c>
      <c r="H40" s="47">
        <f t="shared" si="6"/>
        <v>0</v>
      </c>
      <c r="I40" s="48" t="str">
        <f t="shared" si="7"/>
        <v/>
      </c>
      <c r="J40" s="60"/>
      <c r="K40" s="61"/>
      <c r="L40" s="49">
        <f t="shared" si="8"/>
        <v>0</v>
      </c>
      <c r="M40" s="50">
        <f t="shared" si="2"/>
        <v>0</v>
      </c>
      <c r="N40" s="24"/>
      <c r="O40" s="52"/>
    </row>
    <row r="41" spans="2:20" ht="14.1" customHeight="1" x14ac:dyDescent="0.3">
      <c r="B41" s="253"/>
      <c r="C41" s="256"/>
      <c r="D41" s="323"/>
      <c r="E41" s="222"/>
      <c r="F41" s="239"/>
      <c r="G41" s="59" t="s">
        <v>66</v>
      </c>
      <c r="H41" s="47">
        <f t="shared" si="6"/>
        <v>0</v>
      </c>
      <c r="I41" s="48" t="str">
        <f t="shared" si="7"/>
        <v/>
      </c>
      <c r="J41" s="60"/>
      <c r="K41" s="61"/>
      <c r="L41" s="49">
        <f t="shared" si="8"/>
        <v>0</v>
      </c>
      <c r="M41" s="50">
        <f t="shared" si="2"/>
        <v>0</v>
      </c>
      <c r="N41" s="24"/>
      <c r="O41" s="52"/>
    </row>
    <row r="42" spans="2:20" ht="14.1" customHeight="1" x14ac:dyDescent="0.3">
      <c r="B42" s="253"/>
      <c r="C42" s="256"/>
      <c r="D42" s="323"/>
      <c r="E42" s="222"/>
      <c r="F42" s="239"/>
      <c r="G42" s="59" t="s">
        <v>67</v>
      </c>
      <c r="H42" s="47">
        <f>H76+H104+H129+H75</f>
        <v>1405</v>
      </c>
      <c r="I42" s="48">
        <f t="shared" si="7"/>
        <v>1</v>
      </c>
      <c r="J42" s="60"/>
      <c r="K42" s="61"/>
      <c r="L42" s="49">
        <f t="shared" si="8"/>
        <v>1405</v>
      </c>
      <c r="M42" s="50">
        <f t="shared" si="2"/>
        <v>1.7562500000000002E-2</v>
      </c>
      <c r="N42" s="24"/>
      <c r="O42" s="52"/>
    </row>
    <row r="43" spans="2:20" ht="14.1" customHeight="1" x14ac:dyDescent="0.3">
      <c r="B43" s="253"/>
      <c r="C43" s="256"/>
      <c r="D43" s="323"/>
      <c r="E43" s="222"/>
      <c r="F43" s="306" t="s">
        <v>68</v>
      </c>
      <c r="G43" s="307"/>
      <c r="H43" s="54">
        <f>SUM(H34:H42)</f>
        <v>6305</v>
      </c>
      <c r="I43" s="55">
        <f t="shared" si="7"/>
        <v>1</v>
      </c>
      <c r="J43" s="60"/>
      <c r="K43" s="61"/>
      <c r="L43" s="54">
        <f t="shared" si="8"/>
        <v>6305</v>
      </c>
      <c r="M43" s="56">
        <f t="shared" si="2"/>
        <v>7.8812499999999994E-2</v>
      </c>
      <c r="N43" s="24"/>
      <c r="O43" s="52"/>
    </row>
    <row r="44" spans="2:20" ht="14.1" customHeight="1" x14ac:dyDescent="0.3">
      <c r="B44" s="253"/>
      <c r="C44" s="256"/>
      <c r="D44" s="323"/>
      <c r="E44" s="222"/>
      <c r="F44" s="299" t="s">
        <v>69</v>
      </c>
      <c r="G44" s="299"/>
      <c r="H44" s="47">
        <f>H78+H105+H130</f>
        <v>4500</v>
      </c>
      <c r="I44" s="48">
        <f t="shared" si="7"/>
        <v>1</v>
      </c>
      <c r="J44" s="60"/>
      <c r="K44" s="61"/>
      <c r="L44" s="49">
        <f t="shared" si="8"/>
        <v>4500</v>
      </c>
      <c r="M44" s="50">
        <f t="shared" si="2"/>
        <v>5.6250000000000001E-2</v>
      </c>
      <c r="N44" s="63"/>
      <c r="O44" s="52"/>
    </row>
    <row r="45" spans="2:20" ht="14.1" customHeight="1" x14ac:dyDescent="0.3">
      <c r="B45" s="253"/>
      <c r="C45" s="256"/>
      <c r="D45" s="323"/>
      <c r="E45" s="222"/>
      <c r="F45" s="239" t="s">
        <v>70</v>
      </c>
      <c r="G45" s="46" t="s">
        <v>71</v>
      </c>
      <c r="H45" s="47">
        <f>H144+H170</f>
        <v>0</v>
      </c>
      <c r="I45" s="48" t="str">
        <f t="shared" si="7"/>
        <v/>
      </c>
      <c r="J45" s="60"/>
      <c r="K45" s="61"/>
      <c r="L45" s="49">
        <f t="shared" si="8"/>
        <v>0</v>
      </c>
      <c r="M45" s="50">
        <f t="shared" si="2"/>
        <v>0</v>
      </c>
      <c r="N45" s="48"/>
      <c r="O45" s="51"/>
    </row>
    <row r="46" spans="2:20" ht="14.1" customHeight="1" x14ac:dyDescent="0.3">
      <c r="B46" s="253"/>
      <c r="C46" s="256"/>
      <c r="D46" s="323"/>
      <c r="E46" s="222"/>
      <c r="F46" s="239"/>
      <c r="G46" s="46" t="s">
        <v>72</v>
      </c>
      <c r="H46" s="47">
        <f>H157-H144+H183-H170</f>
        <v>0</v>
      </c>
      <c r="I46" s="48" t="str">
        <f t="shared" si="7"/>
        <v/>
      </c>
      <c r="J46" s="60"/>
      <c r="K46" s="61"/>
      <c r="L46" s="49">
        <f t="shared" si="8"/>
        <v>0</v>
      </c>
      <c r="M46" s="50">
        <f t="shared" si="2"/>
        <v>0</v>
      </c>
      <c r="N46" s="48"/>
      <c r="O46" s="51"/>
    </row>
    <row r="47" spans="2:20" ht="14.1" customHeight="1" x14ac:dyDescent="0.3">
      <c r="B47" s="253"/>
      <c r="C47" s="256"/>
      <c r="D47" s="323"/>
      <c r="E47" s="222"/>
      <c r="F47" s="239"/>
      <c r="G47" s="46" t="s">
        <v>73</v>
      </c>
      <c r="H47" s="47">
        <f>H161+H187</f>
        <v>0</v>
      </c>
      <c r="I47" s="48" t="str">
        <f t="shared" si="7"/>
        <v/>
      </c>
      <c r="J47" s="60"/>
      <c r="K47" s="61"/>
      <c r="L47" s="49">
        <f t="shared" si="8"/>
        <v>0</v>
      </c>
      <c r="M47" s="50">
        <f t="shared" si="2"/>
        <v>0</v>
      </c>
      <c r="N47" s="48"/>
      <c r="O47" s="51"/>
    </row>
    <row r="48" spans="2:20" ht="14.1" customHeight="1" x14ac:dyDescent="0.3">
      <c r="B48" s="253"/>
      <c r="C48" s="256"/>
      <c r="D48" s="323"/>
      <c r="E48" s="222"/>
      <c r="F48" s="327" t="s">
        <v>74</v>
      </c>
      <c r="G48" s="328"/>
      <c r="H48" s="64">
        <f>H45+H46+H47</f>
        <v>0</v>
      </c>
      <c r="I48" s="65" t="str">
        <f t="shared" si="7"/>
        <v/>
      </c>
      <c r="J48" s="64">
        <f>J45+J46+J47</f>
        <v>0</v>
      </c>
      <c r="K48" s="55" t="str">
        <f>IFERROR(J48/L48,"")</f>
        <v/>
      </c>
      <c r="L48" s="64">
        <f t="shared" si="8"/>
        <v>0</v>
      </c>
      <c r="M48" s="66">
        <f t="shared" si="2"/>
        <v>0</v>
      </c>
      <c r="N48" s="67">
        <f>IFERROR(L48/(L49-L48),"")</f>
        <v>0</v>
      </c>
      <c r="O48" s="28" t="str">
        <f>IF(N48&lt;0.4,"적절","부적절")</f>
        <v>적절</v>
      </c>
    </row>
    <row r="49" spans="2:32" ht="14.1" customHeight="1" x14ac:dyDescent="0.3">
      <c r="B49" s="253"/>
      <c r="C49" s="256"/>
      <c r="D49" s="323"/>
      <c r="E49" s="284" t="s">
        <v>75</v>
      </c>
      <c r="F49" s="284"/>
      <c r="G49" s="284"/>
      <c r="H49" s="68">
        <f>SUM(H31,H32,H33,H43,H44,H48)</f>
        <v>61700</v>
      </c>
      <c r="I49" s="69">
        <f t="shared" si="7"/>
        <v>0.77415307402760347</v>
      </c>
      <c r="J49" s="68">
        <f>J31+SUM(J32:J44)+J48</f>
        <v>18000</v>
      </c>
      <c r="K49" s="69">
        <f t="shared" ref="K49" si="9">IFERROR(J49/L49,"")</f>
        <v>0.2258469259723965</v>
      </c>
      <c r="L49" s="68">
        <f t="shared" si="8"/>
        <v>79700</v>
      </c>
      <c r="M49" s="70">
        <f t="shared" si="2"/>
        <v>0.99624999999999997</v>
      </c>
      <c r="N49" s="48"/>
      <c r="O49" s="51"/>
    </row>
    <row r="50" spans="2:32" ht="14.1" customHeight="1" x14ac:dyDescent="0.3">
      <c r="B50" s="253"/>
      <c r="C50" s="256"/>
      <c r="D50" s="323"/>
      <c r="E50" s="261" t="s">
        <v>73</v>
      </c>
      <c r="F50" s="299" t="s">
        <v>76</v>
      </c>
      <c r="G50" s="299"/>
      <c r="H50" s="47">
        <f>H80+H107+H132</f>
        <v>0</v>
      </c>
      <c r="I50" s="48" t="str">
        <f t="shared" si="7"/>
        <v/>
      </c>
      <c r="J50" s="60"/>
      <c r="K50" s="61"/>
      <c r="L50" s="49">
        <f t="shared" si="8"/>
        <v>0</v>
      </c>
      <c r="M50" s="50">
        <f t="shared" si="2"/>
        <v>0</v>
      </c>
      <c r="N50" s="24"/>
      <c r="O50" s="52"/>
    </row>
    <row r="51" spans="2:32" ht="14.1" customHeight="1" x14ac:dyDescent="0.3">
      <c r="B51" s="253"/>
      <c r="C51" s="256"/>
      <c r="D51" s="323"/>
      <c r="E51" s="222"/>
      <c r="F51" s="302" t="s">
        <v>77</v>
      </c>
      <c r="G51" s="302"/>
      <c r="H51" s="47">
        <f>H81+H108+H133+H82</f>
        <v>300</v>
      </c>
      <c r="I51" s="48">
        <f t="shared" si="7"/>
        <v>1</v>
      </c>
      <c r="J51" s="60"/>
      <c r="K51" s="61"/>
      <c r="L51" s="49">
        <f t="shared" si="8"/>
        <v>300</v>
      </c>
      <c r="M51" s="50">
        <f t="shared" si="2"/>
        <v>3.7499999999999999E-3</v>
      </c>
      <c r="N51" s="24"/>
      <c r="O51" s="52"/>
    </row>
    <row r="52" spans="2:32" ht="14.1" customHeight="1" x14ac:dyDescent="0.3">
      <c r="B52" s="253"/>
      <c r="C52" s="256"/>
      <c r="D52" s="323"/>
      <c r="E52" s="262"/>
      <c r="F52" s="302" t="s">
        <v>78</v>
      </c>
      <c r="G52" s="302"/>
      <c r="H52" s="47">
        <f>H83+H109+H134+H84</f>
        <v>0</v>
      </c>
      <c r="I52" s="48" t="str">
        <f t="shared" si="7"/>
        <v/>
      </c>
      <c r="J52" s="60"/>
      <c r="K52" s="61"/>
      <c r="L52" s="49">
        <f t="shared" si="8"/>
        <v>0</v>
      </c>
      <c r="M52" s="50">
        <f t="shared" si="2"/>
        <v>0</v>
      </c>
      <c r="N52" s="24"/>
      <c r="O52" s="52"/>
    </row>
    <row r="53" spans="2:32" ht="14.1" customHeight="1" x14ac:dyDescent="0.3">
      <c r="B53" s="253"/>
      <c r="C53" s="257"/>
      <c r="D53" s="324"/>
      <c r="E53" s="235" t="s">
        <v>79</v>
      </c>
      <c r="F53" s="326"/>
      <c r="G53" s="236"/>
      <c r="H53" s="68">
        <f>SUM(H50:H52)</f>
        <v>300</v>
      </c>
      <c r="I53" s="69">
        <f t="shared" si="7"/>
        <v>1</v>
      </c>
      <c r="J53" s="26"/>
      <c r="K53" s="71"/>
      <c r="L53" s="68">
        <f>SUM(L50:L52)</f>
        <v>300</v>
      </c>
      <c r="M53" s="70">
        <f t="shared" si="2"/>
        <v>3.7499999999999999E-3</v>
      </c>
      <c r="N53" s="72"/>
      <c r="O53" s="73"/>
    </row>
    <row r="54" spans="2:32" ht="14.1" customHeight="1" thickBot="1" x14ac:dyDescent="0.35">
      <c r="B54" s="321"/>
      <c r="C54" s="74"/>
      <c r="D54" s="204" t="s">
        <v>15</v>
      </c>
      <c r="E54" s="205"/>
      <c r="F54" s="205"/>
      <c r="G54" s="206"/>
      <c r="H54" s="40">
        <f>H49+H53</f>
        <v>62000</v>
      </c>
      <c r="I54" s="75">
        <f t="shared" si="7"/>
        <v>0.77500000000000002</v>
      </c>
      <c r="J54" s="40">
        <f>J49+J53</f>
        <v>18000</v>
      </c>
      <c r="K54" s="75">
        <f>IFERROR(J54/L54,"")</f>
        <v>0.22500000000000001</v>
      </c>
      <c r="L54" s="40">
        <f>L49+L53</f>
        <v>80000</v>
      </c>
      <c r="M54" s="76">
        <f t="shared" si="2"/>
        <v>1</v>
      </c>
      <c r="N54" s="77"/>
      <c r="O54" s="78"/>
    </row>
    <row r="55" spans="2:32" ht="14.1" customHeight="1" x14ac:dyDescent="0.3">
      <c r="H55" s="79"/>
      <c r="I55" s="80"/>
      <c r="J55" s="79"/>
      <c r="K55" s="80"/>
      <c r="L55" s="81"/>
      <c r="M55" s="82"/>
    </row>
    <row r="56" spans="2:32" ht="14.1" customHeight="1" thickBot="1" x14ac:dyDescent="0.35">
      <c r="M56" s="8"/>
    </row>
    <row r="57" spans="2:32" ht="35.25" customHeight="1" thickBot="1" x14ac:dyDescent="0.35">
      <c r="B57" s="311" t="s">
        <v>80</v>
      </c>
      <c r="C57" s="312"/>
      <c r="D57" s="313"/>
      <c r="E57" s="83" t="s">
        <v>81</v>
      </c>
      <c r="M57" s="8"/>
      <c r="R57" s="314" t="s">
        <v>82</v>
      </c>
      <c r="S57" s="315"/>
      <c r="T57" s="315"/>
      <c r="U57" s="316"/>
    </row>
    <row r="58" spans="2:32" ht="14.1" customHeight="1" thickBot="1" x14ac:dyDescent="0.35">
      <c r="M58" s="44" t="s">
        <v>10</v>
      </c>
      <c r="AD58" s="125" t="s">
        <v>83</v>
      </c>
    </row>
    <row r="59" spans="2:32" ht="24.75" customHeight="1" x14ac:dyDescent="0.3">
      <c r="B59" s="285" t="s">
        <v>11</v>
      </c>
      <c r="C59" s="287" t="s">
        <v>26</v>
      </c>
      <c r="D59" s="287" t="s">
        <v>27</v>
      </c>
      <c r="E59" s="287" t="s">
        <v>39</v>
      </c>
      <c r="F59" s="289" t="s">
        <v>40</v>
      </c>
      <c r="G59" s="290"/>
      <c r="H59" s="189" t="s">
        <v>16</v>
      </c>
      <c r="I59" s="191"/>
      <c r="J59" s="189" t="s">
        <v>18</v>
      </c>
      <c r="K59" s="191"/>
      <c r="L59" s="189" t="s">
        <v>41</v>
      </c>
      <c r="M59" s="191"/>
      <c r="N59" s="271" t="s">
        <v>42</v>
      </c>
      <c r="O59" s="272"/>
      <c r="R59" s="275" t="s">
        <v>84</v>
      </c>
      <c r="S59" s="247"/>
      <c r="T59" s="276"/>
      <c r="U59" s="243" t="s">
        <v>85</v>
      </c>
      <c r="V59" s="243" t="s">
        <v>86</v>
      </c>
      <c r="W59" s="243" t="s">
        <v>87</v>
      </c>
      <c r="X59" s="84" t="s">
        <v>88</v>
      </c>
      <c r="Y59" s="84" t="s">
        <v>89</v>
      </c>
      <c r="Z59" s="84" t="s">
        <v>90</v>
      </c>
      <c r="AA59" s="84" t="s">
        <v>91</v>
      </c>
      <c r="AB59" s="246" t="s">
        <v>92</v>
      </c>
      <c r="AC59" s="247"/>
      <c r="AD59" s="248"/>
    </row>
    <row r="60" spans="2:32" ht="46.5" customHeight="1" x14ac:dyDescent="0.3">
      <c r="B60" s="286"/>
      <c r="C60" s="288"/>
      <c r="D60" s="288"/>
      <c r="E60" s="288"/>
      <c r="F60" s="291"/>
      <c r="G60" s="292"/>
      <c r="H60" s="45" t="s">
        <v>43</v>
      </c>
      <c r="I60" s="45" t="s">
        <v>44</v>
      </c>
      <c r="J60" s="45" t="s">
        <v>45</v>
      </c>
      <c r="K60" s="45" t="s">
        <v>46</v>
      </c>
      <c r="L60" s="45" t="s">
        <v>47</v>
      </c>
      <c r="M60" s="45" t="s">
        <v>48</v>
      </c>
      <c r="N60" s="273"/>
      <c r="O60" s="274"/>
      <c r="R60" s="277"/>
      <c r="S60" s="278"/>
      <c r="T60" s="279"/>
      <c r="U60" s="244"/>
      <c r="V60" s="244"/>
      <c r="W60" s="244"/>
      <c r="X60" s="85" t="s">
        <v>93</v>
      </c>
      <c r="Y60" s="85" t="s">
        <v>94</v>
      </c>
      <c r="Z60" s="85" t="s">
        <v>94</v>
      </c>
      <c r="AA60" s="85" t="s">
        <v>94</v>
      </c>
      <c r="AB60" s="249"/>
      <c r="AC60" s="250"/>
      <c r="AD60" s="251"/>
    </row>
    <row r="61" spans="2:32" ht="14.1" customHeight="1" thickBot="1" x14ac:dyDescent="0.35">
      <c r="B61" s="252">
        <v>1</v>
      </c>
      <c r="C61" s="255" t="s">
        <v>95</v>
      </c>
      <c r="D61" s="258" t="str">
        <f>D16</f>
        <v>젝사젠 주식회사</v>
      </c>
      <c r="E61" s="300" t="s">
        <v>50</v>
      </c>
      <c r="F61" s="301" t="s">
        <v>51</v>
      </c>
      <c r="G61" s="46" t="s">
        <v>52</v>
      </c>
      <c r="H61" s="25"/>
      <c r="I61" s="48">
        <f>IFERROR(H61/L61,"")</f>
        <v>0</v>
      </c>
      <c r="J61" s="25">
        <v>18000</v>
      </c>
      <c r="K61" s="48">
        <f>IFERROR(J61/L61,"")</f>
        <v>1</v>
      </c>
      <c r="L61" s="49">
        <f>H61+J61</f>
        <v>18000</v>
      </c>
      <c r="M61" s="50">
        <f t="shared" ref="M61:M70" si="10">IFERROR(L61/$L$86,"")</f>
        <v>0.22500000000000001</v>
      </c>
      <c r="N61" s="48"/>
      <c r="O61" s="51"/>
      <c r="R61" s="280"/>
      <c r="S61" s="281"/>
      <c r="T61" s="282"/>
      <c r="U61" s="283"/>
      <c r="V61" s="283"/>
      <c r="W61" s="283"/>
      <c r="X61" s="86" t="s">
        <v>96</v>
      </c>
      <c r="Y61" s="86" t="s">
        <v>97</v>
      </c>
      <c r="Z61" s="86" t="s">
        <v>98</v>
      </c>
      <c r="AA61" s="86"/>
      <c r="AB61" s="87" t="s">
        <v>16</v>
      </c>
      <c r="AC61" s="87" t="s">
        <v>99</v>
      </c>
      <c r="AD61" s="88" t="s">
        <v>32</v>
      </c>
      <c r="AE61"/>
    </row>
    <row r="62" spans="2:32" ht="14.1" customHeight="1" x14ac:dyDescent="0.3">
      <c r="B62" s="253"/>
      <c r="C62" s="256"/>
      <c r="D62" s="259"/>
      <c r="E62" s="300"/>
      <c r="F62" s="301"/>
      <c r="G62" s="46" t="s">
        <v>53</v>
      </c>
      <c r="H62" s="25">
        <v>50895</v>
      </c>
      <c r="I62" s="48">
        <f t="shared" ref="I62:I86" si="11">IFERROR(H62/L62,"")</f>
        <v>1</v>
      </c>
      <c r="J62" s="25"/>
      <c r="K62" s="48">
        <f t="shared" ref="K62:K66" si="12">IFERROR(J62/L62,"")</f>
        <v>0</v>
      </c>
      <c r="L62" s="49">
        <f t="shared" ref="L62:L84" si="13">H62+J62</f>
        <v>50895</v>
      </c>
      <c r="M62" s="50">
        <f t="shared" si="10"/>
        <v>0.63618750000000002</v>
      </c>
      <c r="N62" s="24"/>
      <c r="O62" s="52"/>
      <c r="R62" s="266" t="s">
        <v>95</v>
      </c>
      <c r="S62" s="269" t="str">
        <f>D16</f>
        <v>젝사젠 주식회사</v>
      </c>
      <c r="T62" s="231" t="s">
        <v>51</v>
      </c>
      <c r="U62" s="233" t="s">
        <v>100</v>
      </c>
      <c r="V62" s="89" t="s">
        <v>101</v>
      </c>
      <c r="W62" s="89" t="s">
        <v>102</v>
      </c>
      <c r="X62" s="90">
        <v>72000</v>
      </c>
      <c r="Y62" s="89"/>
      <c r="Z62" s="169">
        <v>0.25</v>
      </c>
      <c r="AA62" s="89"/>
      <c r="AB62" s="91"/>
      <c r="AC62" s="90">
        <f>X62*Z62</f>
        <v>18000</v>
      </c>
      <c r="AD62" s="92">
        <f>SUM(AB62:AC62)</f>
        <v>18000</v>
      </c>
      <c r="AF62" s="124"/>
    </row>
    <row r="63" spans="2:32" ht="14.1" customHeight="1" x14ac:dyDescent="0.3">
      <c r="B63" s="253"/>
      <c r="C63" s="256"/>
      <c r="D63" s="259"/>
      <c r="E63" s="300"/>
      <c r="F63" s="301"/>
      <c r="G63" s="53" t="s">
        <v>54</v>
      </c>
      <c r="H63" s="25"/>
      <c r="I63" s="48" t="str">
        <f t="shared" si="11"/>
        <v/>
      </c>
      <c r="J63" s="25"/>
      <c r="K63" s="48" t="str">
        <f t="shared" si="12"/>
        <v/>
      </c>
      <c r="L63" s="49">
        <f t="shared" si="13"/>
        <v>0</v>
      </c>
      <c r="M63" s="50">
        <f t="shared" si="10"/>
        <v>0</v>
      </c>
      <c r="N63" s="24"/>
      <c r="O63" s="52"/>
      <c r="R63" s="266"/>
      <c r="S63" s="269"/>
      <c r="T63" s="231"/>
      <c r="U63" s="233"/>
      <c r="V63" s="93"/>
      <c r="W63" s="93"/>
      <c r="X63" s="94"/>
      <c r="Y63" s="93"/>
      <c r="Z63" s="93"/>
      <c r="AA63" s="93"/>
      <c r="AB63" s="91"/>
      <c r="AC63" s="93"/>
      <c r="AD63" s="92">
        <f t="shared" ref="AD63:AD65" si="14">SUM(AB63:AC63)</f>
        <v>0</v>
      </c>
      <c r="AF63" s="124"/>
    </row>
    <row r="64" spans="2:32" ht="14.1" customHeight="1" x14ac:dyDescent="0.3">
      <c r="B64" s="253"/>
      <c r="C64" s="256"/>
      <c r="D64" s="259"/>
      <c r="E64" s="300"/>
      <c r="F64" s="284" t="s">
        <v>103</v>
      </c>
      <c r="G64" s="284"/>
      <c r="H64" s="68">
        <f>SUM(H61:H63)</f>
        <v>50895</v>
      </c>
      <c r="I64" s="69">
        <f t="shared" si="11"/>
        <v>0.73873285434356628</v>
      </c>
      <c r="J64" s="68">
        <f>SUM(J61:J63)</f>
        <v>18000</v>
      </c>
      <c r="K64" s="69">
        <f t="shared" si="12"/>
        <v>0.26126714565643372</v>
      </c>
      <c r="L64" s="68">
        <f>SUM(L61:L63)</f>
        <v>68895</v>
      </c>
      <c r="M64" s="70">
        <f t="shared" si="10"/>
        <v>0.86118749999999999</v>
      </c>
      <c r="N64" s="95"/>
      <c r="O64" s="96"/>
      <c r="R64" s="266"/>
      <c r="S64" s="269"/>
      <c r="T64" s="231"/>
      <c r="U64" s="233"/>
      <c r="V64" s="93"/>
      <c r="W64" s="93"/>
      <c r="X64" s="94"/>
      <c r="Y64" s="93"/>
      <c r="Z64" s="93"/>
      <c r="AA64" s="93"/>
      <c r="AB64" s="97"/>
      <c r="AC64" s="93"/>
      <c r="AD64" s="92">
        <f t="shared" si="14"/>
        <v>0</v>
      </c>
      <c r="AF64" s="124"/>
    </row>
    <row r="65" spans="1:32" ht="14.1" customHeight="1" x14ac:dyDescent="0.3">
      <c r="B65" s="253"/>
      <c r="C65" s="256"/>
      <c r="D65" s="259"/>
      <c r="E65" s="300"/>
      <c r="F65" s="302" t="s">
        <v>56</v>
      </c>
      <c r="G65" s="302"/>
      <c r="H65" s="25"/>
      <c r="I65" s="48" t="str">
        <f t="shared" si="11"/>
        <v/>
      </c>
      <c r="J65" s="25"/>
      <c r="K65" s="48" t="str">
        <f t="shared" si="12"/>
        <v/>
      </c>
      <c r="L65" s="49">
        <f t="shared" si="13"/>
        <v>0</v>
      </c>
      <c r="M65" s="50">
        <f t="shared" si="10"/>
        <v>0</v>
      </c>
      <c r="N65" s="24"/>
      <c r="O65" s="52"/>
      <c r="R65" s="266"/>
      <c r="S65" s="269"/>
      <c r="T65" s="231"/>
      <c r="U65" s="233"/>
      <c r="V65" s="93"/>
      <c r="W65" s="93"/>
      <c r="X65" s="94"/>
      <c r="Y65" s="93"/>
      <c r="Z65" s="93"/>
      <c r="AA65" s="93"/>
      <c r="AB65" s="94"/>
      <c r="AC65" s="98"/>
      <c r="AD65" s="92">
        <f t="shared" si="14"/>
        <v>0</v>
      </c>
      <c r="AF65" s="124"/>
    </row>
    <row r="66" spans="1:32" ht="14.1" customHeight="1" x14ac:dyDescent="0.3">
      <c r="B66" s="253"/>
      <c r="C66" s="256"/>
      <c r="D66" s="259"/>
      <c r="E66" s="300"/>
      <c r="F66" s="303" t="s">
        <v>57</v>
      </c>
      <c r="G66" s="303"/>
      <c r="H66" s="25"/>
      <c r="I66" s="48" t="str">
        <f t="shared" si="11"/>
        <v/>
      </c>
      <c r="J66" s="25"/>
      <c r="K66" s="48" t="str">
        <f t="shared" si="12"/>
        <v/>
      </c>
      <c r="L66" s="49">
        <f t="shared" si="13"/>
        <v>0</v>
      </c>
      <c r="M66" s="50">
        <f t="shared" si="10"/>
        <v>0</v>
      </c>
      <c r="N66" s="24"/>
      <c r="O66" s="52"/>
      <c r="R66" s="266"/>
      <c r="S66" s="269"/>
      <c r="T66" s="231"/>
      <c r="U66" s="233"/>
      <c r="V66" s="93"/>
      <c r="W66" s="93"/>
      <c r="X66" s="94"/>
      <c r="Y66" s="93"/>
      <c r="Z66" s="93"/>
      <c r="AA66" s="93"/>
      <c r="AB66" s="94"/>
      <c r="AC66" s="93"/>
      <c r="AD66" s="92"/>
      <c r="AF66" s="124"/>
    </row>
    <row r="67" spans="1:32" ht="14.1" customHeight="1" x14ac:dyDescent="0.3">
      <c r="B67" s="253"/>
      <c r="C67" s="256"/>
      <c r="D67" s="259"/>
      <c r="E67" s="300"/>
      <c r="F67" s="239" t="s">
        <v>58</v>
      </c>
      <c r="G67" s="59" t="s">
        <v>59</v>
      </c>
      <c r="H67" s="25"/>
      <c r="I67" s="48" t="str">
        <f t="shared" si="11"/>
        <v/>
      </c>
      <c r="J67" s="60"/>
      <c r="K67" s="61"/>
      <c r="L67" s="49">
        <f t="shared" si="13"/>
        <v>0</v>
      </c>
      <c r="M67" s="50">
        <f t="shared" si="10"/>
        <v>0</v>
      </c>
      <c r="N67" s="24"/>
      <c r="O67" s="52"/>
      <c r="R67" s="266"/>
      <c r="S67" s="269"/>
      <c r="T67" s="231"/>
      <c r="U67" s="233"/>
      <c r="V67" s="99"/>
      <c r="W67" s="99"/>
      <c r="X67" s="99"/>
      <c r="Y67" s="99"/>
      <c r="Z67" s="99"/>
      <c r="AA67" s="99"/>
      <c r="AB67" s="93"/>
      <c r="AC67" s="93"/>
      <c r="AD67" s="92">
        <f t="shared" ref="AD67:AD78" si="15">SUM(AB67:AC67)</f>
        <v>0</v>
      </c>
      <c r="AF67" s="124"/>
    </row>
    <row r="68" spans="1:32" ht="14.1" customHeight="1" x14ac:dyDescent="0.3">
      <c r="B68" s="253"/>
      <c r="C68" s="256"/>
      <c r="D68" s="259"/>
      <c r="E68" s="300"/>
      <c r="F68" s="239"/>
      <c r="G68" s="59" t="s">
        <v>60</v>
      </c>
      <c r="H68" s="25">
        <v>900</v>
      </c>
      <c r="I68" s="48">
        <f t="shared" si="11"/>
        <v>1</v>
      </c>
      <c r="J68" s="60"/>
      <c r="K68" s="61"/>
      <c r="L68" s="49">
        <f t="shared" si="13"/>
        <v>900</v>
      </c>
      <c r="M68" s="50">
        <f t="shared" si="10"/>
        <v>1.125E-2</v>
      </c>
      <c r="N68" s="100">
        <f>IFERROR(L68/L79,"")</f>
        <v>1.1292346298619825E-2</v>
      </c>
      <c r="O68" s="28" t="str">
        <f>IF(N68&lt;0.4,"적절","부적절")</f>
        <v>적절</v>
      </c>
      <c r="R68" s="266"/>
      <c r="S68" s="269"/>
      <c r="T68" s="231"/>
      <c r="U68" s="229" t="s">
        <v>104</v>
      </c>
      <c r="V68" s="101" t="s">
        <v>105</v>
      </c>
      <c r="W68" s="101" t="s">
        <v>106</v>
      </c>
      <c r="X68" s="102">
        <v>52500</v>
      </c>
      <c r="Y68" s="170">
        <v>0.4</v>
      </c>
      <c r="Z68" s="101"/>
      <c r="AA68" s="101"/>
      <c r="AB68" s="91">
        <f>X68*Y68</f>
        <v>21000</v>
      </c>
      <c r="AC68" s="93"/>
      <c r="AD68" s="92">
        <f t="shared" si="15"/>
        <v>21000</v>
      </c>
      <c r="AF68" s="124"/>
    </row>
    <row r="69" spans="1:32" ht="13.5" customHeight="1" x14ac:dyDescent="0.3">
      <c r="B69" s="253"/>
      <c r="C69" s="256"/>
      <c r="D69" s="259"/>
      <c r="E69" s="300"/>
      <c r="F69" s="239"/>
      <c r="G69" s="59" t="s">
        <v>61</v>
      </c>
      <c r="H69" s="25">
        <v>1000</v>
      </c>
      <c r="I69" s="48">
        <f t="shared" si="11"/>
        <v>1</v>
      </c>
      <c r="J69" s="60"/>
      <c r="K69" s="61"/>
      <c r="L69" s="49">
        <f t="shared" si="13"/>
        <v>1000</v>
      </c>
      <c r="M69" s="50">
        <f t="shared" si="10"/>
        <v>1.2500000000000001E-2</v>
      </c>
      <c r="N69" s="24"/>
      <c r="O69" s="52"/>
      <c r="R69" s="266"/>
      <c r="S69" s="269"/>
      <c r="T69" s="231"/>
      <c r="U69" s="229"/>
      <c r="V69" s="101" t="s">
        <v>107</v>
      </c>
      <c r="W69" s="101" t="s">
        <v>106</v>
      </c>
      <c r="X69" s="102">
        <v>46666</v>
      </c>
      <c r="Y69" s="170">
        <v>0.4</v>
      </c>
      <c r="Z69" s="101"/>
      <c r="AA69" s="101"/>
      <c r="AB69" s="91">
        <f t="shared" ref="AB69:AB70" si="16">X69*Y69</f>
        <v>18666.400000000001</v>
      </c>
      <c r="AC69" s="98"/>
      <c r="AD69" s="92">
        <f t="shared" si="15"/>
        <v>18666.400000000001</v>
      </c>
      <c r="AF69" s="124"/>
    </row>
    <row r="70" spans="1:32" ht="13.5" customHeight="1" x14ac:dyDescent="0.3">
      <c r="B70" s="253"/>
      <c r="C70" s="256"/>
      <c r="D70" s="259"/>
      <c r="E70" s="300"/>
      <c r="F70" s="239"/>
      <c r="G70" s="59" t="s">
        <v>62</v>
      </c>
      <c r="H70" s="25"/>
      <c r="I70" s="48" t="str">
        <f t="shared" si="11"/>
        <v/>
      </c>
      <c r="J70" s="60"/>
      <c r="K70" s="61"/>
      <c r="L70" s="49">
        <f t="shared" si="13"/>
        <v>0</v>
      </c>
      <c r="M70" s="50">
        <f t="shared" si="10"/>
        <v>0</v>
      </c>
      <c r="N70" s="24"/>
      <c r="O70" s="52"/>
      <c r="R70" s="266"/>
      <c r="S70" s="269"/>
      <c r="T70" s="231"/>
      <c r="U70" s="229"/>
      <c r="V70" s="101" t="s">
        <v>108</v>
      </c>
      <c r="W70" s="101" t="s">
        <v>109</v>
      </c>
      <c r="X70" s="102">
        <v>32083</v>
      </c>
      <c r="Y70" s="170">
        <v>0.35</v>
      </c>
      <c r="Z70" s="101"/>
      <c r="AA70" s="101"/>
      <c r="AB70" s="91">
        <f t="shared" si="16"/>
        <v>11229.05</v>
      </c>
      <c r="AC70" s="93"/>
      <c r="AD70" s="92">
        <f t="shared" si="15"/>
        <v>11229.05</v>
      </c>
      <c r="AF70" s="124"/>
    </row>
    <row r="71" spans="1:32" ht="13.5" customHeight="1" x14ac:dyDescent="0.3">
      <c r="B71" s="253"/>
      <c r="C71" s="256"/>
      <c r="D71" s="259"/>
      <c r="E71" s="300"/>
      <c r="F71" s="239"/>
      <c r="G71" s="59" t="s">
        <v>110</v>
      </c>
      <c r="H71" s="25">
        <v>3000</v>
      </c>
      <c r="I71" s="48"/>
      <c r="J71" s="60"/>
      <c r="K71" s="61"/>
      <c r="L71" s="49"/>
      <c r="M71" s="50"/>
      <c r="N71" s="24"/>
      <c r="O71" s="52"/>
      <c r="R71" s="266"/>
      <c r="S71" s="269"/>
      <c r="T71" s="231"/>
      <c r="U71" s="229"/>
      <c r="V71" s="101"/>
      <c r="W71" s="101"/>
      <c r="X71" s="102"/>
      <c r="Y71" s="101"/>
      <c r="Z71" s="101"/>
      <c r="AA71" s="101"/>
      <c r="AB71" s="98"/>
      <c r="AC71" s="93"/>
      <c r="AD71" s="92">
        <f t="shared" ref="AD71" si="17">SUM(AB71:AC71)</f>
        <v>0</v>
      </c>
      <c r="AF71" s="124"/>
    </row>
    <row r="72" spans="1:32" ht="13.5" customHeight="1" x14ac:dyDescent="0.3">
      <c r="A72" s="2" t="s">
        <v>111</v>
      </c>
      <c r="B72" s="253"/>
      <c r="C72" s="256"/>
      <c r="D72" s="259"/>
      <c r="E72" s="300"/>
      <c r="F72" s="239"/>
      <c r="G72" s="59" t="s">
        <v>64</v>
      </c>
      <c r="H72" s="25"/>
      <c r="I72" s="48" t="str">
        <f t="shared" si="11"/>
        <v/>
      </c>
      <c r="J72" s="60"/>
      <c r="K72" s="61"/>
      <c r="L72" s="49">
        <f t="shared" si="13"/>
        <v>0</v>
      </c>
      <c r="M72" s="50">
        <f t="shared" ref="M72:M84" si="18">IFERROR(L72/$L$86,"")</f>
        <v>0</v>
      </c>
      <c r="N72" s="24"/>
      <c r="O72" s="52"/>
      <c r="R72" s="266"/>
      <c r="S72" s="269"/>
      <c r="T72" s="231"/>
      <c r="U72" s="229"/>
      <c r="V72" s="101"/>
      <c r="W72" s="101"/>
      <c r="X72" s="101"/>
      <c r="Y72" s="101"/>
      <c r="Z72" s="101"/>
      <c r="AA72" s="101"/>
      <c r="AB72" s="103"/>
      <c r="AC72" s="93"/>
      <c r="AD72" s="92">
        <f t="shared" si="15"/>
        <v>0</v>
      </c>
      <c r="AF72" s="124"/>
    </row>
    <row r="73" spans="1:32" ht="13.5" customHeight="1" x14ac:dyDescent="0.3">
      <c r="B73" s="253"/>
      <c r="C73" s="256"/>
      <c r="D73" s="259"/>
      <c r="E73" s="300"/>
      <c r="F73" s="239"/>
      <c r="G73" s="59" t="s">
        <v>65</v>
      </c>
      <c r="H73" s="25"/>
      <c r="I73" s="48" t="str">
        <f t="shared" si="11"/>
        <v/>
      </c>
      <c r="J73" s="60"/>
      <c r="K73" s="61"/>
      <c r="L73" s="49">
        <f t="shared" si="13"/>
        <v>0</v>
      </c>
      <c r="M73" s="50">
        <f t="shared" si="18"/>
        <v>0</v>
      </c>
      <c r="N73" s="24"/>
      <c r="O73" s="52"/>
      <c r="R73" s="266"/>
      <c r="S73" s="269"/>
      <c r="T73" s="231"/>
      <c r="U73" s="295" t="s">
        <v>114</v>
      </c>
      <c r="V73" s="295"/>
      <c r="W73" s="295"/>
      <c r="X73" s="295"/>
      <c r="Y73" s="295"/>
      <c r="Z73" s="295"/>
      <c r="AA73" s="295"/>
      <c r="AB73" s="104">
        <f>SUM(AB62:AB72)</f>
        <v>50895.45</v>
      </c>
      <c r="AC73" s="105">
        <f>SUM(AC62:AC72)</f>
        <v>18000</v>
      </c>
      <c r="AD73" s="106">
        <f>SUM(AD62:AD72)</f>
        <v>68895.45</v>
      </c>
      <c r="AF73" s="124"/>
    </row>
    <row r="74" spans="1:32" ht="13.5" customHeight="1" x14ac:dyDescent="0.3">
      <c r="B74" s="253"/>
      <c r="C74" s="256"/>
      <c r="D74" s="259"/>
      <c r="E74" s="300"/>
      <c r="F74" s="239"/>
      <c r="G74" s="59" t="s">
        <v>66</v>
      </c>
      <c r="H74" s="25"/>
      <c r="I74" s="48" t="str">
        <f t="shared" si="11"/>
        <v/>
      </c>
      <c r="J74" s="60"/>
      <c r="K74" s="61"/>
      <c r="L74" s="49">
        <f t="shared" si="13"/>
        <v>0</v>
      </c>
      <c r="M74" s="50">
        <f t="shared" si="18"/>
        <v>0</v>
      </c>
      <c r="N74" s="24"/>
      <c r="O74" s="52"/>
      <c r="R74" s="266"/>
      <c r="S74" s="269"/>
      <c r="T74" s="231"/>
      <c r="U74" s="229" t="s">
        <v>115</v>
      </c>
      <c r="V74" s="107"/>
      <c r="W74" s="101"/>
      <c r="X74" s="101"/>
      <c r="Y74" s="101"/>
      <c r="Z74" s="101"/>
      <c r="AA74" s="101"/>
      <c r="AB74" s="103"/>
      <c r="AC74" s="93"/>
      <c r="AD74" s="92">
        <f t="shared" si="15"/>
        <v>0</v>
      </c>
      <c r="AF74" s="124"/>
    </row>
    <row r="75" spans="1:32" ht="13.5" customHeight="1" x14ac:dyDescent="0.3">
      <c r="B75" s="253"/>
      <c r="C75" s="256"/>
      <c r="D75" s="259"/>
      <c r="E75" s="300"/>
      <c r="F75" s="239"/>
      <c r="G75" s="59" t="s">
        <v>137</v>
      </c>
      <c r="H75" s="108">
        <v>1077</v>
      </c>
      <c r="I75" s="48">
        <f t="shared" si="11"/>
        <v>1</v>
      </c>
      <c r="J75" s="60"/>
      <c r="K75" s="61"/>
      <c r="L75" s="49">
        <f t="shared" si="13"/>
        <v>1077</v>
      </c>
      <c r="M75" s="50">
        <f t="shared" si="18"/>
        <v>1.3462500000000001E-2</v>
      </c>
      <c r="N75" s="24"/>
      <c r="O75" s="52"/>
      <c r="R75" s="266"/>
      <c r="S75" s="269"/>
      <c r="T75" s="231"/>
      <c r="U75" s="229"/>
      <c r="V75" s="107"/>
      <c r="W75" s="101"/>
      <c r="X75" s="101"/>
      <c r="Y75" s="101"/>
      <c r="Z75" s="101"/>
      <c r="AA75" s="101"/>
      <c r="AB75" s="103"/>
      <c r="AC75" s="93"/>
      <c r="AD75" s="92">
        <f t="shared" si="15"/>
        <v>0</v>
      </c>
      <c r="AF75" s="124"/>
    </row>
    <row r="76" spans="1:32" ht="13.5" customHeight="1" x14ac:dyDescent="0.3">
      <c r="B76" s="253"/>
      <c r="C76" s="256"/>
      <c r="D76" s="259"/>
      <c r="E76" s="300"/>
      <c r="F76" s="239"/>
      <c r="G76" s="59" t="s">
        <v>67</v>
      </c>
      <c r="H76" s="25">
        <v>328</v>
      </c>
      <c r="I76" s="48">
        <f t="shared" si="11"/>
        <v>1</v>
      </c>
      <c r="J76" s="60"/>
      <c r="K76" s="61"/>
      <c r="L76" s="49">
        <f t="shared" si="13"/>
        <v>328</v>
      </c>
      <c r="M76" s="50">
        <f t="shared" si="18"/>
        <v>4.1000000000000003E-3</v>
      </c>
      <c r="N76" s="24"/>
      <c r="O76" s="52"/>
      <c r="R76" s="266"/>
      <c r="S76" s="269"/>
      <c r="T76" s="231"/>
      <c r="U76" s="229"/>
      <c r="V76" s="107"/>
      <c r="W76" s="101"/>
      <c r="X76" s="101"/>
      <c r="Y76" s="101"/>
      <c r="Z76" s="101"/>
      <c r="AA76" s="101"/>
      <c r="AB76" s="103"/>
      <c r="AC76" s="93"/>
      <c r="AD76" s="92">
        <f t="shared" si="15"/>
        <v>0</v>
      </c>
      <c r="AF76" s="124"/>
    </row>
    <row r="77" spans="1:32" ht="13.5" customHeight="1" x14ac:dyDescent="0.3">
      <c r="B77" s="253"/>
      <c r="C77" s="256"/>
      <c r="D77" s="259"/>
      <c r="E77" s="300"/>
      <c r="F77" s="306" t="s">
        <v>68</v>
      </c>
      <c r="G77" s="307"/>
      <c r="H77" s="109">
        <f>SUM(H67:H76)</f>
        <v>6305</v>
      </c>
      <c r="I77" s="48">
        <f t="shared" si="11"/>
        <v>1</v>
      </c>
      <c r="J77" s="60"/>
      <c r="K77" s="61"/>
      <c r="L77" s="54">
        <f t="shared" si="13"/>
        <v>6305</v>
      </c>
      <c r="M77" s="56">
        <f t="shared" si="18"/>
        <v>7.8812499999999994E-2</v>
      </c>
      <c r="N77" s="24"/>
      <c r="O77" s="52"/>
      <c r="R77" s="266"/>
      <c r="S77" s="269"/>
      <c r="T77" s="231"/>
      <c r="U77" s="229"/>
      <c r="V77" s="107"/>
      <c r="W77" s="101"/>
      <c r="X77" s="101"/>
      <c r="Y77" s="101"/>
      <c r="Z77" s="101"/>
      <c r="AA77" s="101"/>
      <c r="AB77" s="103"/>
      <c r="AC77" s="93"/>
      <c r="AD77" s="92">
        <f t="shared" si="15"/>
        <v>0</v>
      </c>
      <c r="AF77" s="124"/>
    </row>
    <row r="78" spans="1:32" ht="13.5" customHeight="1" x14ac:dyDescent="0.3">
      <c r="B78" s="253"/>
      <c r="C78" s="256"/>
      <c r="D78" s="259"/>
      <c r="E78" s="300"/>
      <c r="F78" s="299" t="s">
        <v>69</v>
      </c>
      <c r="G78" s="299"/>
      <c r="H78" s="25">
        <v>4500</v>
      </c>
      <c r="I78" s="48">
        <f t="shared" si="11"/>
        <v>1</v>
      </c>
      <c r="J78" s="60"/>
      <c r="K78" s="61"/>
      <c r="L78" s="49">
        <f t="shared" si="13"/>
        <v>4500</v>
      </c>
      <c r="M78" s="50">
        <f t="shared" si="18"/>
        <v>5.6250000000000001E-2</v>
      </c>
      <c r="N78" s="110">
        <f>IFERROR(H78/L64,"")</f>
        <v>6.531678641410843E-2</v>
      </c>
      <c r="O78" s="28" t="str">
        <f>IF(N78&lt;=0.2,"적절","부적절")</f>
        <v>적절</v>
      </c>
      <c r="R78" s="266"/>
      <c r="S78" s="269"/>
      <c r="T78" s="231"/>
      <c r="U78" s="229"/>
      <c r="V78" s="107"/>
      <c r="W78" s="101"/>
      <c r="X78" s="101"/>
      <c r="Y78" s="101"/>
      <c r="Z78" s="101"/>
      <c r="AA78" s="101"/>
      <c r="AB78" s="103"/>
      <c r="AC78" s="93"/>
      <c r="AD78" s="92">
        <f t="shared" si="15"/>
        <v>0</v>
      </c>
      <c r="AF78" s="124"/>
    </row>
    <row r="79" spans="1:32" ht="13.5" customHeight="1" x14ac:dyDescent="0.3">
      <c r="B79" s="253"/>
      <c r="C79" s="256"/>
      <c r="D79" s="259"/>
      <c r="E79" s="218" t="s">
        <v>75</v>
      </c>
      <c r="F79" s="219"/>
      <c r="G79" s="220"/>
      <c r="H79" s="111">
        <f>SUM(H64,H65,H66,H77,H78)</f>
        <v>61700</v>
      </c>
      <c r="I79" s="112">
        <f t="shared" si="11"/>
        <v>0.77415307402760347</v>
      </c>
      <c r="J79" s="111">
        <f>SUM(J64:J78)</f>
        <v>18000</v>
      </c>
      <c r="K79" s="112">
        <f>IFERROR(J79/L79,"")</f>
        <v>0.2258469259723965</v>
      </c>
      <c r="L79" s="68">
        <f>SUM(L64,L65,L66,L77,L78)</f>
        <v>79700</v>
      </c>
      <c r="M79" s="70">
        <f t="shared" si="18"/>
        <v>0.99624999999999997</v>
      </c>
      <c r="N79" s="48"/>
      <c r="O79" s="51"/>
      <c r="R79" s="267"/>
      <c r="S79" s="270"/>
      <c r="T79" s="232"/>
      <c r="U79" s="225" t="s">
        <v>114</v>
      </c>
      <c r="V79" s="226"/>
      <c r="W79" s="226"/>
      <c r="X79" s="226"/>
      <c r="Y79" s="226"/>
      <c r="Z79" s="226"/>
      <c r="AA79" s="226"/>
      <c r="AB79" s="113">
        <f>SUM(AB74:AB78)</f>
        <v>0</v>
      </c>
      <c r="AC79" s="113">
        <f>SUM(AC74:AC78)</f>
        <v>0</v>
      </c>
      <c r="AD79" s="106">
        <f>SUM(AD74:AD78)</f>
        <v>0</v>
      </c>
    </row>
    <row r="80" spans="1:32" ht="13.5" customHeight="1" thickBot="1" x14ac:dyDescent="0.35">
      <c r="B80" s="253"/>
      <c r="C80" s="256"/>
      <c r="D80" s="259"/>
      <c r="E80" s="308" t="s">
        <v>73</v>
      </c>
      <c r="F80" s="223" t="s">
        <v>76</v>
      </c>
      <c r="G80" s="224"/>
      <c r="H80" s="25"/>
      <c r="I80" s="48" t="str">
        <f t="shared" si="11"/>
        <v/>
      </c>
      <c r="J80" s="60"/>
      <c r="K80" s="61"/>
      <c r="L80" s="49">
        <f t="shared" si="13"/>
        <v>0</v>
      </c>
      <c r="M80" s="50">
        <f t="shared" si="18"/>
        <v>0</v>
      </c>
      <c r="N80" s="24"/>
      <c r="O80" s="52"/>
      <c r="R80" s="207" t="s">
        <v>117</v>
      </c>
      <c r="S80" s="208"/>
      <c r="T80" s="208"/>
      <c r="U80" s="208"/>
      <c r="V80" s="208"/>
      <c r="W80" s="208"/>
      <c r="X80" s="208"/>
      <c r="Y80" s="208"/>
      <c r="Z80" s="208"/>
      <c r="AA80" s="208"/>
      <c r="AB80" s="114">
        <f>AB73+AB79</f>
        <v>50895.45</v>
      </c>
      <c r="AC80" s="114">
        <f>AC73+AC79</f>
        <v>18000</v>
      </c>
      <c r="AD80" s="115">
        <f>AD73+AD79</f>
        <v>68895.45</v>
      </c>
      <c r="AE80" s="116"/>
    </row>
    <row r="81" spans="2:32" ht="14.1" customHeight="1" x14ac:dyDescent="0.3">
      <c r="B81" s="253"/>
      <c r="C81" s="256"/>
      <c r="D81" s="259"/>
      <c r="E81" s="309"/>
      <c r="F81" s="227" t="s">
        <v>77</v>
      </c>
      <c r="G81" s="228"/>
      <c r="H81" s="25"/>
      <c r="I81" s="48" t="str">
        <f t="shared" si="11"/>
        <v/>
      </c>
      <c r="J81" s="60"/>
      <c r="K81" s="61"/>
      <c r="L81" s="49">
        <f t="shared" si="13"/>
        <v>0</v>
      </c>
      <c r="M81" s="50">
        <f t="shared" si="18"/>
        <v>0</v>
      </c>
      <c r="N81" s="24"/>
      <c r="O81" s="52"/>
    </row>
    <row r="82" spans="2:32" ht="14.1" customHeight="1" x14ac:dyDescent="0.3">
      <c r="B82" s="253"/>
      <c r="C82" s="256"/>
      <c r="D82" s="259"/>
      <c r="E82" s="309"/>
      <c r="F82" s="227" t="s">
        <v>138</v>
      </c>
      <c r="G82" s="228"/>
      <c r="H82" s="108">
        <v>300</v>
      </c>
      <c r="I82" s="48"/>
      <c r="J82" s="60"/>
      <c r="K82" s="61"/>
      <c r="L82" s="49">
        <f t="shared" si="13"/>
        <v>300</v>
      </c>
      <c r="M82" s="50">
        <f t="shared" si="18"/>
        <v>3.7499999999999999E-3</v>
      </c>
      <c r="N82" s="24"/>
      <c r="O82" s="52"/>
    </row>
    <row r="83" spans="2:32" ht="14.1" customHeight="1" x14ac:dyDescent="0.3">
      <c r="B83" s="253"/>
      <c r="C83" s="256"/>
      <c r="D83" s="259"/>
      <c r="E83" s="309"/>
      <c r="F83" s="227" t="s">
        <v>78</v>
      </c>
      <c r="G83" s="228"/>
      <c r="H83" s="25"/>
      <c r="I83" s="48" t="str">
        <f t="shared" si="11"/>
        <v/>
      </c>
      <c r="J83" s="60"/>
      <c r="K83" s="61"/>
      <c r="L83" s="49">
        <f t="shared" si="13"/>
        <v>0</v>
      </c>
      <c r="M83" s="50">
        <f t="shared" si="18"/>
        <v>0</v>
      </c>
      <c r="N83" s="24"/>
      <c r="O83" s="52"/>
    </row>
    <row r="84" spans="2:32" ht="14.1" customHeight="1" x14ac:dyDescent="0.3">
      <c r="B84" s="253"/>
      <c r="C84" s="256"/>
      <c r="D84" s="259"/>
      <c r="E84" s="310"/>
      <c r="F84" s="343" t="s">
        <v>78</v>
      </c>
      <c r="G84" s="228"/>
      <c r="H84" s="25"/>
      <c r="I84" s="48"/>
      <c r="J84" s="117"/>
      <c r="K84" s="118"/>
      <c r="L84" s="49">
        <f t="shared" si="13"/>
        <v>0</v>
      </c>
      <c r="M84" s="50">
        <f t="shared" si="18"/>
        <v>0</v>
      </c>
      <c r="N84" s="24"/>
      <c r="O84" s="52"/>
    </row>
    <row r="85" spans="2:32" ht="12.75" customHeight="1" x14ac:dyDescent="0.3">
      <c r="B85" s="254"/>
      <c r="C85" s="257"/>
      <c r="D85" s="260"/>
      <c r="E85" s="296" t="s">
        <v>119</v>
      </c>
      <c r="F85" s="297"/>
      <c r="G85" s="298"/>
      <c r="H85" s="68">
        <f>SUM(H80:H84)</f>
        <v>300</v>
      </c>
      <c r="I85" s="69">
        <f t="shared" si="11"/>
        <v>1</v>
      </c>
      <c r="J85" s="60"/>
      <c r="K85" s="61"/>
      <c r="L85" s="68">
        <f>SUM(L80:L84)</f>
        <v>300</v>
      </c>
      <c r="M85" s="70">
        <f>IFERROR(L85/H79,"")</f>
        <v>4.8622366288492711E-3</v>
      </c>
      <c r="N85" s="110">
        <f>IFERROR(L85/H79,"")</f>
        <v>4.8622366288492711E-3</v>
      </c>
      <c r="O85" s="28" t="str">
        <f>IF(N85&lt;0.1,"적절","부적절")</f>
        <v>적절</v>
      </c>
    </row>
    <row r="86" spans="2:32" ht="12.75" customHeight="1" thickBot="1" x14ac:dyDescent="0.35">
      <c r="B86" s="119"/>
      <c r="C86" s="38"/>
      <c r="D86" s="204" t="s">
        <v>15</v>
      </c>
      <c r="E86" s="205"/>
      <c r="F86" s="205"/>
      <c r="G86" s="206"/>
      <c r="H86" s="40">
        <f>H79+H85</f>
        <v>62000</v>
      </c>
      <c r="I86" s="75">
        <f t="shared" si="11"/>
        <v>0.77500000000000002</v>
      </c>
      <c r="J86" s="40">
        <f>J79+J85</f>
        <v>18000</v>
      </c>
      <c r="K86" s="75">
        <f t="shared" ref="K86" si="19">IFERROR(J86/L86,"")</f>
        <v>0.22500000000000001</v>
      </c>
      <c r="L86" s="40">
        <f>L79+L85</f>
        <v>80000</v>
      </c>
      <c r="M86" s="76">
        <f>IFERROR(L86/$L$86,"")</f>
        <v>1</v>
      </c>
      <c r="N86" s="77"/>
      <c r="O86" s="78"/>
    </row>
    <row r="87" spans="2:32" ht="12.75" customHeight="1" thickBot="1" x14ac:dyDescent="0.35">
      <c r="C87" s="304"/>
      <c r="D87" s="305"/>
      <c r="E87" s="305"/>
      <c r="H87" s="79"/>
      <c r="I87" s="80"/>
      <c r="J87" s="79"/>
      <c r="K87" s="80"/>
      <c r="L87" s="81"/>
      <c r="M87" s="44" t="s">
        <v>10</v>
      </c>
      <c r="AD87" s="3" t="s">
        <v>83</v>
      </c>
    </row>
    <row r="88" spans="2:32" ht="12.75" customHeight="1" x14ac:dyDescent="0.3">
      <c r="B88" s="285" t="s">
        <v>11</v>
      </c>
      <c r="C88" s="287" t="s">
        <v>26</v>
      </c>
      <c r="D88" s="287" t="s">
        <v>27</v>
      </c>
      <c r="E88" s="287" t="s">
        <v>39</v>
      </c>
      <c r="F88" s="289" t="s">
        <v>40</v>
      </c>
      <c r="G88" s="290"/>
      <c r="H88" s="189" t="s">
        <v>16</v>
      </c>
      <c r="I88" s="191"/>
      <c r="J88" s="189" t="s">
        <v>18</v>
      </c>
      <c r="K88" s="191"/>
      <c r="L88" s="189" t="s">
        <v>41</v>
      </c>
      <c r="M88" s="191"/>
      <c r="N88" s="271" t="s">
        <v>42</v>
      </c>
      <c r="O88" s="272"/>
      <c r="R88" s="275" t="s">
        <v>84</v>
      </c>
      <c r="S88" s="247"/>
      <c r="T88" s="276"/>
      <c r="U88" s="243" t="s">
        <v>85</v>
      </c>
      <c r="V88" s="243" t="s">
        <v>86</v>
      </c>
      <c r="W88" s="243" t="s">
        <v>87</v>
      </c>
      <c r="X88" s="84" t="s">
        <v>88</v>
      </c>
      <c r="Y88" s="84" t="s">
        <v>89</v>
      </c>
      <c r="Z88" s="84" t="s">
        <v>90</v>
      </c>
      <c r="AA88" s="84" t="s">
        <v>91</v>
      </c>
      <c r="AB88" s="246" t="s">
        <v>92</v>
      </c>
      <c r="AC88" s="247"/>
      <c r="AD88" s="248"/>
    </row>
    <row r="89" spans="2:32" ht="32.1" customHeight="1" x14ac:dyDescent="0.3">
      <c r="B89" s="286"/>
      <c r="C89" s="288"/>
      <c r="D89" s="288"/>
      <c r="E89" s="288"/>
      <c r="F89" s="291"/>
      <c r="G89" s="292"/>
      <c r="H89" s="45" t="s">
        <v>43</v>
      </c>
      <c r="I89" s="45" t="s">
        <v>44</v>
      </c>
      <c r="J89" s="45" t="s">
        <v>45</v>
      </c>
      <c r="K89" s="45" t="s">
        <v>46</v>
      </c>
      <c r="L89" s="45" t="s">
        <v>47</v>
      </c>
      <c r="M89" s="45" t="s">
        <v>48</v>
      </c>
      <c r="N89" s="273"/>
      <c r="O89" s="274"/>
      <c r="R89" s="277"/>
      <c r="S89" s="278"/>
      <c r="T89" s="279"/>
      <c r="U89" s="244"/>
      <c r="V89" s="244"/>
      <c r="W89" s="244"/>
      <c r="X89" s="85" t="s">
        <v>93</v>
      </c>
      <c r="Y89" s="85" t="s">
        <v>94</v>
      </c>
      <c r="Z89" s="85" t="s">
        <v>94</v>
      </c>
      <c r="AA89" s="85" t="s">
        <v>94</v>
      </c>
      <c r="AB89" s="249"/>
      <c r="AC89" s="250"/>
      <c r="AD89" s="251"/>
    </row>
    <row r="90" spans="2:32" ht="12.75" customHeight="1" thickBot="1" x14ac:dyDescent="0.35">
      <c r="B90" s="252">
        <v>1</v>
      </c>
      <c r="C90" s="255" t="s">
        <v>120</v>
      </c>
      <c r="D90" s="258">
        <f>D17</f>
        <v>0</v>
      </c>
      <c r="E90" s="300" t="s">
        <v>50</v>
      </c>
      <c r="F90" s="301" t="s">
        <v>51</v>
      </c>
      <c r="G90" s="46" t="s">
        <v>52</v>
      </c>
      <c r="H90" s="25"/>
      <c r="I90" s="48" t="str">
        <f>IFERROR(H90/L90,"")</f>
        <v/>
      </c>
      <c r="J90" s="25"/>
      <c r="K90" s="48" t="str">
        <f>IFERROR(J90/L90,"")</f>
        <v/>
      </c>
      <c r="L90" s="49">
        <f>H90+J90</f>
        <v>0</v>
      </c>
      <c r="M90" s="50" t="str">
        <f t="shared" ref="M90:M99" si="20">IFERROR(L90/$L$111,"")</f>
        <v/>
      </c>
      <c r="N90" s="48"/>
      <c r="O90" s="51"/>
      <c r="R90" s="280"/>
      <c r="S90" s="281"/>
      <c r="T90" s="282"/>
      <c r="U90" s="283"/>
      <c r="V90" s="283"/>
      <c r="W90" s="283"/>
      <c r="X90" s="86" t="s">
        <v>96</v>
      </c>
      <c r="Y90" s="86" t="s">
        <v>97</v>
      </c>
      <c r="Z90" s="86" t="s">
        <v>98</v>
      </c>
      <c r="AA90" s="86"/>
      <c r="AB90" s="87" t="s">
        <v>121</v>
      </c>
      <c r="AC90" s="87" t="s">
        <v>99</v>
      </c>
      <c r="AD90" s="88" t="s">
        <v>122</v>
      </c>
      <c r="AE90"/>
      <c r="AF90"/>
    </row>
    <row r="91" spans="2:32" ht="12.75" customHeight="1" thickTop="1" x14ac:dyDescent="0.3">
      <c r="B91" s="253"/>
      <c r="C91" s="256"/>
      <c r="D91" s="259"/>
      <c r="E91" s="300"/>
      <c r="F91" s="301"/>
      <c r="G91" s="46" t="s">
        <v>53</v>
      </c>
      <c r="H91" s="25"/>
      <c r="I91" s="48" t="str">
        <f t="shared" ref="I91:I110" si="21">IFERROR(H91/L91,"")</f>
        <v/>
      </c>
      <c r="J91" s="25"/>
      <c r="K91" s="48" t="str">
        <f t="shared" ref="K91:K95" si="22">IFERROR(J91/L91,"")</f>
        <v/>
      </c>
      <c r="L91" s="49">
        <f t="shared" ref="L91:L92" si="23">H91+J91</f>
        <v>0</v>
      </c>
      <c r="M91" s="50" t="str">
        <f t="shared" si="20"/>
        <v/>
      </c>
      <c r="N91" s="24"/>
      <c r="O91" s="52"/>
      <c r="R91" s="266" t="s">
        <v>120</v>
      </c>
      <c r="S91" s="269">
        <f>D17</f>
        <v>0</v>
      </c>
      <c r="T91" s="231" t="s">
        <v>51</v>
      </c>
      <c r="U91" s="233" t="s">
        <v>100</v>
      </c>
      <c r="V91" s="89"/>
      <c r="W91" s="89"/>
      <c r="X91" s="90"/>
      <c r="Y91" s="89"/>
      <c r="Z91" s="89"/>
      <c r="AA91" s="89"/>
      <c r="AB91" s="89"/>
      <c r="AC91" s="90"/>
      <c r="AD91" s="92">
        <f>SUM(AB91:AC91)</f>
        <v>0</v>
      </c>
      <c r="AE91"/>
      <c r="AF91"/>
    </row>
    <row r="92" spans="2:32" ht="12.75" customHeight="1" x14ac:dyDescent="0.3">
      <c r="B92" s="253"/>
      <c r="C92" s="256"/>
      <c r="D92" s="259"/>
      <c r="E92" s="300"/>
      <c r="F92" s="301"/>
      <c r="G92" s="53" t="s">
        <v>54</v>
      </c>
      <c r="H92" s="25"/>
      <c r="I92" s="48" t="str">
        <f t="shared" si="21"/>
        <v/>
      </c>
      <c r="J92" s="25"/>
      <c r="K92" s="48" t="str">
        <f t="shared" si="22"/>
        <v/>
      </c>
      <c r="L92" s="49">
        <f t="shared" si="23"/>
        <v>0</v>
      </c>
      <c r="M92" s="50" t="str">
        <f t="shared" si="20"/>
        <v/>
      </c>
      <c r="N92" s="24"/>
      <c r="O92" s="52"/>
      <c r="R92" s="266"/>
      <c r="S92" s="269"/>
      <c r="T92" s="231"/>
      <c r="U92" s="233"/>
      <c r="V92" s="93"/>
      <c r="W92" s="93"/>
      <c r="X92" s="94"/>
      <c r="Y92" s="93"/>
      <c r="Z92" s="93"/>
      <c r="AA92" s="93"/>
      <c r="AB92" s="94"/>
      <c r="AC92" s="94"/>
      <c r="AD92" s="92">
        <f t="shared" ref="AD92:AD102" si="24">SUM(AB92:AC92)</f>
        <v>0</v>
      </c>
      <c r="AE92"/>
      <c r="AF92"/>
    </row>
    <row r="93" spans="2:32" ht="12.75" customHeight="1" x14ac:dyDescent="0.3">
      <c r="B93" s="253"/>
      <c r="C93" s="256"/>
      <c r="D93" s="259"/>
      <c r="E93" s="300"/>
      <c r="F93" s="284" t="s">
        <v>123</v>
      </c>
      <c r="G93" s="284"/>
      <c r="H93" s="68">
        <f>SUM(H90:H92)</f>
        <v>0</v>
      </c>
      <c r="I93" s="69" t="str">
        <f t="shared" si="21"/>
        <v/>
      </c>
      <c r="J93" s="68">
        <f>SUM(J90:J92)</f>
        <v>0</v>
      </c>
      <c r="K93" s="69" t="str">
        <f t="shared" si="22"/>
        <v/>
      </c>
      <c r="L93" s="68">
        <f>SUM(L90:L92)</f>
        <v>0</v>
      </c>
      <c r="M93" s="70" t="str">
        <f t="shared" si="20"/>
        <v/>
      </c>
      <c r="N93" s="24"/>
      <c r="O93" s="52"/>
      <c r="R93" s="266"/>
      <c r="S93" s="269"/>
      <c r="T93" s="231"/>
      <c r="U93" s="233"/>
      <c r="V93" s="93"/>
      <c r="W93" s="93"/>
      <c r="X93" s="94"/>
      <c r="Y93" s="93"/>
      <c r="Z93" s="93"/>
      <c r="AA93" s="93"/>
      <c r="AB93" s="93"/>
      <c r="AC93" s="94"/>
      <c r="AD93" s="92">
        <f t="shared" si="24"/>
        <v>0</v>
      </c>
      <c r="AE93"/>
      <c r="AF93"/>
    </row>
    <row r="94" spans="2:32" ht="12.75" customHeight="1" x14ac:dyDescent="0.3">
      <c r="B94" s="253"/>
      <c r="C94" s="256"/>
      <c r="D94" s="259"/>
      <c r="E94" s="300"/>
      <c r="F94" s="302" t="s">
        <v>56</v>
      </c>
      <c r="G94" s="302"/>
      <c r="H94" s="25"/>
      <c r="I94" s="48" t="str">
        <f t="shared" si="21"/>
        <v/>
      </c>
      <c r="J94" s="25"/>
      <c r="K94" s="48" t="str">
        <f t="shared" si="22"/>
        <v/>
      </c>
      <c r="L94" s="49">
        <f t="shared" ref="L94:L105" si="25">H94+J94</f>
        <v>0</v>
      </c>
      <c r="M94" s="50" t="str">
        <f t="shared" si="20"/>
        <v/>
      </c>
      <c r="N94" s="24"/>
      <c r="O94" s="52"/>
      <c r="R94" s="266"/>
      <c r="S94" s="269"/>
      <c r="T94" s="231"/>
      <c r="U94" s="233"/>
      <c r="V94" s="93"/>
      <c r="W94" s="93"/>
      <c r="X94" s="94"/>
      <c r="Y94" s="93"/>
      <c r="Z94" s="93"/>
      <c r="AA94" s="93"/>
      <c r="AB94" s="94"/>
      <c r="AC94" s="93"/>
      <c r="AD94" s="92">
        <f t="shared" si="24"/>
        <v>0</v>
      </c>
      <c r="AE94"/>
      <c r="AF94"/>
    </row>
    <row r="95" spans="2:32" ht="12.75" customHeight="1" x14ac:dyDescent="0.3">
      <c r="B95" s="253"/>
      <c r="C95" s="256"/>
      <c r="D95" s="259"/>
      <c r="E95" s="300"/>
      <c r="F95" s="303" t="s">
        <v>57</v>
      </c>
      <c r="G95" s="303"/>
      <c r="H95" s="25"/>
      <c r="I95" s="48" t="str">
        <f t="shared" si="21"/>
        <v/>
      </c>
      <c r="J95" s="25"/>
      <c r="K95" s="48" t="str">
        <f t="shared" si="22"/>
        <v/>
      </c>
      <c r="L95" s="49">
        <f t="shared" si="25"/>
        <v>0</v>
      </c>
      <c r="M95" s="50" t="str">
        <f t="shared" si="20"/>
        <v/>
      </c>
      <c r="N95" s="24"/>
      <c r="O95" s="52"/>
      <c r="R95" s="266"/>
      <c r="S95" s="269"/>
      <c r="T95" s="231"/>
      <c r="U95" s="233"/>
      <c r="V95" s="93"/>
      <c r="W95" s="93"/>
      <c r="X95" s="94"/>
      <c r="Y95" s="93"/>
      <c r="Z95" s="93"/>
      <c r="AA95" s="93"/>
      <c r="AB95" s="94"/>
      <c r="AC95" s="93"/>
      <c r="AD95" s="92">
        <f t="shared" si="24"/>
        <v>0</v>
      </c>
      <c r="AE95"/>
      <c r="AF95"/>
    </row>
    <row r="96" spans="2:32" ht="12.75" customHeight="1" x14ac:dyDescent="0.3">
      <c r="B96" s="253"/>
      <c r="C96" s="256"/>
      <c r="D96" s="259"/>
      <c r="E96" s="300"/>
      <c r="F96" s="239" t="s">
        <v>58</v>
      </c>
      <c r="G96" s="59" t="s">
        <v>59</v>
      </c>
      <c r="H96" s="25"/>
      <c r="I96" s="48" t="str">
        <f t="shared" si="21"/>
        <v/>
      </c>
      <c r="J96" s="60"/>
      <c r="K96" s="61"/>
      <c r="L96" s="49">
        <f t="shared" si="25"/>
        <v>0</v>
      </c>
      <c r="M96" s="50" t="str">
        <f t="shared" si="20"/>
        <v/>
      </c>
      <c r="N96" s="24"/>
      <c r="O96" s="52"/>
      <c r="R96" s="266"/>
      <c r="S96" s="269"/>
      <c r="T96" s="231"/>
      <c r="U96" s="233"/>
      <c r="V96" s="93"/>
      <c r="W96" s="93"/>
      <c r="X96" s="94"/>
      <c r="Y96" s="93"/>
      <c r="Z96" s="93"/>
      <c r="AA96" s="93"/>
      <c r="AB96" s="94"/>
      <c r="AC96" s="93"/>
      <c r="AD96" s="92">
        <f t="shared" si="24"/>
        <v>0</v>
      </c>
      <c r="AE96"/>
      <c r="AF96"/>
    </row>
    <row r="97" spans="2:32" ht="12.75" customHeight="1" x14ac:dyDescent="0.3">
      <c r="B97" s="253"/>
      <c r="C97" s="256"/>
      <c r="D97" s="259"/>
      <c r="E97" s="300"/>
      <c r="F97" s="239"/>
      <c r="G97" s="59" t="s">
        <v>60</v>
      </c>
      <c r="H97" s="25"/>
      <c r="I97" s="48" t="str">
        <f t="shared" si="21"/>
        <v/>
      </c>
      <c r="J97" s="60"/>
      <c r="K97" s="61"/>
      <c r="L97" s="49"/>
      <c r="M97" s="50" t="str">
        <f t="shared" si="20"/>
        <v/>
      </c>
      <c r="N97" s="100">
        <f>IFERROR(L97/L106,0)</f>
        <v>0</v>
      </c>
      <c r="O97" s="28" t="str">
        <f>IF(N97&lt;0.4,"적절","부적절")</f>
        <v>적절</v>
      </c>
      <c r="R97" s="266"/>
      <c r="S97" s="269"/>
      <c r="T97" s="231"/>
      <c r="U97" s="233"/>
      <c r="V97" s="99"/>
      <c r="W97" s="99"/>
      <c r="X97" s="99"/>
      <c r="Y97" s="99"/>
      <c r="Z97" s="99"/>
      <c r="AA97" s="99"/>
      <c r="AB97" s="93"/>
      <c r="AC97" s="93"/>
      <c r="AD97" s="92">
        <f t="shared" si="24"/>
        <v>0</v>
      </c>
      <c r="AE97"/>
      <c r="AF97"/>
    </row>
    <row r="98" spans="2:32" ht="12.75" customHeight="1" x14ac:dyDescent="0.3">
      <c r="B98" s="253"/>
      <c r="C98" s="256"/>
      <c r="D98" s="259"/>
      <c r="E98" s="300"/>
      <c r="F98" s="239"/>
      <c r="G98" s="59" t="s">
        <v>61</v>
      </c>
      <c r="H98" s="25"/>
      <c r="I98" s="48" t="str">
        <f t="shared" si="21"/>
        <v/>
      </c>
      <c r="J98" s="60"/>
      <c r="K98" s="61"/>
      <c r="L98" s="49">
        <f t="shared" si="25"/>
        <v>0</v>
      </c>
      <c r="M98" s="50" t="str">
        <f t="shared" si="20"/>
        <v/>
      </c>
      <c r="N98" s="24"/>
      <c r="O98" s="52"/>
      <c r="R98" s="266"/>
      <c r="S98" s="269"/>
      <c r="T98" s="231"/>
      <c r="U98" s="229" t="s">
        <v>104</v>
      </c>
      <c r="V98" s="101"/>
      <c r="W98" s="101"/>
      <c r="X98" s="102"/>
      <c r="Y98" s="101"/>
      <c r="Z98" s="101"/>
      <c r="AA98" s="101"/>
      <c r="AB98" s="98"/>
      <c r="AC98" s="93"/>
      <c r="AD98" s="92">
        <f t="shared" si="24"/>
        <v>0</v>
      </c>
      <c r="AE98"/>
      <c r="AF98"/>
    </row>
    <row r="99" spans="2:32" ht="12.75" customHeight="1" x14ac:dyDescent="0.3">
      <c r="B99" s="253"/>
      <c r="C99" s="256"/>
      <c r="D99" s="259"/>
      <c r="E99" s="300"/>
      <c r="F99" s="239"/>
      <c r="G99" s="59" t="s">
        <v>62</v>
      </c>
      <c r="H99" s="25"/>
      <c r="I99" s="48" t="str">
        <f t="shared" si="21"/>
        <v/>
      </c>
      <c r="J99" s="60"/>
      <c r="K99" s="61"/>
      <c r="L99" s="49">
        <f t="shared" si="25"/>
        <v>0</v>
      </c>
      <c r="M99" s="50" t="str">
        <f t="shared" si="20"/>
        <v/>
      </c>
      <c r="N99" s="24"/>
      <c r="O99" s="52"/>
      <c r="R99" s="266"/>
      <c r="S99" s="269"/>
      <c r="T99" s="231"/>
      <c r="U99" s="229"/>
      <c r="V99" s="101"/>
      <c r="W99" s="101"/>
      <c r="X99" s="102"/>
      <c r="Y99" s="101"/>
      <c r="Z99" s="101"/>
      <c r="AA99" s="101"/>
      <c r="AB99" s="98"/>
      <c r="AC99" s="93"/>
      <c r="AD99" s="92">
        <f t="shared" si="24"/>
        <v>0</v>
      </c>
      <c r="AE99"/>
      <c r="AF99"/>
    </row>
    <row r="100" spans="2:32" ht="12.75" customHeight="1" x14ac:dyDescent="0.3">
      <c r="B100" s="253"/>
      <c r="C100" s="256"/>
      <c r="D100" s="259"/>
      <c r="E100" s="300"/>
      <c r="F100" s="239"/>
      <c r="G100" s="59" t="s">
        <v>110</v>
      </c>
      <c r="H100" s="25"/>
      <c r="I100" s="48"/>
      <c r="J100" s="60"/>
      <c r="K100" s="61"/>
      <c r="L100" s="49"/>
      <c r="M100" s="50"/>
      <c r="N100" s="24"/>
      <c r="O100" s="52"/>
      <c r="R100" s="266"/>
      <c r="S100" s="269"/>
      <c r="T100" s="231"/>
      <c r="U100" s="229"/>
      <c r="V100" s="101"/>
      <c r="W100" s="101"/>
      <c r="X100" s="102"/>
      <c r="Y100" s="101"/>
      <c r="Z100" s="101"/>
      <c r="AA100" s="101"/>
      <c r="AB100" s="98"/>
      <c r="AC100" s="93"/>
      <c r="AD100" s="92">
        <f t="shared" ref="AD100" si="26">SUM(AB100:AC100)</f>
        <v>0</v>
      </c>
      <c r="AE100"/>
      <c r="AF100"/>
    </row>
    <row r="101" spans="2:32" ht="12.75" customHeight="1" x14ac:dyDescent="0.3">
      <c r="B101" s="253"/>
      <c r="C101" s="256"/>
      <c r="D101" s="259"/>
      <c r="E101" s="300"/>
      <c r="F101" s="239"/>
      <c r="G101" s="59" t="s">
        <v>64</v>
      </c>
      <c r="H101" s="25"/>
      <c r="I101" s="48" t="str">
        <f t="shared" si="21"/>
        <v/>
      </c>
      <c r="J101" s="60"/>
      <c r="K101" s="61"/>
      <c r="L101" s="49"/>
      <c r="M101" s="50" t="str">
        <f t="shared" ref="M101:M111" si="27">IFERROR(L101/$L$111,"")</f>
        <v/>
      </c>
      <c r="N101" s="24"/>
      <c r="O101" s="52"/>
      <c r="R101" s="266"/>
      <c r="S101" s="269"/>
      <c r="T101" s="231"/>
      <c r="U101" s="229"/>
      <c r="V101" s="101"/>
      <c r="W101" s="101"/>
      <c r="X101" s="102"/>
      <c r="Y101" s="101"/>
      <c r="Z101" s="101"/>
      <c r="AA101" s="101"/>
      <c r="AB101" s="98"/>
      <c r="AC101" s="93"/>
      <c r="AD101" s="92">
        <f t="shared" si="24"/>
        <v>0</v>
      </c>
      <c r="AE101"/>
      <c r="AF101"/>
    </row>
    <row r="102" spans="2:32" ht="12.75" customHeight="1" x14ac:dyDescent="0.3">
      <c r="B102" s="253"/>
      <c r="C102" s="256"/>
      <c r="D102" s="259"/>
      <c r="E102" s="300"/>
      <c r="F102" s="239"/>
      <c r="G102" s="59" t="s">
        <v>65</v>
      </c>
      <c r="H102" s="25"/>
      <c r="I102" s="48" t="str">
        <f t="shared" si="21"/>
        <v/>
      </c>
      <c r="J102" s="60"/>
      <c r="K102" s="61"/>
      <c r="L102" s="49"/>
      <c r="M102" s="50" t="str">
        <f t="shared" si="27"/>
        <v/>
      </c>
      <c r="N102" s="24"/>
      <c r="O102" s="52"/>
      <c r="R102" s="266"/>
      <c r="S102" s="269"/>
      <c r="T102" s="231"/>
      <c r="U102" s="229"/>
      <c r="V102" s="101"/>
      <c r="W102" s="101"/>
      <c r="X102" s="101"/>
      <c r="Y102" s="101"/>
      <c r="Z102" s="101"/>
      <c r="AA102" s="101"/>
      <c r="AB102" s="103"/>
      <c r="AC102" s="93"/>
      <c r="AD102" s="92">
        <f t="shared" si="24"/>
        <v>0</v>
      </c>
      <c r="AE102"/>
      <c r="AF102"/>
    </row>
    <row r="103" spans="2:32" ht="12.75" customHeight="1" x14ac:dyDescent="0.3">
      <c r="B103" s="253"/>
      <c r="C103" s="256"/>
      <c r="D103" s="259"/>
      <c r="E103" s="300"/>
      <c r="F103" s="239"/>
      <c r="G103" s="59" t="s">
        <v>66</v>
      </c>
      <c r="H103" s="25"/>
      <c r="I103" s="48" t="str">
        <f t="shared" si="21"/>
        <v/>
      </c>
      <c r="J103" s="60"/>
      <c r="K103" s="61"/>
      <c r="L103" s="49"/>
      <c r="M103" s="50" t="str">
        <f t="shared" si="27"/>
        <v/>
      </c>
      <c r="N103" s="24"/>
      <c r="O103" s="52"/>
      <c r="R103" s="266"/>
      <c r="S103" s="269"/>
      <c r="T103" s="231"/>
      <c r="U103" s="295" t="s">
        <v>114</v>
      </c>
      <c r="V103" s="295"/>
      <c r="W103" s="295"/>
      <c r="X103" s="295"/>
      <c r="Y103" s="295"/>
      <c r="Z103" s="295"/>
      <c r="AA103" s="295"/>
      <c r="AB103" s="106">
        <f t="shared" ref="AB103:AC103" si="28">SUM(AB91:AB102)</f>
        <v>0</v>
      </c>
      <c r="AC103" s="106">
        <f t="shared" si="28"/>
        <v>0</v>
      </c>
      <c r="AD103" s="106">
        <f>SUM(AD91:AD102)</f>
        <v>0</v>
      </c>
      <c r="AE103"/>
      <c r="AF103"/>
    </row>
    <row r="104" spans="2:32" ht="12.75" customHeight="1" x14ac:dyDescent="0.3">
      <c r="B104" s="253"/>
      <c r="C104" s="256"/>
      <c r="D104" s="259"/>
      <c r="E104" s="300"/>
      <c r="F104" s="239"/>
      <c r="G104" s="59" t="s">
        <v>67</v>
      </c>
      <c r="H104" s="25"/>
      <c r="I104" s="48" t="str">
        <f t="shared" si="21"/>
        <v/>
      </c>
      <c r="J104" s="60"/>
      <c r="K104" s="61"/>
      <c r="L104" s="49">
        <f t="shared" si="25"/>
        <v>0</v>
      </c>
      <c r="M104" s="50" t="str">
        <f t="shared" si="27"/>
        <v/>
      </c>
      <c r="N104" s="24"/>
      <c r="O104" s="52"/>
      <c r="R104" s="266"/>
      <c r="S104" s="269"/>
      <c r="T104" s="231"/>
      <c r="U104" s="229" t="s">
        <v>115</v>
      </c>
      <c r="V104" s="107"/>
      <c r="W104" s="101"/>
      <c r="X104" s="101"/>
      <c r="Y104" s="101"/>
      <c r="Z104" s="101"/>
      <c r="AA104" s="101"/>
      <c r="AB104" s="103"/>
      <c r="AC104" s="93"/>
      <c r="AD104" s="92">
        <f t="shared" ref="AD104:AD107" si="29">SUM(AB104:AC104)</f>
        <v>0</v>
      </c>
      <c r="AE104"/>
      <c r="AF104"/>
    </row>
    <row r="105" spans="2:32" ht="12.75" customHeight="1" x14ac:dyDescent="0.3">
      <c r="B105" s="253"/>
      <c r="C105" s="256"/>
      <c r="D105" s="259"/>
      <c r="E105" s="300"/>
      <c r="F105" s="299" t="s">
        <v>69</v>
      </c>
      <c r="G105" s="299"/>
      <c r="H105" s="25"/>
      <c r="I105" s="48" t="str">
        <f t="shared" si="21"/>
        <v/>
      </c>
      <c r="J105" s="60"/>
      <c r="K105" s="61"/>
      <c r="L105" s="49">
        <f t="shared" si="25"/>
        <v>0</v>
      </c>
      <c r="M105" s="50" t="str">
        <f t="shared" si="27"/>
        <v/>
      </c>
      <c r="N105" s="110">
        <f>IFERROR(H105/L93,0)</f>
        <v>0</v>
      </c>
      <c r="O105" s="28" t="str">
        <f>IF(N105&lt;0.2,"적절","부적절")</f>
        <v>적절</v>
      </c>
      <c r="R105" s="266"/>
      <c r="S105" s="269"/>
      <c r="T105" s="231"/>
      <c r="U105" s="229"/>
      <c r="V105" s="107"/>
      <c r="W105" s="101"/>
      <c r="X105" s="101"/>
      <c r="Y105" s="101"/>
      <c r="Z105" s="101"/>
      <c r="AA105" s="101"/>
      <c r="AB105" s="103"/>
      <c r="AC105" s="93"/>
      <c r="AD105" s="92">
        <f t="shared" si="29"/>
        <v>0</v>
      </c>
      <c r="AE105"/>
      <c r="AF105"/>
    </row>
    <row r="106" spans="2:32" ht="12.75" customHeight="1" x14ac:dyDescent="0.3">
      <c r="B106" s="253"/>
      <c r="C106" s="256"/>
      <c r="D106" s="259"/>
      <c r="E106" s="218" t="s">
        <v>75</v>
      </c>
      <c r="F106" s="219"/>
      <c r="G106" s="220"/>
      <c r="H106" s="111">
        <f>SUM(H93:H105)</f>
        <v>0</v>
      </c>
      <c r="I106" s="112" t="str">
        <f t="shared" si="21"/>
        <v/>
      </c>
      <c r="J106" s="111">
        <f>SUM(J93:J105)</f>
        <v>0</v>
      </c>
      <c r="K106" s="112" t="str">
        <f>IFERROR(J106/L106,"")</f>
        <v/>
      </c>
      <c r="L106" s="68">
        <f>SUM(L93:L105)</f>
        <v>0</v>
      </c>
      <c r="M106" s="70" t="str">
        <f t="shared" si="27"/>
        <v/>
      </c>
      <c r="N106" s="48"/>
      <c r="O106" s="51"/>
      <c r="R106" s="266"/>
      <c r="S106" s="269"/>
      <c r="T106" s="231"/>
      <c r="U106" s="229"/>
      <c r="V106" s="107"/>
      <c r="W106" s="101"/>
      <c r="X106" s="101"/>
      <c r="Y106" s="101"/>
      <c r="Z106" s="101"/>
      <c r="AA106" s="101"/>
      <c r="AB106" s="103"/>
      <c r="AC106" s="93"/>
      <c r="AD106" s="92">
        <f t="shared" si="29"/>
        <v>0</v>
      </c>
      <c r="AE106"/>
      <c r="AF106"/>
    </row>
    <row r="107" spans="2:32" ht="12.75" customHeight="1" x14ac:dyDescent="0.3">
      <c r="B107" s="253"/>
      <c r="C107" s="256"/>
      <c r="D107" s="259"/>
      <c r="E107" s="300" t="s">
        <v>73</v>
      </c>
      <c r="F107" s="223" t="s">
        <v>76</v>
      </c>
      <c r="G107" s="224"/>
      <c r="H107" s="25"/>
      <c r="I107" s="48" t="str">
        <f t="shared" si="21"/>
        <v/>
      </c>
      <c r="J107" s="60"/>
      <c r="K107" s="61"/>
      <c r="L107" s="49">
        <f t="shared" ref="L107:L109" si="30">H107+J107</f>
        <v>0</v>
      </c>
      <c r="M107" s="50" t="str">
        <f t="shared" si="27"/>
        <v/>
      </c>
      <c r="N107" s="24"/>
      <c r="O107" s="52"/>
      <c r="R107" s="266"/>
      <c r="S107" s="269"/>
      <c r="T107" s="231"/>
      <c r="U107" s="229"/>
      <c r="V107" s="107"/>
      <c r="W107" s="101"/>
      <c r="X107" s="101"/>
      <c r="Y107" s="101"/>
      <c r="Z107" s="101"/>
      <c r="AA107" s="101"/>
      <c r="AB107" s="103"/>
      <c r="AC107" s="93"/>
      <c r="AD107" s="92">
        <f t="shared" si="29"/>
        <v>0</v>
      </c>
      <c r="AE107"/>
      <c r="AF107"/>
    </row>
    <row r="108" spans="2:32" ht="12.75" customHeight="1" x14ac:dyDescent="0.3">
      <c r="B108" s="253"/>
      <c r="C108" s="256"/>
      <c r="D108" s="259"/>
      <c r="E108" s="300"/>
      <c r="F108" s="227" t="s">
        <v>77</v>
      </c>
      <c r="G108" s="228"/>
      <c r="H108" s="25">
        <v>0</v>
      </c>
      <c r="I108" s="48" t="str">
        <f t="shared" si="21"/>
        <v/>
      </c>
      <c r="J108" s="60"/>
      <c r="K108" s="61"/>
      <c r="L108" s="49">
        <f t="shared" si="30"/>
        <v>0</v>
      </c>
      <c r="M108" s="50" t="str">
        <f t="shared" si="27"/>
        <v/>
      </c>
      <c r="N108" s="24"/>
      <c r="O108" s="52"/>
      <c r="R108" s="267"/>
      <c r="S108" s="270"/>
      <c r="T108" s="232"/>
      <c r="U108" s="225" t="s">
        <v>114</v>
      </c>
      <c r="V108" s="226"/>
      <c r="W108" s="226"/>
      <c r="X108" s="226"/>
      <c r="Y108" s="226"/>
      <c r="Z108" s="226"/>
      <c r="AA108" s="226"/>
      <c r="AB108" s="113">
        <f>SUM(AB104:AB107)</f>
        <v>0</v>
      </c>
      <c r="AC108" s="113">
        <f>SUM(AC104:AC107)</f>
        <v>0</v>
      </c>
      <c r="AD108" s="106">
        <f>SUM(AD104:AD107)</f>
        <v>0</v>
      </c>
      <c r="AE108"/>
      <c r="AF108"/>
    </row>
    <row r="109" spans="2:32" ht="12.75" customHeight="1" thickBot="1" x14ac:dyDescent="0.35">
      <c r="B109" s="253"/>
      <c r="C109" s="256"/>
      <c r="D109" s="259"/>
      <c r="E109" s="300"/>
      <c r="F109" s="227" t="s">
        <v>78</v>
      </c>
      <c r="G109" s="228"/>
      <c r="H109" s="25"/>
      <c r="I109" s="48" t="str">
        <f t="shared" si="21"/>
        <v/>
      </c>
      <c r="J109" s="60"/>
      <c r="K109" s="61"/>
      <c r="L109" s="49">
        <f t="shared" si="30"/>
        <v>0</v>
      </c>
      <c r="M109" s="50" t="str">
        <f t="shared" si="27"/>
        <v/>
      </c>
      <c r="N109" s="24"/>
      <c r="O109" s="52"/>
      <c r="R109" s="207" t="s">
        <v>117</v>
      </c>
      <c r="S109" s="208"/>
      <c r="T109" s="208"/>
      <c r="U109" s="208"/>
      <c r="V109" s="208"/>
      <c r="W109" s="208"/>
      <c r="X109" s="208"/>
      <c r="Y109" s="208"/>
      <c r="Z109" s="208"/>
      <c r="AA109" s="208"/>
      <c r="AB109" s="114">
        <f>AB103+AB108</f>
        <v>0</v>
      </c>
      <c r="AC109" s="114">
        <f>AC103+AC108</f>
        <v>0</v>
      </c>
      <c r="AD109" s="115">
        <f>AD103+AD108</f>
        <v>0</v>
      </c>
      <c r="AE109" s="116"/>
    </row>
    <row r="110" spans="2:32" ht="12.75" customHeight="1" x14ac:dyDescent="0.3">
      <c r="B110" s="254"/>
      <c r="C110" s="257"/>
      <c r="D110" s="260"/>
      <c r="E110" s="296" t="s">
        <v>119</v>
      </c>
      <c r="F110" s="297"/>
      <c r="G110" s="298"/>
      <c r="H110" s="68">
        <f>SUM(H107:H109)</f>
        <v>0</v>
      </c>
      <c r="I110" s="69" t="str">
        <f t="shared" si="21"/>
        <v/>
      </c>
      <c r="J110" s="68">
        <f>SUM(J107:J109)</f>
        <v>0</v>
      </c>
      <c r="K110" s="69" t="str">
        <f t="shared" ref="K110" si="31">IFERROR(J110/L110,"")</f>
        <v/>
      </c>
      <c r="L110" s="68">
        <f>SUM(L107:L109)</f>
        <v>0</v>
      </c>
      <c r="M110" s="70" t="str">
        <f>IFERROR(L110/H106,"")</f>
        <v/>
      </c>
      <c r="N110" s="110" t="str">
        <f>IFERROR(L110/H106,"")</f>
        <v/>
      </c>
      <c r="O110" s="28" t="str">
        <f>IF(N110&lt;0.1,"적절","부적절")</f>
        <v>부적절</v>
      </c>
    </row>
    <row r="111" spans="2:32" ht="12.75" customHeight="1" thickBot="1" x14ac:dyDescent="0.35">
      <c r="B111" s="37"/>
      <c r="C111" s="120"/>
      <c r="D111" s="204" t="s">
        <v>15</v>
      </c>
      <c r="E111" s="205"/>
      <c r="F111" s="205"/>
      <c r="G111" s="206"/>
      <c r="H111" s="40">
        <f>H106+H110</f>
        <v>0</v>
      </c>
      <c r="I111" s="75"/>
      <c r="J111" s="40">
        <f>J106+J110</f>
        <v>0</v>
      </c>
      <c r="K111" s="75"/>
      <c r="L111" s="40">
        <f>L106+L110</f>
        <v>0</v>
      </c>
      <c r="M111" s="76" t="str">
        <f t="shared" si="27"/>
        <v/>
      </c>
      <c r="N111" s="77"/>
      <c r="O111" s="78"/>
    </row>
    <row r="112" spans="2:32" ht="12.75" customHeight="1" thickBot="1" x14ac:dyDescent="0.35">
      <c r="H112" s="79"/>
      <c r="I112" s="80"/>
      <c r="J112" s="79"/>
      <c r="K112" s="80"/>
      <c r="L112" s="81"/>
      <c r="M112" s="44" t="s">
        <v>10</v>
      </c>
      <c r="AD112" s="3" t="s">
        <v>83</v>
      </c>
    </row>
    <row r="113" spans="2:32" ht="12.75" customHeight="1" x14ac:dyDescent="0.3">
      <c r="B113" s="285" t="s">
        <v>11</v>
      </c>
      <c r="C113" s="287" t="s">
        <v>26</v>
      </c>
      <c r="D113" s="287" t="s">
        <v>27</v>
      </c>
      <c r="E113" s="287" t="s">
        <v>39</v>
      </c>
      <c r="F113" s="289" t="s">
        <v>40</v>
      </c>
      <c r="G113" s="290"/>
      <c r="H113" s="189" t="s">
        <v>16</v>
      </c>
      <c r="I113" s="191"/>
      <c r="J113" s="189" t="s">
        <v>18</v>
      </c>
      <c r="K113" s="191"/>
      <c r="L113" s="189" t="s">
        <v>41</v>
      </c>
      <c r="M113" s="191"/>
      <c r="N113" s="271" t="s">
        <v>42</v>
      </c>
      <c r="O113" s="272"/>
      <c r="R113" s="275" t="s">
        <v>84</v>
      </c>
      <c r="S113" s="247"/>
      <c r="T113" s="276"/>
      <c r="U113" s="243" t="s">
        <v>85</v>
      </c>
      <c r="V113" s="243" t="s">
        <v>86</v>
      </c>
      <c r="W113" s="243" t="s">
        <v>87</v>
      </c>
      <c r="X113" s="84" t="s">
        <v>88</v>
      </c>
      <c r="Y113" s="84" t="s">
        <v>89</v>
      </c>
      <c r="Z113" s="84" t="s">
        <v>90</v>
      </c>
      <c r="AA113" s="84" t="s">
        <v>91</v>
      </c>
      <c r="AB113" s="246" t="s">
        <v>92</v>
      </c>
      <c r="AC113" s="247"/>
      <c r="AD113" s="248"/>
    </row>
    <row r="114" spans="2:32" ht="32.1" customHeight="1" x14ac:dyDescent="0.3">
      <c r="B114" s="286"/>
      <c r="C114" s="288"/>
      <c r="D114" s="288"/>
      <c r="E114" s="288"/>
      <c r="F114" s="291"/>
      <c r="G114" s="292"/>
      <c r="H114" s="45" t="s">
        <v>43</v>
      </c>
      <c r="I114" s="45" t="s">
        <v>44</v>
      </c>
      <c r="J114" s="45" t="s">
        <v>45</v>
      </c>
      <c r="K114" s="45" t="s">
        <v>46</v>
      </c>
      <c r="L114" s="45" t="s">
        <v>47</v>
      </c>
      <c r="M114" s="45" t="s">
        <v>48</v>
      </c>
      <c r="N114" s="273"/>
      <c r="O114" s="274"/>
      <c r="R114" s="277"/>
      <c r="S114" s="278"/>
      <c r="T114" s="279"/>
      <c r="U114" s="244"/>
      <c r="V114" s="244"/>
      <c r="W114" s="244"/>
      <c r="X114" s="85" t="s">
        <v>93</v>
      </c>
      <c r="Y114" s="85" t="s">
        <v>94</v>
      </c>
      <c r="Z114" s="85" t="s">
        <v>94</v>
      </c>
      <c r="AA114" s="85" t="s">
        <v>94</v>
      </c>
      <c r="AB114" s="249"/>
      <c r="AC114" s="250"/>
      <c r="AD114" s="251"/>
    </row>
    <row r="115" spans="2:32" ht="12.75" customHeight="1" thickBot="1" x14ac:dyDescent="0.35">
      <c r="B115" s="252">
        <v>1</v>
      </c>
      <c r="C115" s="255" t="s">
        <v>124</v>
      </c>
      <c r="D115" s="258">
        <f>D45</f>
        <v>0</v>
      </c>
      <c r="E115" s="300" t="s">
        <v>50</v>
      </c>
      <c r="F115" s="301" t="s">
        <v>51</v>
      </c>
      <c r="G115" s="46" t="s">
        <v>52</v>
      </c>
      <c r="H115" s="25"/>
      <c r="I115" s="48" t="str">
        <f>IFERROR(H115/L115,"")</f>
        <v/>
      </c>
      <c r="J115" s="25"/>
      <c r="K115" s="48" t="str">
        <f>IFERROR(J115/L115,"")</f>
        <v/>
      </c>
      <c r="L115" s="49">
        <f>H115+J115</f>
        <v>0</v>
      </c>
      <c r="M115" s="50" t="str">
        <f>IFERROR(L115/$L$111,"")</f>
        <v/>
      </c>
      <c r="N115" s="48"/>
      <c r="O115" s="51"/>
      <c r="R115" s="280"/>
      <c r="S115" s="281"/>
      <c r="T115" s="282"/>
      <c r="U115" s="283"/>
      <c r="V115" s="283"/>
      <c r="W115" s="283"/>
      <c r="X115" s="86" t="s">
        <v>96</v>
      </c>
      <c r="Y115" s="86" t="s">
        <v>97</v>
      </c>
      <c r="Z115" s="86" t="s">
        <v>98</v>
      </c>
      <c r="AA115" s="86"/>
      <c r="AB115" s="87" t="s">
        <v>121</v>
      </c>
      <c r="AC115" s="87" t="s">
        <v>99</v>
      </c>
      <c r="AD115" s="88" t="s">
        <v>122</v>
      </c>
    </row>
    <row r="116" spans="2:32" ht="12.75" customHeight="1" thickTop="1" x14ac:dyDescent="0.3">
      <c r="B116" s="253"/>
      <c r="C116" s="256"/>
      <c r="D116" s="259"/>
      <c r="E116" s="300"/>
      <c r="F116" s="301"/>
      <c r="G116" s="46" t="s">
        <v>53</v>
      </c>
      <c r="H116" s="25"/>
      <c r="I116" s="48" t="str">
        <f t="shared" ref="I116:I135" si="32">IFERROR(H116/L116,"")</f>
        <v/>
      </c>
      <c r="J116" s="25"/>
      <c r="K116" s="48" t="str">
        <f t="shared" ref="K116:K120" si="33">IFERROR(J116/L116,"")</f>
        <v/>
      </c>
      <c r="L116" s="49">
        <f t="shared" ref="L116:L117" si="34">H116+J116</f>
        <v>0</v>
      </c>
      <c r="M116" s="50" t="str">
        <f t="shared" ref="M116:M136" si="35">IFERROR(L116/$L$111,"")</f>
        <v/>
      </c>
      <c r="N116" s="24"/>
      <c r="O116" s="52"/>
      <c r="R116" s="266" t="s">
        <v>120</v>
      </c>
      <c r="S116" s="269">
        <f>D45</f>
        <v>0</v>
      </c>
      <c r="T116" s="231" t="s">
        <v>51</v>
      </c>
      <c r="U116" s="233" t="s">
        <v>100</v>
      </c>
      <c r="V116" s="89"/>
      <c r="W116" s="89"/>
      <c r="X116" s="90"/>
      <c r="Y116" s="89"/>
      <c r="Z116" s="89"/>
      <c r="AA116" s="89"/>
      <c r="AB116" s="89"/>
      <c r="AC116" s="90"/>
      <c r="AD116" s="92">
        <f t="shared" ref="AD116:AD127" si="36">SUM(AB116:AC116)</f>
        <v>0</v>
      </c>
      <c r="AF116" s="124"/>
    </row>
    <row r="117" spans="2:32" ht="12.75" customHeight="1" x14ac:dyDescent="0.3">
      <c r="B117" s="253"/>
      <c r="C117" s="256"/>
      <c r="D117" s="259"/>
      <c r="E117" s="300"/>
      <c r="F117" s="301"/>
      <c r="G117" s="53" t="s">
        <v>54</v>
      </c>
      <c r="H117" s="25"/>
      <c r="I117" s="48" t="str">
        <f t="shared" si="32"/>
        <v/>
      </c>
      <c r="J117" s="25"/>
      <c r="K117" s="48" t="str">
        <f t="shared" si="33"/>
        <v/>
      </c>
      <c r="L117" s="49">
        <f t="shared" si="34"/>
        <v>0</v>
      </c>
      <c r="M117" s="50" t="str">
        <f t="shared" si="35"/>
        <v/>
      </c>
      <c r="N117" s="24"/>
      <c r="O117" s="52"/>
      <c r="R117" s="266"/>
      <c r="S117" s="269"/>
      <c r="T117" s="231"/>
      <c r="U117" s="233"/>
      <c r="V117" s="93"/>
      <c r="W117" s="93"/>
      <c r="X117" s="94"/>
      <c r="Y117" s="93"/>
      <c r="Z117" s="93"/>
      <c r="AA117" s="93"/>
      <c r="AB117" s="94"/>
      <c r="AC117" s="94"/>
      <c r="AD117" s="92">
        <f t="shared" si="36"/>
        <v>0</v>
      </c>
      <c r="AF117" s="124"/>
    </row>
    <row r="118" spans="2:32" ht="12.75" customHeight="1" x14ac:dyDescent="0.3">
      <c r="B118" s="253"/>
      <c r="C118" s="256"/>
      <c r="D118" s="259"/>
      <c r="E118" s="300"/>
      <c r="F118" s="284" t="s">
        <v>123</v>
      </c>
      <c r="G118" s="284"/>
      <c r="H118" s="68">
        <f>SUM(H115:H117)</f>
        <v>0</v>
      </c>
      <c r="I118" s="69" t="str">
        <f t="shared" si="32"/>
        <v/>
      </c>
      <c r="J118" s="68">
        <f>SUM(J115:J117)</f>
        <v>0</v>
      </c>
      <c r="K118" s="69" t="str">
        <f t="shared" si="33"/>
        <v/>
      </c>
      <c r="L118" s="68">
        <f>SUM(L115:L117)</f>
        <v>0</v>
      </c>
      <c r="M118" s="70" t="str">
        <f t="shared" si="35"/>
        <v/>
      </c>
      <c r="N118" s="24"/>
      <c r="O118" s="52"/>
      <c r="R118" s="266"/>
      <c r="S118" s="269"/>
      <c r="T118" s="231"/>
      <c r="U118" s="233"/>
      <c r="V118" s="93"/>
      <c r="W118" s="93"/>
      <c r="X118" s="94"/>
      <c r="Y118" s="93"/>
      <c r="Z118" s="93"/>
      <c r="AA118" s="93"/>
      <c r="AB118" s="93"/>
      <c r="AC118" s="94"/>
      <c r="AD118" s="92">
        <f t="shared" si="36"/>
        <v>0</v>
      </c>
      <c r="AF118" s="124"/>
    </row>
    <row r="119" spans="2:32" ht="12.75" customHeight="1" x14ac:dyDescent="0.3">
      <c r="B119" s="253"/>
      <c r="C119" s="256"/>
      <c r="D119" s="259"/>
      <c r="E119" s="300"/>
      <c r="F119" s="302" t="s">
        <v>56</v>
      </c>
      <c r="G119" s="302"/>
      <c r="H119" s="25"/>
      <c r="I119" s="48" t="str">
        <f t="shared" si="32"/>
        <v/>
      </c>
      <c r="J119" s="25"/>
      <c r="K119" s="48" t="str">
        <f t="shared" si="33"/>
        <v/>
      </c>
      <c r="L119" s="49">
        <f t="shared" ref="L119:L130" si="37">H119+J119</f>
        <v>0</v>
      </c>
      <c r="M119" s="50" t="str">
        <f t="shared" si="35"/>
        <v/>
      </c>
      <c r="N119" s="24"/>
      <c r="O119" s="52"/>
      <c r="R119" s="266"/>
      <c r="S119" s="269"/>
      <c r="T119" s="231"/>
      <c r="U119" s="233"/>
      <c r="V119" s="93"/>
      <c r="W119" s="93"/>
      <c r="X119" s="94"/>
      <c r="Y119" s="93"/>
      <c r="Z119" s="93"/>
      <c r="AA119" s="93"/>
      <c r="AB119" s="94"/>
      <c r="AC119" s="93"/>
      <c r="AD119" s="92">
        <f t="shared" si="36"/>
        <v>0</v>
      </c>
      <c r="AF119" s="124"/>
    </row>
    <row r="120" spans="2:32" ht="12.75" customHeight="1" x14ac:dyDescent="0.3">
      <c r="B120" s="253"/>
      <c r="C120" s="256"/>
      <c r="D120" s="259"/>
      <c r="E120" s="300"/>
      <c r="F120" s="303" t="s">
        <v>57</v>
      </c>
      <c r="G120" s="303"/>
      <c r="H120" s="25"/>
      <c r="I120" s="48" t="str">
        <f t="shared" si="32"/>
        <v/>
      </c>
      <c r="J120" s="25"/>
      <c r="K120" s="48" t="str">
        <f t="shared" si="33"/>
        <v/>
      </c>
      <c r="L120" s="49">
        <f t="shared" si="37"/>
        <v>0</v>
      </c>
      <c r="M120" s="50" t="str">
        <f t="shared" si="35"/>
        <v/>
      </c>
      <c r="N120" s="24"/>
      <c r="O120" s="52"/>
      <c r="R120" s="266"/>
      <c r="S120" s="269"/>
      <c r="T120" s="231"/>
      <c r="U120" s="233"/>
      <c r="V120" s="93"/>
      <c r="W120" s="93"/>
      <c r="X120" s="94"/>
      <c r="Y120" s="93"/>
      <c r="Z120" s="93"/>
      <c r="AA120" s="93"/>
      <c r="AB120" s="94"/>
      <c r="AC120" s="93"/>
      <c r="AD120" s="92">
        <f t="shared" si="36"/>
        <v>0</v>
      </c>
      <c r="AF120" s="124"/>
    </row>
    <row r="121" spans="2:32" ht="12.75" customHeight="1" x14ac:dyDescent="0.3">
      <c r="B121" s="253"/>
      <c r="C121" s="256"/>
      <c r="D121" s="259"/>
      <c r="E121" s="300"/>
      <c r="F121" s="239" t="s">
        <v>58</v>
      </c>
      <c r="G121" s="59" t="s">
        <v>59</v>
      </c>
      <c r="H121" s="25"/>
      <c r="I121" s="48" t="str">
        <f t="shared" si="32"/>
        <v/>
      </c>
      <c r="J121" s="60"/>
      <c r="K121" s="61"/>
      <c r="L121" s="49">
        <f t="shared" si="37"/>
        <v>0</v>
      </c>
      <c r="M121" s="50" t="str">
        <f t="shared" si="35"/>
        <v/>
      </c>
      <c r="N121" s="24"/>
      <c r="O121" s="52"/>
      <c r="R121" s="266"/>
      <c r="S121" s="269"/>
      <c r="T121" s="231"/>
      <c r="U121" s="233"/>
      <c r="V121" s="93"/>
      <c r="W121" s="93"/>
      <c r="X121" s="94"/>
      <c r="Y121" s="93"/>
      <c r="Z121" s="93"/>
      <c r="AA121" s="93"/>
      <c r="AB121" s="94"/>
      <c r="AC121" s="93"/>
      <c r="AD121" s="92">
        <f t="shared" si="36"/>
        <v>0</v>
      </c>
      <c r="AF121" s="124"/>
    </row>
    <row r="122" spans="2:32" ht="12.75" customHeight="1" x14ac:dyDescent="0.3">
      <c r="B122" s="253"/>
      <c r="C122" s="256"/>
      <c r="D122" s="259"/>
      <c r="E122" s="300"/>
      <c r="F122" s="239"/>
      <c r="G122" s="59" t="s">
        <v>60</v>
      </c>
      <c r="H122" s="25"/>
      <c r="I122" s="48" t="str">
        <f t="shared" si="32"/>
        <v/>
      </c>
      <c r="J122" s="60"/>
      <c r="K122" s="61"/>
      <c r="L122" s="49">
        <f t="shared" si="37"/>
        <v>0</v>
      </c>
      <c r="M122" s="50" t="str">
        <f t="shared" si="35"/>
        <v/>
      </c>
      <c r="N122" s="100">
        <f>IFERROR(L122/L131,0)</f>
        <v>0</v>
      </c>
      <c r="O122" s="28" t="str">
        <f>IF(N122&lt;0.4,"적절","부적절")</f>
        <v>적절</v>
      </c>
      <c r="R122" s="266"/>
      <c r="S122" s="269"/>
      <c r="T122" s="231"/>
      <c r="U122" s="233"/>
      <c r="V122" s="99"/>
      <c r="W122" s="99"/>
      <c r="X122" s="99"/>
      <c r="Y122" s="99"/>
      <c r="Z122" s="99"/>
      <c r="AA122" s="99"/>
      <c r="AB122" s="93"/>
      <c r="AC122" s="93"/>
      <c r="AD122" s="92">
        <f t="shared" si="36"/>
        <v>0</v>
      </c>
      <c r="AF122" s="124"/>
    </row>
    <row r="123" spans="2:32" ht="12.75" customHeight="1" x14ac:dyDescent="0.3">
      <c r="B123" s="253"/>
      <c r="C123" s="256"/>
      <c r="D123" s="259"/>
      <c r="E123" s="300"/>
      <c r="F123" s="239"/>
      <c r="G123" s="59" t="s">
        <v>61</v>
      </c>
      <c r="H123" s="25"/>
      <c r="I123" s="48" t="str">
        <f t="shared" si="32"/>
        <v/>
      </c>
      <c r="J123" s="60"/>
      <c r="K123" s="61"/>
      <c r="L123" s="49">
        <f t="shared" si="37"/>
        <v>0</v>
      </c>
      <c r="M123" s="50" t="str">
        <f t="shared" si="35"/>
        <v/>
      </c>
      <c r="N123" s="24"/>
      <c r="O123" s="52"/>
      <c r="R123" s="266"/>
      <c r="S123" s="269"/>
      <c r="T123" s="231"/>
      <c r="U123" s="229" t="s">
        <v>104</v>
      </c>
      <c r="V123" s="101"/>
      <c r="W123" s="101"/>
      <c r="X123" s="102"/>
      <c r="Y123" s="101"/>
      <c r="Z123" s="101"/>
      <c r="AA123" s="101"/>
      <c r="AB123" s="98"/>
      <c r="AC123" s="93"/>
      <c r="AD123" s="92">
        <f t="shared" si="36"/>
        <v>0</v>
      </c>
      <c r="AF123" s="124"/>
    </row>
    <row r="124" spans="2:32" ht="12.75" customHeight="1" x14ac:dyDescent="0.3">
      <c r="B124" s="253"/>
      <c r="C124" s="256"/>
      <c r="D124" s="259"/>
      <c r="E124" s="300"/>
      <c r="F124" s="239"/>
      <c r="G124" s="59" t="s">
        <v>62</v>
      </c>
      <c r="H124" s="25"/>
      <c r="I124" s="48" t="str">
        <f t="shared" si="32"/>
        <v/>
      </c>
      <c r="J124" s="60"/>
      <c r="K124" s="61"/>
      <c r="L124" s="49">
        <f t="shared" si="37"/>
        <v>0</v>
      </c>
      <c r="M124" s="50" t="str">
        <f t="shared" si="35"/>
        <v/>
      </c>
      <c r="N124" s="24"/>
      <c r="O124" s="52"/>
      <c r="R124" s="266"/>
      <c r="S124" s="269"/>
      <c r="T124" s="231"/>
      <c r="U124" s="229"/>
      <c r="V124" s="101"/>
      <c r="W124" s="101"/>
      <c r="X124" s="102"/>
      <c r="Y124" s="101"/>
      <c r="Z124" s="101"/>
      <c r="AA124" s="101"/>
      <c r="AB124" s="98"/>
      <c r="AC124" s="93"/>
      <c r="AD124" s="92">
        <f t="shared" si="36"/>
        <v>0</v>
      </c>
      <c r="AF124" s="124"/>
    </row>
    <row r="125" spans="2:32" ht="12.75" customHeight="1" x14ac:dyDescent="0.3">
      <c r="B125" s="253"/>
      <c r="C125" s="256"/>
      <c r="D125" s="259"/>
      <c r="E125" s="300"/>
      <c r="F125" s="239"/>
      <c r="G125" s="59" t="s">
        <v>110</v>
      </c>
      <c r="H125" s="25"/>
      <c r="I125" s="48"/>
      <c r="J125" s="60"/>
      <c r="K125" s="61"/>
      <c r="L125" s="49"/>
      <c r="M125" s="50"/>
      <c r="N125" s="24"/>
      <c r="O125" s="52"/>
      <c r="R125" s="266"/>
      <c r="S125" s="269"/>
      <c r="T125" s="231"/>
      <c r="U125" s="229"/>
      <c r="V125" s="101"/>
      <c r="W125" s="101"/>
      <c r="X125" s="102"/>
      <c r="Y125" s="101"/>
      <c r="Z125" s="101"/>
      <c r="AA125" s="101"/>
      <c r="AB125" s="98"/>
      <c r="AC125" s="93"/>
      <c r="AD125" s="92">
        <f t="shared" ref="AD125" si="38">SUM(AB125:AC125)</f>
        <v>0</v>
      </c>
      <c r="AF125" s="124"/>
    </row>
    <row r="126" spans="2:32" ht="12.75" customHeight="1" x14ac:dyDescent="0.3">
      <c r="B126" s="253"/>
      <c r="C126" s="256"/>
      <c r="D126" s="259"/>
      <c r="E126" s="300"/>
      <c r="F126" s="239"/>
      <c r="G126" s="59" t="s">
        <v>64</v>
      </c>
      <c r="H126" s="25"/>
      <c r="I126" s="48" t="str">
        <f t="shared" si="32"/>
        <v/>
      </c>
      <c r="J126" s="60"/>
      <c r="K126" s="61"/>
      <c r="L126" s="49">
        <f t="shared" si="37"/>
        <v>0</v>
      </c>
      <c r="M126" s="50" t="str">
        <f t="shared" si="35"/>
        <v/>
      </c>
      <c r="N126" s="24"/>
      <c r="O126" s="52"/>
      <c r="R126" s="266"/>
      <c r="S126" s="269"/>
      <c r="T126" s="231"/>
      <c r="U126" s="229"/>
      <c r="V126" s="101"/>
      <c r="W126" s="101"/>
      <c r="X126" s="102"/>
      <c r="Y126" s="101"/>
      <c r="Z126" s="101"/>
      <c r="AA126" s="101"/>
      <c r="AB126" s="98"/>
      <c r="AC126" s="93"/>
      <c r="AD126" s="92">
        <f t="shared" si="36"/>
        <v>0</v>
      </c>
      <c r="AF126" s="124"/>
    </row>
    <row r="127" spans="2:32" ht="12.75" customHeight="1" x14ac:dyDescent="0.3">
      <c r="B127" s="253"/>
      <c r="C127" s="256"/>
      <c r="D127" s="259"/>
      <c r="E127" s="300"/>
      <c r="F127" s="239"/>
      <c r="G127" s="59" t="s">
        <v>65</v>
      </c>
      <c r="H127" s="25"/>
      <c r="I127" s="48" t="str">
        <f t="shared" si="32"/>
        <v/>
      </c>
      <c r="J127" s="60"/>
      <c r="K127" s="61"/>
      <c r="L127" s="49">
        <f t="shared" si="37"/>
        <v>0</v>
      </c>
      <c r="M127" s="50" t="str">
        <f t="shared" si="35"/>
        <v/>
      </c>
      <c r="N127" s="24"/>
      <c r="O127" s="52"/>
      <c r="R127" s="266"/>
      <c r="S127" s="269"/>
      <c r="T127" s="231"/>
      <c r="U127" s="229"/>
      <c r="V127" s="101"/>
      <c r="W127" s="101"/>
      <c r="X127" s="101"/>
      <c r="Y127" s="101"/>
      <c r="Z127" s="101"/>
      <c r="AA127" s="101"/>
      <c r="AB127" s="103"/>
      <c r="AC127" s="93"/>
      <c r="AD127" s="92">
        <f t="shared" si="36"/>
        <v>0</v>
      </c>
      <c r="AF127" s="124"/>
    </row>
    <row r="128" spans="2:32" ht="12.75" customHeight="1" x14ac:dyDescent="0.3">
      <c r="B128" s="253"/>
      <c r="C128" s="256"/>
      <c r="D128" s="259"/>
      <c r="E128" s="300"/>
      <c r="F128" s="239"/>
      <c r="G128" s="59" t="s">
        <v>66</v>
      </c>
      <c r="H128" s="25"/>
      <c r="I128" s="48" t="str">
        <f t="shared" si="32"/>
        <v/>
      </c>
      <c r="J128" s="60"/>
      <c r="K128" s="61"/>
      <c r="L128" s="49">
        <f t="shared" si="37"/>
        <v>0</v>
      </c>
      <c r="M128" s="50" t="str">
        <f t="shared" si="35"/>
        <v/>
      </c>
      <c r="N128" s="24"/>
      <c r="O128" s="52"/>
      <c r="R128" s="266"/>
      <c r="S128" s="269"/>
      <c r="T128" s="231"/>
      <c r="U128" s="295" t="s">
        <v>114</v>
      </c>
      <c r="V128" s="295"/>
      <c r="W128" s="295"/>
      <c r="X128" s="295"/>
      <c r="Y128" s="295"/>
      <c r="Z128" s="295"/>
      <c r="AA128" s="295"/>
      <c r="AB128" s="104">
        <f>SUM(AB116:AB127)</f>
        <v>0</v>
      </c>
      <c r="AC128" s="105">
        <f>SUM(AC116:AC127)</f>
        <v>0</v>
      </c>
      <c r="AD128" s="106">
        <f>SUM(AD116:AD127)</f>
        <v>0</v>
      </c>
      <c r="AF128" s="124"/>
    </row>
    <row r="129" spans="2:32" ht="12.75" customHeight="1" x14ac:dyDescent="0.3">
      <c r="B129" s="253"/>
      <c r="C129" s="256"/>
      <c r="D129" s="259"/>
      <c r="E129" s="300"/>
      <c r="F129" s="239"/>
      <c r="G129" s="59" t="s">
        <v>67</v>
      </c>
      <c r="H129" s="25"/>
      <c r="I129" s="48" t="str">
        <f t="shared" si="32"/>
        <v/>
      </c>
      <c r="J129" s="60"/>
      <c r="K129" s="61"/>
      <c r="L129" s="49">
        <f t="shared" si="37"/>
        <v>0</v>
      </c>
      <c r="M129" s="50" t="str">
        <f t="shared" si="35"/>
        <v/>
      </c>
      <c r="N129" s="24"/>
      <c r="O129" s="52"/>
      <c r="R129" s="266"/>
      <c r="S129" s="269"/>
      <c r="T129" s="231"/>
      <c r="U129" s="229" t="s">
        <v>115</v>
      </c>
      <c r="V129" s="107"/>
      <c r="W129" s="101"/>
      <c r="X129" s="101"/>
      <c r="Y129" s="101"/>
      <c r="Z129" s="101"/>
      <c r="AA129" s="101"/>
      <c r="AB129" s="103"/>
      <c r="AC129" s="93"/>
      <c r="AD129" s="92">
        <f t="shared" ref="AD129:AD132" si="39">SUM(AB129:AC129)</f>
        <v>0</v>
      </c>
      <c r="AF129" s="124"/>
    </row>
    <row r="130" spans="2:32" ht="12.75" customHeight="1" x14ac:dyDescent="0.3">
      <c r="B130" s="253"/>
      <c r="C130" s="256"/>
      <c r="D130" s="259"/>
      <c r="E130" s="300"/>
      <c r="F130" s="299" t="s">
        <v>69</v>
      </c>
      <c r="G130" s="299"/>
      <c r="H130" s="25"/>
      <c r="I130" s="48" t="str">
        <f t="shared" si="32"/>
        <v/>
      </c>
      <c r="J130" s="60"/>
      <c r="K130" s="61"/>
      <c r="L130" s="49">
        <f t="shared" si="37"/>
        <v>0</v>
      </c>
      <c r="M130" s="50" t="str">
        <f t="shared" si="35"/>
        <v/>
      </c>
      <c r="N130" s="110">
        <f>IFERROR(H130/L118,0)</f>
        <v>0</v>
      </c>
      <c r="O130" s="28" t="str">
        <f>IF(N130&lt;0.2,"적절","부적절")</f>
        <v>적절</v>
      </c>
      <c r="R130" s="266"/>
      <c r="S130" s="269"/>
      <c r="T130" s="231"/>
      <c r="U130" s="229"/>
      <c r="V130" s="107"/>
      <c r="W130" s="101"/>
      <c r="X130" s="101"/>
      <c r="Y130" s="101"/>
      <c r="Z130" s="101"/>
      <c r="AA130" s="101"/>
      <c r="AB130" s="103"/>
      <c r="AC130" s="93"/>
      <c r="AD130" s="92">
        <f t="shared" si="39"/>
        <v>0</v>
      </c>
      <c r="AF130" s="124"/>
    </row>
    <row r="131" spans="2:32" ht="12.75" customHeight="1" x14ac:dyDescent="0.3">
      <c r="B131" s="253"/>
      <c r="C131" s="256"/>
      <c r="D131" s="259"/>
      <c r="E131" s="218" t="s">
        <v>75</v>
      </c>
      <c r="F131" s="219"/>
      <c r="G131" s="220"/>
      <c r="H131" s="111">
        <f>SUM(H118:H130)</f>
        <v>0</v>
      </c>
      <c r="I131" s="112" t="str">
        <f t="shared" si="32"/>
        <v/>
      </c>
      <c r="J131" s="111">
        <f>SUM(J118:J130)</f>
        <v>0</v>
      </c>
      <c r="K131" s="112" t="str">
        <f>IFERROR(J131/L131,"")</f>
        <v/>
      </c>
      <c r="L131" s="68">
        <f>SUM(L118:L130)</f>
        <v>0</v>
      </c>
      <c r="M131" s="70" t="str">
        <f t="shared" si="35"/>
        <v/>
      </c>
      <c r="N131" s="48"/>
      <c r="O131" s="51"/>
      <c r="R131" s="266"/>
      <c r="S131" s="269"/>
      <c r="T131" s="231"/>
      <c r="U131" s="229"/>
      <c r="V131" s="107"/>
      <c r="W131" s="101"/>
      <c r="X131" s="101"/>
      <c r="Y131" s="101"/>
      <c r="Z131" s="101"/>
      <c r="AA131" s="101"/>
      <c r="AB131" s="103"/>
      <c r="AC131" s="93"/>
      <c r="AD131" s="92">
        <f t="shared" si="39"/>
        <v>0</v>
      </c>
      <c r="AF131" s="124"/>
    </row>
    <row r="132" spans="2:32" ht="12.75" customHeight="1" x14ac:dyDescent="0.3">
      <c r="B132" s="253"/>
      <c r="C132" s="256"/>
      <c r="D132" s="259"/>
      <c r="E132" s="300" t="s">
        <v>73</v>
      </c>
      <c r="F132" s="223" t="s">
        <v>76</v>
      </c>
      <c r="G132" s="224"/>
      <c r="H132" s="25"/>
      <c r="I132" s="48" t="str">
        <f t="shared" si="32"/>
        <v/>
      </c>
      <c r="J132" s="60"/>
      <c r="K132" s="61"/>
      <c r="L132" s="49">
        <f t="shared" ref="L132:L134" si="40">H132+J132</f>
        <v>0</v>
      </c>
      <c r="M132" s="50" t="str">
        <f t="shared" si="35"/>
        <v/>
      </c>
      <c r="N132" s="24"/>
      <c r="O132" s="52"/>
      <c r="R132" s="266"/>
      <c r="S132" s="269"/>
      <c r="T132" s="231"/>
      <c r="U132" s="229"/>
      <c r="V132" s="107"/>
      <c r="W132" s="101"/>
      <c r="X132" s="101"/>
      <c r="Y132" s="101"/>
      <c r="Z132" s="101"/>
      <c r="AA132" s="101"/>
      <c r="AB132" s="103"/>
      <c r="AC132" s="93"/>
      <c r="AD132" s="92">
        <f t="shared" si="39"/>
        <v>0</v>
      </c>
      <c r="AF132" s="124"/>
    </row>
    <row r="133" spans="2:32" ht="12.75" customHeight="1" x14ac:dyDescent="0.3">
      <c r="B133" s="253"/>
      <c r="C133" s="256"/>
      <c r="D133" s="259"/>
      <c r="E133" s="300"/>
      <c r="F133" s="227" t="s">
        <v>77</v>
      </c>
      <c r="G133" s="228"/>
      <c r="H133" s="25">
        <v>0</v>
      </c>
      <c r="I133" s="48" t="str">
        <f t="shared" si="32"/>
        <v/>
      </c>
      <c r="J133" s="60"/>
      <c r="K133" s="61"/>
      <c r="L133" s="49">
        <f t="shared" si="40"/>
        <v>0</v>
      </c>
      <c r="M133" s="50" t="str">
        <f t="shared" si="35"/>
        <v/>
      </c>
      <c r="N133" s="24"/>
      <c r="O133" s="52"/>
      <c r="R133" s="267"/>
      <c r="S133" s="270"/>
      <c r="T133" s="232"/>
      <c r="U133" s="225" t="s">
        <v>114</v>
      </c>
      <c r="V133" s="226"/>
      <c r="W133" s="226"/>
      <c r="X133" s="226"/>
      <c r="Y133" s="226"/>
      <c r="Z133" s="226"/>
      <c r="AA133" s="226"/>
      <c r="AB133" s="113">
        <f>SUM(AB129:AB132)</f>
        <v>0</v>
      </c>
      <c r="AC133" s="113">
        <f>SUM(AC129:AC132)</f>
        <v>0</v>
      </c>
      <c r="AD133" s="106">
        <f>SUM(AD129:AD132)</f>
        <v>0</v>
      </c>
    </row>
    <row r="134" spans="2:32" ht="12.75" customHeight="1" thickBot="1" x14ac:dyDescent="0.35">
      <c r="B134" s="253"/>
      <c r="C134" s="256"/>
      <c r="D134" s="259"/>
      <c r="E134" s="300"/>
      <c r="F134" s="227" t="s">
        <v>78</v>
      </c>
      <c r="G134" s="228"/>
      <c r="H134" s="25"/>
      <c r="I134" s="48" t="str">
        <f t="shared" si="32"/>
        <v/>
      </c>
      <c r="J134" s="60"/>
      <c r="K134" s="61"/>
      <c r="L134" s="49">
        <f t="shared" si="40"/>
        <v>0</v>
      </c>
      <c r="M134" s="50" t="str">
        <f t="shared" si="35"/>
        <v/>
      </c>
      <c r="N134" s="24"/>
      <c r="O134" s="52"/>
      <c r="R134" s="207" t="s">
        <v>117</v>
      </c>
      <c r="S134" s="208"/>
      <c r="T134" s="208"/>
      <c r="U134" s="208"/>
      <c r="V134" s="208"/>
      <c r="W134" s="208"/>
      <c r="X134" s="208"/>
      <c r="Y134" s="208"/>
      <c r="Z134" s="208"/>
      <c r="AA134" s="208"/>
      <c r="AB134" s="114">
        <f>AB128+AB133</f>
        <v>0</v>
      </c>
      <c r="AC134" s="114">
        <f>AC128+AC133</f>
        <v>0</v>
      </c>
      <c r="AD134" s="115">
        <f>AD128+AD133</f>
        <v>0</v>
      </c>
      <c r="AE134" s="116"/>
    </row>
    <row r="135" spans="2:32" ht="12.75" customHeight="1" x14ac:dyDescent="0.3">
      <c r="B135" s="254"/>
      <c r="C135" s="257"/>
      <c r="D135" s="260"/>
      <c r="E135" s="296" t="s">
        <v>119</v>
      </c>
      <c r="F135" s="297"/>
      <c r="G135" s="298"/>
      <c r="H135" s="68">
        <f>SUM(H132:H134)</f>
        <v>0</v>
      </c>
      <c r="I135" s="69" t="str">
        <f t="shared" si="32"/>
        <v/>
      </c>
      <c r="J135" s="68">
        <f>SUM(J132:J134)</f>
        <v>0</v>
      </c>
      <c r="K135" s="69" t="str">
        <f t="shared" ref="K135" si="41">IFERROR(J135/L135,"")</f>
        <v/>
      </c>
      <c r="L135" s="68">
        <f>SUM(L132:L134)</f>
        <v>0</v>
      </c>
      <c r="M135" s="70" t="str">
        <f>IFERROR(L135/H131,"")</f>
        <v/>
      </c>
      <c r="N135" s="110" t="str">
        <f>IFERROR(L135/H131,"")</f>
        <v/>
      </c>
      <c r="O135" s="28" t="str">
        <f>IF(N135&lt;0.1,"적절","부적절")</f>
        <v>부적절</v>
      </c>
    </row>
    <row r="136" spans="2:32" ht="12.75" customHeight="1" thickBot="1" x14ac:dyDescent="0.35">
      <c r="B136" s="37"/>
      <c r="C136" s="120"/>
      <c r="D136" s="204" t="s">
        <v>15</v>
      </c>
      <c r="E136" s="205"/>
      <c r="F136" s="205"/>
      <c r="G136" s="206"/>
      <c r="H136" s="40">
        <f>H131+H135</f>
        <v>0</v>
      </c>
      <c r="I136" s="75"/>
      <c r="J136" s="40">
        <f>J131+J135</f>
        <v>0</v>
      </c>
      <c r="K136" s="75"/>
      <c r="L136" s="40">
        <f>L131+L135</f>
        <v>0</v>
      </c>
      <c r="M136" s="76" t="str">
        <f t="shared" si="35"/>
        <v/>
      </c>
      <c r="N136" s="77"/>
      <c r="O136" s="78"/>
    </row>
    <row r="137" spans="2:32" ht="12.75" customHeight="1" thickBot="1" x14ac:dyDescent="0.35">
      <c r="H137" s="79"/>
      <c r="I137" s="80"/>
      <c r="J137" s="79"/>
      <c r="K137" s="80"/>
      <c r="L137" s="81"/>
      <c r="M137" s="44" t="s">
        <v>10</v>
      </c>
      <c r="AD137" s="3" t="s">
        <v>83</v>
      </c>
    </row>
    <row r="138" spans="2:32" ht="12.75" customHeight="1" x14ac:dyDescent="0.3">
      <c r="B138" s="285" t="s">
        <v>11</v>
      </c>
      <c r="C138" s="287" t="s">
        <v>26</v>
      </c>
      <c r="D138" s="287" t="s">
        <v>27</v>
      </c>
      <c r="E138" s="287" t="s">
        <v>39</v>
      </c>
      <c r="F138" s="289" t="s">
        <v>40</v>
      </c>
      <c r="G138" s="290"/>
      <c r="H138" s="189" t="s">
        <v>16</v>
      </c>
      <c r="I138" s="191"/>
      <c r="J138" s="189" t="s">
        <v>18</v>
      </c>
      <c r="K138" s="191"/>
      <c r="L138" s="189" t="s">
        <v>41</v>
      </c>
      <c r="M138" s="191"/>
      <c r="N138" s="271" t="s">
        <v>42</v>
      </c>
      <c r="O138" s="272"/>
      <c r="R138" s="275" t="s">
        <v>84</v>
      </c>
      <c r="S138" s="247"/>
      <c r="T138" s="276"/>
      <c r="U138" s="243" t="s">
        <v>85</v>
      </c>
      <c r="V138" s="243" t="s">
        <v>86</v>
      </c>
      <c r="W138" s="243" t="s">
        <v>87</v>
      </c>
      <c r="X138" s="84" t="s">
        <v>88</v>
      </c>
      <c r="Y138" s="84" t="s">
        <v>89</v>
      </c>
      <c r="Z138" s="84" t="s">
        <v>90</v>
      </c>
      <c r="AA138" s="84" t="s">
        <v>91</v>
      </c>
      <c r="AB138" s="246" t="s">
        <v>92</v>
      </c>
      <c r="AC138" s="247"/>
      <c r="AD138" s="248"/>
    </row>
    <row r="139" spans="2:32" ht="35.450000000000003" customHeight="1" x14ac:dyDescent="0.3">
      <c r="B139" s="286"/>
      <c r="C139" s="288"/>
      <c r="D139" s="288"/>
      <c r="E139" s="288"/>
      <c r="F139" s="291"/>
      <c r="G139" s="292"/>
      <c r="H139" s="45" t="s">
        <v>43</v>
      </c>
      <c r="I139" s="45" t="s">
        <v>44</v>
      </c>
      <c r="J139" s="45" t="s">
        <v>45</v>
      </c>
      <c r="K139" s="45" t="s">
        <v>46</v>
      </c>
      <c r="L139" s="45" t="s">
        <v>47</v>
      </c>
      <c r="M139" s="45" t="s">
        <v>48</v>
      </c>
      <c r="N139" s="273"/>
      <c r="O139" s="274"/>
      <c r="R139" s="277"/>
      <c r="S139" s="278"/>
      <c r="T139" s="279"/>
      <c r="U139" s="244"/>
      <c r="V139" s="244"/>
      <c r="W139" s="244"/>
      <c r="X139" s="85" t="s">
        <v>93</v>
      </c>
      <c r="Y139" s="85" t="s">
        <v>94</v>
      </c>
      <c r="Z139" s="85" t="s">
        <v>94</v>
      </c>
      <c r="AA139" s="85" t="s">
        <v>94</v>
      </c>
      <c r="AB139" s="249"/>
      <c r="AC139" s="250"/>
      <c r="AD139" s="251"/>
    </row>
    <row r="140" spans="2:32" ht="12.75" customHeight="1" thickBot="1" x14ac:dyDescent="0.35">
      <c r="B140" s="252">
        <v>1</v>
      </c>
      <c r="C140" s="255" t="s">
        <v>125</v>
      </c>
      <c r="D140" s="258">
        <f>D19</f>
        <v>0</v>
      </c>
      <c r="E140" s="261" t="s">
        <v>50</v>
      </c>
      <c r="F140" s="221" t="s">
        <v>51</v>
      </c>
      <c r="G140" s="46" t="s">
        <v>52</v>
      </c>
      <c r="H140" s="25"/>
      <c r="I140" s="48" t="str">
        <f>IFERROR(H140/L140,"")</f>
        <v/>
      </c>
      <c r="J140" s="25"/>
      <c r="K140" s="48" t="str">
        <f>IFERROR(J140/L140,"")</f>
        <v/>
      </c>
      <c r="L140" s="49">
        <f>H140+J140</f>
        <v>0</v>
      </c>
      <c r="M140" s="50" t="str">
        <f t="shared" ref="M140:M150" si="42">IFERROR(L140/$L$162,"")</f>
        <v/>
      </c>
      <c r="N140" s="48"/>
      <c r="O140" s="51"/>
      <c r="R140" s="280"/>
      <c r="S140" s="281"/>
      <c r="T140" s="282"/>
      <c r="U140" s="283"/>
      <c r="V140" s="245"/>
      <c r="W140" s="245"/>
      <c r="X140" s="86" t="s">
        <v>96</v>
      </c>
      <c r="Y140" s="86" t="s">
        <v>97</v>
      </c>
      <c r="Z140" s="86" t="s">
        <v>98</v>
      </c>
      <c r="AA140" s="86"/>
      <c r="AB140" s="87" t="s">
        <v>121</v>
      </c>
      <c r="AC140" s="87" t="s">
        <v>99</v>
      </c>
      <c r="AD140" s="88" t="s">
        <v>122</v>
      </c>
    </row>
    <row r="141" spans="2:32" ht="12.75" customHeight="1" thickTop="1" x14ac:dyDescent="0.3">
      <c r="B141" s="253"/>
      <c r="C141" s="256"/>
      <c r="D141" s="259"/>
      <c r="E141" s="222"/>
      <c r="F141" s="263"/>
      <c r="G141" s="46" t="s">
        <v>53</v>
      </c>
      <c r="H141" s="25"/>
      <c r="I141" s="48" t="str">
        <f t="shared" ref="I141:I162" si="43">IFERROR(H141/L141,"")</f>
        <v/>
      </c>
      <c r="J141" s="25"/>
      <c r="K141" s="48" t="str">
        <f t="shared" ref="K141:K162" si="44">IFERROR(J141/L141,"")</f>
        <v/>
      </c>
      <c r="L141" s="49">
        <f t="shared" ref="L141:L143" si="45">H141+J141</f>
        <v>0</v>
      </c>
      <c r="M141" s="50" t="str">
        <f t="shared" si="42"/>
        <v/>
      </c>
      <c r="N141" s="24"/>
      <c r="O141" s="52"/>
      <c r="R141" s="265" t="s">
        <v>125</v>
      </c>
      <c r="S141" s="268">
        <f>D140</f>
        <v>0</v>
      </c>
      <c r="T141" s="230" t="s">
        <v>51</v>
      </c>
      <c r="U141" s="233" t="s">
        <v>100</v>
      </c>
      <c r="V141" s="89"/>
      <c r="W141" s="89"/>
      <c r="X141" s="90"/>
      <c r="Y141" s="89"/>
      <c r="Z141" s="89"/>
      <c r="AA141" s="89"/>
      <c r="AB141" s="89"/>
      <c r="AC141" s="90"/>
      <c r="AD141" s="92">
        <f t="shared" ref="AD141:AD152" si="46">SUM(AB141:AC141)</f>
        <v>0</v>
      </c>
      <c r="AF141" s="124"/>
    </row>
    <row r="142" spans="2:32" ht="12.75" customHeight="1" x14ac:dyDescent="0.3">
      <c r="B142" s="253"/>
      <c r="C142" s="256"/>
      <c r="D142" s="259"/>
      <c r="E142" s="222"/>
      <c r="F142" s="263"/>
      <c r="G142" s="46" t="s">
        <v>126</v>
      </c>
      <c r="H142" s="25"/>
      <c r="I142" s="48" t="str">
        <f t="shared" si="43"/>
        <v/>
      </c>
      <c r="J142" s="25"/>
      <c r="K142" s="48" t="str">
        <f t="shared" si="44"/>
        <v/>
      </c>
      <c r="L142" s="49">
        <f t="shared" si="45"/>
        <v>0</v>
      </c>
      <c r="M142" s="50" t="str">
        <f t="shared" si="42"/>
        <v/>
      </c>
      <c r="N142" s="24"/>
      <c r="O142" s="52"/>
      <c r="R142" s="266"/>
      <c r="S142" s="269"/>
      <c r="T142" s="231"/>
      <c r="U142" s="233"/>
      <c r="V142" s="93"/>
      <c r="W142" s="93"/>
      <c r="X142" s="94"/>
      <c r="Y142" s="93"/>
      <c r="Z142" s="93"/>
      <c r="AA142" s="93"/>
      <c r="AB142" s="94"/>
      <c r="AC142" s="94"/>
      <c r="AD142" s="92">
        <f t="shared" si="46"/>
        <v>0</v>
      </c>
      <c r="AF142" s="124"/>
    </row>
    <row r="143" spans="2:32" ht="12.75" customHeight="1" x14ac:dyDescent="0.3">
      <c r="B143" s="253"/>
      <c r="C143" s="256"/>
      <c r="D143" s="259"/>
      <c r="E143" s="222"/>
      <c r="F143" s="264"/>
      <c r="G143" s="53" t="s">
        <v>127</v>
      </c>
      <c r="H143" s="25"/>
      <c r="I143" s="48" t="str">
        <f t="shared" si="43"/>
        <v/>
      </c>
      <c r="J143" s="25"/>
      <c r="K143" s="48" t="str">
        <f t="shared" si="44"/>
        <v/>
      </c>
      <c r="L143" s="49">
        <f t="shared" si="45"/>
        <v>0</v>
      </c>
      <c r="M143" s="50" t="str">
        <f t="shared" si="42"/>
        <v/>
      </c>
      <c r="N143" s="24"/>
      <c r="O143" s="52"/>
      <c r="R143" s="266"/>
      <c r="S143" s="269"/>
      <c r="T143" s="231"/>
      <c r="U143" s="233"/>
      <c r="V143" s="93"/>
      <c r="W143" s="93"/>
      <c r="X143" s="94"/>
      <c r="Y143" s="93"/>
      <c r="Z143" s="93"/>
      <c r="AA143" s="93"/>
      <c r="AB143" s="93"/>
      <c r="AC143" s="94"/>
      <c r="AD143" s="92">
        <f t="shared" si="46"/>
        <v>0</v>
      </c>
      <c r="AF143" s="124"/>
    </row>
    <row r="144" spans="2:32" ht="12.75" customHeight="1" x14ac:dyDescent="0.3">
      <c r="B144" s="253"/>
      <c r="C144" s="256"/>
      <c r="D144" s="259"/>
      <c r="E144" s="222"/>
      <c r="F144" s="235" t="s">
        <v>128</v>
      </c>
      <c r="G144" s="236"/>
      <c r="H144" s="68">
        <f>SUM(H140:H143)</f>
        <v>0</v>
      </c>
      <c r="I144" s="69" t="str">
        <f t="shared" si="43"/>
        <v/>
      </c>
      <c r="J144" s="68">
        <f>SUM(J140:J143)</f>
        <v>0</v>
      </c>
      <c r="K144" s="69" t="str">
        <f t="shared" si="44"/>
        <v/>
      </c>
      <c r="L144" s="68">
        <f>SUM(L140:L143)</f>
        <v>0</v>
      </c>
      <c r="M144" s="70" t="str">
        <f t="shared" si="42"/>
        <v/>
      </c>
      <c r="N144" s="24"/>
      <c r="O144" s="52"/>
      <c r="R144" s="266"/>
      <c r="S144" s="269"/>
      <c r="T144" s="231"/>
      <c r="U144" s="233"/>
      <c r="V144" s="93"/>
      <c r="W144" s="93"/>
      <c r="X144" s="94"/>
      <c r="Y144" s="93"/>
      <c r="Z144" s="93"/>
      <c r="AA144" s="93"/>
      <c r="AB144" s="94"/>
      <c r="AC144" s="93"/>
      <c r="AD144" s="92">
        <f t="shared" si="46"/>
        <v>0</v>
      </c>
      <c r="AF144" s="124"/>
    </row>
    <row r="145" spans="2:32" ht="12.75" customHeight="1" x14ac:dyDescent="0.3">
      <c r="B145" s="253"/>
      <c r="C145" s="256"/>
      <c r="D145" s="259"/>
      <c r="E145" s="222"/>
      <c r="F145" s="237" t="s">
        <v>56</v>
      </c>
      <c r="G145" s="238"/>
      <c r="H145" s="25"/>
      <c r="I145" s="48" t="str">
        <f t="shared" si="43"/>
        <v/>
      </c>
      <c r="J145" s="25"/>
      <c r="K145" s="48" t="str">
        <f t="shared" si="44"/>
        <v/>
      </c>
      <c r="L145" s="49">
        <f t="shared" ref="L145:L160" si="47">H145+J145</f>
        <v>0</v>
      </c>
      <c r="M145" s="50" t="str">
        <f t="shared" si="42"/>
        <v/>
      </c>
      <c r="N145" s="24"/>
      <c r="O145" s="52"/>
      <c r="R145" s="266"/>
      <c r="S145" s="269"/>
      <c r="T145" s="231"/>
      <c r="U145" s="233"/>
      <c r="V145" s="93"/>
      <c r="W145" s="93"/>
      <c r="X145" s="94"/>
      <c r="Y145" s="93"/>
      <c r="Z145" s="93"/>
      <c r="AA145" s="93"/>
      <c r="AB145" s="94"/>
      <c r="AC145" s="93"/>
      <c r="AD145" s="92">
        <f t="shared" si="46"/>
        <v>0</v>
      </c>
      <c r="AF145" s="124"/>
    </row>
    <row r="146" spans="2:32" ht="12.75" customHeight="1" x14ac:dyDescent="0.3">
      <c r="B146" s="253"/>
      <c r="C146" s="256"/>
      <c r="D146" s="259"/>
      <c r="E146" s="222"/>
      <c r="F146" s="227" t="s">
        <v>57</v>
      </c>
      <c r="G146" s="228"/>
      <c r="H146" s="25"/>
      <c r="I146" s="48" t="str">
        <f t="shared" si="43"/>
        <v/>
      </c>
      <c r="J146" s="25"/>
      <c r="K146" s="48" t="str">
        <f t="shared" si="44"/>
        <v/>
      </c>
      <c r="L146" s="49">
        <f t="shared" si="47"/>
        <v>0</v>
      </c>
      <c r="M146" s="50" t="str">
        <f t="shared" si="42"/>
        <v/>
      </c>
      <c r="N146" s="24"/>
      <c r="O146" s="52"/>
      <c r="R146" s="266"/>
      <c r="S146" s="269"/>
      <c r="T146" s="231"/>
      <c r="U146" s="233"/>
      <c r="V146" s="93"/>
      <c r="W146" s="93"/>
      <c r="X146" s="94"/>
      <c r="Y146" s="93"/>
      <c r="Z146" s="93"/>
      <c r="AA146" s="93"/>
      <c r="AB146" s="94"/>
      <c r="AC146" s="93"/>
      <c r="AD146" s="92">
        <f t="shared" si="46"/>
        <v>0</v>
      </c>
      <c r="AF146" s="124"/>
    </row>
    <row r="147" spans="2:32" ht="12.75" customHeight="1" x14ac:dyDescent="0.3">
      <c r="B147" s="253"/>
      <c r="C147" s="256"/>
      <c r="D147" s="259"/>
      <c r="E147" s="222"/>
      <c r="F147" s="239" t="s">
        <v>58</v>
      </c>
      <c r="G147" s="59" t="s">
        <v>59</v>
      </c>
      <c r="H147" s="25"/>
      <c r="I147" s="48" t="str">
        <f t="shared" si="43"/>
        <v/>
      </c>
      <c r="J147" s="60"/>
      <c r="K147" s="61"/>
      <c r="L147" s="49">
        <f t="shared" si="47"/>
        <v>0</v>
      </c>
      <c r="M147" s="50" t="str">
        <f t="shared" si="42"/>
        <v/>
      </c>
      <c r="N147" s="24"/>
      <c r="O147" s="52"/>
      <c r="R147" s="266"/>
      <c r="S147" s="269"/>
      <c r="T147" s="231"/>
      <c r="U147" s="234"/>
      <c r="V147" s="93"/>
      <c r="W147" s="93"/>
      <c r="X147" s="93"/>
      <c r="Y147" s="93"/>
      <c r="Z147" s="93"/>
      <c r="AA147" s="93"/>
      <c r="AB147" s="93"/>
      <c r="AC147" s="93"/>
      <c r="AD147" s="92">
        <f t="shared" si="46"/>
        <v>0</v>
      </c>
      <c r="AF147" s="124"/>
    </row>
    <row r="148" spans="2:32" ht="12.75" customHeight="1" x14ac:dyDescent="0.3">
      <c r="B148" s="253"/>
      <c r="C148" s="256"/>
      <c r="D148" s="259"/>
      <c r="E148" s="222"/>
      <c r="F148" s="239"/>
      <c r="G148" s="59" t="s">
        <v>60</v>
      </c>
      <c r="H148" s="25"/>
      <c r="I148" s="48" t="str">
        <f t="shared" si="43"/>
        <v/>
      </c>
      <c r="J148" s="60"/>
      <c r="K148" s="61"/>
      <c r="L148" s="49">
        <f t="shared" si="47"/>
        <v>0</v>
      </c>
      <c r="M148" s="50" t="str">
        <f t="shared" si="42"/>
        <v/>
      </c>
      <c r="N148" s="100">
        <f>IFERROR(L148/L157,0)</f>
        <v>0</v>
      </c>
      <c r="O148" s="28" t="str">
        <f>IF(N148&lt;0.4,"적절","부적절")</f>
        <v>적절</v>
      </c>
      <c r="R148" s="266"/>
      <c r="S148" s="269"/>
      <c r="T148" s="231"/>
      <c r="U148" s="240" t="s">
        <v>104</v>
      </c>
      <c r="V148" s="93"/>
      <c r="W148" s="93"/>
      <c r="X148" s="94"/>
      <c r="Y148" s="93"/>
      <c r="Z148" s="93"/>
      <c r="AA148" s="93"/>
      <c r="AB148" s="94"/>
      <c r="AC148" s="93"/>
      <c r="AD148" s="92">
        <f t="shared" si="46"/>
        <v>0</v>
      </c>
      <c r="AF148" s="124"/>
    </row>
    <row r="149" spans="2:32" ht="12.75" customHeight="1" x14ac:dyDescent="0.3">
      <c r="B149" s="253"/>
      <c r="C149" s="256"/>
      <c r="D149" s="259"/>
      <c r="E149" s="222"/>
      <c r="F149" s="239"/>
      <c r="G149" s="59" t="s">
        <v>61</v>
      </c>
      <c r="H149" s="25"/>
      <c r="I149" s="48" t="str">
        <f t="shared" si="43"/>
        <v/>
      </c>
      <c r="J149" s="60"/>
      <c r="K149" s="61"/>
      <c r="L149" s="49">
        <f t="shared" si="47"/>
        <v>0</v>
      </c>
      <c r="M149" s="50" t="str">
        <f t="shared" si="42"/>
        <v/>
      </c>
      <c r="N149" s="24"/>
      <c r="O149" s="52"/>
      <c r="R149" s="266"/>
      <c r="S149" s="269"/>
      <c r="T149" s="231"/>
      <c r="U149" s="233"/>
      <c r="V149" s="93"/>
      <c r="W149" s="93"/>
      <c r="X149" s="94"/>
      <c r="Y149" s="93"/>
      <c r="Z149" s="93"/>
      <c r="AA149" s="93"/>
      <c r="AB149" s="94"/>
      <c r="AC149" s="93"/>
      <c r="AD149" s="92">
        <f t="shared" si="46"/>
        <v>0</v>
      </c>
      <c r="AF149" s="124"/>
    </row>
    <row r="150" spans="2:32" ht="12.75" customHeight="1" x14ac:dyDescent="0.3">
      <c r="B150" s="253"/>
      <c r="C150" s="256"/>
      <c r="D150" s="259"/>
      <c r="E150" s="222"/>
      <c r="F150" s="239"/>
      <c r="G150" s="59" t="s">
        <v>62</v>
      </c>
      <c r="H150" s="25"/>
      <c r="I150" s="48" t="str">
        <f t="shared" si="43"/>
        <v/>
      </c>
      <c r="J150" s="60"/>
      <c r="K150" s="61"/>
      <c r="L150" s="49">
        <f t="shared" si="47"/>
        <v>0</v>
      </c>
      <c r="M150" s="50" t="str">
        <f t="shared" si="42"/>
        <v/>
      </c>
      <c r="N150" s="24"/>
      <c r="O150" s="52"/>
      <c r="R150" s="266"/>
      <c r="S150" s="269"/>
      <c r="T150" s="231"/>
      <c r="U150" s="233"/>
      <c r="V150" s="93"/>
      <c r="W150" s="93"/>
      <c r="X150" s="94"/>
      <c r="Y150" s="93"/>
      <c r="Z150" s="93"/>
      <c r="AA150" s="93"/>
      <c r="AB150" s="94"/>
      <c r="AC150" s="93"/>
      <c r="AD150" s="92">
        <f t="shared" si="46"/>
        <v>0</v>
      </c>
      <c r="AF150" s="124"/>
    </row>
    <row r="151" spans="2:32" ht="12.75" customHeight="1" x14ac:dyDescent="0.3">
      <c r="B151" s="253"/>
      <c r="C151" s="256"/>
      <c r="D151" s="259"/>
      <c r="E151" s="222"/>
      <c r="F151" s="239"/>
      <c r="G151" s="59" t="s">
        <v>110</v>
      </c>
      <c r="H151" s="25"/>
      <c r="I151" s="48"/>
      <c r="J151" s="60"/>
      <c r="K151" s="61"/>
      <c r="L151" s="49"/>
      <c r="M151" s="50"/>
      <c r="N151" s="24"/>
      <c r="O151" s="52"/>
      <c r="R151" s="266"/>
      <c r="S151" s="269"/>
      <c r="T151" s="231"/>
      <c r="U151" s="233"/>
      <c r="V151" s="93"/>
      <c r="W151" s="93"/>
      <c r="X151" s="94"/>
      <c r="Y151" s="93"/>
      <c r="Z151" s="93"/>
      <c r="AA151" s="93"/>
      <c r="AB151" s="94"/>
      <c r="AC151" s="93"/>
      <c r="AD151" s="92">
        <f t="shared" ref="AD151" si="48">SUM(AB151:AC151)</f>
        <v>0</v>
      </c>
      <c r="AF151" s="124"/>
    </row>
    <row r="152" spans="2:32" ht="12.75" customHeight="1" x14ac:dyDescent="0.3">
      <c r="B152" s="253"/>
      <c r="C152" s="256"/>
      <c r="D152" s="259"/>
      <c r="E152" s="222"/>
      <c r="F152" s="239"/>
      <c r="G152" s="59" t="s">
        <v>64</v>
      </c>
      <c r="H152" s="25"/>
      <c r="I152" s="48" t="str">
        <f t="shared" si="43"/>
        <v/>
      </c>
      <c r="J152" s="60"/>
      <c r="K152" s="61"/>
      <c r="L152" s="49">
        <f t="shared" si="47"/>
        <v>0</v>
      </c>
      <c r="M152" s="50" t="str">
        <f t="shared" ref="M152:M162" si="49">IFERROR(L152/$L$162,"")</f>
        <v/>
      </c>
      <c r="N152" s="24"/>
      <c r="O152" s="52"/>
      <c r="R152" s="266"/>
      <c r="S152" s="269"/>
      <c r="T152" s="231"/>
      <c r="U152" s="234"/>
      <c r="V152" s="93"/>
      <c r="W152" s="93"/>
      <c r="X152" s="93"/>
      <c r="Y152" s="93"/>
      <c r="Z152" s="93"/>
      <c r="AA152" s="93"/>
      <c r="AB152" s="93"/>
      <c r="AC152" s="93"/>
      <c r="AD152" s="92">
        <f t="shared" si="46"/>
        <v>0</v>
      </c>
      <c r="AF152" s="124"/>
    </row>
    <row r="153" spans="2:32" ht="12.75" customHeight="1" x14ac:dyDescent="0.3">
      <c r="B153" s="253"/>
      <c r="C153" s="256"/>
      <c r="D153" s="259"/>
      <c r="E153" s="222"/>
      <c r="F153" s="239"/>
      <c r="G153" s="59" t="s">
        <v>65</v>
      </c>
      <c r="H153" s="25"/>
      <c r="I153" s="48" t="str">
        <f t="shared" si="43"/>
        <v/>
      </c>
      <c r="J153" s="60"/>
      <c r="K153" s="61"/>
      <c r="L153" s="49">
        <f t="shared" si="47"/>
        <v>0</v>
      </c>
      <c r="M153" s="50" t="str">
        <f t="shared" si="49"/>
        <v/>
      </c>
      <c r="N153" s="24"/>
      <c r="O153" s="52"/>
      <c r="R153" s="266"/>
      <c r="S153" s="269"/>
      <c r="T153" s="231"/>
      <c r="U153" s="241" t="s">
        <v>114</v>
      </c>
      <c r="V153" s="242"/>
      <c r="W153" s="242"/>
      <c r="X153" s="242"/>
      <c r="Y153" s="242"/>
      <c r="Z153" s="242"/>
      <c r="AA153" s="242"/>
      <c r="AB153" s="105">
        <f>SUM(AB141:AB152)</f>
        <v>0</v>
      </c>
      <c r="AC153" s="105">
        <f>SUM(AC141:AC152)</f>
        <v>0</v>
      </c>
      <c r="AD153" s="106">
        <f>SUM(AD141:AD152)</f>
        <v>0</v>
      </c>
    </row>
    <row r="154" spans="2:32" ht="12.75" customHeight="1" x14ac:dyDescent="0.3">
      <c r="B154" s="253"/>
      <c r="C154" s="256"/>
      <c r="D154" s="259"/>
      <c r="E154" s="222"/>
      <c r="F154" s="239"/>
      <c r="G154" s="59" t="s">
        <v>66</v>
      </c>
      <c r="H154" s="25"/>
      <c r="I154" s="48" t="str">
        <f t="shared" si="43"/>
        <v/>
      </c>
      <c r="J154" s="60"/>
      <c r="K154" s="61"/>
      <c r="L154" s="49">
        <f t="shared" si="47"/>
        <v>0</v>
      </c>
      <c r="M154" s="50" t="str">
        <f t="shared" si="49"/>
        <v/>
      </c>
      <c r="N154" s="24"/>
      <c r="O154" s="52"/>
      <c r="R154" s="266"/>
      <c r="S154" s="269"/>
      <c r="T154" s="231"/>
      <c r="U154" s="229" t="s">
        <v>115</v>
      </c>
      <c r="V154" s="121"/>
      <c r="W154" s="93"/>
      <c r="X154" s="93"/>
      <c r="Y154" s="93"/>
      <c r="Z154" s="93"/>
      <c r="AA154" s="93"/>
      <c r="AB154" s="93"/>
      <c r="AC154" s="93"/>
      <c r="AD154" s="92">
        <f t="shared" ref="AD154:AD157" si="50">SUM(AB154:AC154)</f>
        <v>0</v>
      </c>
      <c r="AF154" s="124"/>
    </row>
    <row r="155" spans="2:32" ht="12.75" customHeight="1" x14ac:dyDescent="0.3">
      <c r="B155" s="253"/>
      <c r="C155" s="256"/>
      <c r="D155" s="259"/>
      <c r="E155" s="222"/>
      <c r="F155" s="239"/>
      <c r="G155" s="59" t="s">
        <v>67</v>
      </c>
      <c r="H155" s="25"/>
      <c r="I155" s="48" t="str">
        <f t="shared" si="43"/>
        <v/>
      </c>
      <c r="J155" s="60"/>
      <c r="K155" s="61"/>
      <c r="L155" s="49">
        <f t="shared" si="47"/>
        <v>0</v>
      </c>
      <c r="M155" s="50" t="str">
        <f t="shared" si="49"/>
        <v/>
      </c>
      <c r="N155" s="24"/>
      <c r="O155" s="52"/>
      <c r="R155" s="266"/>
      <c r="S155" s="269"/>
      <c r="T155" s="231"/>
      <c r="U155" s="229"/>
      <c r="V155" s="121"/>
      <c r="W155" s="93"/>
      <c r="X155" s="93"/>
      <c r="Y155" s="93"/>
      <c r="Z155" s="93"/>
      <c r="AA155" s="93"/>
      <c r="AB155" s="93"/>
      <c r="AC155" s="93"/>
      <c r="AD155" s="92">
        <f t="shared" si="50"/>
        <v>0</v>
      </c>
      <c r="AF155" s="124"/>
    </row>
    <row r="156" spans="2:32" ht="12.75" customHeight="1" x14ac:dyDescent="0.3">
      <c r="B156" s="253"/>
      <c r="C156" s="256"/>
      <c r="D156" s="259"/>
      <c r="E156" s="262"/>
      <c r="F156" s="293" t="s">
        <v>69</v>
      </c>
      <c r="G156" s="294"/>
      <c r="H156" s="25"/>
      <c r="I156" s="48" t="str">
        <f t="shared" si="43"/>
        <v/>
      </c>
      <c r="J156" s="60"/>
      <c r="K156" s="61"/>
      <c r="L156" s="49">
        <f t="shared" si="47"/>
        <v>0</v>
      </c>
      <c r="M156" s="50" t="str">
        <f t="shared" si="49"/>
        <v/>
      </c>
      <c r="N156" s="110">
        <f>IFERROR(H156/L144,0)</f>
        <v>0</v>
      </c>
      <c r="O156" s="28" t="str">
        <f>IF(N156&lt;0.2,"적절","부적절")</f>
        <v>적절</v>
      </c>
      <c r="R156" s="266"/>
      <c r="S156" s="269"/>
      <c r="T156" s="231"/>
      <c r="U156" s="229"/>
      <c r="V156" s="122"/>
      <c r="W156" s="99"/>
      <c r="X156" s="99"/>
      <c r="Y156" s="99"/>
      <c r="Z156" s="99"/>
      <c r="AA156" s="99"/>
      <c r="AB156" s="93"/>
      <c r="AC156" s="93"/>
      <c r="AD156" s="92">
        <f t="shared" si="50"/>
        <v>0</v>
      </c>
      <c r="AF156" s="124"/>
    </row>
    <row r="157" spans="2:32" ht="12.75" customHeight="1" x14ac:dyDescent="0.3">
      <c r="B157" s="253"/>
      <c r="C157" s="256"/>
      <c r="D157" s="259"/>
      <c r="E157" s="218" t="s">
        <v>75</v>
      </c>
      <c r="F157" s="219"/>
      <c r="G157" s="220"/>
      <c r="H157" s="111">
        <f>SUM(H144:H156)</f>
        <v>0</v>
      </c>
      <c r="I157" s="112" t="str">
        <f t="shared" si="43"/>
        <v/>
      </c>
      <c r="J157" s="111">
        <f>SUM(J144:J156)</f>
        <v>0</v>
      </c>
      <c r="K157" s="112" t="str">
        <f>IFERROR(J157/L157,"")</f>
        <v/>
      </c>
      <c r="L157" s="68">
        <f>SUM(L144:L156)</f>
        <v>0</v>
      </c>
      <c r="M157" s="70" t="str">
        <f t="shared" si="49"/>
        <v/>
      </c>
      <c r="N157" s="48"/>
      <c r="O157" s="52"/>
      <c r="R157" s="266"/>
      <c r="S157" s="269"/>
      <c r="T157" s="231"/>
      <c r="U157" s="229"/>
      <c r="V157" s="107"/>
      <c r="W157" s="101"/>
      <c r="X157" s="101"/>
      <c r="Y157" s="101"/>
      <c r="Z157" s="101"/>
      <c r="AA157" s="101"/>
      <c r="AB157" s="103"/>
      <c r="AC157" s="93"/>
      <c r="AD157" s="92">
        <f t="shared" si="50"/>
        <v>0</v>
      </c>
      <c r="AF157" s="124"/>
    </row>
    <row r="158" spans="2:32" ht="12.75" customHeight="1" x14ac:dyDescent="0.3">
      <c r="B158" s="253"/>
      <c r="C158" s="256"/>
      <c r="D158" s="259"/>
      <c r="E158" s="221" t="s">
        <v>129</v>
      </c>
      <c r="F158" s="223" t="s">
        <v>76</v>
      </c>
      <c r="G158" s="224"/>
      <c r="H158" s="25"/>
      <c r="I158" s="48" t="str">
        <f t="shared" si="43"/>
        <v/>
      </c>
      <c r="J158" s="60"/>
      <c r="K158" s="61"/>
      <c r="L158" s="49">
        <f t="shared" si="47"/>
        <v>0</v>
      </c>
      <c r="M158" s="50" t="str">
        <f t="shared" si="49"/>
        <v/>
      </c>
      <c r="N158" s="24"/>
      <c r="O158" s="52"/>
      <c r="R158" s="266"/>
      <c r="S158" s="269"/>
      <c r="T158" s="231"/>
      <c r="U158" s="225" t="s">
        <v>114</v>
      </c>
      <c r="V158" s="226"/>
      <c r="W158" s="226"/>
      <c r="X158" s="226"/>
      <c r="Y158" s="226"/>
      <c r="Z158" s="226"/>
      <c r="AA158" s="226"/>
      <c r="AB158" s="113">
        <f>SUM(AB154:AB157)</f>
        <v>0</v>
      </c>
      <c r="AC158" s="113">
        <f>SUM(AC154:AC157)</f>
        <v>0</v>
      </c>
      <c r="AD158" s="106">
        <f>SUM(AD154:AD157)</f>
        <v>0</v>
      </c>
    </row>
    <row r="159" spans="2:32" ht="12.75" customHeight="1" x14ac:dyDescent="0.3">
      <c r="B159" s="253"/>
      <c r="C159" s="256"/>
      <c r="D159" s="259"/>
      <c r="E159" s="222"/>
      <c r="F159" s="227" t="s">
        <v>77</v>
      </c>
      <c r="G159" s="228"/>
      <c r="H159" s="25"/>
      <c r="I159" s="48" t="str">
        <f t="shared" si="43"/>
        <v/>
      </c>
      <c r="J159" s="60"/>
      <c r="K159" s="61"/>
      <c r="L159" s="49">
        <f t="shared" si="47"/>
        <v>0</v>
      </c>
      <c r="M159" s="50" t="str">
        <f t="shared" si="49"/>
        <v/>
      </c>
      <c r="N159" s="24"/>
      <c r="O159" s="52"/>
      <c r="R159" s="266"/>
      <c r="S159" s="269"/>
      <c r="T159" s="231"/>
      <c r="U159" s="229" t="s">
        <v>130</v>
      </c>
      <c r="V159" s="107"/>
      <c r="W159" s="101"/>
      <c r="X159" s="101"/>
      <c r="Y159" s="101"/>
      <c r="Z159" s="101"/>
      <c r="AA159" s="101"/>
      <c r="AB159" s="103"/>
      <c r="AC159" s="93"/>
      <c r="AD159" s="92">
        <f t="shared" ref="AD159:AD160" si="51">SUM(AB159:AC159)</f>
        <v>0</v>
      </c>
      <c r="AF159" s="124"/>
    </row>
    <row r="160" spans="2:32" ht="12.75" customHeight="1" x14ac:dyDescent="0.3">
      <c r="B160" s="253"/>
      <c r="C160" s="256"/>
      <c r="D160" s="259"/>
      <c r="E160" s="222"/>
      <c r="F160" s="227" t="s">
        <v>78</v>
      </c>
      <c r="G160" s="228"/>
      <c r="H160" s="25"/>
      <c r="I160" s="48" t="str">
        <f t="shared" si="43"/>
        <v/>
      </c>
      <c r="J160" s="60"/>
      <c r="K160" s="61"/>
      <c r="L160" s="49">
        <f t="shared" si="47"/>
        <v>0</v>
      </c>
      <c r="M160" s="50" t="str">
        <f t="shared" si="49"/>
        <v/>
      </c>
      <c r="N160" s="24"/>
      <c r="O160" s="52"/>
      <c r="R160" s="266"/>
      <c r="S160" s="269"/>
      <c r="T160" s="231"/>
      <c r="U160" s="229"/>
      <c r="V160" s="107"/>
      <c r="W160" s="101"/>
      <c r="X160" s="101"/>
      <c r="Y160" s="101"/>
      <c r="Z160" s="101"/>
      <c r="AA160" s="101"/>
      <c r="AB160" s="103"/>
      <c r="AC160" s="93"/>
      <c r="AD160" s="92">
        <f t="shared" si="51"/>
        <v>0</v>
      </c>
      <c r="AF160" s="124"/>
    </row>
    <row r="161" spans="2:32" ht="12.75" customHeight="1" x14ac:dyDescent="0.3">
      <c r="B161" s="254"/>
      <c r="C161" s="257"/>
      <c r="D161" s="260"/>
      <c r="E161" s="284" t="s">
        <v>119</v>
      </c>
      <c r="F161" s="284"/>
      <c r="G161" s="284"/>
      <c r="H161" s="68">
        <f>SUM(H158:H160)</f>
        <v>0</v>
      </c>
      <c r="I161" s="69" t="str">
        <f t="shared" si="43"/>
        <v/>
      </c>
      <c r="J161" s="68">
        <f>SUM(J158:J160)</f>
        <v>0</v>
      </c>
      <c r="K161" s="69" t="str">
        <f t="shared" si="44"/>
        <v/>
      </c>
      <c r="L161" s="68">
        <f>SUM(L158:L160)</f>
        <v>0</v>
      </c>
      <c r="M161" s="70" t="str">
        <f t="shared" si="49"/>
        <v/>
      </c>
      <c r="N161" s="72"/>
      <c r="O161" s="73"/>
      <c r="R161" s="267"/>
      <c r="S161" s="270"/>
      <c r="T161" s="232"/>
      <c r="U161" s="225" t="s">
        <v>114</v>
      </c>
      <c r="V161" s="226"/>
      <c r="W161" s="226"/>
      <c r="X161" s="226"/>
      <c r="Y161" s="226"/>
      <c r="Z161" s="226"/>
      <c r="AA161" s="226"/>
      <c r="AB161" s="113">
        <f>SUM(AB159:AB160)</f>
        <v>0</v>
      </c>
      <c r="AC161" s="113">
        <f>SUM(AC159:AC160)</f>
        <v>0</v>
      </c>
      <c r="AD161" s="106">
        <f>SUM(AD159:AD160)</f>
        <v>0</v>
      </c>
    </row>
    <row r="162" spans="2:32" ht="12.75" customHeight="1" thickBot="1" x14ac:dyDescent="0.35">
      <c r="B162" s="119"/>
      <c r="C162" s="38"/>
      <c r="D162" s="204" t="s">
        <v>15</v>
      </c>
      <c r="E162" s="205"/>
      <c r="F162" s="205"/>
      <c r="G162" s="206"/>
      <c r="H162" s="40">
        <f>H157+H161</f>
        <v>0</v>
      </c>
      <c r="I162" s="75" t="str">
        <f t="shared" si="43"/>
        <v/>
      </c>
      <c r="J162" s="40">
        <f>J157+J161</f>
        <v>0</v>
      </c>
      <c r="K162" s="75" t="str">
        <f t="shared" si="44"/>
        <v/>
      </c>
      <c r="L162" s="40">
        <f>L157+L161</f>
        <v>0</v>
      </c>
      <c r="M162" s="76" t="str">
        <f t="shared" si="49"/>
        <v/>
      </c>
      <c r="N162" s="77"/>
      <c r="O162" s="78"/>
      <c r="R162" s="207" t="s">
        <v>117</v>
      </c>
      <c r="S162" s="208"/>
      <c r="T162" s="208"/>
      <c r="U162" s="208"/>
      <c r="V162" s="208"/>
      <c r="W162" s="208"/>
      <c r="X162" s="208"/>
      <c r="Y162" s="208"/>
      <c r="Z162" s="208"/>
      <c r="AA162" s="208"/>
      <c r="AB162" s="114">
        <f>AB153+AB158+AB161</f>
        <v>0</v>
      </c>
      <c r="AC162" s="114">
        <f t="shared" ref="AC162:AD162" si="52">AC153+AC158+AC161</f>
        <v>0</v>
      </c>
      <c r="AD162" s="115">
        <f t="shared" si="52"/>
        <v>0</v>
      </c>
      <c r="AE162" s="116"/>
    </row>
    <row r="163" spans="2:32" ht="12.75" customHeight="1" thickBot="1" x14ac:dyDescent="0.35">
      <c r="H163" s="79"/>
      <c r="I163" s="80"/>
      <c r="J163" s="79"/>
      <c r="K163" s="80"/>
      <c r="L163" s="81"/>
      <c r="M163" s="44" t="s">
        <v>10</v>
      </c>
      <c r="AD163" s="3" t="s">
        <v>83</v>
      </c>
    </row>
    <row r="164" spans="2:32" ht="12.75" customHeight="1" x14ac:dyDescent="0.3">
      <c r="B164" s="285" t="s">
        <v>11</v>
      </c>
      <c r="C164" s="287" t="s">
        <v>26</v>
      </c>
      <c r="D164" s="287" t="s">
        <v>27</v>
      </c>
      <c r="E164" s="287" t="s">
        <v>39</v>
      </c>
      <c r="F164" s="289" t="s">
        <v>40</v>
      </c>
      <c r="G164" s="290"/>
      <c r="H164" s="189" t="s">
        <v>16</v>
      </c>
      <c r="I164" s="191"/>
      <c r="J164" s="189" t="s">
        <v>18</v>
      </c>
      <c r="K164" s="191"/>
      <c r="L164" s="189" t="s">
        <v>41</v>
      </c>
      <c r="M164" s="191"/>
      <c r="N164" s="271" t="s">
        <v>42</v>
      </c>
      <c r="O164" s="272"/>
      <c r="R164" s="275" t="s">
        <v>84</v>
      </c>
      <c r="S164" s="247"/>
      <c r="T164" s="276"/>
      <c r="U164" s="243" t="s">
        <v>85</v>
      </c>
      <c r="V164" s="243" t="s">
        <v>86</v>
      </c>
      <c r="W164" s="243" t="s">
        <v>87</v>
      </c>
      <c r="X164" s="84" t="s">
        <v>88</v>
      </c>
      <c r="Y164" s="84" t="s">
        <v>89</v>
      </c>
      <c r="Z164" s="84" t="s">
        <v>90</v>
      </c>
      <c r="AA164" s="84" t="s">
        <v>91</v>
      </c>
      <c r="AB164" s="246" t="s">
        <v>92</v>
      </c>
      <c r="AC164" s="247"/>
      <c r="AD164" s="248"/>
    </row>
    <row r="165" spans="2:32" ht="35.450000000000003" customHeight="1" x14ac:dyDescent="0.3">
      <c r="B165" s="286"/>
      <c r="C165" s="288"/>
      <c r="D165" s="288"/>
      <c r="E165" s="288"/>
      <c r="F165" s="291"/>
      <c r="G165" s="292"/>
      <c r="H165" s="45" t="s">
        <v>43</v>
      </c>
      <c r="I165" s="45" t="s">
        <v>44</v>
      </c>
      <c r="J165" s="45" t="s">
        <v>45</v>
      </c>
      <c r="K165" s="45" t="s">
        <v>46</v>
      </c>
      <c r="L165" s="45" t="s">
        <v>47</v>
      </c>
      <c r="M165" s="45" t="s">
        <v>48</v>
      </c>
      <c r="N165" s="273"/>
      <c r="O165" s="274"/>
      <c r="R165" s="277"/>
      <c r="S165" s="278"/>
      <c r="T165" s="279"/>
      <c r="U165" s="244"/>
      <c r="V165" s="244"/>
      <c r="W165" s="244"/>
      <c r="X165" s="85" t="s">
        <v>93</v>
      </c>
      <c r="Y165" s="85" t="s">
        <v>94</v>
      </c>
      <c r="Z165" s="85" t="s">
        <v>94</v>
      </c>
      <c r="AA165" s="85" t="s">
        <v>94</v>
      </c>
      <c r="AB165" s="249"/>
      <c r="AC165" s="250"/>
      <c r="AD165" s="251"/>
    </row>
    <row r="166" spans="2:32" ht="12.75" customHeight="1" thickBot="1" x14ac:dyDescent="0.35">
      <c r="B166" s="252">
        <v>1</v>
      </c>
      <c r="C166" s="255" t="s">
        <v>131</v>
      </c>
      <c r="D166" s="258">
        <f>D47</f>
        <v>0</v>
      </c>
      <c r="E166" s="261" t="s">
        <v>50</v>
      </c>
      <c r="F166" s="221" t="s">
        <v>51</v>
      </c>
      <c r="G166" s="46" t="s">
        <v>52</v>
      </c>
      <c r="H166" s="25"/>
      <c r="I166" s="48" t="str">
        <f>IFERROR(H166/L166,"")</f>
        <v/>
      </c>
      <c r="J166" s="25"/>
      <c r="K166" s="48" t="str">
        <f>IFERROR(J166/L166,"")</f>
        <v/>
      </c>
      <c r="L166" s="49">
        <f>H166+J166</f>
        <v>0</v>
      </c>
      <c r="M166" s="50" t="str">
        <f>IFERROR(L166/$L$162,"")</f>
        <v/>
      </c>
      <c r="N166" s="48"/>
      <c r="O166" s="51"/>
      <c r="R166" s="280"/>
      <c r="S166" s="281"/>
      <c r="T166" s="282"/>
      <c r="U166" s="283"/>
      <c r="V166" s="245"/>
      <c r="W166" s="245"/>
      <c r="X166" s="86" t="s">
        <v>96</v>
      </c>
      <c r="Y166" s="86" t="s">
        <v>97</v>
      </c>
      <c r="Z166" s="86" t="s">
        <v>98</v>
      </c>
      <c r="AA166" s="86"/>
      <c r="AB166" s="87" t="s">
        <v>121</v>
      </c>
      <c r="AC166" s="87" t="s">
        <v>99</v>
      </c>
      <c r="AD166" s="88" t="s">
        <v>122</v>
      </c>
    </row>
    <row r="167" spans="2:32" ht="12.75" customHeight="1" thickTop="1" x14ac:dyDescent="0.3">
      <c r="B167" s="253"/>
      <c r="C167" s="256"/>
      <c r="D167" s="259"/>
      <c r="E167" s="222"/>
      <c r="F167" s="263"/>
      <c r="G167" s="46" t="s">
        <v>53</v>
      </c>
      <c r="H167" s="25"/>
      <c r="I167" s="48" t="str">
        <f t="shared" ref="I167:I188" si="53">IFERROR(H167/L167,"")</f>
        <v/>
      </c>
      <c r="J167" s="25"/>
      <c r="K167" s="48" t="str">
        <f t="shared" ref="K167:K172" si="54">IFERROR(J167/L167,"")</f>
        <v/>
      </c>
      <c r="L167" s="49">
        <f t="shared" ref="L167:L169" si="55">H167+J167</f>
        <v>0</v>
      </c>
      <c r="M167" s="50" t="str">
        <f t="shared" ref="M167:M188" si="56">IFERROR(L167/$L$162,"")</f>
        <v/>
      </c>
      <c r="N167" s="24"/>
      <c r="O167" s="52"/>
      <c r="R167" s="265" t="s">
        <v>125</v>
      </c>
      <c r="S167" s="268">
        <f>D166</f>
        <v>0</v>
      </c>
      <c r="T167" s="230" t="s">
        <v>51</v>
      </c>
      <c r="U167" s="233" t="s">
        <v>100</v>
      </c>
      <c r="V167" s="89"/>
      <c r="W167" s="89"/>
      <c r="X167" s="90"/>
      <c r="Y167" s="89"/>
      <c r="Z167" s="89"/>
      <c r="AA167" s="89"/>
      <c r="AB167" s="89"/>
      <c r="AC167" s="90"/>
      <c r="AD167" s="92">
        <f t="shared" ref="AD167:AD178" si="57">SUM(AB167:AC167)</f>
        <v>0</v>
      </c>
      <c r="AF167" s="124"/>
    </row>
    <row r="168" spans="2:32" ht="12.75" customHeight="1" x14ac:dyDescent="0.3">
      <c r="B168" s="253"/>
      <c r="C168" s="256"/>
      <c r="D168" s="259"/>
      <c r="E168" s="222"/>
      <c r="F168" s="263"/>
      <c r="G168" s="46" t="s">
        <v>126</v>
      </c>
      <c r="H168" s="25"/>
      <c r="I168" s="48" t="str">
        <f t="shared" si="53"/>
        <v/>
      </c>
      <c r="J168" s="25"/>
      <c r="K168" s="48" t="str">
        <f t="shared" si="54"/>
        <v/>
      </c>
      <c r="L168" s="49">
        <f t="shared" si="55"/>
        <v>0</v>
      </c>
      <c r="M168" s="50" t="str">
        <f t="shared" si="56"/>
        <v/>
      </c>
      <c r="N168" s="24"/>
      <c r="O168" s="52"/>
      <c r="R168" s="266"/>
      <c r="S168" s="269"/>
      <c r="T168" s="231"/>
      <c r="U168" s="233"/>
      <c r="V168" s="93"/>
      <c r="W168" s="93"/>
      <c r="X168" s="94"/>
      <c r="Y168" s="93"/>
      <c r="Z168" s="93"/>
      <c r="AA168" s="93"/>
      <c r="AB168" s="94"/>
      <c r="AC168" s="94"/>
      <c r="AD168" s="92">
        <f t="shared" si="57"/>
        <v>0</v>
      </c>
      <c r="AF168" s="124"/>
    </row>
    <row r="169" spans="2:32" ht="12.75" customHeight="1" x14ac:dyDescent="0.3">
      <c r="B169" s="253"/>
      <c r="C169" s="256"/>
      <c r="D169" s="259"/>
      <c r="E169" s="222"/>
      <c r="F169" s="264"/>
      <c r="G169" s="53" t="s">
        <v>127</v>
      </c>
      <c r="H169" s="25"/>
      <c r="I169" s="48" t="str">
        <f t="shared" si="53"/>
        <v/>
      </c>
      <c r="J169" s="25"/>
      <c r="K169" s="48" t="str">
        <f t="shared" si="54"/>
        <v/>
      </c>
      <c r="L169" s="49">
        <f t="shared" si="55"/>
        <v>0</v>
      </c>
      <c r="M169" s="50" t="str">
        <f t="shared" si="56"/>
        <v/>
      </c>
      <c r="N169" s="24"/>
      <c r="O169" s="52"/>
      <c r="R169" s="266"/>
      <c r="S169" s="269"/>
      <c r="T169" s="231"/>
      <c r="U169" s="233"/>
      <c r="V169" s="93"/>
      <c r="W169" s="93"/>
      <c r="X169" s="94"/>
      <c r="Y169" s="93"/>
      <c r="Z169" s="93"/>
      <c r="AA169" s="93"/>
      <c r="AB169" s="93"/>
      <c r="AC169" s="94"/>
      <c r="AD169" s="92">
        <f t="shared" si="57"/>
        <v>0</v>
      </c>
      <c r="AF169" s="124"/>
    </row>
    <row r="170" spans="2:32" ht="12.75" customHeight="1" x14ac:dyDescent="0.3">
      <c r="B170" s="253"/>
      <c r="C170" s="256"/>
      <c r="D170" s="259"/>
      <c r="E170" s="222"/>
      <c r="F170" s="235" t="s">
        <v>128</v>
      </c>
      <c r="G170" s="236"/>
      <c r="H170" s="68">
        <f>SUM(H166:H169)</f>
        <v>0</v>
      </c>
      <c r="I170" s="69" t="str">
        <f t="shared" si="53"/>
        <v/>
      </c>
      <c r="J170" s="68">
        <f>SUM(J166:J169)</f>
        <v>0</v>
      </c>
      <c r="K170" s="69" t="str">
        <f t="shared" si="54"/>
        <v/>
      </c>
      <c r="L170" s="68">
        <f>SUM(L166:L169)</f>
        <v>0</v>
      </c>
      <c r="M170" s="70" t="str">
        <f t="shared" si="56"/>
        <v/>
      </c>
      <c r="N170" s="24"/>
      <c r="O170" s="52"/>
      <c r="R170" s="266"/>
      <c r="S170" s="269"/>
      <c r="T170" s="231"/>
      <c r="U170" s="233"/>
      <c r="V170" s="93"/>
      <c r="W170" s="93"/>
      <c r="X170" s="94"/>
      <c r="Y170" s="93"/>
      <c r="Z170" s="93"/>
      <c r="AA170" s="93"/>
      <c r="AB170" s="94"/>
      <c r="AC170" s="93"/>
      <c r="AD170" s="92">
        <f t="shared" si="57"/>
        <v>0</v>
      </c>
      <c r="AF170" s="124"/>
    </row>
    <row r="171" spans="2:32" ht="12.75" customHeight="1" x14ac:dyDescent="0.3">
      <c r="B171" s="253"/>
      <c r="C171" s="256"/>
      <c r="D171" s="259"/>
      <c r="E171" s="222"/>
      <c r="F171" s="237" t="s">
        <v>56</v>
      </c>
      <c r="G171" s="238"/>
      <c r="H171" s="25"/>
      <c r="I171" s="48" t="str">
        <f t="shared" si="53"/>
        <v/>
      </c>
      <c r="J171" s="25"/>
      <c r="K171" s="48" t="str">
        <f t="shared" si="54"/>
        <v/>
      </c>
      <c r="L171" s="49">
        <f t="shared" ref="L171:L182" si="58">H171+J171</f>
        <v>0</v>
      </c>
      <c r="M171" s="50" t="str">
        <f t="shared" si="56"/>
        <v/>
      </c>
      <c r="N171" s="24"/>
      <c r="O171" s="52"/>
      <c r="R171" s="266"/>
      <c r="S171" s="269"/>
      <c r="T171" s="231"/>
      <c r="U171" s="233"/>
      <c r="V171" s="93"/>
      <c r="W171" s="93"/>
      <c r="X171" s="94"/>
      <c r="Y171" s="93"/>
      <c r="Z171" s="93"/>
      <c r="AA171" s="93"/>
      <c r="AB171" s="94"/>
      <c r="AC171" s="93"/>
      <c r="AD171" s="92">
        <f t="shared" si="57"/>
        <v>0</v>
      </c>
      <c r="AF171" s="124"/>
    </row>
    <row r="172" spans="2:32" ht="12.75" customHeight="1" x14ac:dyDescent="0.3">
      <c r="B172" s="253"/>
      <c r="C172" s="256"/>
      <c r="D172" s="259"/>
      <c r="E172" s="222"/>
      <c r="F172" s="227" t="s">
        <v>57</v>
      </c>
      <c r="G172" s="228"/>
      <c r="H172" s="25"/>
      <c r="I172" s="48" t="str">
        <f t="shared" si="53"/>
        <v/>
      </c>
      <c r="J172" s="25"/>
      <c r="K172" s="48" t="str">
        <f t="shared" si="54"/>
        <v/>
      </c>
      <c r="L172" s="49">
        <f t="shared" si="58"/>
        <v>0</v>
      </c>
      <c r="M172" s="50" t="str">
        <f t="shared" si="56"/>
        <v/>
      </c>
      <c r="N172" s="24"/>
      <c r="O172" s="52"/>
      <c r="R172" s="266"/>
      <c r="S172" s="269"/>
      <c r="T172" s="231"/>
      <c r="U172" s="233"/>
      <c r="V172" s="93"/>
      <c r="W172" s="93"/>
      <c r="X172" s="94"/>
      <c r="Y172" s="93"/>
      <c r="Z172" s="93"/>
      <c r="AA172" s="93"/>
      <c r="AB172" s="94"/>
      <c r="AC172" s="93"/>
      <c r="AD172" s="92">
        <f t="shared" si="57"/>
        <v>0</v>
      </c>
      <c r="AF172" s="124"/>
    </row>
    <row r="173" spans="2:32" ht="12.75" customHeight="1" x14ac:dyDescent="0.3">
      <c r="B173" s="253"/>
      <c r="C173" s="256"/>
      <c r="D173" s="259"/>
      <c r="E173" s="222"/>
      <c r="F173" s="239" t="s">
        <v>58</v>
      </c>
      <c r="G173" s="59" t="s">
        <v>59</v>
      </c>
      <c r="H173" s="25"/>
      <c r="I173" s="48" t="str">
        <f t="shared" si="53"/>
        <v/>
      </c>
      <c r="J173" s="60"/>
      <c r="K173" s="61"/>
      <c r="L173" s="49">
        <f t="shared" si="58"/>
        <v>0</v>
      </c>
      <c r="M173" s="50" t="str">
        <f t="shared" si="56"/>
        <v/>
      </c>
      <c r="N173" s="24"/>
      <c r="O173" s="52"/>
      <c r="R173" s="266"/>
      <c r="S173" s="269"/>
      <c r="T173" s="231"/>
      <c r="U173" s="234"/>
      <c r="V173" s="93"/>
      <c r="W173" s="93"/>
      <c r="X173" s="93"/>
      <c r="Y173" s="93"/>
      <c r="Z173" s="93"/>
      <c r="AA173" s="93"/>
      <c r="AB173" s="93"/>
      <c r="AC173" s="93"/>
      <c r="AD173" s="92">
        <f t="shared" si="57"/>
        <v>0</v>
      </c>
      <c r="AF173" s="124"/>
    </row>
    <row r="174" spans="2:32" ht="12.75" customHeight="1" x14ac:dyDescent="0.3">
      <c r="B174" s="253"/>
      <c r="C174" s="256"/>
      <c r="D174" s="259"/>
      <c r="E174" s="222"/>
      <c r="F174" s="239"/>
      <c r="G174" s="59" t="s">
        <v>60</v>
      </c>
      <c r="H174" s="25"/>
      <c r="I174" s="48" t="str">
        <f t="shared" si="53"/>
        <v/>
      </c>
      <c r="J174" s="60"/>
      <c r="K174" s="61"/>
      <c r="L174" s="49">
        <f t="shared" si="58"/>
        <v>0</v>
      </c>
      <c r="M174" s="50" t="str">
        <f t="shared" si="56"/>
        <v/>
      </c>
      <c r="N174" s="100">
        <f>IFERROR(L174/L183,0)</f>
        <v>0</v>
      </c>
      <c r="O174" s="28" t="str">
        <f>IF(N174&lt;0.4,"적절","부적절")</f>
        <v>적절</v>
      </c>
      <c r="R174" s="266"/>
      <c r="S174" s="269"/>
      <c r="T174" s="231"/>
      <c r="U174" s="240" t="s">
        <v>104</v>
      </c>
      <c r="V174" s="93"/>
      <c r="W174" s="93"/>
      <c r="X174" s="94"/>
      <c r="Y174" s="93"/>
      <c r="Z174" s="93"/>
      <c r="AA174" s="93"/>
      <c r="AB174" s="94"/>
      <c r="AC174" s="93"/>
      <c r="AD174" s="92">
        <f t="shared" si="57"/>
        <v>0</v>
      </c>
      <c r="AF174" s="124"/>
    </row>
    <row r="175" spans="2:32" ht="12.75" customHeight="1" x14ac:dyDescent="0.3">
      <c r="B175" s="253"/>
      <c r="C175" s="256"/>
      <c r="D175" s="259"/>
      <c r="E175" s="222"/>
      <c r="F175" s="239"/>
      <c r="G175" s="59" t="s">
        <v>61</v>
      </c>
      <c r="H175" s="25"/>
      <c r="I175" s="48" t="str">
        <f t="shared" si="53"/>
        <v/>
      </c>
      <c r="J175" s="60"/>
      <c r="K175" s="61"/>
      <c r="L175" s="49">
        <f t="shared" si="58"/>
        <v>0</v>
      </c>
      <c r="M175" s="50" t="str">
        <f t="shared" si="56"/>
        <v/>
      </c>
      <c r="N175" s="24"/>
      <c r="O175" s="52"/>
      <c r="R175" s="266"/>
      <c r="S175" s="269"/>
      <c r="T175" s="231"/>
      <c r="U175" s="233"/>
      <c r="V175" s="93"/>
      <c r="W175" s="93"/>
      <c r="X175" s="94"/>
      <c r="Y175" s="93"/>
      <c r="Z175" s="93"/>
      <c r="AA175" s="93"/>
      <c r="AB175" s="94"/>
      <c r="AC175" s="93"/>
      <c r="AD175" s="92">
        <f t="shared" si="57"/>
        <v>0</v>
      </c>
      <c r="AF175" s="124"/>
    </row>
    <row r="176" spans="2:32" ht="12.75" customHeight="1" x14ac:dyDescent="0.3">
      <c r="B176" s="253"/>
      <c r="C176" s="256"/>
      <c r="D176" s="259"/>
      <c r="E176" s="222"/>
      <c r="F176" s="239"/>
      <c r="G176" s="59" t="s">
        <v>62</v>
      </c>
      <c r="H176" s="25"/>
      <c r="I176" s="48" t="str">
        <f t="shared" si="53"/>
        <v/>
      </c>
      <c r="J176" s="60"/>
      <c r="K176" s="61"/>
      <c r="L176" s="49">
        <f t="shared" si="58"/>
        <v>0</v>
      </c>
      <c r="M176" s="50" t="str">
        <f t="shared" si="56"/>
        <v/>
      </c>
      <c r="N176" s="24"/>
      <c r="O176" s="52"/>
      <c r="R176" s="266"/>
      <c r="S176" s="269"/>
      <c r="T176" s="231"/>
      <c r="U176" s="233"/>
      <c r="V176" s="93"/>
      <c r="W176" s="93"/>
      <c r="X176" s="94"/>
      <c r="Y176" s="93"/>
      <c r="Z176" s="93"/>
      <c r="AA176" s="93"/>
      <c r="AB176" s="94"/>
      <c r="AC176" s="93"/>
      <c r="AD176" s="92">
        <f t="shared" si="57"/>
        <v>0</v>
      </c>
      <c r="AF176" s="124"/>
    </row>
    <row r="177" spans="2:32" ht="12.75" customHeight="1" x14ac:dyDescent="0.3">
      <c r="B177" s="253"/>
      <c r="C177" s="256"/>
      <c r="D177" s="259"/>
      <c r="E177" s="222"/>
      <c r="F177" s="239"/>
      <c r="G177" s="59" t="s">
        <v>110</v>
      </c>
      <c r="H177" s="25"/>
      <c r="I177" s="48"/>
      <c r="J177" s="60"/>
      <c r="K177" s="61"/>
      <c r="L177" s="49"/>
      <c r="M177" s="50"/>
      <c r="N177" s="24"/>
      <c r="O177" s="52"/>
      <c r="R177" s="266"/>
      <c r="S177" s="269"/>
      <c r="T177" s="231"/>
      <c r="U177" s="233"/>
      <c r="V177" s="93"/>
      <c r="W177" s="93"/>
      <c r="X177" s="94"/>
      <c r="Y177" s="93"/>
      <c r="Z177" s="93"/>
      <c r="AA177" s="93"/>
      <c r="AB177" s="94"/>
      <c r="AC177" s="93"/>
      <c r="AD177" s="92">
        <f t="shared" ref="AD177" si="59">SUM(AB177:AC177)</f>
        <v>0</v>
      </c>
      <c r="AF177" s="124"/>
    </row>
    <row r="178" spans="2:32" ht="12.75" customHeight="1" x14ac:dyDescent="0.3">
      <c r="B178" s="253"/>
      <c r="C178" s="256"/>
      <c r="D178" s="259"/>
      <c r="E178" s="222"/>
      <c r="F178" s="239"/>
      <c r="G178" s="59" t="s">
        <v>64</v>
      </c>
      <c r="H178" s="25"/>
      <c r="I178" s="48" t="str">
        <f t="shared" si="53"/>
        <v/>
      </c>
      <c r="J178" s="60"/>
      <c r="K178" s="61"/>
      <c r="L178" s="49">
        <f t="shared" si="58"/>
        <v>0</v>
      </c>
      <c r="M178" s="50" t="str">
        <f t="shared" si="56"/>
        <v/>
      </c>
      <c r="N178" s="24"/>
      <c r="O178" s="52"/>
      <c r="R178" s="266"/>
      <c r="S178" s="269"/>
      <c r="T178" s="231"/>
      <c r="U178" s="234"/>
      <c r="V178" s="93"/>
      <c r="W178" s="93"/>
      <c r="X178" s="93"/>
      <c r="Y178" s="93"/>
      <c r="Z178" s="93"/>
      <c r="AA178" s="93"/>
      <c r="AB178" s="93"/>
      <c r="AC178" s="93"/>
      <c r="AD178" s="92">
        <f t="shared" si="57"/>
        <v>0</v>
      </c>
      <c r="AF178" s="124"/>
    </row>
    <row r="179" spans="2:32" ht="12.75" customHeight="1" x14ac:dyDescent="0.3">
      <c r="B179" s="253"/>
      <c r="C179" s="256"/>
      <c r="D179" s="259"/>
      <c r="E179" s="222"/>
      <c r="F179" s="239"/>
      <c r="G179" s="59" t="s">
        <v>65</v>
      </c>
      <c r="H179" s="25"/>
      <c r="I179" s="48" t="str">
        <f t="shared" si="53"/>
        <v/>
      </c>
      <c r="J179" s="60"/>
      <c r="K179" s="61"/>
      <c r="L179" s="49">
        <f t="shared" si="58"/>
        <v>0</v>
      </c>
      <c r="M179" s="50" t="str">
        <f t="shared" si="56"/>
        <v/>
      </c>
      <c r="N179" s="24"/>
      <c r="O179" s="52"/>
      <c r="R179" s="266"/>
      <c r="S179" s="269"/>
      <c r="T179" s="231"/>
      <c r="U179" s="241" t="s">
        <v>114</v>
      </c>
      <c r="V179" s="242"/>
      <c r="W179" s="242"/>
      <c r="X179" s="242"/>
      <c r="Y179" s="242"/>
      <c r="Z179" s="242"/>
      <c r="AA179" s="242"/>
      <c r="AB179" s="105">
        <f>SUM(AB167:AB178)</f>
        <v>0</v>
      </c>
      <c r="AC179" s="105">
        <f>SUM(AC167:AC178)</f>
        <v>0</v>
      </c>
      <c r="AD179" s="106">
        <f>SUM(AD167:AD178)</f>
        <v>0</v>
      </c>
    </row>
    <row r="180" spans="2:32" ht="12.75" customHeight="1" x14ac:dyDescent="0.3">
      <c r="B180" s="253"/>
      <c r="C180" s="256"/>
      <c r="D180" s="259"/>
      <c r="E180" s="222"/>
      <c r="F180" s="239"/>
      <c r="G180" s="59" t="s">
        <v>66</v>
      </c>
      <c r="H180" s="25"/>
      <c r="I180" s="48" t="str">
        <f t="shared" si="53"/>
        <v/>
      </c>
      <c r="J180" s="60"/>
      <c r="K180" s="61"/>
      <c r="L180" s="49">
        <f t="shared" si="58"/>
        <v>0</v>
      </c>
      <c r="M180" s="50" t="str">
        <f t="shared" si="56"/>
        <v/>
      </c>
      <c r="N180" s="24"/>
      <c r="O180" s="52"/>
      <c r="R180" s="266"/>
      <c r="S180" s="269"/>
      <c r="T180" s="231"/>
      <c r="U180" s="229" t="s">
        <v>115</v>
      </c>
      <c r="V180" s="121"/>
      <c r="W180" s="93"/>
      <c r="X180" s="93"/>
      <c r="Y180" s="93"/>
      <c r="Z180" s="93"/>
      <c r="AA180" s="93"/>
      <c r="AB180" s="93"/>
      <c r="AC180" s="93"/>
      <c r="AD180" s="92">
        <f t="shared" ref="AD180:AD183" si="60">SUM(AB180:AC180)</f>
        <v>0</v>
      </c>
      <c r="AF180" s="124"/>
    </row>
    <row r="181" spans="2:32" ht="12.75" customHeight="1" x14ac:dyDescent="0.3">
      <c r="B181" s="253"/>
      <c r="C181" s="256"/>
      <c r="D181" s="259"/>
      <c r="E181" s="222"/>
      <c r="F181" s="239"/>
      <c r="G181" s="59" t="s">
        <v>67</v>
      </c>
      <c r="H181" s="25"/>
      <c r="I181" s="48" t="str">
        <f t="shared" si="53"/>
        <v/>
      </c>
      <c r="J181" s="60"/>
      <c r="K181" s="61"/>
      <c r="L181" s="49">
        <f t="shared" si="58"/>
        <v>0</v>
      </c>
      <c r="M181" s="50" t="str">
        <f t="shared" si="56"/>
        <v/>
      </c>
      <c r="N181" s="24"/>
      <c r="O181" s="52"/>
      <c r="R181" s="266"/>
      <c r="S181" s="269"/>
      <c r="T181" s="231"/>
      <c r="U181" s="229"/>
      <c r="V181" s="121"/>
      <c r="W181" s="93"/>
      <c r="X181" s="93"/>
      <c r="Y181" s="93"/>
      <c r="Z181" s="93"/>
      <c r="AA181" s="93"/>
      <c r="AB181" s="93"/>
      <c r="AC181" s="93"/>
      <c r="AD181" s="92">
        <f t="shared" si="60"/>
        <v>0</v>
      </c>
      <c r="AF181" s="124"/>
    </row>
    <row r="182" spans="2:32" ht="12.75" customHeight="1" x14ac:dyDescent="0.3">
      <c r="B182" s="253"/>
      <c r="C182" s="256"/>
      <c r="D182" s="259"/>
      <c r="E182" s="262"/>
      <c r="F182" s="293" t="s">
        <v>69</v>
      </c>
      <c r="G182" s="294"/>
      <c r="H182" s="25"/>
      <c r="I182" s="48" t="str">
        <f t="shared" si="53"/>
        <v/>
      </c>
      <c r="J182" s="60"/>
      <c r="K182" s="61"/>
      <c r="L182" s="49">
        <f t="shared" si="58"/>
        <v>0</v>
      </c>
      <c r="M182" s="50" t="str">
        <f t="shared" si="56"/>
        <v/>
      </c>
      <c r="N182" s="110">
        <f>IFERROR(H182/L170,0)</f>
        <v>0</v>
      </c>
      <c r="O182" s="28" t="str">
        <f>IF(N182&lt;0.2,"적절","부적절")</f>
        <v>적절</v>
      </c>
      <c r="R182" s="266"/>
      <c r="S182" s="269"/>
      <c r="T182" s="231"/>
      <c r="U182" s="229"/>
      <c r="V182" s="122"/>
      <c r="W182" s="99"/>
      <c r="X182" s="99"/>
      <c r="Y182" s="99"/>
      <c r="Z182" s="99"/>
      <c r="AA182" s="99"/>
      <c r="AB182" s="93"/>
      <c r="AC182" s="93"/>
      <c r="AD182" s="92">
        <f t="shared" si="60"/>
        <v>0</v>
      </c>
      <c r="AF182" s="124"/>
    </row>
    <row r="183" spans="2:32" ht="12.75" customHeight="1" x14ac:dyDescent="0.3">
      <c r="B183" s="253"/>
      <c r="C183" s="256"/>
      <c r="D183" s="259"/>
      <c r="E183" s="218" t="s">
        <v>75</v>
      </c>
      <c r="F183" s="219"/>
      <c r="G183" s="220"/>
      <c r="H183" s="111">
        <f>SUM(H170:H182)</f>
        <v>0</v>
      </c>
      <c r="I183" s="112" t="str">
        <f t="shared" si="53"/>
        <v/>
      </c>
      <c r="J183" s="111">
        <f>SUM(J170:J182)</f>
        <v>0</v>
      </c>
      <c r="K183" s="112" t="str">
        <f>IFERROR(J183/L183,"")</f>
        <v/>
      </c>
      <c r="L183" s="68">
        <f>SUM(L170:L182)</f>
        <v>0</v>
      </c>
      <c r="M183" s="70" t="str">
        <f t="shared" si="56"/>
        <v/>
      </c>
      <c r="N183" s="48"/>
      <c r="O183" s="52"/>
      <c r="R183" s="266"/>
      <c r="S183" s="269"/>
      <c r="T183" s="231"/>
      <c r="U183" s="229"/>
      <c r="V183" s="107"/>
      <c r="W183" s="101"/>
      <c r="X183" s="101"/>
      <c r="Y183" s="101"/>
      <c r="Z183" s="101"/>
      <c r="AA183" s="101"/>
      <c r="AB183" s="103"/>
      <c r="AC183" s="93"/>
      <c r="AD183" s="92">
        <f t="shared" si="60"/>
        <v>0</v>
      </c>
      <c r="AF183" s="124"/>
    </row>
    <row r="184" spans="2:32" ht="12.75" customHeight="1" x14ac:dyDescent="0.3">
      <c r="B184" s="253"/>
      <c r="C184" s="256"/>
      <c r="D184" s="259"/>
      <c r="E184" s="221" t="s">
        <v>129</v>
      </c>
      <c r="F184" s="223" t="s">
        <v>76</v>
      </c>
      <c r="G184" s="224"/>
      <c r="H184" s="25"/>
      <c r="I184" s="48" t="str">
        <f t="shared" si="53"/>
        <v/>
      </c>
      <c r="J184" s="60"/>
      <c r="K184" s="61"/>
      <c r="L184" s="49">
        <f t="shared" ref="L184:L186" si="61">H184+J184</f>
        <v>0</v>
      </c>
      <c r="M184" s="50" t="str">
        <f t="shared" si="56"/>
        <v/>
      </c>
      <c r="N184" s="24"/>
      <c r="O184" s="52"/>
      <c r="R184" s="266"/>
      <c r="S184" s="269"/>
      <c r="T184" s="231"/>
      <c r="U184" s="225" t="s">
        <v>114</v>
      </c>
      <c r="V184" s="226"/>
      <c r="W184" s="226"/>
      <c r="X184" s="226"/>
      <c r="Y184" s="226"/>
      <c r="Z184" s="226"/>
      <c r="AA184" s="226"/>
      <c r="AB184" s="113">
        <f>SUM(AB180:AB183)</f>
        <v>0</v>
      </c>
      <c r="AC184" s="113">
        <f>SUM(AC180:AC183)</f>
        <v>0</v>
      </c>
      <c r="AD184" s="106">
        <f>SUM(AD180:AD183)</f>
        <v>0</v>
      </c>
    </row>
    <row r="185" spans="2:32" ht="12.75" customHeight="1" x14ac:dyDescent="0.3">
      <c r="B185" s="253"/>
      <c r="C185" s="256"/>
      <c r="D185" s="259"/>
      <c r="E185" s="222"/>
      <c r="F185" s="227" t="s">
        <v>77</v>
      </c>
      <c r="G185" s="228"/>
      <c r="H185" s="25"/>
      <c r="I185" s="48" t="str">
        <f t="shared" si="53"/>
        <v/>
      </c>
      <c r="J185" s="60"/>
      <c r="K185" s="61"/>
      <c r="L185" s="49">
        <f t="shared" si="61"/>
        <v>0</v>
      </c>
      <c r="M185" s="50" t="str">
        <f t="shared" si="56"/>
        <v/>
      </c>
      <c r="N185" s="24"/>
      <c r="O185" s="52"/>
      <c r="R185" s="266"/>
      <c r="S185" s="269"/>
      <c r="T185" s="231"/>
      <c r="U185" s="229" t="s">
        <v>130</v>
      </c>
      <c r="V185" s="107"/>
      <c r="W185" s="101"/>
      <c r="X185" s="101"/>
      <c r="Y185" s="101"/>
      <c r="Z185" s="101"/>
      <c r="AA185" s="101"/>
      <c r="AB185" s="103"/>
      <c r="AC185" s="93"/>
      <c r="AD185" s="92">
        <f t="shared" ref="AD185:AD186" si="62">SUM(AB185:AC185)</f>
        <v>0</v>
      </c>
      <c r="AF185" s="124"/>
    </row>
    <row r="186" spans="2:32" ht="12.75" customHeight="1" x14ac:dyDescent="0.3">
      <c r="B186" s="253"/>
      <c r="C186" s="256"/>
      <c r="D186" s="259"/>
      <c r="E186" s="222"/>
      <c r="F186" s="227" t="s">
        <v>78</v>
      </c>
      <c r="G186" s="228"/>
      <c r="H186" s="25"/>
      <c r="I186" s="48" t="str">
        <f t="shared" si="53"/>
        <v/>
      </c>
      <c r="J186" s="60"/>
      <c r="K186" s="61"/>
      <c r="L186" s="49">
        <f t="shared" si="61"/>
        <v>0</v>
      </c>
      <c r="M186" s="50" t="str">
        <f t="shared" si="56"/>
        <v/>
      </c>
      <c r="N186" s="24"/>
      <c r="O186" s="52"/>
      <c r="R186" s="266"/>
      <c r="S186" s="269"/>
      <c r="T186" s="231"/>
      <c r="U186" s="229"/>
      <c r="V186" s="107"/>
      <c r="W186" s="101"/>
      <c r="X186" s="101"/>
      <c r="Y186" s="101"/>
      <c r="Z186" s="101"/>
      <c r="AA186" s="101"/>
      <c r="AB186" s="103"/>
      <c r="AC186" s="93"/>
      <c r="AD186" s="92">
        <f t="shared" si="62"/>
        <v>0</v>
      </c>
      <c r="AF186" s="124"/>
    </row>
    <row r="187" spans="2:32" ht="12.75" customHeight="1" x14ac:dyDescent="0.3">
      <c r="B187" s="254"/>
      <c r="C187" s="257"/>
      <c r="D187" s="260"/>
      <c r="E187" s="284" t="s">
        <v>119</v>
      </c>
      <c r="F187" s="284"/>
      <c r="G187" s="284"/>
      <c r="H187" s="68">
        <f>SUM(H184:H186)</f>
        <v>0</v>
      </c>
      <c r="I187" s="69" t="str">
        <f t="shared" si="53"/>
        <v/>
      </c>
      <c r="J187" s="68">
        <f>SUM(J184:J186)</f>
        <v>0</v>
      </c>
      <c r="K187" s="69" t="str">
        <f t="shared" ref="K187:K188" si="63">IFERROR(J187/L187,"")</f>
        <v/>
      </c>
      <c r="L187" s="68">
        <f>SUM(L184:L186)</f>
        <v>0</v>
      </c>
      <c r="M187" s="70" t="str">
        <f t="shared" si="56"/>
        <v/>
      </c>
      <c r="N187" s="72"/>
      <c r="O187" s="73"/>
      <c r="R187" s="267"/>
      <c r="S187" s="270"/>
      <c r="T187" s="232"/>
      <c r="U187" s="225" t="s">
        <v>114</v>
      </c>
      <c r="V187" s="226"/>
      <c r="W187" s="226"/>
      <c r="X187" s="226"/>
      <c r="Y187" s="226"/>
      <c r="Z187" s="226"/>
      <c r="AA187" s="226"/>
      <c r="AB187" s="113">
        <f>SUM(AB185:AB186)</f>
        <v>0</v>
      </c>
      <c r="AC187" s="113">
        <f>SUM(AC185:AC186)</f>
        <v>0</v>
      </c>
      <c r="AD187" s="106">
        <f>SUM(AD185:AD186)</f>
        <v>0</v>
      </c>
    </row>
    <row r="188" spans="2:32" ht="12.75" customHeight="1" thickBot="1" x14ac:dyDescent="0.35">
      <c r="B188" s="119"/>
      <c r="C188" s="38"/>
      <c r="D188" s="204" t="s">
        <v>15</v>
      </c>
      <c r="E188" s="205"/>
      <c r="F188" s="205"/>
      <c r="G188" s="206"/>
      <c r="H188" s="40">
        <f>H183+H187</f>
        <v>0</v>
      </c>
      <c r="I188" s="75" t="str">
        <f t="shared" si="53"/>
        <v/>
      </c>
      <c r="J188" s="40">
        <f>J183+J187</f>
        <v>0</v>
      </c>
      <c r="K188" s="75" t="str">
        <f t="shared" si="63"/>
        <v/>
      </c>
      <c r="L188" s="40">
        <f>L183+L187</f>
        <v>0</v>
      </c>
      <c r="M188" s="76" t="str">
        <f t="shared" si="56"/>
        <v/>
      </c>
      <c r="N188" s="77"/>
      <c r="O188" s="78"/>
      <c r="R188" s="207" t="s">
        <v>117</v>
      </c>
      <c r="S188" s="208"/>
      <c r="T188" s="208"/>
      <c r="U188" s="208"/>
      <c r="V188" s="208"/>
      <c r="W188" s="208"/>
      <c r="X188" s="208"/>
      <c r="Y188" s="208"/>
      <c r="Z188" s="208"/>
      <c r="AA188" s="208"/>
      <c r="AB188" s="114">
        <f>AB179+AB184+AB187</f>
        <v>0</v>
      </c>
      <c r="AC188" s="114">
        <f t="shared" ref="AC188:AD188" si="64">AC179+AC184+AC187</f>
        <v>0</v>
      </c>
      <c r="AD188" s="115">
        <f t="shared" si="64"/>
        <v>0</v>
      </c>
      <c r="AE188" s="116"/>
    </row>
    <row r="189" spans="2:32" ht="12.75" customHeight="1" x14ac:dyDescent="0.3">
      <c r="H189" s="79"/>
      <c r="I189" s="80"/>
      <c r="J189" s="79"/>
      <c r="K189" s="80"/>
      <c r="L189" s="81"/>
      <c r="M189" s="82"/>
    </row>
    <row r="190" spans="2:32" ht="12.75" customHeight="1" x14ac:dyDescent="0.3">
      <c r="H190" s="79"/>
      <c r="I190" s="80"/>
      <c r="J190" s="79"/>
      <c r="K190" s="80"/>
      <c r="L190" s="81"/>
      <c r="M190" s="82"/>
    </row>
    <row r="191" spans="2:32" ht="12.75" customHeight="1" x14ac:dyDescent="0.3">
      <c r="H191" s="79"/>
      <c r="I191" s="80"/>
      <c r="J191" s="79"/>
      <c r="K191" s="80"/>
      <c r="L191" s="81"/>
      <c r="M191" s="82"/>
      <c r="X191" s="3" t="s">
        <v>132</v>
      </c>
    </row>
    <row r="192" spans="2:32" ht="14.25" thickBot="1" x14ac:dyDescent="0.35"/>
    <row r="193" spans="2:15" ht="12" customHeight="1" x14ac:dyDescent="0.3">
      <c r="B193" s="209" t="s">
        <v>133</v>
      </c>
      <c r="C193" s="210"/>
      <c r="D193" s="210"/>
      <c r="E193" s="210"/>
      <c r="F193" s="210"/>
      <c r="G193" s="210"/>
      <c r="H193" s="210"/>
      <c r="I193" s="210"/>
      <c r="J193" s="210"/>
      <c r="K193" s="210"/>
      <c r="L193" s="210"/>
      <c r="M193" s="210"/>
      <c r="N193" s="210"/>
      <c r="O193" s="211"/>
    </row>
    <row r="194" spans="2:15" ht="16.5" customHeight="1" x14ac:dyDescent="0.3">
      <c r="B194" s="212"/>
      <c r="C194" s="213"/>
      <c r="D194" s="213"/>
      <c r="E194" s="213"/>
      <c r="F194" s="213"/>
      <c r="G194" s="213"/>
      <c r="H194" s="213"/>
      <c r="I194" s="213"/>
      <c r="J194" s="213"/>
      <c r="K194" s="213"/>
      <c r="L194" s="213"/>
      <c r="M194" s="213"/>
      <c r="N194" s="213"/>
      <c r="O194" s="214"/>
    </row>
    <row r="195" spans="2:15" ht="16.5" customHeight="1" x14ac:dyDescent="0.3">
      <c r="B195" s="212"/>
      <c r="C195" s="213"/>
      <c r="D195" s="213"/>
      <c r="E195" s="213"/>
      <c r="F195" s="213"/>
      <c r="G195" s="213"/>
      <c r="H195" s="213"/>
      <c r="I195" s="213"/>
      <c r="J195" s="213"/>
      <c r="K195" s="213"/>
      <c r="L195" s="213"/>
      <c r="M195" s="213"/>
      <c r="N195" s="213"/>
      <c r="O195" s="214"/>
    </row>
    <row r="196" spans="2:15" ht="16.5" customHeight="1" x14ac:dyDescent="0.3">
      <c r="B196" s="212"/>
      <c r="C196" s="213"/>
      <c r="D196" s="213"/>
      <c r="E196" s="213"/>
      <c r="F196" s="213"/>
      <c r="G196" s="213"/>
      <c r="H196" s="213"/>
      <c r="I196" s="213"/>
      <c r="J196" s="213"/>
      <c r="K196" s="213"/>
      <c r="L196" s="213"/>
      <c r="M196" s="213"/>
      <c r="N196" s="213"/>
      <c r="O196" s="214"/>
    </row>
    <row r="197" spans="2:15" ht="16.5" customHeight="1" x14ac:dyDescent="0.3">
      <c r="B197" s="212"/>
      <c r="C197" s="213"/>
      <c r="D197" s="213"/>
      <c r="E197" s="213"/>
      <c r="F197" s="213"/>
      <c r="G197" s="213"/>
      <c r="H197" s="213"/>
      <c r="I197" s="213"/>
      <c r="J197" s="213"/>
      <c r="K197" s="213"/>
      <c r="L197" s="213"/>
      <c r="M197" s="213"/>
      <c r="N197" s="213"/>
      <c r="O197" s="214"/>
    </row>
    <row r="198" spans="2:15" ht="16.5" customHeight="1" x14ac:dyDescent="0.3">
      <c r="B198" s="212"/>
      <c r="C198" s="213"/>
      <c r="D198" s="213"/>
      <c r="E198" s="213"/>
      <c r="F198" s="213"/>
      <c r="G198" s="213"/>
      <c r="H198" s="213"/>
      <c r="I198" s="213"/>
      <c r="J198" s="213"/>
      <c r="K198" s="213"/>
      <c r="L198" s="213"/>
      <c r="M198" s="213"/>
      <c r="N198" s="213"/>
      <c r="O198" s="214"/>
    </row>
    <row r="199" spans="2:15" ht="16.5" customHeight="1" x14ac:dyDescent="0.3">
      <c r="B199" s="212"/>
      <c r="C199" s="213"/>
      <c r="D199" s="213"/>
      <c r="E199" s="213"/>
      <c r="F199" s="213"/>
      <c r="G199" s="213"/>
      <c r="H199" s="213"/>
      <c r="I199" s="213"/>
      <c r="J199" s="213"/>
      <c r="K199" s="213"/>
      <c r="L199" s="213"/>
      <c r="M199" s="213"/>
      <c r="N199" s="213"/>
      <c r="O199" s="214"/>
    </row>
    <row r="200" spans="2:15" ht="16.5" customHeight="1" x14ac:dyDescent="0.3">
      <c r="B200" s="212"/>
      <c r="C200" s="213"/>
      <c r="D200" s="213"/>
      <c r="E200" s="213"/>
      <c r="F200" s="213"/>
      <c r="G200" s="213"/>
      <c r="H200" s="213"/>
      <c r="I200" s="213"/>
      <c r="J200" s="213"/>
      <c r="K200" s="213"/>
      <c r="L200" s="213"/>
      <c r="M200" s="213"/>
      <c r="N200" s="213"/>
      <c r="O200" s="214"/>
    </row>
    <row r="201" spans="2:15" ht="16.5" customHeight="1" thickBot="1" x14ac:dyDescent="0.35">
      <c r="B201" s="215"/>
      <c r="C201" s="216"/>
      <c r="D201" s="216"/>
      <c r="E201" s="216"/>
      <c r="F201" s="216"/>
      <c r="G201" s="216"/>
      <c r="H201" s="216"/>
      <c r="I201" s="216"/>
      <c r="J201" s="216"/>
      <c r="K201" s="216"/>
      <c r="L201" s="216"/>
      <c r="M201" s="216"/>
      <c r="N201" s="216"/>
      <c r="O201" s="217"/>
    </row>
    <row r="202" spans="2:15" x14ac:dyDescent="0.3">
      <c r="C202" s="123" t="s">
        <v>134</v>
      </c>
    </row>
    <row r="203" spans="2:15" x14ac:dyDescent="0.3">
      <c r="C203" s="123" t="s">
        <v>135</v>
      </c>
    </row>
  </sheetData>
  <protectedRanges>
    <protectedRange sqref="D140 D166 V74:AD78 V185:AD186 V180:AD183 V129:AD132 V104:AD107 V159:AD160 V154:AD157 V71:AD72 V91:AD102 V116:AD127 V141:AD152 V167:AD178 Z62:AD70" name="범위2"/>
    <protectedRange sqref="D61 C6 E6 H61:H63 J61:J63 H80:H84 J65:J66 H90:H92 H94:H105 H107:H109 J90:J92 J94:J95 H158:H160 J140:J143 J145:J146 H140:H143 D90 D140 H145:H156 H115:H117 H119:H130 H132:H134 J115:J117 J119:J120 D115 H184:H186 J166:J169 J171:J172 H166:H169 D166 H171:H182 D16:H20 H65:H78 G6" name="범위1"/>
    <protectedRange sqref="V62:Y67 V68:W70 Y68:Y70" name="범위2_1"/>
    <protectedRange sqref="X68:X70" name="범위2_3"/>
  </protectedRanges>
  <mergeCells count="255">
    <mergeCell ref="B12:C12"/>
    <mergeCell ref="B14:B15"/>
    <mergeCell ref="C14:C15"/>
    <mergeCell ref="D14:D15"/>
    <mergeCell ref="F14:H14"/>
    <mergeCell ref="I14:I15"/>
    <mergeCell ref="B2:C2"/>
    <mergeCell ref="E2:F2"/>
    <mergeCell ref="H2:I2"/>
    <mergeCell ref="B4:B5"/>
    <mergeCell ref="C4:D4"/>
    <mergeCell ref="E4:G4"/>
    <mergeCell ref="J14:J15"/>
    <mergeCell ref="L14:P15"/>
    <mergeCell ref="B24:C24"/>
    <mergeCell ref="B26:B27"/>
    <mergeCell ref="C26:C27"/>
    <mergeCell ref="D26:D27"/>
    <mergeCell ref="E26:E27"/>
    <mergeCell ref="F26:G27"/>
    <mergeCell ref="H26:I26"/>
    <mergeCell ref="J26:K26"/>
    <mergeCell ref="L26:M26"/>
    <mergeCell ref="N26:O27"/>
    <mergeCell ref="B28:B54"/>
    <mergeCell ref="C28:C53"/>
    <mergeCell ref="D28:D53"/>
    <mergeCell ref="E28:E48"/>
    <mergeCell ref="F28:F30"/>
    <mergeCell ref="F31:G31"/>
    <mergeCell ref="F32:G32"/>
    <mergeCell ref="F33:G33"/>
    <mergeCell ref="E50:E52"/>
    <mergeCell ref="F50:G50"/>
    <mergeCell ref="F51:G51"/>
    <mergeCell ref="F52:G52"/>
    <mergeCell ref="E53:G53"/>
    <mergeCell ref="D54:G54"/>
    <mergeCell ref="F34:F42"/>
    <mergeCell ref="F43:G43"/>
    <mergeCell ref="F44:G44"/>
    <mergeCell ref="F45:F47"/>
    <mergeCell ref="F48:G48"/>
    <mergeCell ref="E49:G49"/>
    <mergeCell ref="N59:O60"/>
    <mergeCell ref="R59:T61"/>
    <mergeCell ref="U59:U61"/>
    <mergeCell ref="V59:V61"/>
    <mergeCell ref="W59:W61"/>
    <mergeCell ref="AB59:AD60"/>
    <mergeCell ref="B57:D57"/>
    <mergeCell ref="R57:U57"/>
    <mergeCell ref="B59:B60"/>
    <mergeCell ref="C59:C60"/>
    <mergeCell ref="D59:D60"/>
    <mergeCell ref="E59:E60"/>
    <mergeCell ref="F59:G60"/>
    <mergeCell ref="H59:I59"/>
    <mergeCell ref="J59:K59"/>
    <mergeCell ref="L59:M59"/>
    <mergeCell ref="U74:U78"/>
    <mergeCell ref="B61:B85"/>
    <mergeCell ref="C61:C85"/>
    <mergeCell ref="D61:D85"/>
    <mergeCell ref="E61:E78"/>
    <mergeCell ref="F61:F63"/>
    <mergeCell ref="R62:R79"/>
    <mergeCell ref="F77:G77"/>
    <mergeCell ref="F78:G78"/>
    <mergeCell ref="E79:G79"/>
    <mergeCell ref="E85:G85"/>
    <mergeCell ref="D86:G86"/>
    <mergeCell ref="C87:E87"/>
    <mergeCell ref="B88:B89"/>
    <mergeCell ref="C88:C89"/>
    <mergeCell ref="D88:D89"/>
    <mergeCell ref="E88:E89"/>
    <mergeCell ref="F88:G89"/>
    <mergeCell ref="U79:AA79"/>
    <mergeCell ref="E80:E84"/>
    <mergeCell ref="F80:G80"/>
    <mergeCell ref="R80:AA80"/>
    <mergeCell ref="F81:G81"/>
    <mergeCell ref="F82:G82"/>
    <mergeCell ref="F83:G83"/>
    <mergeCell ref="F84:G84"/>
    <mergeCell ref="S62:S79"/>
    <mergeCell ref="T62:T79"/>
    <mergeCell ref="U62:U67"/>
    <mergeCell ref="F64:G64"/>
    <mergeCell ref="F65:G65"/>
    <mergeCell ref="F66:G66"/>
    <mergeCell ref="F67:F76"/>
    <mergeCell ref="U68:U72"/>
    <mergeCell ref="U73:AA73"/>
    <mergeCell ref="V88:V90"/>
    <mergeCell ref="W88:W90"/>
    <mergeCell ref="AB88:AD89"/>
    <mergeCell ref="B90:B110"/>
    <mergeCell ref="C90:C110"/>
    <mergeCell ref="D90:D110"/>
    <mergeCell ref="E90:E105"/>
    <mergeCell ref="F90:F92"/>
    <mergeCell ref="R91:R108"/>
    <mergeCell ref="S91:S108"/>
    <mergeCell ref="H88:I88"/>
    <mergeCell ref="J88:K88"/>
    <mergeCell ref="L88:M88"/>
    <mergeCell ref="N88:O89"/>
    <mergeCell ref="R88:T90"/>
    <mergeCell ref="U88:U90"/>
    <mergeCell ref="U108:AA108"/>
    <mergeCell ref="F109:G109"/>
    <mergeCell ref="R109:AA109"/>
    <mergeCell ref="T91:T108"/>
    <mergeCell ref="U91:U97"/>
    <mergeCell ref="F93:G93"/>
    <mergeCell ref="F94:G94"/>
    <mergeCell ref="F95:G95"/>
    <mergeCell ref="F96:F104"/>
    <mergeCell ref="U98:U102"/>
    <mergeCell ref="U103:AA103"/>
    <mergeCell ref="U104:U107"/>
    <mergeCell ref="F105:G105"/>
    <mergeCell ref="E110:G110"/>
    <mergeCell ref="D111:G111"/>
    <mergeCell ref="B113:B114"/>
    <mergeCell ref="C113:C114"/>
    <mergeCell ref="D113:D114"/>
    <mergeCell ref="E113:E114"/>
    <mergeCell ref="F113:G114"/>
    <mergeCell ref="E106:G106"/>
    <mergeCell ref="E107:E109"/>
    <mergeCell ref="F107:G107"/>
    <mergeCell ref="F108:G108"/>
    <mergeCell ref="V113:V115"/>
    <mergeCell ref="W113:W115"/>
    <mergeCell ref="AB113:AD114"/>
    <mergeCell ref="B115:B135"/>
    <mergeCell ref="C115:C135"/>
    <mergeCell ref="D115:D135"/>
    <mergeCell ref="E115:E130"/>
    <mergeCell ref="F115:F117"/>
    <mergeCell ref="R116:R133"/>
    <mergeCell ref="S116:S133"/>
    <mergeCell ref="H113:I113"/>
    <mergeCell ref="J113:K113"/>
    <mergeCell ref="L113:M113"/>
    <mergeCell ref="N113:O114"/>
    <mergeCell ref="R113:T115"/>
    <mergeCell ref="U113:U115"/>
    <mergeCell ref="U133:AA133"/>
    <mergeCell ref="F134:G134"/>
    <mergeCell ref="R134:AA134"/>
    <mergeCell ref="T116:T133"/>
    <mergeCell ref="U116:U122"/>
    <mergeCell ref="F118:G118"/>
    <mergeCell ref="F119:G119"/>
    <mergeCell ref="F120:G120"/>
    <mergeCell ref="F121:F129"/>
    <mergeCell ref="U123:U127"/>
    <mergeCell ref="U128:AA128"/>
    <mergeCell ref="U129:U132"/>
    <mergeCell ref="F130:G130"/>
    <mergeCell ref="E135:G135"/>
    <mergeCell ref="D136:G136"/>
    <mergeCell ref="B138:B139"/>
    <mergeCell ref="C138:C139"/>
    <mergeCell ref="D138:D139"/>
    <mergeCell ref="E138:E139"/>
    <mergeCell ref="F138:G139"/>
    <mergeCell ref="E131:G131"/>
    <mergeCell ref="E132:E134"/>
    <mergeCell ref="F132:G132"/>
    <mergeCell ref="F133:G133"/>
    <mergeCell ref="V138:V140"/>
    <mergeCell ref="W138:W140"/>
    <mergeCell ref="AB138:AD139"/>
    <mergeCell ref="B140:B161"/>
    <mergeCell ref="C140:C161"/>
    <mergeCell ref="D140:D161"/>
    <mergeCell ref="E140:E156"/>
    <mergeCell ref="F140:F143"/>
    <mergeCell ref="R141:R161"/>
    <mergeCell ref="S141:S161"/>
    <mergeCell ref="H138:I138"/>
    <mergeCell ref="J138:K138"/>
    <mergeCell ref="L138:M138"/>
    <mergeCell ref="N138:O139"/>
    <mergeCell ref="R138:T140"/>
    <mergeCell ref="U138:U140"/>
    <mergeCell ref="E157:G157"/>
    <mergeCell ref="E158:E160"/>
    <mergeCell ref="F158:G158"/>
    <mergeCell ref="U158:AA158"/>
    <mergeCell ref="F159:G159"/>
    <mergeCell ref="U159:U160"/>
    <mergeCell ref="F160:G160"/>
    <mergeCell ref="T141:T161"/>
    <mergeCell ref="U141:U147"/>
    <mergeCell ref="F144:G144"/>
    <mergeCell ref="F145:G145"/>
    <mergeCell ref="F146:G146"/>
    <mergeCell ref="F147:F155"/>
    <mergeCell ref="U148:U152"/>
    <mergeCell ref="U153:AA153"/>
    <mergeCell ref="U154:U157"/>
    <mergeCell ref="F156:G156"/>
    <mergeCell ref="E161:G161"/>
    <mergeCell ref="U161:AA161"/>
    <mergeCell ref="D162:G162"/>
    <mergeCell ref="R162:AA162"/>
    <mergeCell ref="B164:B165"/>
    <mergeCell ref="C164:C165"/>
    <mergeCell ref="D164:D165"/>
    <mergeCell ref="E164:E165"/>
    <mergeCell ref="F164:G165"/>
    <mergeCell ref="H164:I164"/>
    <mergeCell ref="W164:W166"/>
    <mergeCell ref="AB164:AD165"/>
    <mergeCell ref="B166:B187"/>
    <mergeCell ref="C166:C187"/>
    <mergeCell ref="D166:D187"/>
    <mergeCell ref="E166:E182"/>
    <mergeCell ref="F166:F169"/>
    <mergeCell ref="R167:R187"/>
    <mergeCell ref="S167:S187"/>
    <mergeCell ref="T167:T187"/>
    <mergeCell ref="J164:K164"/>
    <mergeCell ref="L164:M164"/>
    <mergeCell ref="N164:O165"/>
    <mergeCell ref="R164:T166"/>
    <mergeCell ref="U164:U166"/>
    <mergeCell ref="V164:V166"/>
    <mergeCell ref="U167:U173"/>
    <mergeCell ref="F170:G170"/>
    <mergeCell ref="F171:G171"/>
    <mergeCell ref="F172:G172"/>
    <mergeCell ref="F173:F181"/>
    <mergeCell ref="U174:U178"/>
    <mergeCell ref="U179:AA179"/>
    <mergeCell ref="U180:U183"/>
    <mergeCell ref="F182:G182"/>
    <mergeCell ref="E183:G183"/>
    <mergeCell ref="E187:G187"/>
    <mergeCell ref="U187:AA187"/>
    <mergeCell ref="D188:G188"/>
    <mergeCell ref="R188:AA188"/>
    <mergeCell ref="B193:O201"/>
    <mergeCell ref="E184:E186"/>
    <mergeCell ref="F184:G184"/>
    <mergeCell ref="U184:AA184"/>
    <mergeCell ref="F185:G185"/>
    <mergeCell ref="U185:U186"/>
    <mergeCell ref="F186:G186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89A72-CBF8-437D-9DFA-A5CA74F47223}">
  <sheetPr codeName="Sheet5"/>
  <dimension ref="A1:G556"/>
  <sheetViews>
    <sheetView workbookViewId="0">
      <selection activeCell="E19" sqref="E19"/>
    </sheetView>
  </sheetViews>
  <sheetFormatPr defaultColWidth="8.875" defaultRowHeight="16.5" x14ac:dyDescent="0.3"/>
  <cols>
    <col min="1" max="1" width="15.125" bestFit="1" customWidth="1"/>
    <col min="2" max="2" width="17.875" bestFit="1" customWidth="1"/>
    <col min="3" max="3" width="38.625" bestFit="1" customWidth="1"/>
    <col min="4" max="4" width="16.625" bestFit="1" customWidth="1"/>
    <col min="5" max="5" width="15.125" bestFit="1" customWidth="1"/>
    <col min="6" max="6" width="10.5" bestFit="1" customWidth="1"/>
    <col min="7" max="7" width="11.5" bestFit="1" customWidth="1"/>
  </cols>
  <sheetData>
    <row r="1" spans="1:7" x14ac:dyDescent="0.3">
      <c r="A1" s="154" t="s">
        <v>139</v>
      </c>
      <c r="B1" s="154" t="s">
        <v>3</v>
      </c>
      <c r="C1" s="154" t="s">
        <v>4</v>
      </c>
      <c r="D1" s="154" t="s">
        <v>140</v>
      </c>
      <c r="E1" s="154" t="s">
        <v>20</v>
      </c>
      <c r="F1" s="165" t="s">
        <v>21</v>
      </c>
      <c r="G1" s="165" t="s">
        <v>141</v>
      </c>
    </row>
    <row r="2" spans="1:7" x14ac:dyDescent="0.3">
      <c r="A2" s="166">
        <v>6948703079</v>
      </c>
      <c r="B2" s="166" t="s">
        <v>142</v>
      </c>
      <c r="C2" s="166" t="s">
        <v>143</v>
      </c>
      <c r="D2" s="166" t="s">
        <v>144</v>
      </c>
      <c r="E2" s="167">
        <v>60000</v>
      </c>
      <c r="F2" s="167">
        <v>60000</v>
      </c>
      <c r="G2" s="168">
        <v>120000</v>
      </c>
    </row>
    <row r="3" spans="1:7" x14ac:dyDescent="0.3">
      <c r="A3" s="166">
        <v>6118701514</v>
      </c>
      <c r="B3" s="166" t="s">
        <v>145</v>
      </c>
      <c r="C3" s="166" t="s">
        <v>146</v>
      </c>
      <c r="D3" s="166" t="s">
        <v>144</v>
      </c>
      <c r="E3" s="167">
        <v>60000</v>
      </c>
      <c r="F3" s="167">
        <v>60000</v>
      </c>
      <c r="G3" s="168">
        <v>120000</v>
      </c>
    </row>
    <row r="4" spans="1:7" x14ac:dyDescent="0.3">
      <c r="A4" s="166">
        <v>8308101826</v>
      </c>
      <c r="B4" s="166" t="s">
        <v>147</v>
      </c>
      <c r="C4" s="166" t="s">
        <v>148</v>
      </c>
      <c r="D4" s="166" t="s">
        <v>149</v>
      </c>
      <c r="E4" s="167">
        <v>60000</v>
      </c>
      <c r="F4" s="167">
        <v>60000</v>
      </c>
      <c r="G4" s="168">
        <v>120000</v>
      </c>
    </row>
    <row r="5" spans="1:7" x14ac:dyDescent="0.3">
      <c r="A5" s="166">
        <v>5608603105</v>
      </c>
      <c r="B5" s="166" t="s">
        <v>150</v>
      </c>
      <c r="C5" s="166" t="s">
        <v>151</v>
      </c>
      <c r="D5" s="166" t="s">
        <v>149</v>
      </c>
      <c r="E5" s="167">
        <v>60000</v>
      </c>
      <c r="F5" s="167">
        <v>60000</v>
      </c>
      <c r="G5" s="168">
        <v>120000</v>
      </c>
    </row>
    <row r="6" spans="1:7" x14ac:dyDescent="0.3">
      <c r="A6" s="166">
        <v>5788102719</v>
      </c>
      <c r="B6" s="166" t="s">
        <v>152</v>
      </c>
      <c r="C6" s="166" t="s">
        <v>153</v>
      </c>
      <c r="D6" s="166" t="s">
        <v>154</v>
      </c>
      <c r="E6" s="167">
        <v>60000</v>
      </c>
      <c r="F6" s="167">
        <v>60000</v>
      </c>
      <c r="G6" s="168">
        <v>120000</v>
      </c>
    </row>
    <row r="7" spans="1:7" x14ac:dyDescent="0.3">
      <c r="A7" s="166">
        <v>5858602589</v>
      </c>
      <c r="B7" s="166" t="s">
        <v>155</v>
      </c>
      <c r="C7" s="166" t="s">
        <v>156</v>
      </c>
      <c r="D7" s="166" t="s">
        <v>157</v>
      </c>
      <c r="E7" s="167">
        <v>60000</v>
      </c>
      <c r="F7" s="167">
        <v>60000</v>
      </c>
      <c r="G7" s="168">
        <v>120000</v>
      </c>
    </row>
    <row r="8" spans="1:7" x14ac:dyDescent="0.3">
      <c r="A8" s="166">
        <v>2058143826</v>
      </c>
      <c r="B8" s="166" t="s">
        <v>158</v>
      </c>
      <c r="C8" s="166" t="s">
        <v>159</v>
      </c>
      <c r="D8" s="166" t="s">
        <v>157</v>
      </c>
      <c r="E8" s="167">
        <v>60000</v>
      </c>
      <c r="F8" s="167">
        <v>60000</v>
      </c>
      <c r="G8" s="168">
        <v>120000</v>
      </c>
    </row>
    <row r="9" spans="1:7" x14ac:dyDescent="0.3">
      <c r="A9" s="166">
        <v>6851202267</v>
      </c>
      <c r="B9" s="166" t="s">
        <v>160</v>
      </c>
      <c r="C9" s="166" t="s">
        <v>161</v>
      </c>
      <c r="D9" s="166" t="s">
        <v>162</v>
      </c>
      <c r="E9" s="167">
        <v>60000</v>
      </c>
      <c r="F9" s="167">
        <v>60000</v>
      </c>
      <c r="G9" s="168">
        <v>120000</v>
      </c>
    </row>
    <row r="10" spans="1:7" x14ac:dyDescent="0.3">
      <c r="A10" s="166">
        <v>7218101430</v>
      </c>
      <c r="B10" s="166" t="s">
        <v>163</v>
      </c>
      <c r="C10" s="166" t="s">
        <v>164</v>
      </c>
      <c r="D10" s="166" t="s">
        <v>165</v>
      </c>
      <c r="E10" s="167">
        <v>60000</v>
      </c>
      <c r="F10" s="167">
        <v>60000</v>
      </c>
      <c r="G10" s="168">
        <v>120000</v>
      </c>
    </row>
    <row r="11" spans="1:7" x14ac:dyDescent="0.3">
      <c r="A11" s="166">
        <v>1518601640</v>
      </c>
      <c r="B11" s="166" t="s">
        <v>166</v>
      </c>
      <c r="C11" s="166" t="s">
        <v>167</v>
      </c>
      <c r="D11" s="166" t="s">
        <v>165</v>
      </c>
      <c r="E11" s="167">
        <v>60000</v>
      </c>
      <c r="F11" s="167">
        <v>60000</v>
      </c>
      <c r="G11" s="168">
        <v>120000</v>
      </c>
    </row>
    <row r="12" spans="1:7" x14ac:dyDescent="0.3">
      <c r="A12" s="166">
        <v>7158702867</v>
      </c>
      <c r="B12" s="166" t="s">
        <v>168</v>
      </c>
      <c r="C12" s="166" t="s">
        <v>169</v>
      </c>
      <c r="D12" s="166" t="s">
        <v>170</v>
      </c>
      <c r="E12" s="167">
        <v>60000</v>
      </c>
      <c r="F12" s="167">
        <v>60000</v>
      </c>
      <c r="G12" s="168">
        <v>120000</v>
      </c>
    </row>
    <row r="13" spans="1:7" x14ac:dyDescent="0.3">
      <c r="A13" s="166">
        <v>5608702608</v>
      </c>
      <c r="B13" s="166" t="s">
        <v>171</v>
      </c>
      <c r="C13" s="166" t="s">
        <v>172</v>
      </c>
      <c r="D13" s="166" t="s">
        <v>170</v>
      </c>
      <c r="E13" s="167">
        <v>60000</v>
      </c>
      <c r="F13" s="167">
        <v>60000</v>
      </c>
      <c r="G13" s="168">
        <v>120000</v>
      </c>
    </row>
    <row r="14" spans="1:7" x14ac:dyDescent="0.3">
      <c r="A14" s="166">
        <v>4738103145</v>
      </c>
      <c r="B14" s="166" t="s">
        <v>173</v>
      </c>
      <c r="C14" s="166" t="s">
        <v>174</v>
      </c>
      <c r="D14" s="166" t="s">
        <v>175</v>
      </c>
      <c r="E14" s="167">
        <v>60000</v>
      </c>
      <c r="F14" s="167">
        <v>60000</v>
      </c>
      <c r="G14" s="168">
        <v>120000</v>
      </c>
    </row>
    <row r="15" spans="1:7" x14ac:dyDescent="0.3">
      <c r="A15" s="166">
        <v>7768102574</v>
      </c>
      <c r="B15" s="166" t="s">
        <v>176</v>
      </c>
      <c r="C15" s="166" t="s">
        <v>177</v>
      </c>
      <c r="D15" s="166" t="s">
        <v>178</v>
      </c>
      <c r="E15" s="167">
        <v>60000</v>
      </c>
      <c r="F15" s="167">
        <v>60000</v>
      </c>
      <c r="G15" s="168">
        <v>120000</v>
      </c>
    </row>
    <row r="16" spans="1:7" x14ac:dyDescent="0.3">
      <c r="A16" s="166">
        <v>4928602593</v>
      </c>
      <c r="B16" s="166" t="s">
        <v>179</v>
      </c>
      <c r="C16" s="166" t="s">
        <v>180</v>
      </c>
      <c r="D16" s="166" t="s">
        <v>178</v>
      </c>
      <c r="E16" s="167">
        <v>60000</v>
      </c>
      <c r="F16" s="167">
        <v>60000</v>
      </c>
      <c r="G16" s="168">
        <v>120000</v>
      </c>
    </row>
    <row r="17" spans="1:7" x14ac:dyDescent="0.3">
      <c r="A17" s="166">
        <v>6778802432</v>
      </c>
      <c r="B17" s="166" t="s">
        <v>181</v>
      </c>
      <c r="C17" s="166" t="s">
        <v>182</v>
      </c>
      <c r="D17" s="166" t="s">
        <v>183</v>
      </c>
      <c r="E17" s="167">
        <v>60000</v>
      </c>
      <c r="F17" s="167">
        <v>60000</v>
      </c>
      <c r="G17" s="168">
        <v>120000</v>
      </c>
    </row>
    <row r="18" spans="1:7" x14ac:dyDescent="0.3">
      <c r="A18" s="166">
        <v>7558601971</v>
      </c>
      <c r="B18" s="166" t="s">
        <v>184</v>
      </c>
      <c r="C18" s="166" t="s">
        <v>185</v>
      </c>
      <c r="D18" s="166" t="s">
        <v>186</v>
      </c>
      <c r="E18" s="167">
        <v>60000</v>
      </c>
      <c r="F18" s="167">
        <v>60000</v>
      </c>
      <c r="G18" s="168">
        <v>120000</v>
      </c>
    </row>
    <row r="19" spans="1:7" x14ac:dyDescent="0.3">
      <c r="A19" s="166">
        <v>4938603090</v>
      </c>
      <c r="B19" s="166" t="s">
        <v>187</v>
      </c>
      <c r="C19" s="166" t="s">
        <v>188</v>
      </c>
      <c r="D19" s="166" t="s">
        <v>186</v>
      </c>
      <c r="E19" s="167">
        <v>60000</v>
      </c>
      <c r="F19" s="167">
        <v>60000</v>
      </c>
      <c r="G19" s="168">
        <v>120000</v>
      </c>
    </row>
    <row r="20" spans="1:7" x14ac:dyDescent="0.3">
      <c r="A20" s="166">
        <v>5208802422</v>
      </c>
      <c r="B20" s="166" t="s">
        <v>189</v>
      </c>
      <c r="C20" s="166" t="s">
        <v>190</v>
      </c>
      <c r="D20" s="166" t="s">
        <v>191</v>
      </c>
      <c r="E20" s="167">
        <v>60000</v>
      </c>
      <c r="F20" s="167">
        <v>60000</v>
      </c>
      <c r="G20" s="168">
        <v>120000</v>
      </c>
    </row>
    <row r="21" spans="1:7" x14ac:dyDescent="0.3">
      <c r="A21" s="166">
        <v>8603801006</v>
      </c>
      <c r="B21" s="166" t="s">
        <v>192</v>
      </c>
      <c r="C21" s="166" t="s">
        <v>193</v>
      </c>
      <c r="D21" s="166" t="s">
        <v>191</v>
      </c>
      <c r="E21" s="167">
        <v>60000</v>
      </c>
      <c r="F21" s="167">
        <v>60000</v>
      </c>
      <c r="G21" s="168">
        <v>120000</v>
      </c>
    </row>
    <row r="22" spans="1:7" x14ac:dyDescent="0.3">
      <c r="A22" s="166">
        <v>4548102242</v>
      </c>
      <c r="B22" s="166" t="s">
        <v>194</v>
      </c>
      <c r="C22" s="166" t="s">
        <v>195</v>
      </c>
      <c r="D22" s="166" t="s">
        <v>196</v>
      </c>
      <c r="E22" s="167">
        <v>60000</v>
      </c>
      <c r="F22" s="167">
        <v>60000</v>
      </c>
      <c r="G22" s="168">
        <v>120000</v>
      </c>
    </row>
    <row r="23" spans="1:7" x14ac:dyDescent="0.3">
      <c r="A23" s="166">
        <v>7540302557</v>
      </c>
      <c r="B23" s="166" t="s">
        <v>197</v>
      </c>
      <c r="C23" s="166" t="s">
        <v>198</v>
      </c>
      <c r="D23" s="166" t="s">
        <v>199</v>
      </c>
      <c r="E23" s="167">
        <v>60000</v>
      </c>
      <c r="F23" s="167">
        <v>60000</v>
      </c>
      <c r="G23" s="168">
        <v>120000</v>
      </c>
    </row>
    <row r="24" spans="1:7" x14ac:dyDescent="0.3">
      <c r="A24" s="166">
        <v>6458603726</v>
      </c>
      <c r="B24" s="166" t="s">
        <v>200</v>
      </c>
      <c r="C24" s="166" t="s">
        <v>201</v>
      </c>
      <c r="D24" s="166" t="s">
        <v>199</v>
      </c>
      <c r="E24" s="167">
        <v>60000</v>
      </c>
      <c r="F24" s="167">
        <v>60000</v>
      </c>
      <c r="G24" s="168">
        <v>120000</v>
      </c>
    </row>
    <row r="25" spans="1:7" x14ac:dyDescent="0.3">
      <c r="A25" s="166">
        <v>1988603216</v>
      </c>
      <c r="B25" s="166" t="s">
        <v>202</v>
      </c>
      <c r="C25" s="166" t="s">
        <v>203</v>
      </c>
      <c r="D25" s="166" t="s">
        <v>204</v>
      </c>
      <c r="E25" s="167">
        <v>60000</v>
      </c>
      <c r="F25" s="167">
        <v>60000</v>
      </c>
      <c r="G25" s="168">
        <v>120000</v>
      </c>
    </row>
    <row r="26" spans="1:7" x14ac:dyDescent="0.3">
      <c r="A26" s="166">
        <v>1598602395</v>
      </c>
      <c r="B26" s="166" t="s">
        <v>205</v>
      </c>
      <c r="C26" s="166" t="s">
        <v>206</v>
      </c>
      <c r="D26" s="166" t="s">
        <v>204</v>
      </c>
      <c r="E26" s="167">
        <v>60000</v>
      </c>
      <c r="F26" s="167">
        <v>60000</v>
      </c>
      <c r="G26" s="168">
        <v>120000</v>
      </c>
    </row>
    <row r="27" spans="1:7" x14ac:dyDescent="0.3">
      <c r="A27" s="166">
        <v>5888702718</v>
      </c>
      <c r="B27" s="166" t="s">
        <v>207</v>
      </c>
      <c r="C27" s="166" t="s">
        <v>208</v>
      </c>
      <c r="D27" s="166" t="s">
        <v>209</v>
      </c>
      <c r="E27" s="167">
        <v>60000</v>
      </c>
      <c r="F27" s="167">
        <v>60000</v>
      </c>
      <c r="G27" s="168">
        <v>120000</v>
      </c>
    </row>
    <row r="28" spans="1:7" x14ac:dyDescent="0.3">
      <c r="A28" s="166">
        <v>4188602921</v>
      </c>
      <c r="B28" s="166" t="s">
        <v>210</v>
      </c>
      <c r="C28" s="166" t="s">
        <v>211</v>
      </c>
      <c r="D28" s="166" t="s">
        <v>209</v>
      </c>
      <c r="E28" s="167">
        <v>60000</v>
      </c>
      <c r="F28" s="167">
        <v>60000</v>
      </c>
      <c r="G28" s="168">
        <v>120000</v>
      </c>
    </row>
    <row r="29" spans="1:7" x14ac:dyDescent="0.3">
      <c r="A29" s="166">
        <v>4198102818</v>
      </c>
      <c r="B29" s="166" t="s">
        <v>212</v>
      </c>
      <c r="C29" s="166" t="s">
        <v>213</v>
      </c>
      <c r="D29" s="166" t="s">
        <v>214</v>
      </c>
      <c r="E29" s="167">
        <v>60000</v>
      </c>
      <c r="F29" s="167">
        <v>60000</v>
      </c>
      <c r="G29" s="168">
        <v>120000</v>
      </c>
    </row>
    <row r="30" spans="1:7" x14ac:dyDescent="0.3">
      <c r="A30" s="166">
        <v>3298601879</v>
      </c>
      <c r="B30" s="166" t="s">
        <v>215</v>
      </c>
      <c r="C30" s="166" t="s">
        <v>216</v>
      </c>
      <c r="D30" s="166" t="s">
        <v>214</v>
      </c>
      <c r="E30" s="167">
        <v>60000</v>
      </c>
      <c r="F30" s="167">
        <v>60000</v>
      </c>
      <c r="G30" s="168">
        <v>120000</v>
      </c>
    </row>
    <row r="31" spans="1:7" x14ac:dyDescent="0.3">
      <c r="A31" s="166">
        <v>4228602783</v>
      </c>
      <c r="B31" s="166" t="s">
        <v>217</v>
      </c>
      <c r="C31" s="166" t="s">
        <v>218</v>
      </c>
      <c r="D31" s="166" t="s">
        <v>219</v>
      </c>
      <c r="E31" s="167">
        <v>60000</v>
      </c>
      <c r="F31" s="167">
        <v>60000</v>
      </c>
      <c r="G31" s="168">
        <v>120000</v>
      </c>
    </row>
    <row r="32" spans="1:7" x14ac:dyDescent="0.3">
      <c r="A32" s="166">
        <v>6418102981</v>
      </c>
      <c r="B32" s="166" t="s">
        <v>220</v>
      </c>
      <c r="C32" s="166" t="s">
        <v>221</v>
      </c>
      <c r="D32" s="166" t="s">
        <v>222</v>
      </c>
      <c r="E32" s="167">
        <v>60000</v>
      </c>
      <c r="F32" s="167">
        <v>60000</v>
      </c>
      <c r="G32" s="168">
        <v>120000</v>
      </c>
    </row>
    <row r="33" spans="1:7" x14ac:dyDescent="0.3">
      <c r="A33" s="166">
        <v>6468101411</v>
      </c>
      <c r="B33" s="166" t="s">
        <v>223</v>
      </c>
      <c r="C33" s="166" t="s">
        <v>224</v>
      </c>
      <c r="D33" s="166" t="s">
        <v>222</v>
      </c>
      <c r="E33" s="167">
        <v>60000</v>
      </c>
      <c r="F33" s="167">
        <v>60000</v>
      </c>
      <c r="G33" s="168">
        <v>120000</v>
      </c>
    </row>
    <row r="34" spans="1:7" x14ac:dyDescent="0.3">
      <c r="A34" s="166">
        <v>1168178082</v>
      </c>
      <c r="B34" s="166" t="s">
        <v>225</v>
      </c>
      <c r="C34" s="166" t="s">
        <v>226</v>
      </c>
      <c r="D34" s="166" t="s">
        <v>227</v>
      </c>
      <c r="E34" s="167">
        <v>60000</v>
      </c>
      <c r="F34" s="167">
        <v>60000</v>
      </c>
      <c r="G34" s="168">
        <v>120000</v>
      </c>
    </row>
    <row r="35" spans="1:7" x14ac:dyDescent="0.3">
      <c r="A35" s="166">
        <v>7248602525</v>
      </c>
      <c r="B35" s="166" t="s">
        <v>228</v>
      </c>
      <c r="C35" s="166" t="s">
        <v>229</v>
      </c>
      <c r="D35" s="166" t="s">
        <v>227</v>
      </c>
      <c r="E35" s="167">
        <v>60000</v>
      </c>
      <c r="F35" s="167">
        <v>60000</v>
      </c>
      <c r="G35" s="168">
        <v>120000</v>
      </c>
    </row>
    <row r="36" spans="1:7" x14ac:dyDescent="0.3">
      <c r="A36" s="166">
        <v>3028602723</v>
      </c>
      <c r="B36" s="166" t="s">
        <v>230</v>
      </c>
      <c r="C36" s="166" t="s">
        <v>231</v>
      </c>
      <c r="D36" s="166" t="s">
        <v>232</v>
      </c>
      <c r="E36" s="167">
        <v>60000</v>
      </c>
      <c r="F36" s="167">
        <v>60000</v>
      </c>
      <c r="G36" s="168">
        <v>120000</v>
      </c>
    </row>
    <row r="37" spans="1:7" x14ac:dyDescent="0.3">
      <c r="A37" s="166">
        <v>8200802918</v>
      </c>
      <c r="B37" s="166" t="s">
        <v>233</v>
      </c>
      <c r="C37" s="166" t="s">
        <v>234</v>
      </c>
      <c r="D37" s="166" t="s">
        <v>232</v>
      </c>
      <c r="E37" s="167">
        <v>60000</v>
      </c>
      <c r="F37" s="167">
        <v>60000</v>
      </c>
      <c r="G37" s="168">
        <v>120000</v>
      </c>
    </row>
    <row r="38" spans="1:7" x14ac:dyDescent="0.3">
      <c r="A38" s="166">
        <v>8118801765</v>
      </c>
      <c r="B38" s="166" t="s">
        <v>235</v>
      </c>
      <c r="C38" s="166" t="s">
        <v>236</v>
      </c>
      <c r="D38" s="166" t="s">
        <v>237</v>
      </c>
      <c r="E38" s="167">
        <v>60000</v>
      </c>
      <c r="F38" s="167">
        <v>60000</v>
      </c>
      <c r="G38" s="168">
        <v>120000</v>
      </c>
    </row>
    <row r="39" spans="1:7" x14ac:dyDescent="0.3">
      <c r="A39" s="166">
        <v>4408702513</v>
      </c>
      <c r="B39" s="166" t="s">
        <v>238</v>
      </c>
      <c r="C39" s="166" t="s">
        <v>239</v>
      </c>
      <c r="D39" s="166" t="s">
        <v>237</v>
      </c>
      <c r="E39" s="167">
        <v>60000</v>
      </c>
      <c r="F39" s="167">
        <v>60000</v>
      </c>
      <c r="G39" s="168">
        <v>120000</v>
      </c>
    </row>
    <row r="40" spans="1:7" x14ac:dyDescent="0.3">
      <c r="A40" s="166">
        <v>7978602028</v>
      </c>
      <c r="B40" s="166" t="s">
        <v>240</v>
      </c>
      <c r="C40" s="166" t="s">
        <v>241</v>
      </c>
      <c r="D40" s="166" t="s">
        <v>242</v>
      </c>
      <c r="E40" s="167">
        <v>60000</v>
      </c>
      <c r="F40" s="167">
        <v>60000</v>
      </c>
      <c r="G40" s="168">
        <v>120000</v>
      </c>
    </row>
    <row r="41" spans="1:7" x14ac:dyDescent="0.3">
      <c r="A41" s="166">
        <v>6528102225</v>
      </c>
      <c r="B41" s="166" t="s">
        <v>243</v>
      </c>
      <c r="C41" s="166" t="s">
        <v>244</v>
      </c>
      <c r="D41" s="166" t="s">
        <v>245</v>
      </c>
      <c r="E41" s="167">
        <v>60000</v>
      </c>
      <c r="F41" s="167">
        <v>60000</v>
      </c>
      <c r="G41" s="168">
        <v>120000</v>
      </c>
    </row>
    <row r="42" spans="1:7" x14ac:dyDescent="0.3">
      <c r="A42" s="166">
        <v>5978802247</v>
      </c>
      <c r="B42" s="166" t="s">
        <v>246</v>
      </c>
      <c r="C42" s="166" t="s">
        <v>247</v>
      </c>
      <c r="D42" s="166" t="s">
        <v>245</v>
      </c>
      <c r="E42" s="167">
        <v>60000</v>
      </c>
      <c r="F42" s="167">
        <v>60000</v>
      </c>
      <c r="G42" s="168">
        <v>120000</v>
      </c>
    </row>
    <row r="43" spans="1:7" x14ac:dyDescent="0.3">
      <c r="A43" s="166">
        <v>2370901720</v>
      </c>
      <c r="B43" s="166" t="s">
        <v>248</v>
      </c>
      <c r="C43" s="166" t="s">
        <v>249</v>
      </c>
      <c r="D43" s="166" t="s">
        <v>250</v>
      </c>
      <c r="E43" s="167">
        <v>60000</v>
      </c>
      <c r="F43" s="167">
        <v>60000</v>
      </c>
      <c r="G43" s="168">
        <v>120000</v>
      </c>
    </row>
    <row r="44" spans="1:7" x14ac:dyDescent="0.3">
      <c r="A44" s="166">
        <v>5968703116</v>
      </c>
      <c r="B44" s="166" t="s">
        <v>251</v>
      </c>
      <c r="C44" s="166" t="s">
        <v>252</v>
      </c>
      <c r="D44" s="166" t="s">
        <v>250</v>
      </c>
      <c r="E44" s="167">
        <v>60000</v>
      </c>
      <c r="F44" s="167">
        <v>60000</v>
      </c>
      <c r="G44" s="168">
        <v>120000</v>
      </c>
    </row>
    <row r="45" spans="1:7" x14ac:dyDescent="0.3">
      <c r="A45" s="166">
        <v>3858101438</v>
      </c>
      <c r="B45" s="166" t="s">
        <v>253</v>
      </c>
      <c r="C45" s="166" t="s">
        <v>254</v>
      </c>
      <c r="D45" s="166" t="s">
        <v>255</v>
      </c>
      <c r="E45" s="167">
        <v>60000</v>
      </c>
      <c r="F45" s="167">
        <v>60000</v>
      </c>
      <c r="G45" s="168">
        <v>120000</v>
      </c>
    </row>
    <row r="46" spans="1:7" x14ac:dyDescent="0.3">
      <c r="A46" s="166">
        <v>1988602686</v>
      </c>
      <c r="B46" s="166" t="s">
        <v>256</v>
      </c>
      <c r="C46" s="166" t="s">
        <v>257</v>
      </c>
      <c r="D46" s="166" t="s">
        <v>255</v>
      </c>
      <c r="E46" s="167">
        <v>60000</v>
      </c>
      <c r="F46" s="167">
        <v>60000</v>
      </c>
      <c r="G46" s="168">
        <v>120000</v>
      </c>
    </row>
    <row r="47" spans="1:7" x14ac:dyDescent="0.3">
      <c r="A47" s="166">
        <v>7788100795</v>
      </c>
      <c r="B47" s="166" t="s">
        <v>258</v>
      </c>
      <c r="C47" s="166" t="s">
        <v>259</v>
      </c>
      <c r="D47" s="166" t="s">
        <v>260</v>
      </c>
      <c r="E47" s="167">
        <v>60000</v>
      </c>
      <c r="F47" s="167">
        <v>60000</v>
      </c>
      <c r="G47" s="168">
        <v>120000</v>
      </c>
    </row>
    <row r="48" spans="1:7" x14ac:dyDescent="0.3">
      <c r="A48" s="166">
        <v>4084001117</v>
      </c>
      <c r="B48" s="166" t="s">
        <v>261</v>
      </c>
      <c r="C48" s="166" t="s">
        <v>262</v>
      </c>
      <c r="D48" s="166" t="s">
        <v>260</v>
      </c>
      <c r="E48" s="167">
        <v>60000</v>
      </c>
      <c r="F48" s="167">
        <v>60000</v>
      </c>
      <c r="G48" s="168">
        <v>120000</v>
      </c>
    </row>
    <row r="49" spans="1:7" x14ac:dyDescent="0.3">
      <c r="A49" s="166">
        <v>2268702431</v>
      </c>
      <c r="B49" s="166" t="s">
        <v>263</v>
      </c>
      <c r="C49" s="166" t="s">
        <v>264</v>
      </c>
      <c r="D49" s="166" t="s">
        <v>265</v>
      </c>
      <c r="E49" s="167">
        <v>60000</v>
      </c>
      <c r="F49" s="167">
        <v>60000</v>
      </c>
      <c r="G49" s="168">
        <v>120000</v>
      </c>
    </row>
    <row r="50" spans="1:7" x14ac:dyDescent="0.3">
      <c r="A50" s="166">
        <v>6268702096</v>
      </c>
      <c r="B50" s="166" t="s">
        <v>266</v>
      </c>
      <c r="C50" s="166" t="s">
        <v>267</v>
      </c>
      <c r="D50" s="166" t="s">
        <v>268</v>
      </c>
      <c r="E50" s="167">
        <v>60000</v>
      </c>
      <c r="F50" s="167">
        <v>60000</v>
      </c>
      <c r="G50" s="168">
        <v>120000</v>
      </c>
    </row>
    <row r="51" spans="1:7" x14ac:dyDescent="0.3">
      <c r="A51" s="166">
        <v>2888702778</v>
      </c>
      <c r="B51" s="166" t="s">
        <v>269</v>
      </c>
      <c r="C51" s="166" t="s">
        <v>270</v>
      </c>
      <c r="D51" s="166" t="s">
        <v>268</v>
      </c>
      <c r="E51" s="167">
        <v>60000</v>
      </c>
      <c r="F51" s="167">
        <v>60000</v>
      </c>
      <c r="G51" s="168">
        <v>120000</v>
      </c>
    </row>
    <row r="52" spans="1:7" x14ac:dyDescent="0.3">
      <c r="A52" s="166">
        <v>2248802655</v>
      </c>
      <c r="B52" s="166" t="s">
        <v>271</v>
      </c>
      <c r="C52" s="166" t="s">
        <v>272</v>
      </c>
      <c r="D52" s="166" t="s">
        <v>273</v>
      </c>
      <c r="E52" s="167">
        <v>60000</v>
      </c>
      <c r="F52" s="167">
        <v>60000</v>
      </c>
      <c r="G52" s="168">
        <v>120000</v>
      </c>
    </row>
    <row r="53" spans="1:7" x14ac:dyDescent="0.3">
      <c r="A53" s="166">
        <v>2698602009</v>
      </c>
      <c r="B53" s="166" t="s">
        <v>274</v>
      </c>
      <c r="C53" s="166" t="s">
        <v>275</v>
      </c>
      <c r="D53" s="166" t="s">
        <v>273</v>
      </c>
      <c r="E53" s="167">
        <v>60000</v>
      </c>
      <c r="F53" s="167">
        <v>60000</v>
      </c>
      <c r="G53" s="168">
        <v>120000</v>
      </c>
    </row>
    <row r="54" spans="1:7" x14ac:dyDescent="0.3">
      <c r="A54" s="166">
        <v>1908703000</v>
      </c>
      <c r="B54" s="166" t="s">
        <v>276</v>
      </c>
      <c r="C54" s="166" t="s">
        <v>277</v>
      </c>
      <c r="D54" s="166" t="s">
        <v>278</v>
      </c>
      <c r="E54" s="167">
        <v>60000</v>
      </c>
      <c r="F54" s="167">
        <v>60000</v>
      </c>
      <c r="G54" s="168">
        <v>120000</v>
      </c>
    </row>
    <row r="55" spans="1:7" x14ac:dyDescent="0.3">
      <c r="A55" s="166">
        <v>6658103195</v>
      </c>
      <c r="B55" s="166" t="s">
        <v>279</v>
      </c>
      <c r="C55" s="166" t="s">
        <v>280</v>
      </c>
      <c r="D55" s="166" t="s">
        <v>278</v>
      </c>
      <c r="E55" s="167">
        <v>60000</v>
      </c>
      <c r="F55" s="167">
        <v>60000</v>
      </c>
      <c r="G55" s="168">
        <v>120000</v>
      </c>
    </row>
    <row r="56" spans="1:7" x14ac:dyDescent="0.3">
      <c r="A56" s="166">
        <v>1428702657</v>
      </c>
      <c r="B56" s="166" t="s">
        <v>281</v>
      </c>
      <c r="C56" s="166" t="s">
        <v>282</v>
      </c>
      <c r="D56" s="166" t="s">
        <v>283</v>
      </c>
      <c r="E56" s="167">
        <v>60000</v>
      </c>
      <c r="F56" s="167">
        <v>60000</v>
      </c>
      <c r="G56" s="168">
        <v>120000</v>
      </c>
    </row>
    <row r="57" spans="1:7" x14ac:dyDescent="0.3">
      <c r="A57" s="166">
        <v>4408802223</v>
      </c>
      <c r="B57" s="166" t="s">
        <v>284</v>
      </c>
      <c r="C57" s="166" t="s">
        <v>285</v>
      </c>
      <c r="D57" s="166" t="s">
        <v>283</v>
      </c>
      <c r="E57" s="167">
        <v>60000</v>
      </c>
      <c r="F57" s="167">
        <v>60000</v>
      </c>
      <c r="G57" s="168">
        <v>120000</v>
      </c>
    </row>
    <row r="58" spans="1:7" x14ac:dyDescent="0.3">
      <c r="A58" s="166">
        <v>6126400635</v>
      </c>
      <c r="B58" s="166" t="s">
        <v>286</v>
      </c>
      <c r="C58" s="166" t="s">
        <v>287</v>
      </c>
      <c r="D58" s="166" t="s">
        <v>288</v>
      </c>
      <c r="E58" s="167">
        <v>60000</v>
      </c>
      <c r="F58" s="167">
        <v>60000</v>
      </c>
      <c r="G58" s="168">
        <v>120000</v>
      </c>
    </row>
    <row r="59" spans="1:7" x14ac:dyDescent="0.3">
      <c r="A59" s="166">
        <v>8432600708</v>
      </c>
      <c r="B59" s="166" t="s">
        <v>289</v>
      </c>
      <c r="C59" s="166" t="s">
        <v>290</v>
      </c>
      <c r="D59" s="166" t="s">
        <v>291</v>
      </c>
      <c r="E59" s="167">
        <v>60000</v>
      </c>
      <c r="F59" s="167">
        <v>60000</v>
      </c>
      <c r="G59" s="168">
        <v>120000</v>
      </c>
    </row>
    <row r="60" spans="1:7" x14ac:dyDescent="0.3">
      <c r="A60" s="166">
        <v>1308710135</v>
      </c>
      <c r="B60" s="166" t="s">
        <v>292</v>
      </c>
      <c r="C60" s="166" t="s">
        <v>293</v>
      </c>
      <c r="D60" s="166" t="s">
        <v>291</v>
      </c>
      <c r="E60" s="167">
        <v>60000</v>
      </c>
      <c r="F60" s="167">
        <v>60000</v>
      </c>
      <c r="G60" s="168">
        <v>120000</v>
      </c>
    </row>
    <row r="61" spans="1:7" x14ac:dyDescent="0.3">
      <c r="A61" s="166">
        <v>2221512089</v>
      </c>
      <c r="B61" s="166" t="s">
        <v>294</v>
      </c>
      <c r="C61" s="166" t="s">
        <v>295</v>
      </c>
      <c r="D61" s="166" t="s">
        <v>296</v>
      </c>
      <c r="E61" s="167">
        <v>60000</v>
      </c>
      <c r="F61" s="167">
        <v>60000</v>
      </c>
      <c r="G61" s="168">
        <v>120000</v>
      </c>
    </row>
    <row r="62" spans="1:7" x14ac:dyDescent="0.3">
      <c r="A62" s="166">
        <v>7320103135</v>
      </c>
      <c r="B62" s="166" t="s">
        <v>297</v>
      </c>
      <c r="C62" s="166" t="s">
        <v>298</v>
      </c>
      <c r="D62" s="166" t="s">
        <v>299</v>
      </c>
      <c r="E62" s="167">
        <v>60000</v>
      </c>
      <c r="F62" s="167">
        <v>60000</v>
      </c>
      <c r="G62" s="168">
        <v>120000</v>
      </c>
    </row>
    <row r="63" spans="1:7" x14ac:dyDescent="0.3">
      <c r="A63" s="166">
        <v>8173200559</v>
      </c>
      <c r="B63" s="166" t="s">
        <v>300</v>
      </c>
      <c r="C63" s="166" t="s">
        <v>301</v>
      </c>
      <c r="D63" s="166" t="s">
        <v>299</v>
      </c>
      <c r="E63" s="167">
        <v>60000</v>
      </c>
      <c r="F63" s="167">
        <v>60000</v>
      </c>
      <c r="G63" s="168">
        <v>120000</v>
      </c>
    </row>
    <row r="64" spans="1:7" x14ac:dyDescent="0.3">
      <c r="A64" s="166">
        <v>3078603203</v>
      </c>
      <c r="B64" s="166" t="s">
        <v>302</v>
      </c>
      <c r="C64" s="166" t="s">
        <v>303</v>
      </c>
      <c r="D64" s="166" t="s">
        <v>304</v>
      </c>
      <c r="E64" s="167">
        <v>60000</v>
      </c>
      <c r="F64" s="167">
        <v>60000</v>
      </c>
      <c r="G64" s="168">
        <v>120000</v>
      </c>
    </row>
    <row r="65" spans="1:7" x14ac:dyDescent="0.3">
      <c r="A65" s="166">
        <v>3578602698</v>
      </c>
      <c r="B65" s="166" t="s">
        <v>305</v>
      </c>
      <c r="C65" s="166" t="s">
        <v>306</v>
      </c>
      <c r="D65" s="166" t="s">
        <v>304</v>
      </c>
      <c r="E65" s="167">
        <v>60000</v>
      </c>
      <c r="F65" s="167">
        <v>60000</v>
      </c>
      <c r="G65" s="168">
        <v>120000</v>
      </c>
    </row>
    <row r="66" spans="1:7" x14ac:dyDescent="0.3">
      <c r="A66" s="166">
        <v>7438802777</v>
      </c>
      <c r="B66" s="166" t="s">
        <v>307</v>
      </c>
      <c r="C66" s="166" t="s">
        <v>308</v>
      </c>
      <c r="D66" s="166" t="s">
        <v>309</v>
      </c>
      <c r="E66" s="167">
        <v>60000</v>
      </c>
      <c r="F66" s="167">
        <v>60000</v>
      </c>
      <c r="G66" s="168">
        <v>120000</v>
      </c>
    </row>
    <row r="67" spans="1:7" x14ac:dyDescent="0.3">
      <c r="A67" s="166">
        <v>6638602496</v>
      </c>
      <c r="B67" s="166" t="s">
        <v>310</v>
      </c>
      <c r="C67" s="166" t="s">
        <v>311</v>
      </c>
      <c r="D67" s="166" t="s">
        <v>312</v>
      </c>
      <c r="E67" s="167">
        <v>60000</v>
      </c>
      <c r="F67" s="167">
        <v>60000</v>
      </c>
      <c r="G67" s="168">
        <v>120000</v>
      </c>
    </row>
    <row r="68" spans="1:7" x14ac:dyDescent="0.3">
      <c r="A68" s="166">
        <v>2708702549</v>
      </c>
      <c r="B68" s="166" t="s">
        <v>313</v>
      </c>
      <c r="C68" s="166" t="s">
        <v>314</v>
      </c>
      <c r="D68" s="166" t="s">
        <v>312</v>
      </c>
      <c r="E68" s="167">
        <v>60000</v>
      </c>
      <c r="F68" s="167">
        <v>60000</v>
      </c>
      <c r="G68" s="168">
        <v>120000</v>
      </c>
    </row>
    <row r="69" spans="1:7" x14ac:dyDescent="0.3">
      <c r="A69" s="166">
        <v>6868602956</v>
      </c>
      <c r="B69" s="166" t="s">
        <v>315</v>
      </c>
      <c r="C69" s="166" t="s">
        <v>316</v>
      </c>
      <c r="D69" s="166" t="s">
        <v>317</v>
      </c>
      <c r="E69" s="167">
        <v>60000</v>
      </c>
      <c r="F69" s="167">
        <v>60000</v>
      </c>
      <c r="G69" s="168">
        <v>120000</v>
      </c>
    </row>
    <row r="70" spans="1:7" x14ac:dyDescent="0.3">
      <c r="A70" s="166">
        <v>7958802647</v>
      </c>
      <c r="B70" s="166" t="s">
        <v>318</v>
      </c>
      <c r="C70" s="166" t="s">
        <v>319</v>
      </c>
      <c r="D70" s="166" t="s">
        <v>320</v>
      </c>
      <c r="E70" s="167">
        <v>60000</v>
      </c>
      <c r="F70" s="167">
        <v>60000</v>
      </c>
      <c r="G70" s="168">
        <v>120000</v>
      </c>
    </row>
    <row r="71" spans="1:7" x14ac:dyDescent="0.3">
      <c r="A71" s="166">
        <v>5318103233</v>
      </c>
      <c r="B71" s="166" t="s">
        <v>321</v>
      </c>
      <c r="C71" s="166" t="s">
        <v>322</v>
      </c>
      <c r="D71" s="166" t="s">
        <v>320</v>
      </c>
      <c r="E71" s="167">
        <v>60000</v>
      </c>
      <c r="F71" s="167">
        <v>60000</v>
      </c>
      <c r="G71" s="168">
        <v>120000</v>
      </c>
    </row>
    <row r="72" spans="1:7" x14ac:dyDescent="0.3">
      <c r="A72" s="166">
        <v>1314201002</v>
      </c>
      <c r="B72" s="166" t="s">
        <v>323</v>
      </c>
      <c r="C72" s="166" t="s">
        <v>324</v>
      </c>
      <c r="D72" s="166" t="s">
        <v>325</v>
      </c>
      <c r="E72" s="167">
        <v>60000</v>
      </c>
      <c r="F72" s="167">
        <v>60000</v>
      </c>
      <c r="G72" s="168">
        <v>120000</v>
      </c>
    </row>
    <row r="73" spans="1:7" x14ac:dyDescent="0.3">
      <c r="A73" s="166">
        <v>2238601566</v>
      </c>
      <c r="B73" s="166" t="s">
        <v>326</v>
      </c>
      <c r="C73" s="166" t="s">
        <v>327</v>
      </c>
      <c r="D73" s="166" t="s">
        <v>325</v>
      </c>
      <c r="E73" s="167">
        <v>60000</v>
      </c>
      <c r="F73" s="167">
        <v>60000</v>
      </c>
      <c r="G73" s="168">
        <v>120000</v>
      </c>
    </row>
    <row r="74" spans="1:7" x14ac:dyDescent="0.3">
      <c r="A74" s="166">
        <v>3808601398</v>
      </c>
      <c r="B74" s="166" t="s">
        <v>328</v>
      </c>
      <c r="C74" s="166" t="s">
        <v>329</v>
      </c>
      <c r="D74" s="166" t="s">
        <v>330</v>
      </c>
      <c r="E74" s="167">
        <v>60000</v>
      </c>
      <c r="F74" s="167">
        <v>60000</v>
      </c>
      <c r="G74" s="168">
        <v>120000</v>
      </c>
    </row>
    <row r="75" spans="1:7" x14ac:dyDescent="0.3">
      <c r="A75" s="166">
        <v>1378653889</v>
      </c>
      <c r="B75" s="166" t="s">
        <v>331</v>
      </c>
      <c r="C75" s="166" t="s">
        <v>332</v>
      </c>
      <c r="D75" s="166" t="s">
        <v>333</v>
      </c>
      <c r="E75" s="167">
        <v>60000</v>
      </c>
      <c r="F75" s="167">
        <v>60000</v>
      </c>
      <c r="G75" s="168">
        <v>120000</v>
      </c>
    </row>
    <row r="76" spans="1:7" x14ac:dyDescent="0.3">
      <c r="A76" s="166">
        <v>6998103015</v>
      </c>
      <c r="B76" s="166" t="s">
        <v>334</v>
      </c>
      <c r="C76" s="166" t="s">
        <v>335</v>
      </c>
      <c r="D76" s="166" t="s">
        <v>333</v>
      </c>
      <c r="E76" s="167">
        <v>60000</v>
      </c>
      <c r="F76" s="167">
        <v>60000</v>
      </c>
      <c r="G76" s="168">
        <v>120000</v>
      </c>
    </row>
    <row r="77" spans="1:7" x14ac:dyDescent="0.3">
      <c r="A77" s="166">
        <v>5052320266</v>
      </c>
      <c r="B77" s="166" t="s">
        <v>336</v>
      </c>
      <c r="C77" s="166" t="s">
        <v>337</v>
      </c>
      <c r="D77" s="166" t="s">
        <v>338</v>
      </c>
      <c r="E77" s="167">
        <v>60000</v>
      </c>
      <c r="F77" s="167">
        <v>60000</v>
      </c>
      <c r="G77" s="168">
        <v>120000</v>
      </c>
    </row>
    <row r="78" spans="1:7" x14ac:dyDescent="0.3">
      <c r="A78" s="166">
        <v>1238701870</v>
      </c>
      <c r="B78" s="166" t="s">
        <v>339</v>
      </c>
      <c r="C78" s="166" t="s">
        <v>340</v>
      </c>
      <c r="D78" s="166" t="s">
        <v>338</v>
      </c>
      <c r="E78" s="167">
        <v>60000</v>
      </c>
      <c r="F78" s="167">
        <v>60000</v>
      </c>
      <c r="G78" s="168">
        <v>120000</v>
      </c>
    </row>
    <row r="79" spans="1:7" x14ac:dyDescent="0.3">
      <c r="A79" s="166">
        <v>8128101041</v>
      </c>
      <c r="B79" s="166" t="s">
        <v>341</v>
      </c>
      <c r="C79" s="166" t="s">
        <v>342</v>
      </c>
      <c r="D79" s="166" t="s">
        <v>343</v>
      </c>
      <c r="E79" s="167">
        <v>60000</v>
      </c>
      <c r="F79" s="167">
        <v>60000</v>
      </c>
      <c r="G79" s="168">
        <v>120000</v>
      </c>
    </row>
    <row r="80" spans="1:7" x14ac:dyDescent="0.3">
      <c r="A80" s="166">
        <v>7148602886</v>
      </c>
      <c r="B80" s="166" t="s">
        <v>344</v>
      </c>
      <c r="C80" s="166" t="s">
        <v>345</v>
      </c>
      <c r="D80" s="166" t="s">
        <v>343</v>
      </c>
      <c r="E80" s="167">
        <v>60000</v>
      </c>
      <c r="F80" s="167">
        <v>60000</v>
      </c>
      <c r="G80" s="168">
        <v>120000</v>
      </c>
    </row>
    <row r="81" spans="1:7" x14ac:dyDescent="0.3">
      <c r="A81" s="166">
        <v>3308603315</v>
      </c>
      <c r="B81" s="166" t="s">
        <v>346</v>
      </c>
      <c r="C81" s="166" t="s">
        <v>347</v>
      </c>
      <c r="D81" s="166" t="s">
        <v>348</v>
      </c>
      <c r="E81" s="167">
        <v>60000</v>
      </c>
      <c r="F81" s="167">
        <v>60000</v>
      </c>
      <c r="G81" s="168">
        <v>120000</v>
      </c>
    </row>
    <row r="82" spans="1:7" x14ac:dyDescent="0.3">
      <c r="A82" s="166">
        <v>7938102486</v>
      </c>
      <c r="B82" s="166" t="s">
        <v>349</v>
      </c>
      <c r="C82" s="166" t="s">
        <v>350</v>
      </c>
      <c r="D82" s="166" t="s">
        <v>348</v>
      </c>
      <c r="E82" s="167">
        <v>60000</v>
      </c>
      <c r="F82" s="167">
        <v>60000</v>
      </c>
      <c r="G82" s="168">
        <v>120000</v>
      </c>
    </row>
    <row r="83" spans="1:7" x14ac:dyDescent="0.3">
      <c r="A83" s="166">
        <v>5418603045</v>
      </c>
      <c r="B83" s="166" t="s">
        <v>351</v>
      </c>
      <c r="C83" s="166" t="s">
        <v>352</v>
      </c>
      <c r="D83" s="166" t="s">
        <v>353</v>
      </c>
      <c r="E83" s="167">
        <v>60000</v>
      </c>
      <c r="F83" s="167">
        <v>60000</v>
      </c>
      <c r="G83" s="168">
        <v>120000</v>
      </c>
    </row>
    <row r="84" spans="1:7" x14ac:dyDescent="0.3">
      <c r="A84" s="166">
        <v>7318602334</v>
      </c>
      <c r="B84" s="166" t="s">
        <v>354</v>
      </c>
      <c r="C84" s="166" t="s">
        <v>355</v>
      </c>
      <c r="D84" s="166" t="s">
        <v>356</v>
      </c>
      <c r="E84" s="167">
        <v>60000</v>
      </c>
      <c r="F84" s="167">
        <v>60000</v>
      </c>
      <c r="G84" s="168">
        <v>120000</v>
      </c>
    </row>
    <row r="85" spans="1:7" x14ac:dyDescent="0.3">
      <c r="A85" s="166">
        <v>4621602323</v>
      </c>
      <c r="B85" s="166" t="s">
        <v>357</v>
      </c>
      <c r="C85" s="166" t="s">
        <v>358</v>
      </c>
      <c r="D85" s="166" t="s">
        <v>356</v>
      </c>
      <c r="E85" s="167">
        <v>60000</v>
      </c>
      <c r="F85" s="167">
        <v>60000</v>
      </c>
      <c r="G85" s="168">
        <v>120000</v>
      </c>
    </row>
    <row r="86" spans="1:7" x14ac:dyDescent="0.3">
      <c r="A86" s="166">
        <v>5208703235</v>
      </c>
      <c r="B86" s="166" t="s">
        <v>359</v>
      </c>
      <c r="C86" s="166" t="s">
        <v>360</v>
      </c>
      <c r="D86" s="166" t="s">
        <v>361</v>
      </c>
      <c r="E86" s="167">
        <v>60000</v>
      </c>
      <c r="F86" s="167">
        <v>60000</v>
      </c>
      <c r="G86" s="168">
        <v>120000</v>
      </c>
    </row>
    <row r="87" spans="1:7" x14ac:dyDescent="0.3">
      <c r="A87" s="166">
        <v>6188603025</v>
      </c>
      <c r="B87" s="166" t="s">
        <v>362</v>
      </c>
      <c r="C87" s="166" t="s">
        <v>363</v>
      </c>
      <c r="D87" s="166" t="s">
        <v>361</v>
      </c>
      <c r="E87" s="167">
        <v>60000</v>
      </c>
      <c r="F87" s="167">
        <v>60000</v>
      </c>
      <c r="G87" s="168">
        <v>120000</v>
      </c>
    </row>
    <row r="88" spans="1:7" x14ac:dyDescent="0.3">
      <c r="A88" s="166">
        <v>3808802580</v>
      </c>
      <c r="B88" s="166" t="s">
        <v>364</v>
      </c>
      <c r="C88" s="166" t="s">
        <v>365</v>
      </c>
      <c r="D88" s="166" t="s">
        <v>144</v>
      </c>
      <c r="E88" s="167">
        <v>60000</v>
      </c>
      <c r="F88" s="167">
        <v>60000</v>
      </c>
      <c r="G88" s="168">
        <v>120000</v>
      </c>
    </row>
    <row r="89" spans="1:7" x14ac:dyDescent="0.3">
      <c r="A89" s="166">
        <v>2308801836</v>
      </c>
      <c r="B89" s="166" t="s">
        <v>366</v>
      </c>
      <c r="C89" s="166" t="s">
        <v>367</v>
      </c>
      <c r="D89" s="166" t="s">
        <v>144</v>
      </c>
      <c r="E89" s="167">
        <v>60000</v>
      </c>
      <c r="F89" s="167">
        <v>60000</v>
      </c>
      <c r="G89" s="168">
        <v>120000</v>
      </c>
    </row>
    <row r="90" spans="1:7" x14ac:dyDescent="0.3">
      <c r="A90" s="166">
        <v>7408103104</v>
      </c>
      <c r="B90" s="166" t="s">
        <v>368</v>
      </c>
      <c r="C90" s="166" t="s">
        <v>369</v>
      </c>
      <c r="D90" s="166" t="s">
        <v>149</v>
      </c>
      <c r="E90" s="167">
        <v>60000</v>
      </c>
      <c r="F90" s="167">
        <v>60000</v>
      </c>
      <c r="G90" s="168">
        <v>120000</v>
      </c>
    </row>
    <row r="91" spans="1:7" x14ac:dyDescent="0.3">
      <c r="A91" s="166">
        <v>5908803060</v>
      </c>
      <c r="B91" s="166" t="s">
        <v>370</v>
      </c>
      <c r="C91" s="166" t="s">
        <v>371</v>
      </c>
      <c r="D91" s="166" t="s">
        <v>149</v>
      </c>
      <c r="E91" s="167">
        <v>60000</v>
      </c>
      <c r="F91" s="167">
        <v>60000</v>
      </c>
      <c r="G91" s="168">
        <v>120000</v>
      </c>
    </row>
    <row r="92" spans="1:7" x14ac:dyDescent="0.3">
      <c r="A92" s="166">
        <v>8808802566</v>
      </c>
      <c r="B92" s="166" t="s">
        <v>372</v>
      </c>
      <c r="C92" s="166" t="s">
        <v>373</v>
      </c>
      <c r="D92" s="166" t="s">
        <v>154</v>
      </c>
      <c r="E92" s="167">
        <v>60000</v>
      </c>
      <c r="F92" s="167">
        <v>60000</v>
      </c>
      <c r="G92" s="168">
        <v>120000</v>
      </c>
    </row>
    <row r="93" spans="1:7" x14ac:dyDescent="0.3">
      <c r="A93" s="166">
        <v>6848801824</v>
      </c>
      <c r="B93" s="166" t="s">
        <v>374</v>
      </c>
      <c r="C93" s="166" t="s">
        <v>375</v>
      </c>
      <c r="D93" s="166" t="s">
        <v>157</v>
      </c>
      <c r="E93" s="167">
        <v>60000</v>
      </c>
      <c r="F93" s="167">
        <v>60000</v>
      </c>
      <c r="G93" s="168">
        <v>120000</v>
      </c>
    </row>
    <row r="94" spans="1:7" x14ac:dyDescent="0.3">
      <c r="A94" s="166">
        <v>2398103147</v>
      </c>
      <c r="B94" s="166" t="s">
        <v>376</v>
      </c>
      <c r="C94" s="166" t="s">
        <v>377</v>
      </c>
      <c r="D94" s="166" t="s">
        <v>157</v>
      </c>
      <c r="E94" s="167">
        <v>60000</v>
      </c>
      <c r="F94" s="167">
        <v>60000</v>
      </c>
      <c r="G94" s="168">
        <v>120000</v>
      </c>
    </row>
    <row r="95" spans="1:7" x14ac:dyDescent="0.3">
      <c r="A95" s="166">
        <v>2828603199</v>
      </c>
      <c r="B95" s="166" t="s">
        <v>378</v>
      </c>
      <c r="C95" s="166" t="s">
        <v>379</v>
      </c>
      <c r="D95" s="166" t="s">
        <v>162</v>
      </c>
      <c r="E95" s="167">
        <v>60000</v>
      </c>
      <c r="F95" s="167">
        <v>60000</v>
      </c>
      <c r="G95" s="168">
        <v>120000</v>
      </c>
    </row>
    <row r="96" spans="1:7" x14ac:dyDescent="0.3">
      <c r="A96" s="166">
        <v>5278702988</v>
      </c>
      <c r="B96" s="166" t="s">
        <v>380</v>
      </c>
      <c r="C96" s="166" t="s">
        <v>381</v>
      </c>
      <c r="D96" s="166" t="s">
        <v>183</v>
      </c>
      <c r="E96" s="167">
        <v>60000</v>
      </c>
      <c r="F96" s="167">
        <v>60000</v>
      </c>
      <c r="G96" s="168">
        <v>120000</v>
      </c>
    </row>
    <row r="97" spans="1:7" x14ac:dyDescent="0.3">
      <c r="A97" s="166">
        <v>8258600970</v>
      </c>
      <c r="B97" s="166" t="s">
        <v>382</v>
      </c>
      <c r="C97" s="166" t="s">
        <v>383</v>
      </c>
      <c r="D97" s="166" t="s">
        <v>165</v>
      </c>
      <c r="E97" s="167">
        <v>60000</v>
      </c>
      <c r="F97" s="167">
        <v>60000</v>
      </c>
      <c r="G97" s="168">
        <v>120000</v>
      </c>
    </row>
    <row r="98" spans="1:7" x14ac:dyDescent="0.3">
      <c r="A98" s="166">
        <v>7808802586</v>
      </c>
      <c r="B98" s="166" t="s">
        <v>384</v>
      </c>
      <c r="C98" s="166" t="s">
        <v>385</v>
      </c>
      <c r="D98" s="166" t="s">
        <v>165</v>
      </c>
      <c r="E98" s="167">
        <v>60000</v>
      </c>
      <c r="F98" s="167">
        <v>60000</v>
      </c>
      <c r="G98" s="168">
        <v>120000</v>
      </c>
    </row>
    <row r="99" spans="1:7" x14ac:dyDescent="0.3">
      <c r="A99" s="166">
        <v>1448138601</v>
      </c>
      <c r="B99" s="166" t="s">
        <v>386</v>
      </c>
      <c r="C99" s="166" t="s">
        <v>387</v>
      </c>
      <c r="D99" s="166" t="s">
        <v>170</v>
      </c>
      <c r="E99" s="167">
        <v>60000</v>
      </c>
      <c r="F99" s="167">
        <v>60000</v>
      </c>
      <c r="G99" s="168">
        <v>120000</v>
      </c>
    </row>
    <row r="100" spans="1:7" x14ac:dyDescent="0.3">
      <c r="A100" s="166">
        <v>2838603377</v>
      </c>
      <c r="B100" s="166" t="s">
        <v>388</v>
      </c>
      <c r="C100" s="166" t="s">
        <v>389</v>
      </c>
      <c r="D100" s="166" t="s">
        <v>170</v>
      </c>
      <c r="E100" s="167">
        <v>60000</v>
      </c>
      <c r="F100" s="167">
        <v>60000</v>
      </c>
      <c r="G100" s="168">
        <v>120000</v>
      </c>
    </row>
    <row r="101" spans="1:7" x14ac:dyDescent="0.3">
      <c r="A101" s="166">
        <v>3968802834</v>
      </c>
      <c r="B101" s="166" t="s">
        <v>390</v>
      </c>
      <c r="C101" s="166" t="s">
        <v>391</v>
      </c>
      <c r="D101" s="166" t="s">
        <v>175</v>
      </c>
      <c r="E101" s="167">
        <v>60000</v>
      </c>
      <c r="F101" s="167">
        <v>60000</v>
      </c>
      <c r="G101" s="168">
        <v>120000</v>
      </c>
    </row>
    <row r="102" spans="1:7" x14ac:dyDescent="0.3">
      <c r="A102" s="166">
        <v>6838803042</v>
      </c>
      <c r="B102" s="166" t="s">
        <v>392</v>
      </c>
      <c r="C102" s="166" t="s">
        <v>393</v>
      </c>
      <c r="D102" s="166" t="s">
        <v>178</v>
      </c>
      <c r="E102" s="167">
        <v>60000</v>
      </c>
      <c r="F102" s="167">
        <v>60000</v>
      </c>
      <c r="G102" s="168">
        <v>120000</v>
      </c>
    </row>
    <row r="103" spans="1:7" x14ac:dyDescent="0.3">
      <c r="A103" s="166">
        <v>8034300712</v>
      </c>
      <c r="B103" s="166" t="s">
        <v>394</v>
      </c>
      <c r="C103" s="166" t="s">
        <v>395</v>
      </c>
      <c r="D103" s="166" t="s">
        <v>178</v>
      </c>
      <c r="E103" s="167">
        <v>60000</v>
      </c>
      <c r="F103" s="167">
        <v>60000</v>
      </c>
      <c r="G103" s="168">
        <v>120000</v>
      </c>
    </row>
    <row r="104" spans="1:7" x14ac:dyDescent="0.3">
      <c r="A104" s="166">
        <v>1568802406</v>
      </c>
      <c r="B104" s="166" t="s">
        <v>396</v>
      </c>
      <c r="C104" s="166" t="s">
        <v>397</v>
      </c>
      <c r="D104" s="166" t="s">
        <v>186</v>
      </c>
      <c r="E104" s="167">
        <v>60000</v>
      </c>
      <c r="F104" s="167">
        <v>60000</v>
      </c>
      <c r="G104" s="168">
        <v>120000</v>
      </c>
    </row>
    <row r="105" spans="1:7" x14ac:dyDescent="0.3">
      <c r="A105" s="166">
        <v>6128155627</v>
      </c>
      <c r="B105" s="166" t="s">
        <v>398</v>
      </c>
      <c r="C105" s="166" t="s">
        <v>399</v>
      </c>
      <c r="D105" s="166" t="s">
        <v>186</v>
      </c>
      <c r="E105" s="167">
        <v>60000</v>
      </c>
      <c r="F105" s="167">
        <v>60000</v>
      </c>
      <c r="G105" s="168">
        <v>120000</v>
      </c>
    </row>
    <row r="106" spans="1:7" x14ac:dyDescent="0.3">
      <c r="A106" s="166">
        <v>2828603302</v>
      </c>
      <c r="B106" s="166" t="s">
        <v>400</v>
      </c>
      <c r="C106" s="166" t="s">
        <v>401</v>
      </c>
      <c r="D106" s="166" t="s">
        <v>191</v>
      </c>
      <c r="E106" s="167">
        <v>60000</v>
      </c>
      <c r="F106" s="167">
        <v>60000</v>
      </c>
      <c r="G106" s="168">
        <v>120000</v>
      </c>
    </row>
    <row r="107" spans="1:7" x14ac:dyDescent="0.3">
      <c r="A107" s="166">
        <v>2788102949</v>
      </c>
      <c r="B107" s="166" t="s">
        <v>402</v>
      </c>
      <c r="C107" s="166" t="s">
        <v>403</v>
      </c>
      <c r="D107" s="166" t="s">
        <v>191</v>
      </c>
      <c r="E107" s="167">
        <v>60000</v>
      </c>
      <c r="F107" s="167">
        <v>60000</v>
      </c>
      <c r="G107" s="168">
        <v>120000</v>
      </c>
    </row>
    <row r="108" spans="1:7" x14ac:dyDescent="0.3">
      <c r="A108" s="166">
        <v>6598702572</v>
      </c>
      <c r="B108" s="166" t="s">
        <v>404</v>
      </c>
      <c r="C108" s="166" t="s">
        <v>405</v>
      </c>
      <c r="D108" s="166" t="s">
        <v>196</v>
      </c>
      <c r="E108" s="167">
        <v>60000</v>
      </c>
      <c r="F108" s="167">
        <v>60000</v>
      </c>
      <c r="G108" s="168">
        <v>120000</v>
      </c>
    </row>
    <row r="109" spans="1:7" x14ac:dyDescent="0.3">
      <c r="A109" s="166">
        <v>1418149680</v>
      </c>
      <c r="B109" s="166" t="s">
        <v>406</v>
      </c>
      <c r="C109" s="166" t="s">
        <v>407</v>
      </c>
      <c r="D109" s="166" t="s">
        <v>199</v>
      </c>
      <c r="E109" s="167">
        <v>60000</v>
      </c>
      <c r="F109" s="167">
        <v>60000</v>
      </c>
      <c r="G109" s="168">
        <v>120000</v>
      </c>
    </row>
    <row r="110" spans="1:7" x14ac:dyDescent="0.3">
      <c r="A110" s="166">
        <v>8888103032</v>
      </c>
      <c r="B110" s="166" t="s">
        <v>408</v>
      </c>
      <c r="C110" s="166" t="s">
        <v>409</v>
      </c>
      <c r="D110" s="166" t="s">
        <v>199</v>
      </c>
      <c r="E110" s="167">
        <v>60000</v>
      </c>
      <c r="F110" s="167">
        <v>60000</v>
      </c>
      <c r="G110" s="168">
        <v>120000</v>
      </c>
    </row>
    <row r="111" spans="1:7" x14ac:dyDescent="0.3">
      <c r="A111" s="166">
        <v>1298702902</v>
      </c>
      <c r="B111" s="166" t="s">
        <v>410</v>
      </c>
      <c r="C111" s="166" t="s">
        <v>411</v>
      </c>
      <c r="D111" s="166" t="s">
        <v>209</v>
      </c>
      <c r="E111" s="167">
        <v>60000</v>
      </c>
      <c r="F111" s="167">
        <v>60000</v>
      </c>
      <c r="G111" s="168">
        <v>120000</v>
      </c>
    </row>
    <row r="112" spans="1:7" x14ac:dyDescent="0.3">
      <c r="A112" s="166">
        <v>2878703022</v>
      </c>
      <c r="B112" s="166" t="s">
        <v>412</v>
      </c>
      <c r="C112" s="166" t="s">
        <v>413</v>
      </c>
      <c r="D112" s="166" t="s">
        <v>209</v>
      </c>
      <c r="E112" s="167">
        <v>60000</v>
      </c>
      <c r="F112" s="167">
        <v>60000</v>
      </c>
      <c r="G112" s="168">
        <v>120000</v>
      </c>
    </row>
    <row r="113" spans="1:7" x14ac:dyDescent="0.3">
      <c r="A113" s="166">
        <v>4308701195</v>
      </c>
      <c r="B113" s="166" t="s">
        <v>414</v>
      </c>
      <c r="C113" s="166" t="s">
        <v>415</v>
      </c>
      <c r="D113" s="166" t="s">
        <v>214</v>
      </c>
      <c r="E113" s="167">
        <v>60000</v>
      </c>
      <c r="F113" s="167">
        <v>60000</v>
      </c>
      <c r="G113" s="168">
        <v>120000</v>
      </c>
    </row>
    <row r="114" spans="1:7" x14ac:dyDescent="0.3">
      <c r="A114" s="166">
        <v>3198802822</v>
      </c>
      <c r="B114" s="166" t="s">
        <v>416</v>
      </c>
      <c r="C114" s="166" t="s">
        <v>417</v>
      </c>
      <c r="D114" s="166" t="s">
        <v>214</v>
      </c>
      <c r="E114" s="167">
        <v>60000</v>
      </c>
      <c r="F114" s="167">
        <v>60000</v>
      </c>
      <c r="G114" s="168">
        <v>120000</v>
      </c>
    </row>
    <row r="115" spans="1:7" x14ac:dyDescent="0.3">
      <c r="A115" s="166">
        <v>6838703064</v>
      </c>
      <c r="B115" s="166" t="s">
        <v>418</v>
      </c>
      <c r="C115" s="166" t="s">
        <v>419</v>
      </c>
      <c r="D115" s="166" t="s">
        <v>219</v>
      </c>
      <c r="E115" s="167">
        <v>60000</v>
      </c>
      <c r="F115" s="167">
        <v>60000</v>
      </c>
      <c r="G115" s="168">
        <v>120000</v>
      </c>
    </row>
    <row r="116" spans="1:7" x14ac:dyDescent="0.3">
      <c r="A116" s="166">
        <v>3518102604</v>
      </c>
      <c r="B116" s="166" t="s">
        <v>420</v>
      </c>
      <c r="C116" s="166" t="s">
        <v>421</v>
      </c>
      <c r="D116" s="166" t="s">
        <v>222</v>
      </c>
      <c r="E116" s="167">
        <v>60000</v>
      </c>
      <c r="F116" s="167">
        <v>60000</v>
      </c>
      <c r="G116" s="168">
        <v>120000</v>
      </c>
    </row>
    <row r="117" spans="1:7" x14ac:dyDescent="0.3">
      <c r="A117" s="166">
        <v>5268102926</v>
      </c>
      <c r="B117" s="166" t="s">
        <v>422</v>
      </c>
      <c r="C117" s="166" t="s">
        <v>423</v>
      </c>
      <c r="D117" s="166" t="s">
        <v>222</v>
      </c>
      <c r="E117" s="167">
        <v>60000</v>
      </c>
      <c r="F117" s="167">
        <v>60000</v>
      </c>
      <c r="G117" s="168">
        <v>120000</v>
      </c>
    </row>
    <row r="118" spans="1:7" x14ac:dyDescent="0.3">
      <c r="A118" s="166">
        <v>5810601077</v>
      </c>
      <c r="B118" s="166" t="s">
        <v>424</v>
      </c>
      <c r="C118" s="166" t="s">
        <v>425</v>
      </c>
      <c r="D118" s="166" t="s">
        <v>227</v>
      </c>
      <c r="E118" s="167">
        <v>60000</v>
      </c>
      <c r="F118" s="167">
        <v>60000</v>
      </c>
      <c r="G118" s="168">
        <v>120000</v>
      </c>
    </row>
    <row r="119" spans="1:7" x14ac:dyDescent="0.3">
      <c r="A119" s="166">
        <v>1758602188</v>
      </c>
      <c r="B119" s="166" t="s">
        <v>426</v>
      </c>
      <c r="C119" s="166" t="s">
        <v>427</v>
      </c>
      <c r="D119" s="166" t="s">
        <v>232</v>
      </c>
      <c r="E119" s="167">
        <v>60000</v>
      </c>
      <c r="F119" s="167">
        <v>60000</v>
      </c>
      <c r="G119" s="168">
        <v>120000</v>
      </c>
    </row>
    <row r="120" spans="1:7" x14ac:dyDescent="0.3">
      <c r="A120" s="166">
        <v>2458802424</v>
      </c>
      <c r="B120" s="166" t="s">
        <v>428</v>
      </c>
      <c r="C120" s="166" t="s">
        <v>429</v>
      </c>
      <c r="D120" s="166" t="s">
        <v>232</v>
      </c>
      <c r="E120" s="167">
        <v>60000</v>
      </c>
      <c r="F120" s="167">
        <v>60000</v>
      </c>
      <c r="G120" s="168">
        <v>120000</v>
      </c>
    </row>
    <row r="121" spans="1:7" x14ac:dyDescent="0.3">
      <c r="A121" s="166">
        <v>7538701614</v>
      </c>
      <c r="B121" s="166" t="s">
        <v>430</v>
      </c>
      <c r="C121" s="166" t="s">
        <v>431</v>
      </c>
      <c r="D121" s="166" t="s">
        <v>237</v>
      </c>
      <c r="E121" s="167">
        <v>60000</v>
      </c>
      <c r="F121" s="167">
        <v>60000</v>
      </c>
      <c r="G121" s="168">
        <v>120000</v>
      </c>
    </row>
    <row r="122" spans="1:7" x14ac:dyDescent="0.3">
      <c r="A122" s="166">
        <v>6568603648</v>
      </c>
      <c r="B122" s="166" t="s">
        <v>432</v>
      </c>
      <c r="C122" s="166" t="s">
        <v>433</v>
      </c>
      <c r="D122" s="166" t="s">
        <v>237</v>
      </c>
      <c r="E122" s="167">
        <v>60000</v>
      </c>
      <c r="F122" s="167">
        <v>60000</v>
      </c>
      <c r="G122" s="168">
        <v>120000</v>
      </c>
    </row>
    <row r="123" spans="1:7" x14ac:dyDescent="0.3">
      <c r="A123" s="166">
        <v>4398602874</v>
      </c>
      <c r="B123" s="166" t="s">
        <v>434</v>
      </c>
      <c r="C123" s="166" t="s">
        <v>435</v>
      </c>
      <c r="D123" s="166" t="s">
        <v>242</v>
      </c>
      <c r="E123" s="167">
        <v>60000</v>
      </c>
      <c r="F123" s="167">
        <v>60000</v>
      </c>
      <c r="G123" s="168">
        <v>120000</v>
      </c>
    </row>
    <row r="124" spans="1:7" x14ac:dyDescent="0.3">
      <c r="A124" s="166">
        <v>4828701518</v>
      </c>
      <c r="B124" s="166" t="s">
        <v>436</v>
      </c>
      <c r="C124" s="166" t="s">
        <v>437</v>
      </c>
      <c r="D124" s="166" t="s">
        <v>245</v>
      </c>
      <c r="E124" s="167">
        <v>60000</v>
      </c>
      <c r="F124" s="167">
        <v>60000</v>
      </c>
      <c r="G124" s="168">
        <v>120000</v>
      </c>
    </row>
    <row r="125" spans="1:7" x14ac:dyDescent="0.3">
      <c r="A125" s="166">
        <v>1758702394</v>
      </c>
      <c r="B125" s="166" t="s">
        <v>438</v>
      </c>
      <c r="C125" s="166" t="s">
        <v>439</v>
      </c>
      <c r="D125" s="166" t="s">
        <v>245</v>
      </c>
      <c r="E125" s="167">
        <v>60000</v>
      </c>
      <c r="F125" s="167">
        <v>60000</v>
      </c>
      <c r="G125" s="168">
        <v>120000</v>
      </c>
    </row>
    <row r="126" spans="1:7" x14ac:dyDescent="0.3">
      <c r="A126" s="166">
        <v>7278603071</v>
      </c>
      <c r="B126" s="166" t="s">
        <v>440</v>
      </c>
      <c r="C126" s="166" t="s">
        <v>441</v>
      </c>
      <c r="D126" s="166" t="s">
        <v>250</v>
      </c>
      <c r="E126" s="167">
        <v>60000</v>
      </c>
      <c r="F126" s="167">
        <v>60000</v>
      </c>
      <c r="G126" s="168">
        <v>120000</v>
      </c>
    </row>
    <row r="127" spans="1:7" x14ac:dyDescent="0.3">
      <c r="A127" s="166">
        <v>3730202744</v>
      </c>
      <c r="B127" s="166" t="s">
        <v>442</v>
      </c>
      <c r="C127" s="166" t="s">
        <v>443</v>
      </c>
      <c r="D127" s="166" t="s">
        <v>250</v>
      </c>
      <c r="E127" s="167">
        <v>60000</v>
      </c>
      <c r="F127" s="167">
        <v>60000</v>
      </c>
      <c r="G127" s="168">
        <v>120000</v>
      </c>
    </row>
    <row r="128" spans="1:7" x14ac:dyDescent="0.3">
      <c r="A128" s="166">
        <v>7128602181</v>
      </c>
      <c r="B128" s="166" t="s">
        <v>444</v>
      </c>
      <c r="C128" s="166" t="s">
        <v>445</v>
      </c>
      <c r="D128" s="166" t="s">
        <v>255</v>
      </c>
      <c r="E128" s="167">
        <v>60000</v>
      </c>
      <c r="F128" s="167">
        <v>60000</v>
      </c>
      <c r="G128" s="168">
        <v>120000</v>
      </c>
    </row>
    <row r="129" spans="1:7" x14ac:dyDescent="0.3">
      <c r="A129" s="166">
        <v>2848603026</v>
      </c>
      <c r="B129" s="166" t="s">
        <v>446</v>
      </c>
      <c r="C129" s="166" t="s">
        <v>447</v>
      </c>
      <c r="D129" s="166" t="s">
        <v>255</v>
      </c>
      <c r="E129" s="167">
        <v>60000</v>
      </c>
      <c r="F129" s="167">
        <v>60000</v>
      </c>
      <c r="G129" s="168">
        <v>120000</v>
      </c>
    </row>
    <row r="130" spans="1:7" x14ac:dyDescent="0.3">
      <c r="A130" s="166">
        <v>3418801500</v>
      </c>
      <c r="B130" s="166" t="s">
        <v>448</v>
      </c>
      <c r="C130" s="166" t="s">
        <v>449</v>
      </c>
      <c r="D130" s="166" t="s">
        <v>260</v>
      </c>
      <c r="E130" s="167">
        <v>60000</v>
      </c>
      <c r="F130" s="167">
        <v>60000</v>
      </c>
      <c r="G130" s="168">
        <v>120000</v>
      </c>
    </row>
    <row r="131" spans="1:7" x14ac:dyDescent="0.3">
      <c r="A131" s="166">
        <v>8998802895</v>
      </c>
      <c r="B131" s="166" t="s">
        <v>450</v>
      </c>
      <c r="C131" s="166" t="s">
        <v>451</v>
      </c>
      <c r="D131" s="166" t="s">
        <v>260</v>
      </c>
      <c r="E131" s="167">
        <v>60000</v>
      </c>
      <c r="F131" s="167">
        <v>60000</v>
      </c>
      <c r="G131" s="168">
        <v>120000</v>
      </c>
    </row>
    <row r="132" spans="1:7" x14ac:dyDescent="0.3">
      <c r="A132" s="166">
        <v>4188703081</v>
      </c>
      <c r="B132" s="166" t="s">
        <v>452</v>
      </c>
      <c r="C132" s="166" t="s">
        <v>453</v>
      </c>
      <c r="D132" s="166" t="s">
        <v>265</v>
      </c>
      <c r="E132" s="167">
        <v>60000</v>
      </c>
      <c r="F132" s="167">
        <v>60000</v>
      </c>
      <c r="G132" s="168">
        <v>120000</v>
      </c>
    </row>
    <row r="133" spans="1:7" x14ac:dyDescent="0.3">
      <c r="A133" s="166">
        <v>5138191200</v>
      </c>
      <c r="B133" s="166" t="s">
        <v>454</v>
      </c>
      <c r="C133" s="166" t="s">
        <v>455</v>
      </c>
      <c r="D133" s="166" t="s">
        <v>268</v>
      </c>
      <c r="E133" s="167">
        <v>60000</v>
      </c>
      <c r="F133" s="167">
        <v>60000</v>
      </c>
      <c r="G133" s="168">
        <v>120000</v>
      </c>
    </row>
    <row r="134" spans="1:7" x14ac:dyDescent="0.3">
      <c r="A134" s="166">
        <v>7468702667</v>
      </c>
      <c r="B134" s="166" t="s">
        <v>456</v>
      </c>
      <c r="C134" s="166" t="s">
        <v>457</v>
      </c>
      <c r="D134" s="166" t="s">
        <v>268</v>
      </c>
      <c r="E134" s="167">
        <v>60000</v>
      </c>
      <c r="F134" s="167">
        <v>60000</v>
      </c>
      <c r="G134" s="168">
        <v>120000</v>
      </c>
    </row>
    <row r="135" spans="1:7" x14ac:dyDescent="0.3">
      <c r="A135" s="166">
        <v>6718103206</v>
      </c>
      <c r="B135" s="166" t="s">
        <v>458</v>
      </c>
      <c r="C135" s="166" t="s">
        <v>459</v>
      </c>
      <c r="D135" s="166" t="s">
        <v>273</v>
      </c>
      <c r="E135" s="167">
        <v>60000</v>
      </c>
      <c r="F135" s="167">
        <v>60000</v>
      </c>
      <c r="G135" s="168">
        <v>120000</v>
      </c>
    </row>
    <row r="136" spans="1:7" x14ac:dyDescent="0.3">
      <c r="A136" s="166">
        <v>4058603055</v>
      </c>
      <c r="B136" s="166" t="s">
        <v>460</v>
      </c>
      <c r="C136" s="166" t="s">
        <v>461</v>
      </c>
      <c r="D136" s="166" t="s">
        <v>273</v>
      </c>
      <c r="E136" s="167">
        <v>60000</v>
      </c>
      <c r="F136" s="167">
        <v>60000</v>
      </c>
      <c r="G136" s="168">
        <v>120000</v>
      </c>
    </row>
    <row r="137" spans="1:7" x14ac:dyDescent="0.3">
      <c r="A137" s="166">
        <v>7534400388</v>
      </c>
      <c r="B137" s="166" t="s">
        <v>462</v>
      </c>
      <c r="C137" s="166" t="s">
        <v>463</v>
      </c>
      <c r="D137" s="166" t="s">
        <v>278</v>
      </c>
      <c r="E137" s="167">
        <v>60000</v>
      </c>
      <c r="F137" s="167">
        <v>60000</v>
      </c>
      <c r="G137" s="168">
        <v>120000</v>
      </c>
    </row>
    <row r="138" spans="1:7" x14ac:dyDescent="0.3">
      <c r="A138" s="166">
        <v>4818102619</v>
      </c>
      <c r="B138" s="166" t="s">
        <v>464</v>
      </c>
      <c r="C138" s="166" t="s">
        <v>465</v>
      </c>
      <c r="D138" s="166" t="s">
        <v>278</v>
      </c>
      <c r="E138" s="167">
        <v>60000</v>
      </c>
      <c r="F138" s="167">
        <v>60000</v>
      </c>
      <c r="G138" s="168">
        <v>120000</v>
      </c>
    </row>
    <row r="139" spans="1:7" x14ac:dyDescent="0.3">
      <c r="A139" s="166">
        <v>5198602772</v>
      </c>
      <c r="B139" s="166" t="s">
        <v>466</v>
      </c>
      <c r="C139" s="166" t="s">
        <v>467</v>
      </c>
      <c r="D139" s="166" t="s">
        <v>283</v>
      </c>
      <c r="E139" s="167">
        <v>60000</v>
      </c>
      <c r="F139" s="167">
        <v>60000</v>
      </c>
      <c r="G139" s="168">
        <v>120000</v>
      </c>
    </row>
    <row r="140" spans="1:7" x14ac:dyDescent="0.3">
      <c r="A140" s="166">
        <v>8542801695</v>
      </c>
      <c r="B140" s="166" t="s">
        <v>468</v>
      </c>
      <c r="C140" s="166" t="s">
        <v>469</v>
      </c>
      <c r="D140" s="166" t="s">
        <v>283</v>
      </c>
      <c r="E140" s="167">
        <v>60000</v>
      </c>
      <c r="F140" s="167">
        <v>60000</v>
      </c>
      <c r="G140" s="168">
        <v>120000</v>
      </c>
    </row>
    <row r="141" spans="1:7" x14ac:dyDescent="0.3">
      <c r="A141" s="166">
        <v>1728601822</v>
      </c>
      <c r="B141" s="166" t="s">
        <v>470</v>
      </c>
      <c r="C141" s="166" t="s">
        <v>471</v>
      </c>
      <c r="D141" s="166" t="s">
        <v>288</v>
      </c>
      <c r="E141" s="167">
        <v>60000</v>
      </c>
      <c r="F141" s="167">
        <v>60000</v>
      </c>
      <c r="G141" s="168">
        <v>120000</v>
      </c>
    </row>
    <row r="142" spans="1:7" x14ac:dyDescent="0.3">
      <c r="A142" s="166">
        <v>1478802794</v>
      </c>
      <c r="B142" s="166" t="s">
        <v>472</v>
      </c>
      <c r="C142" s="166" t="s">
        <v>473</v>
      </c>
      <c r="D142" s="166" t="s">
        <v>291</v>
      </c>
      <c r="E142" s="167">
        <v>60000</v>
      </c>
      <c r="F142" s="167">
        <v>60000</v>
      </c>
      <c r="G142" s="168">
        <v>120000</v>
      </c>
    </row>
    <row r="143" spans="1:7" x14ac:dyDescent="0.3">
      <c r="A143" s="166">
        <v>8705900483</v>
      </c>
      <c r="B143" s="166" t="s">
        <v>474</v>
      </c>
      <c r="C143" s="166" t="s">
        <v>475</v>
      </c>
      <c r="D143" s="166" t="s">
        <v>291</v>
      </c>
      <c r="E143" s="167">
        <v>60000</v>
      </c>
      <c r="F143" s="167">
        <v>60000</v>
      </c>
      <c r="G143" s="168">
        <v>120000</v>
      </c>
    </row>
    <row r="144" spans="1:7" x14ac:dyDescent="0.3">
      <c r="A144" s="166">
        <v>5468102667</v>
      </c>
      <c r="B144" s="166" t="s">
        <v>476</v>
      </c>
      <c r="C144" s="166" t="s">
        <v>477</v>
      </c>
      <c r="D144" s="166" t="s">
        <v>296</v>
      </c>
      <c r="E144" s="167">
        <v>60000</v>
      </c>
      <c r="F144" s="167">
        <v>60000</v>
      </c>
      <c r="G144" s="168">
        <v>120000</v>
      </c>
    </row>
    <row r="145" spans="1:7" x14ac:dyDescent="0.3">
      <c r="A145" s="166">
        <v>5068602868</v>
      </c>
      <c r="B145" s="166" t="s">
        <v>478</v>
      </c>
      <c r="C145" s="166" t="s">
        <v>479</v>
      </c>
      <c r="D145" s="166" t="s">
        <v>296</v>
      </c>
      <c r="E145" s="167">
        <v>60000</v>
      </c>
      <c r="F145" s="167">
        <v>60000</v>
      </c>
      <c r="G145" s="168">
        <v>120000</v>
      </c>
    </row>
    <row r="146" spans="1:7" x14ac:dyDescent="0.3">
      <c r="A146" s="166">
        <v>3648601135</v>
      </c>
      <c r="B146" s="166" t="s">
        <v>480</v>
      </c>
      <c r="C146" s="166" t="s">
        <v>481</v>
      </c>
      <c r="D146" s="166" t="s">
        <v>299</v>
      </c>
      <c r="E146" s="167">
        <v>60000</v>
      </c>
      <c r="F146" s="167">
        <v>60000</v>
      </c>
      <c r="G146" s="168">
        <v>120000</v>
      </c>
    </row>
    <row r="147" spans="1:7" x14ac:dyDescent="0.3">
      <c r="A147" s="166">
        <v>5158157547</v>
      </c>
      <c r="B147" s="166" t="s">
        <v>482</v>
      </c>
      <c r="C147" s="166" t="s">
        <v>483</v>
      </c>
      <c r="D147" s="166" t="s">
        <v>299</v>
      </c>
      <c r="E147" s="167">
        <v>60000</v>
      </c>
      <c r="F147" s="167">
        <v>60000</v>
      </c>
      <c r="G147" s="168">
        <v>120000</v>
      </c>
    </row>
    <row r="148" spans="1:7" x14ac:dyDescent="0.3">
      <c r="A148" s="166">
        <v>2048802364</v>
      </c>
      <c r="B148" s="166" t="s">
        <v>484</v>
      </c>
      <c r="C148" s="166" t="s">
        <v>485</v>
      </c>
      <c r="D148" s="166" t="s">
        <v>304</v>
      </c>
      <c r="E148" s="167">
        <v>60000</v>
      </c>
      <c r="F148" s="167">
        <v>60000</v>
      </c>
      <c r="G148" s="168">
        <v>120000</v>
      </c>
    </row>
    <row r="149" spans="1:7" x14ac:dyDescent="0.3">
      <c r="A149" s="166">
        <v>7268701835</v>
      </c>
      <c r="B149" s="166" t="s">
        <v>486</v>
      </c>
      <c r="C149" s="166" t="s">
        <v>487</v>
      </c>
      <c r="D149" s="166" t="s">
        <v>304</v>
      </c>
      <c r="E149" s="167">
        <v>60000</v>
      </c>
      <c r="F149" s="167">
        <v>60000</v>
      </c>
      <c r="G149" s="168">
        <v>120000</v>
      </c>
    </row>
    <row r="150" spans="1:7" x14ac:dyDescent="0.3">
      <c r="A150" s="166">
        <v>1888803076</v>
      </c>
      <c r="B150" s="166" t="s">
        <v>488</v>
      </c>
      <c r="C150" s="166" t="s">
        <v>489</v>
      </c>
      <c r="D150" s="166" t="s">
        <v>309</v>
      </c>
      <c r="E150" s="167">
        <v>60000</v>
      </c>
      <c r="F150" s="167">
        <v>60000</v>
      </c>
      <c r="G150" s="168">
        <v>120000</v>
      </c>
    </row>
    <row r="151" spans="1:7" x14ac:dyDescent="0.3">
      <c r="A151" s="166">
        <v>7018801871</v>
      </c>
      <c r="B151" s="166" t="s">
        <v>490</v>
      </c>
      <c r="C151" s="166" t="s">
        <v>491</v>
      </c>
      <c r="D151" s="166" t="s">
        <v>312</v>
      </c>
      <c r="E151" s="167">
        <v>60000</v>
      </c>
      <c r="F151" s="167">
        <v>60000</v>
      </c>
      <c r="G151" s="168">
        <v>120000</v>
      </c>
    </row>
    <row r="152" spans="1:7" x14ac:dyDescent="0.3">
      <c r="A152" s="166">
        <v>1458602886</v>
      </c>
      <c r="B152" s="166" t="s">
        <v>492</v>
      </c>
      <c r="C152" s="166" t="s">
        <v>493</v>
      </c>
      <c r="D152" s="166" t="s">
        <v>312</v>
      </c>
      <c r="E152" s="167">
        <v>60000</v>
      </c>
      <c r="F152" s="167">
        <v>60000</v>
      </c>
      <c r="G152" s="168">
        <v>120000</v>
      </c>
    </row>
    <row r="153" spans="1:7" x14ac:dyDescent="0.3">
      <c r="A153" s="166">
        <v>1698603391</v>
      </c>
      <c r="B153" s="166" t="s">
        <v>494</v>
      </c>
      <c r="C153" s="166" t="s">
        <v>495</v>
      </c>
      <c r="D153" s="166" t="s">
        <v>317</v>
      </c>
      <c r="E153" s="167">
        <v>60000</v>
      </c>
      <c r="F153" s="167">
        <v>60000</v>
      </c>
      <c r="G153" s="168">
        <v>120000</v>
      </c>
    </row>
    <row r="154" spans="1:7" x14ac:dyDescent="0.3">
      <c r="A154" s="166">
        <v>5908101952</v>
      </c>
      <c r="B154" s="166" t="s">
        <v>496</v>
      </c>
      <c r="C154" s="166" t="s">
        <v>497</v>
      </c>
      <c r="D154" s="166" t="s">
        <v>317</v>
      </c>
      <c r="E154" s="167">
        <v>60000</v>
      </c>
      <c r="F154" s="167">
        <v>60000</v>
      </c>
      <c r="G154" s="168">
        <v>120000</v>
      </c>
    </row>
    <row r="155" spans="1:7" x14ac:dyDescent="0.3">
      <c r="A155" s="166">
        <v>6628701680</v>
      </c>
      <c r="B155" s="166" t="s">
        <v>498</v>
      </c>
      <c r="C155" s="166" t="s">
        <v>499</v>
      </c>
      <c r="D155" s="166" t="s">
        <v>500</v>
      </c>
      <c r="E155" s="167">
        <v>60000</v>
      </c>
      <c r="F155" s="167">
        <v>60000</v>
      </c>
      <c r="G155" s="168">
        <v>120000</v>
      </c>
    </row>
    <row r="156" spans="1:7" x14ac:dyDescent="0.3">
      <c r="A156" s="166">
        <v>4348103077</v>
      </c>
      <c r="B156" s="166" t="s">
        <v>501</v>
      </c>
      <c r="C156" s="166" t="s">
        <v>502</v>
      </c>
      <c r="D156" s="166" t="s">
        <v>320</v>
      </c>
      <c r="E156" s="167">
        <v>60000</v>
      </c>
      <c r="F156" s="167">
        <v>60000</v>
      </c>
      <c r="G156" s="168">
        <v>120000</v>
      </c>
    </row>
    <row r="157" spans="1:7" x14ac:dyDescent="0.3">
      <c r="A157" s="166">
        <v>1238650452</v>
      </c>
      <c r="B157" s="166" t="s">
        <v>503</v>
      </c>
      <c r="C157" s="166" t="s">
        <v>504</v>
      </c>
      <c r="D157" s="166" t="s">
        <v>320</v>
      </c>
      <c r="E157" s="167">
        <v>60000</v>
      </c>
      <c r="F157" s="167">
        <v>60000</v>
      </c>
      <c r="G157" s="168">
        <v>120000</v>
      </c>
    </row>
    <row r="158" spans="1:7" x14ac:dyDescent="0.3">
      <c r="A158" s="166">
        <v>8778103314</v>
      </c>
      <c r="B158" s="166" t="s">
        <v>505</v>
      </c>
      <c r="C158" s="166" t="s">
        <v>506</v>
      </c>
      <c r="D158" s="166" t="s">
        <v>325</v>
      </c>
      <c r="E158" s="167">
        <v>60000</v>
      </c>
      <c r="F158" s="167">
        <v>60000</v>
      </c>
      <c r="G158" s="168">
        <v>120000</v>
      </c>
    </row>
    <row r="159" spans="1:7" x14ac:dyDescent="0.3">
      <c r="A159" s="166">
        <v>3988701678</v>
      </c>
      <c r="B159" s="166" t="s">
        <v>507</v>
      </c>
      <c r="C159" s="166" t="s">
        <v>508</v>
      </c>
      <c r="D159" s="166" t="s">
        <v>325</v>
      </c>
      <c r="E159" s="167">
        <v>60000</v>
      </c>
      <c r="F159" s="167">
        <v>60000</v>
      </c>
      <c r="G159" s="168">
        <v>120000</v>
      </c>
    </row>
    <row r="160" spans="1:7" x14ac:dyDescent="0.3">
      <c r="A160" s="166">
        <v>8518602680</v>
      </c>
      <c r="B160" s="166" t="s">
        <v>509</v>
      </c>
      <c r="C160" s="166" t="s">
        <v>510</v>
      </c>
      <c r="D160" s="166" t="s">
        <v>330</v>
      </c>
      <c r="E160" s="167">
        <v>60000</v>
      </c>
      <c r="F160" s="167">
        <v>60000</v>
      </c>
      <c r="G160" s="168">
        <v>120000</v>
      </c>
    </row>
    <row r="161" spans="1:7" x14ac:dyDescent="0.3">
      <c r="A161" s="166">
        <v>7318800757</v>
      </c>
      <c r="B161" s="166" t="s">
        <v>511</v>
      </c>
      <c r="C161" s="166" t="s">
        <v>512</v>
      </c>
      <c r="D161" s="166" t="s">
        <v>333</v>
      </c>
      <c r="E161" s="167">
        <v>60000</v>
      </c>
      <c r="F161" s="167">
        <v>60000</v>
      </c>
      <c r="G161" s="168">
        <v>120000</v>
      </c>
    </row>
    <row r="162" spans="1:7" x14ac:dyDescent="0.3">
      <c r="A162" s="166">
        <v>5248802647</v>
      </c>
      <c r="B162" s="166" t="s">
        <v>513</v>
      </c>
      <c r="C162" s="166" t="s">
        <v>514</v>
      </c>
      <c r="D162" s="166" t="s">
        <v>333</v>
      </c>
      <c r="E162" s="167">
        <v>60000</v>
      </c>
      <c r="F162" s="167">
        <v>60000</v>
      </c>
      <c r="G162" s="168">
        <v>120000</v>
      </c>
    </row>
    <row r="163" spans="1:7" x14ac:dyDescent="0.3">
      <c r="A163" s="166">
        <v>2368602071</v>
      </c>
      <c r="B163" s="166" t="s">
        <v>515</v>
      </c>
      <c r="C163" s="166" t="s">
        <v>516</v>
      </c>
      <c r="D163" s="166" t="s">
        <v>338</v>
      </c>
      <c r="E163" s="167">
        <v>60000</v>
      </c>
      <c r="F163" s="167">
        <v>60000</v>
      </c>
      <c r="G163" s="168">
        <v>120000</v>
      </c>
    </row>
    <row r="164" spans="1:7" x14ac:dyDescent="0.3">
      <c r="A164" s="166">
        <v>5468802889</v>
      </c>
      <c r="B164" s="166" t="s">
        <v>517</v>
      </c>
      <c r="C164" s="166" t="s">
        <v>518</v>
      </c>
      <c r="D164" s="166" t="s">
        <v>343</v>
      </c>
      <c r="E164" s="167">
        <v>60000</v>
      </c>
      <c r="F164" s="167">
        <v>60000</v>
      </c>
      <c r="G164" s="168">
        <v>120000</v>
      </c>
    </row>
    <row r="165" spans="1:7" x14ac:dyDescent="0.3">
      <c r="A165" s="166">
        <v>1988602779</v>
      </c>
      <c r="B165" s="166" t="s">
        <v>519</v>
      </c>
      <c r="C165" s="166" t="s">
        <v>520</v>
      </c>
      <c r="D165" s="166" t="s">
        <v>343</v>
      </c>
      <c r="E165" s="167">
        <v>60000</v>
      </c>
      <c r="F165" s="167">
        <v>60000</v>
      </c>
      <c r="G165" s="168">
        <v>120000</v>
      </c>
    </row>
    <row r="166" spans="1:7" x14ac:dyDescent="0.3">
      <c r="A166" s="166">
        <v>7864000997</v>
      </c>
      <c r="B166" s="166" t="s">
        <v>521</v>
      </c>
      <c r="C166" s="166" t="s">
        <v>522</v>
      </c>
      <c r="D166" s="166" t="s">
        <v>348</v>
      </c>
      <c r="E166" s="167">
        <v>60000</v>
      </c>
      <c r="F166" s="167">
        <v>60000</v>
      </c>
      <c r="G166" s="168">
        <v>120000</v>
      </c>
    </row>
    <row r="167" spans="1:7" x14ac:dyDescent="0.3">
      <c r="A167" s="166">
        <v>1628702758</v>
      </c>
      <c r="B167" s="166" t="s">
        <v>523</v>
      </c>
      <c r="C167" s="166" t="s">
        <v>524</v>
      </c>
      <c r="D167" s="166" t="s">
        <v>348</v>
      </c>
      <c r="E167" s="167">
        <v>60000</v>
      </c>
      <c r="F167" s="167">
        <v>60000</v>
      </c>
      <c r="G167" s="168">
        <v>120000</v>
      </c>
    </row>
    <row r="168" spans="1:7" x14ac:dyDescent="0.3">
      <c r="A168" s="166">
        <v>3958802146</v>
      </c>
      <c r="B168" s="166" t="s">
        <v>525</v>
      </c>
      <c r="C168" s="166" t="s">
        <v>526</v>
      </c>
      <c r="D168" s="166" t="s">
        <v>353</v>
      </c>
      <c r="E168" s="167">
        <v>60000</v>
      </c>
      <c r="F168" s="167">
        <v>60000</v>
      </c>
      <c r="G168" s="168">
        <v>120000</v>
      </c>
    </row>
    <row r="169" spans="1:7" x14ac:dyDescent="0.3">
      <c r="A169" s="166">
        <v>6978602505</v>
      </c>
      <c r="B169" s="166" t="s">
        <v>527</v>
      </c>
      <c r="C169" s="166" t="s">
        <v>528</v>
      </c>
      <c r="D169" s="166" t="s">
        <v>356</v>
      </c>
      <c r="E169" s="167">
        <v>60000</v>
      </c>
      <c r="F169" s="167">
        <v>60000</v>
      </c>
      <c r="G169" s="168">
        <v>120000</v>
      </c>
    </row>
    <row r="170" spans="1:7" x14ac:dyDescent="0.3">
      <c r="A170" s="166">
        <v>5098603060</v>
      </c>
      <c r="B170" s="166" t="s">
        <v>529</v>
      </c>
      <c r="C170" s="166" t="s">
        <v>530</v>
      </c>
      <c r="D170" s="166" t="s">
        <v>356</v>
      </c>
      <c r="E170" s="167">
        <v>60000</v>
      </c>
      <c r="F170" s="167">
        <v>60000</v>
      </c>
      <c r="G170" s="168">
        <v>120000</v>
      </c>
    </row>
    <row r="171" spans="1:7" x14ac:dyDescent="0.3">
      <c r="A171" s="166">
        <v>6818602664</v>
      </c>
      <c r="B171" s="166" t="s">
        <v>531</v>
      </c>
      <c r="C171" s="166" t="s">
        <v>532</v>
      </c>
      <c r="D171" s="166" t="s">
        <v>361</v>
      </c>
      <c r="E171" s="167">
        <v>60000</v>
      </c>
      <c r="F171" s="167">
        <v>60000</v>
      </c>
      <c r="G171" s="168">
        <v>120000</v>
      </c>
    </row>
    <row r="172" spans="1:7" x14ac:dyDescent="0.3">
      <c r="A172" s="166">
        <v>7190502878</v>
      </c>
      <c r="B172" s="166" t="s">
        <v>533</v>
      </c>
      <c r="C172" s="166" t="s">
        <v>534</v>
      </c>
      <c r="D172" s="166" t="s">
        <v>144</v>
      </c>
      <c r="E172" s="167">
        <v>60000</v>
      </c>
      <c r="F172" s="167">
        <v>60000</v>
      </c>
      <c r="G172" s="168">
        <v>120000</v>
      </c>
    </row>
    <row r="173" spans="1:7" x14ac:dyDescent="0.3">
      <c r="A173" s="166">
        <v>5980801889</v>
      </c>
      <c r="B173" s="166" t="s">
        <v>535</v>
      </c>
      <c r="C173" s="166" t="s">
        <v>536</v>
      </c>
      <c r="D173" s="166" t="s">
        <v>144</v>
      </c>
      <c r="E173" s="167">
        <v>60000</v>
      </c>
      <c r="F173" s="167">
        <v>60000</v>
      </c>
      <c r="G173" s="168">
        <v>120000</v>
      </c>
    </row>
    <row r="174" spans="1:7" x14ac:dyDescent="0.3">
      <c r="A174" s="166">
        <v>7703600850</v>
      </c>
      <c r="B174" s="166" t="s">
        <v>537</v>
      </c>
      <c r="C174" s="166" t="s">
        <v>538</v>
      </c>
      <c r="D174" s="166" t="s">
        <v>149</v>
      </c>
      <c r="E174" s="167">
        <v>60000</v>
      </c>
      <c r="F174" s="167">
        <v>60000</v>
      </c>
      <c r="G174" s="168">
        <v>120000</v>
      </c>
    </row>
    <row r="175" spans="1:7" x14ac:dyDescent="0.3">
      <c r="A175" s="166">
        <v>7458702757</v>
      </c>
      <c r="B175" s="166" t="s">
        <v>539</v>
      </c>
      <c r="C175" s="166" t="s">
        <v>540</v>
      </c>
      <c r="D175" s="166" t="s">
        <v>149</v>
      </c>
      <c r="E175" s="167">
        <v>60000</v>
      </c>
      <c r="F175" s="167">
        <v>60000</v>
      </c>
      <c r="G175" s="168">
        <v>120000</v>
      </c>
    </row>
    <row r="176" spans="1:7" x14ac:dyDescent="0.3">
      <c r="A176" s="166">
        <v>6818602626</v>
      </c>
      <c r="B176" s="166" t="s">
        <v>541</v>
      </c>
      <c r="C176" s="166" t="s">
        <v>542</v>
      </c>
      <c r="D176" s="166" t="s">
        <v>154</v>
      </c>
      <c r="E176" s="167">
        <v>60000</v>
      </c>
      <c r="F176" s="167">
        <v>60000</v>
      </c>
      <c r="G176" s="168">
        <v>120000</v>
      </c>
    </row>
    <row r="177" spans="1:7" x14ac:dyDescent="0.3">
      <c r="A177" s="166">
        <v>8598102715</v>
      </c>
      <c r="B177" s="166" t="s">
        <v>543</v>
      </c>
      <c r="C177" s="166" t="s">
        <v>544</v>
      </c>
      <c r="D177" s="166" t="s">
        <v>157</v>
      </c>
      <c r="E177" s="167">
        <v>60000</v>
      </c>
      <c r="F177" s="167">
        <v>60000</v>
      </c>
      <c r="G177" s="168">
        <v>120000</v>
      </c>
    </row>
    <row r="178" spans="1:7" x14ac:dyDescent="0.3">
      <c r="A178" s="166">
        <v>3438802558</v>
      </c>
      <c r="B178" s="166" t="s">
        <v>545</v>
      </c>
      <c r="C178" s="166" t="s">
        <v>546</v>
      </c>
      <c r="D178" s="166" t="s">
        <v>157</v>
      </c>
      <c r="E178" s="167">
        <v>60000</v>
      </c>
      <c r="F178" s="167">
        <v>60000</v>
      </c>
      <c r="G178" s="168">
        <v>120000</v>
      </c>
    </row>
    <row r="179" spans="1:7" x14ac:dyDescent="0.3">
      <c r="A179" s="166">
        <v>1338602393</v>
      </c>
      <c r="B179" s="166" t="s">
        <v>547</v>
      </c>
      <c r="C179" s="166" t="s">
        <v>548</v>
      </c>
      <c r="D179" s="166" t="s">
        <v>162</v>
      </c>
      <c r="E179" s="167">
        <v>60000</v>
      </c>
      <c r="F179" s="167">
        <v>60000</v>
      </c>
      <c r="G179" s="168">
        <v>120000</v>
      </c>
    </row>
    <row r="180" spans="1:7" x14ac:dyDescent="0.3">
      <c r="A180" s="166">
        <v>7298702546</v>
      </c>
      <c r="B180" s="166" t="s">
        <v>549</v>
      </c>
      <c r="C180" s="166" t="s">
        <v>550</v>
      </c>
      <c r="D180" s="166" t="s">
        <v>165</v>
      </c>
      <c r="E180" s="167">
        <v>60000</v>
      </c>
      <c r="F180" s="167">
        <v>60000</v>
      </c>
      <c r="G180" s="168">
        <v>120000</v>
      </c>
    </row>
    <row r="181" spans="1:7" x14ac:dyDescent="0.3">
      <c r="A181" s="166">
        <v>8288800992</v>
      </c>
      <c r="B181" s="166" t="s">
        <v>551</v>
      </c>
      <c r="C181" s="166" t="s">
        <v>552</v>
      </c>
      <c r="D181" s="166" t="s">
        <v>165</v>
      </c>
      <c r="E181" s="167">
        <v>60000</v>
      </c>
      <c r="F181" s="167">
        <v>60000</v>
      </c>
      <c r="G181" s="168">
        <v>120000</v>
      </c>
    </row>
    <row r="182" spans="1:7" x14ac:dyDescent="0.3">
      <c r="A182" s="166">
        <v>3234101088</v>
      </c>
      <c r="B182" s="166" t="s">
        <v>553</v>
      </c>
      <c r="C182" s="166" t="s">
        <v>554</v>
      </c>
      <c r="D182" s="166" t="s">
        <v>170</v>
      </c>
      <c r="E182" s="167">
        <v>60000</v>
      </c>
      <c r="F182" s="167">
        <v>60000</v>
      </c>
      <c r="G182" s="168">
        <v>120000</v>
      </c>
    </row>
    <row r="183" spans="1:7" x14ac:dyDescent="0.3">
      <c r="A183" s="166">
        <v>8458602138</v>
      </c>
      <c r="B183" s="166" t="s">
        <v>555</v>
      </c>
      <c r="C183" s="166" t="s">
        <v>556</v>
      </c>
      <c r="D183" s="166" t="s">
        <v>170</v>
      </c>
      <c r="E183" s="167">
        <v>60000</v>
      </c>
      <c r="F183" s="167">
        <v>60000</v>
      </c>
      <c r="G183" s="168">
        <v>120000</v>
      </c>
    </row>
    <row r="184" spans="1:7" x14ac:dyDescent="0.3">
      <c r="A184" s="166">
        <v>6508802311</v>
      </c>
      <c r="B184" s="166" t="s">
        <v>557</v>
      </c>
      <c r="C184" s="166" t="s">
        <v>558</v>
      </c>
      <c r="D184" s="166" t="s">
        <v>175</v>
      </c>
      <c r="E184" s="167">
        <v>60000</v>
      </c>
      <c r="F184" s="167">
        <v>60000</v>
      </c>
      <c r="G184" s="168">
        <v>120000</v>
      </c>
    </row>
    <row r="185" spans="1:7" x14ac:dyDescent="0.3">
      <c r="A185" s="166">
        <v>1020793518</v>
      </c>
      <c r="B185" s="166" t="s">
        <v>559</v>
      </c>
      <c r="C185" s="166" t="s">
        <v>560</v>
      </c>
      <c r="D185" s="166" t="s">
        <v>178</v>
      </c>
      <c r="E185" s="167">
        <v>60000</v>
      </c>
      <c r="F185" s="167">
        <v>60000</v>
      </c>
      <c r="G185" s="168">
        <v>120000</v>
      </c>
    </row>
    <row r="186" spans="1:7" x14ac:dyDescent="0.3">
      <c r="A186" s="166">
        <v>8761401965</v>
      </c>
      <c r="B186" s="166" t="s">
        <v>561</v>
      </c>
      <c r="C186" s="166" t="s">
        <v>562</v>
      </c>
      <c r="D186" s="166" t="s">
        <v>178</v>
      </c>
      <c r="E186" s="167">
        <v>60000</v>
      </c>
      <c r="F186" s="167">
        <v>60000</v>
      </c>
      <c r="G186" s="168">
        <v>120000</v>
      </c>
    </row>
    <row r="187" spans="1:7" x14ac:dyDescent="0.3">
      <c r="A187" s="166">
        <v>8838600850</v>
      </c>
      <c r="B187" s="166" t="s">
        <v>563</v>
      </c>
      <c r="C187" s="166" t="s">
        <v>564</v>
      </c>
      <c r="D187" s="166" t="s">
        <v>183</v>
      </c>
      <c r="E187" s="167">
        <v>60000</v>
      </c>
      <c r="F187" s="167">
        <v>60000</v>
      </c>
      <c r="G187" s="168">
        <v>120000</v>
      </c>
    </row>
    <row r="188" spans="1:7" x14ac:dyDescent="0.3">
      <c r="A188" s="166">
        <v>4268601700</v>
      </c>
      <c r="B188" s="166" t="s">
        <v>565</v>
      </c>
      <c r="C188" s="166" t="s">
        <v>566</v>
      </c>
      <c r="D188" s="166" t="s">
        <v>186</v>
      </c>
      <c r="E188" s="167">
        <v>60000</v>
      </c>
      <c r="F188" s="167">
        <v>60000</v>
      </c>
      <c r="G188" s="168">
        <v>120000</v>
      </c>
    </row>
    <row r="189" spans="1:7" x14ac:dyDescent="0.3">
      <c r="A189" s="166">
        <v>7838802775</v>
      </c>
      <c r="B189" s="166" t="s">
        <v>567</v>
      </c>
      <c r="C189" s="166" t="s">
        <v>568</v>
      </c>
      <c r="D189" s="166" t="s">
        <v>186</v>
      </c>
      <c r="E189" s="167">
        <v>60000</v>
      </c>
      <c r="F189" s="167">
        <v>60000</v>
      </c>
      <c r="G189" s="168">
        <v>120000</v>
      </c>
    </row>
    <row r="190" spans="1:7" x14ac:dyDescent="0.3">
      <c r="A190" s="166">
        <v>2778701880</v>
      </c>
      <c r="B190" s="166" t="s">
        <v>569</v>
      </c>
      <c r="C190" s="166" t="s">
        <v>570</v>
      </c>
      <c r="D190" s="166" t="s">
        <v>191</v>
      </c>
      <c r="E190" s="167">
        <v>60000</v>
      </c>
      <c r="F190" s="167">
        <v>60000</v>
      </c>
      <c r="G190" s="168">
        <v>120000</v>
      </c>
    </row>
    <row r="191" spans="1:7" x14ac:dyDescent="0.3">
      <c r="A191" s="166">
        <v>4228602895</v>
      </c>
      <c r="B191" s="166" t="s">
        <v>571</v>
      </c>
      <c r="C191" s="166" t="s">
        <v>572</v>
      </c>
      <c r="D191" s="166" t="s">
        <v>191</v>
      </c>
      <c r="E191" s="167">
        <v>60000</v>
      </c>
      <c r="F191" s="167">
        <v>60000</v>
      </c>
      <c r="G191" s="168">
        <v>120000</v>
      </c>
    </row>
    <row r="192" spans="1:7" x14ac:dyDescent="0.3">
      <c r="A192" s="166">
        <v>1098656557</v>
      </c>
      <c r="B192" s="166" t="s">
        <v>573</v>
      </c>
      <c r="C192" s="166" t="s">
        <v>574</v>
      </c>
      <c r="D192" s="166" t="s">
        <v>196</v>
      </c>
      <c r="E192" s="167">
        <v>60000</v>
      </c>
      <c r="F192" s="167">
        <v>60000</v>
      </c>
      <c r="G192" s="168">
        <v>120000</v>
      </c>
    </row>
    <row r="193" spans="1:7" x14ac:dyDescent="0.3">
      <c r="A193" s="166">
        <v>8278103041</v>
      </c>
      <c r="B193" s="166" t="s">
        <v>575</v>
      </c>
      <c r="C193" s="166" t="s">
        <v>576</v>
      </c>
      <c r="D193" s="166" t="s">
        <v>199</v>
      </c>
      <c r="E193" s="167">
        <v>60000</v>
      </c>
      <c r="F193" s="167">
        <v>60000</v>
      </c>
      <c r="G193" s="168">
        <v>120000</v>
      </c>
    </row>
    <row r="194" spans="1:7" x14ac:dyDescent="0.3">
      <c r="A194" s="166">
        <v>6818102558</v>
      </c>
      <c r="B194" s="166" t="s">
        <v>577</v>
      </c>
      <c r="C194" s="166" t="s">
        <v>578</v>
      </c>
      <c r="D194" s="166" t="s">
        <v>199</v>
      </c>
      <c r="E194" s="167">
        <v>60000</v>
      </c>
      <c r="F194" s="167">
        <v>60000</v>
      </c>
      <c r="G194" s="168">
        <v>120000</v>
      </c>
    </row>
    <row r="195" spans="1:7" x14ac:dyDescent="0.3">
      <c r="A195" s="166">
        <v>4938702900</v>
      </c>
      <c r="B195" s="166" t="s">
        <v>579</v>
      </c>
      <c r="C195" s="166" t="s">
        <v>580</v>
      </c>
      <c r="D195" s="166" t="s">
        <v>204</v>
      </c>
      <c r="E195" s="167">
        <v>60000</v>
      </c>
      <c r="F195" s="167">
        <v>60000</v>
      </c>
      <c r="G195" s="168">
        <v>120000</v>
      </c>
    </row>
    <row r="196" spans="1:7" x14ac:dyDescent="0.3">
      <c r="A196" s="166">
        <v>1770102514</v>
      </c>
      <c r="B196" s="166" t="s">
        <v>581</v>
      </c>
      <c r="C196" s="166" t="s">
        <v>582</v>
      </c>
      <c r="D196" s="166" t="s">
        <v>209</v>
      </c>
      <c r="E196" s="167">
        <v>60000</v>
      </c>
      <c r="F196" s="167">
        <v>60000</v>
      </c>
      <c r="G196" s="168">
        <v>120000</v>
      </c>
    </row>
    <row r="197" spans="1:7" x14ac:dyDescent="0.3">
      <c r="A197" s="166">
        <v>4238602471</v>
      </c>
      <c r="B197" s="166" t="s">
        <v>583</v>
      </c>
      <c r="C197" s="166" t="s">
        <v>584</v>
      </c>
      <c r="D197" s="166" t="s">
        <v>209</v>
      </c>
      <c r="E197" s="167">
        <v>60000</v>
      </c>
      <c r="F197" s="167">
        <v>60000</v>
      </c>
      <c r="G197" s="168">
        <v>120000</v>
      </c>
    </row>
    <row r="198" spans="1:7" x14ac:dyDescent="0.3">
      <c r="A198" s="166">
        <v>4758702542</v>
      </c>
      <c r="B198" s="166" t="s">
        <v>585</v>
      </c>
      <c r="C198" s="166" t="s">
        <v>586</v>
      </c>
      <c r="D198" s="166" t="s">
        <v>214</v>
      </c>
      <c r="E198" s="167">
        <v>60000</v>
      </c>
      <c r="F198" s="167">
        <v>60000</v>
      </c>
      <c r="G198" s="168">
        <v>120000</v>
      </c>
    </row>
    <row r="199" spans="1:7" x14ac:dyDescent="0.3">
      <c r="A199" s="166">
        <v>6438801575</v>
      </c>
      <c r="B199" s="166" t="s">
        <v>587</v>
      </c>
      <c r="C199" s="166" t="s">
        <v>588</v>
      </c>
      <c r="D199" s="166" t="s">
        <v>214</v>
      </c>
      <c r="E199" s="167">
        <v>60000</v>
      </c>
      <c r="F199" s="167">
        <v>60000</v>
      </c>
      <c r="G199" s="168">
        <v>120000</v>
      </c>
    </row>
    <row r="200" spans="1:7" x14ac:dyDescent="0.3">
      <c r="A200" s="166">
        <v>4138107722</v>
      </c>
      <c r="B200" s="166" t="s">
        <v>589</v>
      </c>
      <c r="C200" s="166" t="s">
        <v>590</v>
      </c>
      <c r="D200" s="166" t="s">
        <v>219</v>
      </c>
      <c r="E200" s="167">
        <v>60000</v>
      </c>
      <c r="F200" s="167">
        <v>60000</v>
      </c>
      <c r="G200" s="168">
        <v>120000</v>
      </c>
    </row>
    <row r="201" spans="1:7" x14ac:dyDescent="0.3">
      <c r="A201" s="166">
        <v>2448802377</v>
      </c>
      <c r="B201" s="166" t="s">
        <v>591</v>
      </c>
      <c r="C201" s="166" t="s">
        <v>592</v>
      </c>
      <c r="D201" s="166" t="s">
        <v>222</v>
      </c>
      <c r="E201" s="167">
        <v>60000</v>
      </c>
      <c r="F201" s="167">
        <v>60000</v>
      </c>
      <c r="G201" s="168">
        <v>120000</v>
      </c>
    </row>
    <row r="202" spans="1:7" x14ac:dyDescent="0.3">
      <c r="A202" s="166">
        <v>8778703204</v>
      </c>
      <c r="B202" s="166" t="s">
        <v>593</v>
      </c>
      <c r="C202" s="166" t="s">
        <v>594</v>
      </c>
      <c r="D202" s="166" t="s">
        <v>222</v>
      </c>
      <c r="E202" s="167">
        <v>60000</v>
      </c>
      <c r="F202" s="167">
        <v>60000</v>
      </c>
      <c r="G202" s="168">
        <v>120000</v>
      </c>
    </row>
    <row r="203" spans="1:7" x14ac:dyDescent="0.3">
      <c r="A203" s="166">
        <v>5598702627</v>
      </c>
      <c r="B203" s="166" t="s">
        <v>595</v>
      </c>
      <c r="C203" s="166" t="s">
        <v>596</v>
      </c>
      <c r="D203" s="166" t="s">
        <v>227</v>
      </c>
      <c r="E203" s="167">
        <v>60000</v>
      </c>
      <c r="F203" s="167">
        <v>60000</v>
      </c>
      <c r="G203" s="168">
        <v>120000</v>
      </c>
    </row>
    <row r="204" spans="1:7" x14ac:dyDescent="0.3">
      <c r="A204" s="166">
        <v>5158702200</v>
      </c>
      <c r="B204" s="166" t="s">
        <v>597</v>
      </c>
      <c r="C204" s="166" t="s">
        <v>598</v>
      </c>
      <c r="D204" s="166" t="s">
        <v>232</v>
      </c>
      <c r="E204" s="167">
        <v>60000</v>
      </c>
      <c r="F204" s="167">
        <v>60000</v>
      </c>
      <c r="G204" s="168">
        <v>120000</v>
      </c>
    </row>
    <row r="205" spans="1:7" x14ac:dyDescent="0.3">
      <c r="A205" s="166">
        <v>3722901375</v>
      </c>
      <c r="B205" s="166" t="s">
        <v>599</v>
      </c>
      <c r="C205" s="166" t="s">
        <v>600</v>
      </c>
      <c r="D205" s="166" t="s">
        <v>232</v>
      </c>
      <c r="E205" s="167">
        <v>60000</v>
      </c>
      <c r="F205" s="167">
        <v>60000</v>
      </c>
      <c r="G205" s="168">
        <v>120000</v>
      </c>
    </row>
    <row r="206" spans="1:7" x14ac:dyDescent="0.3">
      <c r="A206" s="166">
        <v>3838602998</v>
      </c>
      <c r="B206" s="166" t="s">
        <v>601</v>
      </c>
      <c r="C206" s="166" t="s">
        <v>602</v>
      </c>
      <c r="D206" s="166" t="s">
        <v>237</v>
      </c>
      <c r="E206" s="167">
        <v>60000</v>
      </c>
      <c r="F206" s="167">
        <v>60000</v>
      </c>
      <c r="G206" s="168">
        <v>120000</v>
      </c>
    </row>
    <row r="207" spans="1:7" x14ac:dyDescent="0.3">
      <c r="A207" s="166">
        <v>1308802573</v>
      </c>
      <c r="B207" s="166" t="s">
        <v>603</v>
      </c>
      <c r="C207" s="166" t="s">
        <v>604</v>
      </c>
      <c r="D207" s="166" t="s">
        <v>237</v>
      </c>
      <c r="E207" s="167">
        <v>60000</v>
      </c>
      <c r="F207" s="167">
        <v>60000</v>
      </c>
      <c r="G207" s="168">
        <v>120000</v>
      </c>
    </row>
    <row r="208" spans="1:7" x14ac:dyDescent="0.3">
      <c r="A208" s="166">
        <v>8058103610</v>
      </c>
      <c r="B208" s="166" t="s">
        <v>605</v>
      </c>
      <c r="C208" s="166" t="s">
        <v>606</v>
      </c>
      <c r="D208" s="166" t="s">
        <v>242</v>
      </c>
      <c r="E208" s="167">
        <v>60000</v>
      </c>
      <c r="F208" s="167">
        <v>60000</v>
      </c>
      <c r="G208" s="168">
        <v>120000</v>
      </c>
    </row>
    <row r="209" spans="1:7" x14ac:dyDescent="0.3">
      <c r="A209" s="166">
        <v>2138801879</v>
      </c>
      <c r="B209" s="166" t="s">
        <v>607</v>
      </c>
      <c r="C209" s="166" t="s">
        <v>608</v>
      </c>
      <c r="D209" s="166" t="s">
        <v>245</v>
      </c>
      <c r="E209" s="167">
        <v>60000</v>
      </c>
      <c r="F209" s="167">
        <v>60000</v>
      </c>
      <c r="G209" s="168">
        <v>120000</v>
      </c>
    </row>
    <row r="210" spans="1:7" x14ac:dyDescent="0.3">
      <c r="A210" s="166">
        <v>7571302405</v>
      </c>
      <c r="B210" s="166" t="s">
        <v>609</v>
      </c>
      <c r="C210" s="166" t="s">
        <v>610</v>
      </c>
      <c r="D210" s="166" t="s">
        <v>245</v>
      </c>
      <c r="E210" s="167">
        <v>60000</v>
      </c>
      <c r="F210" s="167">
        <v>60000</v>
      </c>
      <c r="G210" s="168">
        <v>120000</v>
      </c>
    </row>
    <row r="211" spans="1:7" x14ac:dyDescent="0.3">
      <c r="A211" s="166">
        <v>7048601158</v>
      </c>
      <c r="B211" s="166" t="s">
        <v>611</v>
      </c>
      <c r="C211" s="166" t="s">
        <v>612</v>
      </c>
      <c r="D211" s="166" t="s">
        <v>250</v>
      </c>
      <c r="E211" s="167">
        <v>60000</v>
      </c>
      <c r="F211" s="167">
        <v>60000</v>
      </c>
      <c r="G211" s="168">
        <v>120000</v>
      </c>
    </row>
    <row r="212" spans="1:7" x14ac:dyDescent="0.3">
      <c r="A212" s="166">
        <v>7698102824</v>
      </c>
      <c r="B212" s="166" t="s">
        <v>613</v>
      </c>
      <c r="C212" s="166" t="s">
        <v>614</v>
      </c>
      <c r="D212" s="166" t="s">
        <v>255</v>
      </c>
      <c r="E212" s="167">
        <v>60000</v>
      </c>
      <c r="F212" s="167">
        <v>60000</v>
      </c>
      <c r="G212" s="168">
        <v>120000</v>
      </c>
    </row>
    <row r="213" spans="1:7" x14ac:dyDescent="0.3">
      <c r="A213" s="166">
        <v>2328702760</v>
      </c>
      <c r="B213" s="166" t="s">
        <v>615</v>
      </c>
      <c r="C213" s="166" t="s">
        <v>616</v>
      </c>
      <c r="D213" s="166" t="s">
        <v>255</v>
      </c>
      <c r="E213" s="167">
        <v>60000</v>
      </c>
      <c r="F213" s="167">
        <v>60000</v>
      </c>
      <c r="G213" s="168">
        <v>120000</v>
      </c>
    </row>
    <row r="214" spans="1:7" x14ac:dyDescent="0.3">
      <c r="A214" s="166">
        <v>4828701731</v>
      </c>
      <c r="B214" s="166" t="s">
        <v>617</v>
      </c>
      <c r="C214" s="166" t="s">
        <v>618</v>
      </c>
      <c r="D214" s="166" t="s">
        <v>260</v>
      </c>
      <c r="E214" s="167">
        <v>60000</v>
      </c>
      <c r="F214" s="167">
        <v>60000</v>
      </c>
      <c r="G214" s="168">
        <v>120000</v>
      </c>
    </row>
    <row r="215" spans="1:7" x14ac:dyDescent="0.3">
      <c r="A215" s="166">
        <v>1968701408</v>
      </c>
      <c r="B215" s="166" t="s">
        <v>619</v>
      </c>
      <c r="C215" s="166" t="s">
        <v>620</v>
      </c>
      <c r="D215" s="166" t="s">
        <v>260</v>
      </c>
      <c r="E215" s="167">
        <v>60000</v>
      </c>
      <c r="F215" s="167">
        <v>60000</v>
      </c>
      <c r="G215" s="168">
        <v>120000</v>
      </c>
    </row>
    <row r="216" spans="1:7" x14ac:dyDescent="0.3">
      <c r="A216" s="166">
        <v>4330902410</v>
      </c>
      <c r="B216" s="166" t="s">
        <v>621</v>
      </c>
      <c r="C216" s="166" t="s">
        <v>622</v>
      </c>
      <c r="D216" s="166" t="s">
        <v>265</v>
      </c>
      <c r="E216" s="167">
        <v>60000</v>
      </c>
      <c r="F216" s="167">
        <v>60000</v>
      </c>
      <c r="G216" s="168">
        <v>120000</v>
      </c>
    </row>
    <row r="217" spans="1:7" x14ac:dyDescent="0.3">
      <c r="A217" s="166">
        <v>4368702514</v>
      </c>
      <c r="B217" s="166" t="s">
        <v>623</v>
      </c>
      <c r="C217" s="166" t="s">
        <v>624</v>
      </c>
      <c r="D217" s="166" t="s">
        <v>268</v>
      </c>
      <c r="E217" s="167">
        <v>60000</v>
      </c>
      <c r="F217" s="167">
        <v>60000</v>
      </c>
      <c r="G217" s="168">
        <v>120000</v>
      </c>
    </row>
    <row r="218" spans="1:7" x14ac:dyDescent="0.3">
      <c r="A218" s="166">
        <v>8718702361</v>
      </c>
      <c r="B218" s="166" t="s">
        <v>625</v>
      </c>
      <c r="C218" s="166" t="s">
        <v>626</v>
      </c>
      <c r="D218" s="166" t="s">
        <v>268</v>
      </c>
      <c r="E218" s="167">
        <v>60000</v>
      </c>
      <c r="F218" s="167">
        <v>60000</v>
      </c>
      <c r="G218" s="168">
        <v>120000</v>
      </c>
    </row>
    <row r="219" spans="1:7" x14ac:dyDescent="0.3">
      <c r="A219" s="166">
        <v>1568602173</v>
      </c>
      <c r="B219" s="166" t="s">
        <v>627</v>
      </c>
      <c r="C219" s="166" t="s">
        <v>628</v>
      </c>
      <c r="D219" s="166" t="s">
        <v>273</v>
      </c>
      <c r="E219" s="167">
        <v>60000</v>
      </c>
      <c r="F219" s="167">
        <v>60000</v>
      </c>
      <c r="G219" s="168">
        <v>120000</v>
      </c>
    </row>
    <row r="220" spans="1:7" x14ac:dyDescent="0.3">
      <c r="A220" s="166">
        <v>5508102050</v>
      </c>
      <c r="B220" s="166" t="s">
        <v>629</v>
      </c>
      <c r="C220" s="166" t="s">
        <v>630</v>
      </c>
      <c r="D220" s="166" t="s">
        <v>278</v>
      </c>
      <c r="E220" s="167">
        <v>60000</v>
      </c>
      <c r="F220" s="167">
        <v>60000</v>
      </c>
      <c r="G220" s="168">
        <v>120000</v>
      </c>
    </row>
    <row r="221" spans="1:7" x14ac:dyDescent="0.3">
      <c r="A221" s="166">
        <v>6510902468</v>
      </c>
      <c r="B221" s="166" t="s">
        <v>631</v>
      </c>
      <c r="C221" s="166" t="s">
        <v>632</v>
      </c>
      <c r="D221" s="166" t="s">
        <v>278</v>
      </c>
      <c r="E221" s="167">
        <v>60000</v>
      </c>
      <c r="F221" s="167">
        <v>60000</v>
      </c>
      <c r="G221" s="168">
        <v>120000</v>
      </c>
    </row>
    <row r="222" spans="1:7" x14ac:dyDescent="0.3">
      <c r="A222" s="166">
        <v>6568103167</v>
      </c>
      <c r="B222" s="166" t="s">
        <v>633</v>
      </c>
      <c r="C222" s="166" t="s">
        <v>634</v>
      </c>
      <c r="D222" s="166" t="s">
        <v>283</v>
      </c>
      <c r="E222" s="167">
        <v>60000</v>
      </c>
      <c r="F222" s="167">
        <v>60000</v>
      </c>
      <c r="G222" s="168">
        <v>120000</v>
      </c>
    </row>
    <row r="223" spans="1:7" x14ac:dyDescent="0.3">
      <c r="A223" s="166">
        <v>6228702814</v>
      </c>
      <c r="B223" s="166" t="s">
        <v>635</v>
      </c>
      <c r="C223" s="166" t="s">
        <v>636</v>
      </c>
      <c r="D223" s="166" t="s">
        <v>283</v>
      </c>
      <c r="E223" s="167">
        <v>60000</v>
      </c>
      <c r="F223" s="167">
        <v>60000</v>
      </c>
      <c r="G223" s="168">
        <v>120000</v>
      </c>
    </row>
    <row r="224" spans="1:7" x14ac:dyDescent="0.3">
      <c r="A224" s="166">
        <v>8918603144</v>
      </c>
      <c r="B224" s="166" t="s">
        <v>637</v>
      </c>
      <c r="C224" s="166" t="s">
        <v>638</v>
      </c>
      <c r="D224" s="166" t="s">
        <v>288</v>
      </c>
      <c r="E224" s="167">
        <v>60000</v>
      </c>
      <c r="F224" s="167">
        <v>60000</v>
      </c>
      <c r="G224" s="168">
        <v>120000</v>
      </c>
    </row>
    <row r="225" spans="1:7" x14ac:dyDescent="0.3">
      <c r="A225" s="166">
        <v>4828801664</v>
      </c>
      <c r="B225" s="166" t="s">
        <v>639</v>
      </c>
      <c r="C225" s="166" t="s">
        <v>640</v>
      </c>
      <c r="D225" s="166" t="s">
        <v>291</v>
      </c>
      <c r="E225" s="167">
        <v>60000</v>
      </c>
      <c r="F225" s="167">
        <v>60000</v>
      </c>
      <c r="G225" s="168">
        <v>120000</v>
      </c>
    </row>
    <row r="226" spans="1:7" x14ac:dyDescent="0.3">
      <c r="A226" s="166">
        <v>8948802212</v>
      </c>
      <c r="B226" s="166" t="s">
        <v>641</v>
      </c>
      <c r="C226" s="166" t="s">
        <v>642</v>
      </c>
      <c r="D226" s="166" t="s">
        <v>291</v>
      </c>
      <c r="E226" s="167">
        <v>60000</v>
      </c>
      <c r="F226" s="167">
        <v>60000</v>
      </c>
      <c r="G226" s="168">
        <v>120000</v>
      </c>
    </row>
    <row r="227" spans="1:7" x14ac:dyDescent="0.3">
      <c r="A227" s="166">
        <v>5828802115</v>
      </c>
      <c r="B227" s="166" t="s">
        <v>643</v>
      </c>
      <c r="C227" s="166" t="s">
        <v>644</v>
      </c>
      <c r="D227" s="166" t="s">
        <v>296</v>
      </c>
      <c r="E227" s="167">
        <v>60000</v>
      </c>
      <c r="F227" s="167">
        <v>60000</v>
      </c>
      <c r="G227" s="168">
        <v>120000</v>
      </c>
    </row>
    <row r="228" spans="1:7" x14ac:dyDescent="0.3">
      <c r="A228" s="166">
        <v>7398602814</v>
      </c>
      <c r="B228" s="166" t="s">
        <v>645</v>
      </c>
      <c r="C228" s="166" t="s">
        <v>646</v>
      </c>
      <c r="D228" s="166" t="s">
        <v>299</v>
      </c>
      <c r="E228" s="167">
        <v>60000</v>
      </c>
      <c r="F228" s="167">
        <v>60000</v>
      </c>
      <c r="G228" s="168">
        <v>120000</v>
      </c>
    </row>
    <row r="229" spans="1:7" x14ac:dyDescent="0.3">
      <c r="A229" s="166">
        <v>1868702792</v>
      </c>
      <c r="B229" s="166" t="s">
        <v>647</v>
      </c>
      <c r="C229" s="166" t="s">
        <v>648</v>
      </c>
      <c r="D229" s="166" t="s">
        <v>299</v>
      </c>
      <c r="E229" s="167">
        <v>60000</v>
      </c>
      <c r="F229" s="167">
        <v>60000</v>
      </c>
      <c r="G229" s="168">
        <v>120000</v>
      </c>
    </row>
    <row r="230" spans="1:7" x14ac:dyDescent="0.3">
      <c r="A230" s="166">
        <v>8928801876</v>
      </c>
      <c r="B230" s="166" t="s">
        <v>649</v>
      </c>
      <c r="C230" s="166" t="s">
        <v>650</v>
      </c>
      <c r="D230" s="166" t="s">
        <v>304</v>
      </c>
      <c r="E230" s="167">
        <v>60000</v>
      </c>
      <c r="F230" s="167">
        <v>60000</v>
      </c>
      <c r="G230" s="168">
        <v>120000</v>
      </c>
    </row>
    <row r="231" spans="1:7" x14ac:dyDescent="0.3">
      <c r="A231" s="166">
        <v>6548802496</v>
      </c>
      <c r="B231" s="166" t="s">
        <v>651</v>
      </c>
      <c r="C231" s="166" t="s">
        <v>652</v>
      </c>
      <c r="D231" s="166" t="s">
        <v>304</v>
      </c>
      <c r="E231" s="167">
        <v>60000</v>
      </c>
      <c r="F231" s="167">
        <v>60000</v>
      </c>
      <c r="G231" s="168">
        <v>120000</v>
      </c>
    </row>
    <row r="232" spans="1:7" x14ac:dyDescent="0.3">
      <c r="A232" s="166">
        <v>5598603065</v>
      </c>
      <c r="B232" s="166" t="s">
        <v>653</v>
      </c>
      <c r="C232" s="166" t="s">
        <v>654</v>
      </c>
      <c r="D232" s="166" t="s">
        <v>309</v>
      </c>
      <c r="E232" s="167">
        <v>60000</v>
      </c>
      <c r="F232" s="167">
        <v>60000</v>
      </c>
      <c r="G232" s="168">
        <v>120000</v>
      </c>
    </row>
    <row r="233" spans="1:7" x14ac:dyDescent="0.3">
      <c r="A233" s="166">
        <v>7658702824</v>
      </c>
      <c r="B233" s="166" t="s">
        <v>655</v>
      </c>
      <c r="C233" s="166" t="s">
        <v>656</v>
      </c>
      <c r="D233" s="166" t="s">
        <v>312</v>
      </c>
      <c r="E233" s="167">
        <v>60000</v>
      </c>
      <c r="F233" s="167">
        <v>60000</v>
      </c>
      <c r="G233" s="168">
        <v>120000</v>
      </c>
    </row>
    <row r="234" spans="1:7" x14ac:dyDescent="0.3">
      <c r="A234" s="166">
        <v>6868601603</v>
      </c>
      <c r="B234" s="166" t="s">
        <v>657</v>
      </c>
      <c r="C234" s="166" t="s">
        <v>658</v>
      </c>
      <c r="D234" s="166" t="s">
        <v>312</v>
      </c>
      <c r="E234" s="167">
        <v>60000</v>
      </c>
      <c r="F234" s="167">
        <v>60000</v>
      </c>
      <c r="G234" s="168">
        <v>120000</v>
      </c>
    </row>
    <row r="235" spans="1:7" x14ac:dyDescent="0.3">
      <c r="A235" s="166">
        <v>8558802143</v>
      </c>
      <c r="B235" s="166" t="s">
        <v>659</v>
      </c>
      <c r="C235" s="166" t="s">
        <v>660</v>
      </c>
      <c r="D235" s="166" t="s">
        <v>317</v>
      </c>
      <c r="E235" s="167">
        <v>60000</v>
      </c>
      <c r="F235" s="167">
        <v>60000</v>
      </c>
      <c r="G235" s="168">
        <v>120000</v>
      </c>
    </row>
    <row r="236" spans="1:7" x14ac:dyDescent="0.3">
      <c r="A236" s="166">
        <v>4698602273</v>
      </c>
      <c r="B236" s="166" t="s">
        <v>661</v>
      </c>
      <c r="C236" s="166" t="s">
        <v>662</v>
      </c>
      <c r="D236" s="166" t="s">
        <v>320</v>
      </c>
      <c r="E236" s="167">
        <v>60000</v>
      </c>
      <c r="F236" s="167">
        <v>60000</v>
      </c>
      <c r="G236" s="168">
        <v>120000</v>
      </c>
    </row>
    <row r="237" spans="1:7" x14ac:dyDescent="0.3">
      <c r="A237" s="166">
        <v>2998102058</v>
      </c>
      <c r="B237" s="166" t="s">
        <v>663</v>
      </c>
      <c r="C237" s="166" t="s">
        <v>664</v>
      </c>
      <c r="D237" s="166" t="s">
        <v>320</v>
      </c>
      <c r="E237" s="167">
        <v>60000</v>
      </c>
      <c r="F237" s="167">
        <v>60000</v>
      </c>
      <c r="G237" s="168">
        <v>120000</v>
      </c>
    </row>
    <row r="238" spans="1:7" x14ac:dyDescent="0.3">
      <c r="A238" s="166">
        <v>1408602988</v>
      </c>
      <c r="B238" s="166" t="s">
        <v>665</v>
      </c>
      <c r="C238" s="166" t="s">
        <v>666</v>
      </c>
      <c r="D238" s="166" t="s">
        <v>325</v>
      </c>
      <c r="E238" s="167">
        <v>60000</v>
      </c>
      <c r="F238" s="167">
        <v>60000</v>
      </c>
      <c r="G238" s="168">
        <v>120000</v>
      </c>
    </row>
    <row r="239" spans="1:7" x14ac:dyDescent="0.3">
      <c r="A239" s="166">
        <v>4408801113</v>
      </c>
      <c r="B239" s="166" t="s">
        <v>667</v>
      </c>
      <c r="C239" s="166" t="s">
        <v>668</v>
      </c>
      <c r="D239" s="166" t="s">
        <v>325</v>
      </c>
      <c r="E239" s="167">
        <v>60000</v>
      </c>
      <c r="F239" s="167">
        <v>60000</v>
      </c>
      <c r="G239" s="168">
        <v>120000</v>
      </c>
    </row>
    <row r="240" spans="1:7" x14ac:dyDescent="0.3">
      <c r="A240" s="166">
        <v>6148702768</v>
      </c>
      <c r="B240" s="166" t="s">
        <v>669</v>
      </c>
      <c r="C240" s="166" t="s">
        <v>670</v>
      </c>
      <c r="D240" s="166" t="s">
        <v>330</v>
      </c>
      <c r="E240" s="167">
        <v>60000</v>
      </c>
      <c r="F240" s="167">
        <v>60000</v>
      </c>
      <c r="G240" s="168">
        <v>120000</v>
      </c>
    </row>
    <row r="241" spans="1:7" x14ac:dyDescent="0.3">
      <c r="A241" s="166">
        <v>5628600856</v>
      </c>
      <c r="B241" s="166" t="s">
        <v>671</v>
      </c>
      <c r="C241" s="166" t="s">
        <v>672</v>
      </c>
      <c r="D241" s="166" t="s">
        <v>333</v>
      </c>
      <c r="E241" s="167">
        <v>60000</v>
      </c>
      <c r="F241" s="167">
        <v>60000</v>
      </c>
      <c r="G241" s="168">
        <v>120000</v>
      </c>
    </row>
    <row r="242" spans="1:7" x14ac:dyDescent="0.3">
      <c r="A242" s="166">
        <v>4768103601</v>
      </c>
      <c r="B242" s="166" t="s">
        <v>673</v>
      </c>
      <c r="C242" s="166" t="s">
        <v>674</v>
      </c>
      <c r="D242" s="166" t="s">
        <v>333</v>
      </c>
      <c r="E242" s="167">
        <v>60000</v>
      </c>
      <c r="F242" s="167">
        <v>60000</v>
      </c>
      <c r="G242" s="168">
        <v>120000</v>
      </c>
    </row>
    <row r="243" spans="1:7" x14ac:dyDescent="0.3">
      <c r="A243" s="166">
        <v>4728702811</v>
      </c>
      <c r="B243" s="166" t="s">
        <v>675</v>
      </c>
      <c r="C243" s="166" t="s">
        <v>676</v>
      </c>
      <c r="D243" s="166" t="s">
        <v>338</v>
      </c>
      <c r="E243" s="167">
        <v>60000</v>
      </c>
      <c r="F243" s="167">
        <v>60000</v>
      </c>
      <c r="G243" s="168">
        <v>120000</v>
      </c>
    </row>
    <row r="244" spans="1:7" x14ac:dyDescent="0.3">
      <c r="A244" s="166">
        <v>1818802964</v>
      </c>
      <c r="B244" s="166" t="s">
        <v>677</v>
      </c>
      <c r="C244" s="166" t="s">
        <v>678</v>
      </c>
      <c r="D244" s="166" t="s">
        <v>343</v>
      </c>
      <c r="E244" s="167">
        <v>60000</v>
      </c>
      <c r="F244" s="167">
        <v>60000</v>
      </c>
      <c r="G244" s="168">
        <v>120000</v>
      </c>
    </row>
    <row r="245" spans="1:7" x14ac:dyDescent="0.3">
      <c r="A245" s="166">
        <v>2718103286</v>
      </c>
      <c r="B245" s="166" t="s">
        <v>679</v>
      </c>
      <c r="C245" s="166" t="s">
        <v>680</v>
      </c>
      <c r="D245" s="166" t="s">
        <v>343</v>
      </c>
      <c r="E245" s="167">
        <v>60000</v>
      </c>
      <c r="F245" s="167">
        <v>60000</v>
      </c>
      <c r="G245" s="168">
        <v>120000</v>
      </c>
    </row>
    <row r="246" spans="1:7" x14ac:dyDescent="0.3">
      <c r="A246" s="166">
        <v>7122801576</v>
      </c>
      <c r="B246" s="166" t="s">
        <v>681</v>
      </c>
      <c r="C246" s="166" t="s">
        <v>682</v>
      </c>
      <c r="D246" s="166" t="s">
        <v>348</v>
      </c>
      <c r="E246" s="167">
        <v>60000</v>
      </c>
      <c r="F246" s="167">
        <v>60000</v>
      </c>
      <c r="G246" s="168">
        <v>120000</v>
      </c>
    </row>
    <row r="247" spans="1:7" x14ac:dyDescent="0.3">
      <c r="A247" s="166">
        <v>3338703418</v>
      </c>
      <c r="B247" s="166" t="s">
        <v>683</v>
      </c>
      <c r="C247" s="166" t="s">
        <v>684</v>
      </c>
      <c r="D247" s="166" t="s">
        <v>348</v>
      </c>
      <c r="E247" s="167">
        <v>60000</v>
      </c>
      <c r="F247" s="167">
        <v>60000</v>
      </c>
      <c r="G247" s="168">
        <v>120000</v>
      </c>
    </row>
    <row r="248" spans="1:7" x14ac:dyDescent="0.3">
      <c r="A248" s="166">
        <v>3388702694</v>
      </c>
      <c r="B248" s="166" t="s">
        <v>685</v>
      </c>
      <c r="C248" s="166" t="s">
        <v>686</v>
      </c>
      <c r="D248" s="166" t="s">
        <v>353</v>
      </c>
      <c r="E248" s="167">
        <v>60000</v>
      </c>
      <c r="F248" s="167">
        <v>60000</v>
      </c>
      <c r="G248" s="168">
        <v>120000</v>
      </c>
    </row>
    <row r="249" spans="1:7" x14ac:dyDescent="0.3">
      <c r="A249" s="166">
        <v>1168602078</v>
      </c>
      <c r="B249" s="166" t="s">
        <v>687</v>
      </c>
      <c r="C249" s="166" t="s">
        <v>688</v>
      </c>
      <c r="D249" s="166" t="s">
        <v>356</v>
      </c>
      <c r="E249" s="167">
        <v>60000</v>
      </c>
      <c r="F249" s="167">
        <v>60000</v>
      </c>
      <c r="G249" s="168">
        <v>120000</v>
      </c>
    </row>
    <row r="250" spans="1:7" x14ac:dyDescent="0.3">
      <c r="A250" s="166">
        <v>2740201962</v>
      </c>
      <c r="B250" s="166" t="s">
        <v>689</v>
      </c>
      <c r="C250" s="166" t="s">
        <v>690</v>
      </c>
      <c r="D250" s="166" t="s">
        <v>356</v>
      </c>
      <c r="E250" s="167">
        <v>60000</v>
      </c>
      <c r="F250" s="167">
        <v>60000</v>
      </c>
      <c r="G250" s="168">
        <v>120000</v>
      </c>
    </row>
    <row r="251" spans="1:7" x14ac:dyDescent="0.3">
      <c r="A251" s="166">
        <v>1338700752</v>
      </c>
      <c r="B251" s="166" t="s">
        <v>691</v>
      </c>
      <c r="C251" s="166" t="s">
        <v>692</v>
      </c>
      <c r="D251" s="166" t="s">
        <v>361</v>
      </c>
      <c r="E251" s="167">
        <v>60000</v>
      </c>
      <c r="F251" s="167">
        <v>60000</v>
      </c>
      <c r="G251" s="168">
        <v>120000</v>
      </c>
    </row>
    <row r="252" spans="1:7" x14ac:dyDescent="0.3">
      <c r="A252" s="166">
        <v>3798802450</v>
      </c>
      <c r="B252" s="166" t="s">
        <v>693</v>
      </c>
      <c r="C252" s="166" t="s">
        <v>694</v>
      </c>
      <c r="D252" s="166" t="s">
        <v>361</v>
      </c>
      <c r="E252" s="167">
        <v>60000</v>
      </c>
      <c r="F252" s="167">
        <v>60000</v>
      </c>
      <c r="G252" s="168">
        <v>120000</v>
      </c>
    </row>
    <row r="253" spans="1:7" x14ac:dyDescent="0.3">
      <c r="A253" s="166">
        <v>7412900704</v>
      </c>
      <c r="B253" s="166" t="s">
        <v>695</v>
      </c>
      <c r="C253" s="166" t="s">
        <v>696</v>
      </c>
      <c r="D253" s="166" t="s">
        <v>144</v>
      </c>
      <c r="E253" s="167">
        <v>60000</v>
      </c>
      <c r="F253" s="167">
        <v>60000</v>
      </c>
      <c r="G253" s="168">
        <v>120000</v>
      </c>
    </row>
    <row r="254" spans="1:7" x14ac:dyDescent="0.3">
      <c r="A254" s="166">
        <v>8588802521</v>
      </c>
      <c r="B254" s="166" t="s">
        <v>697</v>
      </c>
      <c r="C254" s="166" t="s">
        <v>698</v>
      </c>
      <c r="D254" s="166" t="s">
        <v>144</v>
      </c>
      <c r="E254" s="167">
        <v>60000</v>
      </c>
      <c r="F254" s="167">
        <v>60000</v>
      </c>
      <c r="G254" s="168">
        <v>120000</v>
      </c>
    </row>
    <row r="255" spans="1:7" x14ac:dyDescent="0.3">
      <c r="A255" s="166">
        <v>8478103195</v>
      </c>
      <c r="B255" s="166" t="s">
        <v>699</v>
      </c>
      <c r="C255" s="166" t="s">
        <v>700</v>
      </c>
      <c r="D255" s="166" t="s">
        <v>149</v>
      </c>
      <c r="E255" s="167">
        <v>60000</v>
      </c>
      <c r="F255" s="167">
        <v>60000</v>
      </c>
      <c r="G255" s="168">
        <v>120000</v>
      </c>
    </row>
    <row r="256" spans="1:7" x14ac:dyDescent="0.3">
      <c r="A256" s="166">
        <v>6018602881</v>
      </c>
      <c r="B256" s="166" t="s">
        <v>701</v>
      </c>
      <c r="C256" s="166" t="s">
        <v>702</v>
      </c>
      <c r="D256" s="166" t="s">
        <v>149</v>
      </c>
      <c r="E256" s="167">
        <v>60000</v>
      </c>
      <c r="F256" s="167">
        <v>60000</v>
      </c>
      <c r="G256" s="168">
        <v>120000</v>
      </c>
    </row>
    <row r="257" spans="1:7" x14ac:dyDescent="0.3">
      <c r="A257" s="166">
        <v>5308702626</v>
      </c>
      <c r="B257" s="166" t="s">
        <v>703</v>
      </c>
      <c r="C257" s="166" t="s">
        <v>704</v>
      </c>
      <c r="D257" s="166" t="s">
        <v>154</v>
      </c>
      <c r="E257" s="167">
        <v>60000</v>
      </c>
      <c r="F257" s="167">
        <v>60000</v>
      </c>
      <c r="G257" s="168">
        <v>120000</v>
      </c>
    </row>
    <row r="258" spans="1:7" x14ac:dyDescent="0.3">
      <c r="A258" s="166">
        <v>4348802418</v>
      </c>
      <c r="B258" s="166" t="s">
        <v>705</v>
      </c>
      <c r="C258" s="166" t="s">
        <v>706</v>
      </c>
      <c r="D258" s="166" t="s">
        <v>157</v>
      </c>
      <c r="E258" s="167">
        <v>60000</v>
      </c>
      <c r="F258" s="167">
        <v>60000</v>
      </c>
      <c r="G258" s="168">
        <v>120000</v>
      </c>
    </row>
    <row r="259" spans="1:7" x14ac:dyDescent="0.3">
      <c r="A259" s="166">
        <v>7278103057</v>
      </c>
      <c r="B259" s="166" t="s">
        <v>707</v>
      </c>
      <c r="C259" s="166" t="s">
        <v>708</v>
      </c>
      <c r="D259" s="166" t="s">
        <v>157</v>
      </c>
      <c r="E259" s="167">
        <v>60000</v>
      </c>
      <c r="F259" s="167">
        <v>60000</v>
      </c>
      <c r="G259" s="168">
        <v>120000</v>
      </c>
    </row>
    <row r="260" spans="1:7" x14ac:dyDescent="0.3">
      <c r="A260" s="166">
        <v>7328601357</v>
      </c>
      <c r="B260" s="166" t="s">
        <v>709</v>
      </c>
      <c r="C260" s="166" t="s">
        <v>710</v>
      </c>
      <c r="D260" s="166" t="s">
        <v>162</v>
      </c>
      <c r="E260" s="167">
        <v>60000</v>
      </c>
      <c r="F260" s="167">
        <v>60000</v>
      </c>
      <c r="G260" s="168">
        <v>120000</v>
      </c>
    </row>
    <row r="261" spans="1:7" x14ac:dyDescent="0.3">
      <c r="A261" s="166">
        <v>1748602185</v>
      </c>
      <c r="B261" s="166" t="s">
        <v>711</v>
      </c>
      <c r="C261" s="166" t="s">
        <v>712</v>
      </c>
      <c r="D261" s="166" t="s">
        <v>162</v>
      </c>
      <c r="E261" s="167">
        <v>60000</v>
      </c>
      <c r="F261" s="167">
        <v>60000</v>
      </c>
      <c r="G261" s="168">
        <v>120000</v>
      </c>
    </row>
    <row r="262" spans="1:7" x14ac:dyDescent="0.3">
      <c r="A262" s="166">
        <v>6448802830</v>
      </c>
      <c r="B262" s="166" t="s">
        <v>713</v>
      </c>
      <c r="C262" s="166" t="s">
        <v>714</v>
      </c>
      <c r="D262" s="166" t="s">
        <v>715</v>
      </c>
      <c r="E262" s="167">
        <v>60000</v>
      </c>
      <c r="F262" s="167">
        <v>60000</v>
      </c>
      <c r="G262" s="168">
        <v>120000</v>
      </c>
    </row>
    <row r="263" spans="1:7" x14ac:dyDescent="0.3">
      <c r="A263" s="166">
        <v>2318112278</v>
      </c>
      <c r="B263" s="166" t="s">
        <v>716</v>
      </c>
      <c r="C263" s="166" t="s">
        <v>717</v>
      </c>
      <c r="D263" s="166" t="s">
        <v>165</v>
      </c>
      <c r="E263" s="167">
        <v>60000</v>
      </c>
      <c r="F263" s="167">
        <v>60000</v>
      </c>
      <c r="G263" s="168">
        <v>120000</v>
      </c>
    </row>
    <row r="264" spans="1:7" x14ac:dyDescent="0.3">
      <c r="A264" s="166">
        <v>1598703237</v>
      </c>
      <c r="B264" s="166" t="s">
        <v>718</v>
      </c>
      <c r="C264" s="166" t="s">
        <v>719</v>
      </c>
      <c r="D264" s="166" t="s">
        <v>165</v>
      </c>
      <c r="E264" s="167">
        <v>60000</v>
      </c>
      <c r="F264" s="167">
        <v>60000</v>
      </c>
      <c r="G264" s="168">
        <v>120000</v>
      </c>
    </row>
    <row r="265" spans="1:7" x14ac:dyDescent="0.3">
      <c r="A265" s="166">
        <v>5208701810</v>
      </c>
      <c r="B265" s="166" t="s">
        <v>720</v>
      </c>
      <c r="C265" s="166" t="s">
        <v>721</v>
      </c>
      <c r="D265" s="166" t="s">
        <v>170</v>
      </c>
      <c r="E265" s="167">
        <v>60000</v>
      </c>
      <c r="F265" s="167">
        <v>60000</v>
      </c>
      <c r="G265" s="168">
        <v>120000</v>
      </c>
    </row>
    <row r="266" spans="1:7" x14ac:dyDescent="0.3">
      <c r="A266" s="166">
        <v>6278703195</v>
      </c>
      <c r="B266" s="166" t="s">
        <v>722</v>
      </c>
      <c r="C266" s="166" t="s">
        <v>723</v>
      </c>
      <c r="D266" s="166" t="s">
        <v>170</v>
      </c>
      <c r="E266" s="167">
        <v>60000</v>
      </c>
      <c r="F266" s="167">
        <v>60000</v>
      </c>
      <c r="G266" s="168">
        <v>120000</v>
      </c>
    </row>
    <row r="267" spans="1:7" x14ac:dyDescent="0.3">
      <c r="A267" s="166">
        <v>8878802228</v>
      </c>
      <c r="B267" s="166" t="s">
        <v>724</v>
      </c>
      <c r="C267" s="166" t="s">
        <v>725</v>
      </c>
      <c r="D267" s="166" t="s">
        <v>175</v>
      </c>
      <c r="E267" s="167">
        <v>60000</v>
      </c>
      <c r="F267" s="167">
        <v>60000</v>
      </c>
      <c r="G267" s="168">
        <v>120000</v>
      </c>
    </row>
    <row r="268" spans="1:7" x14ac:dyDescent="0.3">
      <c r="A268" s="166">
        <v>1498601180</v>
      </c>
      <c r="B268" s="166" t="s">
        <v>726</v>
      </c>
      <c r="C268" s="166" t="s">
        <v>727</v>
      </c>
      <c r="D268" s="166" t="s">
        <v>178</v>
      </c>
      <c r="E268" s="167">
        <v>60000</v>
      </c>
      <c r="F268" s="167">
        <v>60000</v>
      </c>
      <c r="G268" s="168">
        <v>120000</v>
      </c>
    </row>
    <row r="269" spans="1:7" x14ac:dyDescent="0.3">
      <c r="A269" s="166">
        <v>2618801131</v>
      </c>
      <c r="B269" s="166" t="s">
        <v>728</v>
      </c>
      <c r="C269" s="166" t="s">
        <v>729</v>
      </c>
      <c r="D269" s="166" t="s">
        <v>178</v>
      </c>
      <c r="E269" s="167">
        <v>60000</v>
      </c>
      <c r="F269" s="167">
        <v>60000</v>
      </c>
      <c r="G269" s="168">
        <v>120000</v>
      </c>
    </row>
    <row r="270" spans="1:7" x14ac:dyDescent="0.3">
      <c r="A270" s="166">
        <v>3078602859</v>
      </c>
      <c r="B270" s="166" t="s">
        <v>730</v>
      </c>
      <c r="C270" s="166" t="s">
        <v>731</v>
      </c>
      <c r="D270" s="166" t="s">
        <v>183</v>
      </c>
      <c r="E270" s="167">
        <v>60000</v>
      </c>
      <c r="F270" s="167">
        <v>60000</v>
      </c>
      <c r="G270" s="168">
        <v>120000</v>
      </c>
    </row>
    <row r="271" spans="1:7" x14ac:dyDescent="0.3">
      <c r="A271" s="166">
        <v>5511101385</v>
      </c>
      <c r="B271" s="166" t="s">
        <v>732</v>
      </c>
      <c r="C271" s="166" t="s">
        <v>733</v>
      </c>
      <c r="D271" s="166" t="s">
        <v>183</v>
      </c>
      <c r="E271" s="167">
        <v>60000</v>
      </c>
      <c r="F271" s="167">
        <v>60000</v>
      </c>
      <c r="G271" s="168">
        <v>120000</v>
      </c>
    </row>
    <row r="272" spans="1:7" x14ac:dyDescent="0.3">
      <c r="A272" s="166">
        <v>8898801360</v>
      </c>
      <c r="B272" s="166" t="s">
        <v>734</v>
      </c>
      <c r="C272" s="166" t="s">
        <v>735</v>
      </c>
      <c r="D272" s="166" t="s">
        <v>186</v>
      </c>
      <c r="E272" s="167">
        <v>60000</v>
      </c>
      <c r="F272" s="167">
        <v>60000</v>
      </c>
      <c r="G272" s="168">
        <v>120000</v>
      </c>
    </row>
    <row r="273" spans="1:7" x14ac:dyDescent="0.3">
      <c r="A273" s="166">
        <v>6308102604</v>
      </c>
      <c r="B273" s="166" t="s">
        <v>736</v>
      </c>
      <c r="C273" s="166" t="s">
        <v>737</v>
      </c>
      <c r="D273" s="166" t="s">
        <v>186</v>
      </c>
      <c r="E273" s="167">
        <v>60000</v>
      </c>
      <c r="F273" s="167">
        <v>60000</v>
      </c>
      <c r="G273" s="168">
        <v>120000</v>
      </c>
    </row>
    <row r="274" spans="1:7" x14ac:dyDescent="0.3">
      <c r="A274" s="166">
        <v>3448103172</v>
      </c>
      <c r="B274" s="166" t="s">
        <v>738</v>
      </c>
      <c r="C274" s="166" t="s">
        <v>739</v>
      </c>
      <c r="D274" s="166" t="s">
        <v>191</v>
      </c>
      <c r="E274" s="167">
        <v>60000</v>
      </c>
      <c r="F274" s="167">
        <v>60000</v>
      </c>
      <c r="G274" s="168">
        <v>120000</v>
      </c>
    </row>
    <row r="275" spans="1:7" x14ac:dyDescent="0.3">
      <c r="A275" s="166">
        <v>1948701135</v>
      </c>
      <c r="B275" s="166" t="s">
        <v>740</v>
      </c>
      <c r="C275" s="166" t="s">
        <v>741</v>
      </c>
      <c r="D275" s="166" t="s">
        <v>191</v>
      </c>
      <c r="E275" s="167">
        <v>60000</v>
      </c>
      <c r="F275" s="167">
        <v>60000</v>
      </c>
      <c r="G275" s="168">
        <v>120000</v>
      </c>
    </row>
    <row r="276" spans="1:7" x14ac:dyDescent="0.3">
      <c r="A276" s="166">
        <v>2038166954</v>
      </c>
      <c r="B276" s="166" t="s">
        <v>742</v>
      </c>
      <c r="C276" s="166" t="s">
        <v>743</v>
      </c>
      <c r="D276" s="166" t="s">
        <v>196</v>
      </c>
      <c r="E276" s="167">
        <v>60000</v>
      </c>
      <c r="F276" s="167">
        <v>60000</v>
      </c>
      <c r="G276" s="168">
        <v>120000</v>
      </c>
    </row>
    <row r="277" spans="1:7" x14ac:dyDescent="0.3">
      <c r="A277" s="166">
        <v>3598801516</v>
      </c>
      <c r="B277" s="166" t="s">
        <v>744</v>
      </c>
      <c r="C277" s="166" t="s">
        <v>745</v>
      </c>
      <c r="D277" s="166" t="s">
        <v>199</v>
      </c>
      <c r="E277" s="167">
        <v>60000</v>
      </c>
      <c r="F277" s="167">
        <v>60000</v>
      </c>
      <c r="G277" s="168">
        <v>120000</v>
      </c>
    </row>
    <row r="278" spans="1:7" x14ac:dyDescent="0.3">
      <c r="A278" s="166">
        <v>4758602297</v>
      </c>
      <c r="B278" s="166" t="s">
        <v>746</v>
      </c>
      <c r="C278" s="166" t="s">
        <v>747</v>
      </c>
      <c r="D278" s="166" t="s">
        <v>199</v>
      </c>
      <c r="E278" s="167">
        <v>60000</v>
      </c>
      <c r="F278" s="167">
        <v>60000</v>
      </c>
      <c r="G278" s="168">
        <v>120000</v>
      </c>
    </row>
    <row r="279" spans="1:7" x14ac:dyDescent="0.3">
      <c r="A279" s="166">
        <v>5658801668</v>
      </c>
      <c r="B279" s="166" t="s">
        <v>748</v>
      </c>
      <c r="C279" s="166" t="s">
        <v>749</v>
      </c>
      <c r="D279" s="166" t="s">
        <v>204</v>
      </c>
      <c r="E279" s="167">
        <v>60000</v>
      </c>
      <c r="F279" s="167">
        <v>60000</v>
      </c>
      <c r="G279" s="168">
        <v>120000</v>
      </c>
    </row>
    <row r="280" spans="1:7" x14ac:dyDescent="0.3">
      <c r="A280" s="166">
        <v>8868102231</v>
      </c>
      <c r="B280" s="166" t="s">
        <v>750</v>
      </c>
      <c r="C280" s="166" t="s">
        <v>751</v>
      </c>
      <c r="D280" s="166" t="s">
        <v>209</v>
      </c>
      <c r="E280" s="167">
        <v>60000</v>
      </c>
      <c r="F280" s="167">
        <v>60000</v>
      </c>
      <c r="G280" s="168">
        <v>120000</v>
      </c>
    </row>
    <row r="281" spans="1:7" x14ac:dyDescent="0.3">
      <c r="A281" s="166">
        <v>6288700925</v>
      </c>
      <c r="B281" s="166" t="s">
        <v>752</v>
      </c>
      <c r="C281" s="166" t="s">
        <v>753</v>
      </c>
      <c r="D281" s="166" t="s">
        <v>209</v>
      </c>
      <c r="E281" s="167">
        <v>60000</v>
      </c>
      <c r="F281" s="167">
        <v>60000</v>
      </c>
      <c r="G281" s="168">
        <v>120000</v>
      </c>
    </row>
    <row r="282" spans="1:7" x14ac:dyDescent="0.3">
      <c r="A282" s="166">
        <v>8818601834</v>
      </c>
      <c r="B282" s="166" t="s">
        <v>754</v>
      </c>
      <c r="C282" s="166" t="s">
        <v>755</v>
      </c>
      <c r="D282" s="166" t="s">
        <v>214</v>
      </c>
      <c r="E282" s="167">
        <v>60000</v>
      </c>
      <c r="F282" s="167">
        <v>60000</v>
      </c>
      <c r="G282" s="168">
        <v>120000</v>
      </c>
    </row>
    <row r="283" spans="1:7" x14ac:dyDescent="0.3">
      <c r="A283" s="166">
        <v>4988102941</v>
      </c>
      <c r="B283" s="166" t="s">
        <v>756</v>
      </c>
      <c r="C283" s="166" t="s">
        <v>757</v>
      </c>
      <c r="D283" s="166" t="s">
        <v>214</v>
      </c>
      <c r="E283" s="167">
        <v>60000</v>
      </c>
      <c r="F283" s="167">
        <v>60000</v>
      </c>
      <c r="G283" s="168">
        <v>120000</v>
      </c>
    </row>
    <row r="284" spans="1:7" x14ac:dyDescent="0.3">
      <c r="A284" s="166">
        <v>2828603317</v>
      </c>
      <c r="B284" s="166" t="s">
        <v>758</v>
      </c>
      <c r="C284" s="166" t="s">
        <v>759</v>
      </c>
      <c r="D284" s="166" t="s">
        <v>219</v>
      </c>
      <c r="E284" s="167">
        <v>60000</v>
      </c>
      <c r="F284" s="167">
        <v>60000</v>
      </c>
      <c r="G284" s="168">
        <v>120000</v>
      </c>
    </row>
    <row r="285" spans="1:7" x14ac:dyDescent="0.3">
      <c r="A285" s="166">
        <v>4778700991</v>
      </c>
      <c r="B285" s="166" t="s">
        <v>760</v>
      </c>
      <c r="C285" s="166" t="s">
        <v>761</v>
      </c>
      <c r="D285" s="166" t="s">
        <v>222</v>
      </c>
      <c r="E285" s="167">
        <v>60000</v>
      </c>
      <c r="F285" s="167">
        <v>60000</v>
      </c>
      <c r="G285" s="168">
        <v>120000</v>
      </c>
    </row>
    <row r="286" spans="1:7" x14ac:dyDescent="0.3">
      <c r="A286" s="166">
        <v>5528600863</v>
      </c>
      <c r="B286" s="166" t="s">
        <v>762</v>
      </c>
      <c r="C286" s="166" t="s">
        <v>763</v>
      </c>
      <c r="D286" s="166" t="s">
        <v>222</v>
      </c>
      <c r="E286" s="167">
        <v>60000</v>
      </c>
      <c r="F286" s="167">
        <v>60000</v>
      </c>
      <c r="G286" s="168">
        <v>120000</v>
      </c>
    </row>
    <row r="287" spans="1:7" x14ac:dyDescent="0.3">
      <c r="A287" s="166">
        <v>8762002005</v>
      </c>
      <c r="B287" s="166" t="s">
        <v>764</v>
      </c>
      <c r="C287" s="166" t="s">
        <v>765</v>
      </c>
      <c r="D287" s="166" t="s">
        <v>227</v>
      </c>
      <c r="E287" s="167">
        <v>60000</v>
      </c>
      <c r="F287" s="167">
        <v>60000</v>
      </c>
      <c r="G287" s="168">
        <v>120000</v>
      </c>
    </row>
    <row r="288" spans="1:7" x14ac:dyDescent="0.3">
      <c r="A288" s="166">
        <v>5858702645</v>
      </c>
      <c r="B288" s="166" t="s">
        <v>766</v>
      </c>
      <c r="C288" s="166" t="s">
        <v>767</v>
      </c>
      <c r="D288" s="166" t="s">
        <v>232</v>
      </c>
      <c r="E288" s="167">
        <v>60000</v>
      </c>
      <c r="F288" s="167">
        <v>60000</v>
      </c>
      <c r="G288" s="168">
        <v>120000</v>
      </c>
    </row>
    <row r="289" spans="1:7" x14ac:dyDescent="0.3">
      <c r="A289" s="166">
        <v>8988101384</v>
      </c>
      <c r="B289" s="166" t="s">
        <v>768</v>
      </c>
      <c r="C289" s="166" t="s">
        <v>769</v>
      </c>
      <c r="D289" s="166" t="s">
        <v>232</v>
      </c>
      <c r="E289" s="167">
        <v>60000</v>
      </c>
      <c r="F289" s="167">
        <v>60000</v>
      </c>
      <c r="G289" s="168">
        <v>120000</v>
      </c>
    </row>
    <row r="290" spans="1:7" x14ac:dyDescent="0.3">
      <c r="A290" s="166">
        <v>4668102717</v>
      </c>
      <c r="B290" s="166" t="s">
        <v>770</v>
      </c>
      <c r="C290" s="166" t="s">
        <v>771</v>
      </c>
      <c r="D290" s="166" t="s">
        <v>237</v>
      </c>
      <c r="E290" s="167">
        <v>60000</v>
      </c>
      <c r="F290" s="167">
        <v>60000</v>
      </c>
      <c r="G290" s="168">
        <v>120000</v>
      </c>
    </row>
    <row r="291" spans="1:7" x14ac:dyDescent="0.3">
      <c r="A291" s="166">
        <v>6538801927</v>
      </c>
      <c r="B291" s="166" t="s">
        <v>772</v>
      </c>
      <c r="C291" s="166" t="s">
        <v>773</v>
      </c>
      <c r="D291" s="166" t="s">
        <v>237</v>
      </c>
      <c r="E291" s="167">
        <v>60000</v>
      </c>
      <c r="F291" s="167">
        <v>60000</v>
      </c>
      <c r="G291" s="168">
        <v>120000</v>
      </c>
    </row>
    <row r="292" spans="1:7" x14ac:dyDescent="0.3">
      <c r="A292" s="166">
        <v>5898701880</v>
      </c>
      <c r="B292" s="166" t="s">
        <v>774</v>
      </c>
      <c r="C292" s="166" t="s">
        <v>775</v>
      </c>
      <c r="D292" s="166" t="s">
        <v>242</v>
      </c>
      <c r="E292" s="167">
        <v>60000</v>
      </c>
      <c r="F292" s="167">
        <v>60000</v>
      </c>
      <c r="G292" s="168">
        <v>120000</v>
      </c>
    </row>
    <row r="293" spans="1:7" x14ac:dyDescent="0.3">
      <c r="A293" s="166">
        <v>7478701680</v>
      </c>
      <c r="B293" s="166" t="s">
        <v>776</v>
      </c>
      <c r="C293" s="166" t="s">
        <v>777</v>
      </c>
      <c r="D293" s="166" t="s">
        <v>245</v>
      </c>
      <c r="E293" s="167">
        <v>60000</v>
      </c>
      <c r="F293" s="167">
        <v>60000</v>
      </c>
      <c r="G293" s="168">
        <v>120000</v>
      </c>
    </row>
    <row r="294" spans="1:7" x14ac:dyDescent="0.3">
      <c r="A294" s="166">
        <v>7498601016</v>
      </c>
      <c r="B294" s="166" t="s">
        <v>778</v>
      </c>
      <c r="C294" s="166" t="s">
        <v>779</v>
      </c>
      <c r="D294" s="166" t="s">
        <v>245</v>
      </c>
      <c r="E294" s="167">
        <v>60000</v>
      </c>
      <c r="F294" s="167">
        <v>60000</v>
      </c>
      <c r="G294" s="168">
        <v>120000</v>
      </c>
    </row>
    <row r="295" spans="1:7" x14ac:dyDescent="0.3">
      <c r="A295" s="166">
        <v>3558603314</v>
      </c>
      <c r="B295" s="166" t="s">
        <v>780</v>
      </c>
      <c r="C295" s="166" t="s">
        <v>781</v>
      </c>
      <c r="D295" s="166" t="s">
        <v>250</v>
      </c>
      <c r="E295" s="167">
        <v>60000</v>
      </c>
      <c r="F295" s="167">
        <v>60000</v>
      </c>
      <c r="G295" s="168">
        <v>120000</v>
      </c>
    </row>
    <row r="296" spans="1:7" x14ac:dyDescent="0.3">
      <c r="A296" s="166">
        <v>8381401546</v>
      </c>
      <c r="B296" s="166" t="s">
        <v>782</v>
      </c>
      <c r="C296" s="166" t="s">
        <v>783</v>
      </c>
      <c r="D296" s="166" t="s">
        <v>255</v>
      </c>
      <c r="E296" s="167">
        <v>60000</v>
      </c>
      <c r="F296" s="167">
        <v>60000</v>
      </c>
      <c r="G296" s="168">
        <v>120000</v>
      </c>
    </row>
    <row r="297" spans="1:7" x14ac:dyDescent="0.3">
      <c r="A297" s="166">
        <v>8698102804</v>
      </c>
      <c r="B297" s="166" t="s">
        <v>784</v>
      </c>
      <c r="C297" s="166" t="s">
        <v>785</v>
      </c>
      <c r="D297" s="166" t="s">
        <v>255</v>
      </c>
      <c r="E297" s="167">
        <v>60000</v>
      </c>
      <c r="F297" s="167">
        <v>60000</v>
      </c>
      <c r="G297" s="168">
        <v>120000</v>
      </c>
    </row>
    <row r="298" spans="1:7" x14ac:dyDescent="0.3">
      <c r="A298" s="166">
        <v>1758102752</v>
      </c>
      <c r="B298" s="166" t="s">
        <v>786</v>
      </c>
      <c r="C298" s="166" t="s">
        <v>787</v>
      </c>
      <c r="D298" s="166" t="s">
        <v>260</v>
      </c>
      <c r="E298" s="167">
        <v>60000</v>
      </c>
      <c r="F298" s="167">
        <v>60000</v>
      </c>
      <c r="G298" s="168">
        <v>120000</v>
      </c>
    </row>
    <row r="299" spans="1:7" x14ac:dyDescent="0.3">
      <c r="A299" s="166">
        <v>5418102565</v>
      </c>
      <c r="B299" s="166" t="s">
        <v>788</v>
      </c>
      <c r="C299" s="166" t="s">
        <v>789</v>
      </c>
      <c r="D299" s="166" t="s">
        <v>260</v>
      </c>
      <c r="E299" s="167">
        <v>60000</v>
      </c>
      <c r="F299" s="167">
        <v>60000</v>
      </c>
      <c r="G299" s="168">
        <v>120000</v>
      </c>
    </row>
    <row r="300" spans="1:7" x14ac:dyDescent="0.3">
      <c r="A300" s="166">
        <v>6268701909</v>
      </c>
      <c r="B300" s="166" t="s">
        <v>790</v>
      </c>
      <c r="C300" s="166" t="s">
        <v>791</v>
      </c>
      <c r="D300" s="166" t="s">
        <v>265</v>
      </c>
      <c r="E300" s="167">
        <v>60000</v>
      </c>
      <c r="F300" s="167">
        <v>60000</v>
      </c>
      <c r="G300" s="168">
        <v>120000</v>
      </c>
    </row>
    <row r="301" spans="1:7" x14ac:dyDescent="0.3">
      <c r="A301" s="166">
        <v>6248702805</v>
      </c>
      <c r="B301" s="166" t="s">
        <v>792</v>
      </c>
      <c r="C301" s="166" t="s">
        <v>793</v>
      </c>
      <c r="D301" s="166" t="s">
        <v>268</v>
      </c>
      <c r="E301" s="167">
        <v>60000</v>
      </c>
      <c r="F301" s="167">
        <v>60000</v>
      </c>
      <c r="G301" s="168">
        <v>120000</v>
      </c>
    </row>
    <row r="302" spans="1:7" x14ac:dyDescent="0.3">
      <c r="A302" s="166">
        <v>8558103217</v>
      </c>
      <c r="B302" s="166" t="s">
        <v>794</v>
      </c>
      <c r="C302" s="166" t="s">
        <v>795</v>
      </c>
      <c r="D302" s="166" t="s">
        <v>268</v>
      </c>
      <c r="E302" s="167">
        <v>60000</v>
      </c>
      <c r="F302" s="167">
        <v>60000</v>
      </c>
      <c r="G302" s="168">
        <v>120000</v>
      </c>
    </row>
    <row r="303" spans="1:7" x14ac:dyDescent="0.3">
      <c r="A303" s="166">
        <v>3128703255</v>
      </c>
      <c r="B303" s="166" t="s">
        <v>796</v>
      </c>
      <c r="C303" s="166" t="s">
        <v>797</v>
      </c>
      <c r="D303" s="166" t="s">
        <v>273</v>
      </c>
      <c r="E303" s="167">
        <v>60000</v>
      </c>
      <c r="F303" s="167">
        <v>60000</v>
      </c>
      <c r="G303" s="168">
        <v>120000</v>
      </c>
    </row>
    <row r="304" spans="1:7" x14ac:dyDescent="0.3">
      <c r="A304" s="166">
        <v>3282801411</v>
      </c>
      <c r="B304" s="166" t="s">
        <v>798</v>
      </c>
      <c r="C304" s="166" t="s">
        <v>799</v>
      </c>
      <c r="D304" s="166" t="s">
        <v>278</v>
      </c>
      <c r="E304" s="167">
        <v>60000</v>
      </c>
      <c r="F304" s="167">
        <v>60000</v>
      </c>
      <c r="G304" s="168">
        <v>120000</v>
      </c>
    </row>
    <row r="305" spans="1:7" x14ac:dyDescent="0.3">
      <c r="A305" s="166">
        <v>4028616925</v>
      </c>
      <c r="B305" s="166" t="s">
        <v>800</v>
      </c>
      <c r="C305" s="166" t="s">
        <v>801</v>
      </c>
      <c r="D305" s="166" t="s">
        <v>278</v>
      </c>
      <c r="E305" s="167">
        <v>60000</v>
      </c>
      <c r="F305" s="167">
        <v>60000</v>
      </c>
      <c r="G305" s="168">
        <v>120000</v>
      </c>
    </row>
    <row r="306" spans="1:7" x14ac:dyDescent="0.3">
      <c r="A306" s="166">
        <v>8778701579</v>
      </c>
      <c r="B306" s="166" t="s">
        <v>802</v>
      </c>
      <c r="C306" s="166" t="s">
        <v>803</v>
      </c>
      <c r="D306" s="166" t="s">
        <v>283</v>
      </c>
      <c r="E306" s="167">
        <v>60000</v>
      </c>
      <c r="F306" s="167">
        <v>60000</v>
      </c>
      <c r="G306" s="168">
        <v>120000</v>
      </c>
    </row>
    <row r="307" spans="1:7" x14ac:dyDescent="0.3">
      <c r="A307" s="166">
        <v>8898801870</v>
      </c>
      <c r="B307" s="166" t="s">
        <v>804</v>
      </c>
      <c r="C307" s="166" t="s">
        <v>805</v>
      </c>
      <c r="D307" s="166" t="s">
        <v>283</v>
      </c>
      <c r="E307" s="167">
        <v>60000</v>
      </c>
      <c r="F307" s="167">
        <v>60000</v>
      </c>
      <c r="G307" s="168">
        <v>120000</v>
      </c>
    </row>
    <row r="308" spans="1:7" x14ac:dyDescent="0.3">
      <c r="A308" s="166">
        <v>7388101291</v>
      </c>
      <c r="B308" s="166" t="s">
        <v>806</v>
      </c>
      <c r="C308" s="166" t="s">
        <v>807</v>
      </c>
      <c r="D308" s="166" t="s">
        <v>288</v>
      </c>
      <c r="E308" s="167">
        <v>60000</v>
      </c>
      <c r="F308" s="167">
        <v>60000</v>
      </c>
      <c r="G308" s="168">
        <v>120000</v>
      </c>
    </row>
    <row r="309" spans="1:7" x14ac:dyDescent="0.3">
      <c r="A309" s="166">
        <v>8128801977</v>
      </c>
      <c r="B309" s="166" t="s">
        <v>808</v>
      </c>
      <c r="C309" s="166" t="s">
        <v>809</v>
      </c>
      <c r="D309" s="166" t="s">
        <v>291</v>
      </c>
      <c r="E309" s="167">
        <v>60000</v>
      </c>
      <c r="F309" s="167">
        <v>60000</v>
      </c>
      <c r="G309" s="168">
        <v>120000</v>
      </c>
    </row>
    <row r="310" spans="1:7" x14ac:dyDescent="0.3">
      <c r="A310" s="166">
        <v>6938102721</v>
      </c>
      <c r="B310" s="166" t="s">
        <v>810</v>
      </c>
      <c r="C310" s="166" t="s">
        <v>811</v>
      </c>
      <c r="D310" s="166" t="s">
        <v>291</v>
      </c>
      <c r="E310" s="167">
        <v>60000</v>
      </c>
      <c r="F310" s="167">
        <v>60000</v>
      </c>
      <c r="G310" s="168">
        <v>120000</v>
      </c>
    </row>
    <row r="311" spans="1:7" x14ac:dyDescent="0.3">
      <c r="A311" s="166">
        <v>6338702769</v>
      </c>
      <c r="B311" s="166" t="s">
        <v>812</v>
      </c>
      <c r="C311" s="166" t="s">
        <v>813</v>
      </c>
      <c r="D311" s="166" t="s">
        <v>296</v>
      </c>
      <c r="E311" s="167">
        <v>60000</v>
      </c>
      <c r="F311" s="167">
        <v>60000</v>
      </c>
      <c r="G311" s="168">
        <v>120000</v>
      </c>
    </row>
    <row r="312" spans="1:7" x14ac:dyDescent="0.3">
      <c r="A312" s="166">
        <v>3218702643</v>
      </c>
      <c r="B312" s="166" t="s">
        <v>814</v>
      </c>
      <c r="C312" s="166" t="s">
        <v>815</v>
      </c>
      <c r="D312" s="166" t="s">
        <v>299</v>
      </c>
      <c r="E312" s="167">
        <v>60000</v>
      </c>
      <c r="F312" s="167">
        <v>60000</v>
      </c>
      <c r="G312" s="168">
        <v>120000</v>
      </c>
    </row>
    <row r="313" spans="1:7" x14ac:dyDescent="0.3">
      <c r="A313" s="166">
        <v>7738102838</v>
      </c>
      <c r="B313" s="166" t="s">
        <v>816</v>
      </c>
      <c r="C313" s="166" t="s">
        <v>817</v>
      </c>
      <c r="D313" s="166" t="s">
        <v>299</v>
      </c>
      <c r="E313" s="167">
        <v>60000</v>
      </c>
      <c r="F313" s="167">
        <v>60000</v>
      </c>
      <c r="G313" s="168">
        <v>120000</v>
      </c>
    </row>
    <row r="314" spans="1:7" x14ac:dyDescent="0.3">
      <c r="A314" s="166">
        <v>3388801275</v>
      </c>
      <c r="B314" s="166" t="s">
        <v>818</v>
      </c>
      <c r="C314" s="166" t="s">
        <v>819</v>
      </c>
      <c r="D314" s="166" t="s">
        <v>304</v>
      </c>
      <c r="E314" s="167">
        <v>60000</v>
      </c>
      <c r="F314" s="167">
        <v>60000</v>
      </c>
      <c r="G314" s="168">
        <v>120000</v>
      </c>
    </row>
    <row r="315" spans="1:7" x14ac:dyDescent="0.3">
      <c r="A315" s="166">
        <v>2328801962</v>
      </c>
      <c r="B315" s="166" t="s">
        <v>820</v>
      </c>
      <c r="C315" s="166" t="s">
        <v>821</v>
      </c>
      <c r="D315" s="166" t="s">
        <v>304</v>
      </c>
      <c r="E315" s="167">
        <v>60000</v>
      </c>
      <c r="F315" s="167">
        <v>60000</v>
      </c>
      <c r="G315" s="168">
        <v>120000</v>
      </c>
    </row>
    <row r="316" spans="1:7" x14ac:dyDescent="0.3">
      <c r="A316" s="166">
        <v>2518101907</v>
      </c>
      <c r="B316" s="166" t="s">
        <v>822</v>
      </c>
      <c r="C316" s="166" t="s">
        <v>823</v>
      </c>
      <c r="D316" s="166" t="s">
        <v>309</v>
      </c>
      <c r="E316" s="167">
        <v>60000</v>
      </c>
      <c r="F316" s="167">
        <v>60000</v>
      </c>
      <c r="G316" s="168">
        <v>120000</v>
      </c>
    </row>
    <row r="317" spans="1:7" x14ac:dyDescent="0.3">
      <c r="A317" s="166">
        <v>3838601209</v>
      </c>
      <c r="B317" s="166" t="s">
        <v>824</v>
      </c>
      <c r="C317" s="166" t="s">
        <v>825</v>
      </c>
      <c r="D317" s="166" t="s">
        <v>312</v>
      </c>
      <c r="E317" s="167">
        <v>60000</v>
      </c>
      <c r="F317" s="167">
        <v>60000</v>
      </c>
      <c r="G317" s="168">
        <v>120000</v>
      </c>
    </row>
    <row r="318" spans="1:7" x14ac:dyDescent="0.3">
      <c r="A318" s="166">
        <v>1728701718</v>
      </c>
      <c r="B318" s="166" t="s">
        <v>826</v>
      </c>
      <c r="C318" s="166" t="s">
        <v>827</v>
      </c>
      <c r="D318" s="166" t="s">
        <v>312</v>
      </c>
      <c r="E318" s="167">
        <v>60000</v>
      </c>
      <c r="F318" s="167">
        <v>60000</v>
      </c>
      <c r="G318" s="168">
        <v>120000</v>
      </c>
    </row>
    <row r="319" spans="1:7" x14ac:dyDescent="0.3">
      <c r="A319" s="166">
        <v>2158802855</v>
      </c>
      <c r="B319" s="166" t="s">
        <v>828</v>
      </c>
      <c r="C319" s="166" t="s">
        <v>829</v>
      </c>
      <c r="D319" s="166" t="s">
        <v>317</v>
      </c>
      <c r="E319" s="167">
        <v>60000</v>
      </c>
      <c r="F319" s="167">
        <v>60000</v>
      </c>
      <c r="G319" s="168">
        <v>120000</v>
      </c>
    </row>
    <row r="320" spans="1:7" x14ac:dyDescent="0.3">
      <c r="A320" s="166">
        <v>6558702793</v>
      </c>
      <c r="B320" s="166" t="s">
        <v>830</v>
      </c>
      <c r="C320" s="166" t="s">
        <v>831</v>
      </c>
      <c r="D320" s="166" t="s">
        <v>320</v>
      </c>
      <c r="E320" s="167">
        <v>60000</v>
      </c>
      <c r="F320" s="167">
        <v>60000</v>
      </c>
      <c r="G320" s="168">
        <v>120000</v>
      </c>
    </row>
    <row r="321" spans="1:7" x14ac:dyDescent="0.3">
      <c r="A321" s="166">
        <v>4458701111</v>
      </c>
      <c r="B321" s="166" t="s">
        <v>832</v>
      </c>
      <c r="C321" s="166" t="s">
        <v>833</v>
      </c>
      <c r="D321" s="166" t="s">
        <v>320</v>
      </c>
      <c r="E321" s="167">
        <v>60000</v>
      </c>
      <c r="F321" s="167">
        <v>60000</v>
      </c>
      <c r="G321" s="168">
        <v>120000</v>
      </c>
    </row>
    <row r="322" spans="1:7" x14ac:dyDescent="0.3">
      <c r="A322" s="166">
        <v>2258701370</v>
      </c>
      <c r="B322" s="166" t="s">
        <v>834</v>
      </c>
      <c r="C322" s="166" t="s">
        <v>835</v>
      </c>
      <c r="D322" s="166" t="s">
        <v>325</v>
      </c>
      <c r="E322" s="167">
        <v>60000</v>
      </c>
      <c r="F322" s="167">
        <v>60000</v>
      </c>
      <c r="G322" s="168">
        <v>120000</v>
      </c>
    </row>
    <row r="323" spans="1:7" x14ac:dyDescent="0.3">
      <c r="A323" s="166">
        <v>2258703247</v>
      </c>
      <c r="B323" s="166" t="s">
        <v>836</v>
      </c>
      <c r="C323" s="166" t="s">
        <v>837</v>
      </c>
      <c r="D323" s="166" t="s">
        <v>325</v>
      </c>
      <c r="E323" s="167">
        <v>60000</v>
      </c>
      <c r="F323" s="167">
        <v>60000</v>
      </c>
      <c r="G323" s="168">
        <v>120000</v>
      </c>
    </row>
    <row r="324" spans="1:7" x14ac:dyDescent="0.3">
      <c r="A324" s="166">
        <v>3558101873</v>
      </c>
      <c r="B324" s="166" t="s">
        <v>838</v>
      </c>
      <c r="C324" s="166" t="s">
        <v>839</v>
      </c>
      <c r="D324" s="166" t="s">
        <v>330</v>
      </c>
      <c r="E324" s="167">
        <v>60000</v>
      </c>
      <c r="F324" s="167">
        <v>60000</v>
      </c>
      <c r="G324" s="168">
        <v>120000</v>
      </c>
    </row>
    <row r="325" spans="1:7" x14ac:dyDescent="0.3">
      <c r="A325" s="166">
        <v>4358702879</v>
      </c>
      <c r="B325" s="166" t="s">
        <v>840</v>
      </c>
      <c r="C325" s="166" t="s">
        <v>841</v>
      </c>
      <c r="D325" s="166" t="s">
        <v>333</v>
      </c>
      <c r="E325" s="167">
        <v>60000</v>
      </c>
      <c r="F325" s="167">
        <v>60000</v>
      </c>
      <c r="G325" s="168">
        <v>120000</v>
      </c>
    </row>
    <row r="326" spans="1:7" x14ac:dyDescent="0.3">
      <c r="A326" s="166">
        <v>2688602836</v>
      </c>
      <c r="B326" s="166" t="s">
        <v>842</v>
      </c>
      <c r="C326" s="166" t="s">
        <v>843</v>
      </c>
      <c r="D326" s="166" t="s">
        <v>333</v>
      </c>
      <c r="E326" s="167">
        <v>60000</v>
      </c>
      <c r="F326" s="167">
        <v>60000</v>
      </c>
      <c r="G326" s="168">
        <v>120000</v>
      </c>
    </row>
    <row r="327" spans="1:7" x14ac:dyDescent="0.3">
      <c r="A327" s="166">
        <v>1548702548</v>
      </c>
      <c r="B327" s="166" t="s">
        <v>844</v>
      </c>
      <c r="C327" s="166" t="s">
        <v>845</v>
      </c>
      <c r="D327" s="166" t="s">
        <v>338</v>
      </c>
      <c r="E327" s="167">
        <v>60000</v>
      </c>
      <c r="F327" s="167">
        <v>60000</v>
      </c>
      <c r="G327" s="168">
        <v>120000</v>
      </c>
    </row>
    <row r="328" spans="1:7" x14ac:dyDescent="0.3">
      <c r="A328" s="166">
        <v>2728601874</v>
      </c>
      <c r="B328" s="166" t="s">
        <v>846</v>
      </c>
      <c r="C328" s="166" t="s">
        <v>847</v>
      </c>
      <c r="D328" s="166" t="s">
        <v>338</v>
      </c>
      <c r="E328" s="167">
        <v>60000</v>
      </c>
      <c r="F328" s="167">
        <v>60000</v>
      </c>
      <c r="G328" s="168">
        <v>120000</v>
      </c>
    </row>
    <row r="329" spans="1:7" x14ac:dyDescent="0.3">
      <c r="A329" s="166">
        <v>7658702635</v>
      </c>
      <c r="B329" s="166" t="s">
        <v>848</v>
      </c>
      <c r="C329" s="166" t="s">
        <v>849</v>
      </c>
      <c r="D329" s="166" t="s">
        <v>850</v>
      </c>
      <c r="E329" s="167">
        <v>60000</v>
      </c>
      <c r="F329" s="167">
        <v>60000</v>
      </c>
      <c r="G329" s="168">
        <v>120000</v>
      </c>
    </row>
    <row r="330" spans="1:7" x14ac:dyDescent="0.3">
      <c r="A330" s="166">
        <v>4538603001</v>
      </c>
      <c r="B330" s="166" t="s">
        <v>851</v>
      </c>
      <c r="C330" s="166" t="s">
        <v>852</v>
      </c>
      <c r="D330" s="166" t="s">
        <v>343</v>
      </c>
      <c r="E330" s="167">
        <v>60000</v>
      </c>
      <c r="F330" s="167">
        <v>60000</v>
      </c>
      <c r="G330" s="168">
        <v>120000</v>
      </c>
    </row>
    <row r="331" spans="1:7" x14ac:dyDescent="0.3">
      <c r="A331" s="166">
        <v>3954800496</v>
      </c>
      <c r="B331" s="166" t="s">
        <v>853</v>
      </c>
      <c r="C331" s="166" t="s">
        <v>854</v>
      </c>
      <c r="D331" s="166" t="s">
        <v>343</v>
      </c>
      <c r="E331" s="167">
        <v>60000</v>
      </c>
      <c r="F331" s="167">
        <v>60000</v>
      </c>
      <c r="G331" s="168">
        <v>120000</v>
      </c>
    </row>
    <row r="332" spans="1:7" x14ac:dyDescent="0.3">
      <c r="A332" s="166">
        <v>3178801507</v>
      </c>
      <c r="B332" s="166" t="s">
        <v>855</v>
      </c>
      <c r="C332" s="166" t="s">
        <v>856</v>
      </c>
      <c r="D332" s="166" t="s">
        <v>348</v>
      </c>
      <c r="E332" s="167">
        <v>60000</v>
      </c>
      <c r="F332" s="167">
        <v>60000</v>
      </c>
      <c r="G332" s="168">
        <v>120000</v>
      </c>
    </row>
    <row r="333" spans="1:7" x14ac:dyDescent="0.3">
      <c r="A333" s="166">
        <v>5198602660</v>
      </c>
      <c r="B333" s="166" t="s">
        <v>857</v>
      </c>
      <c r="C333" s="166" t="s">
        <v>858</v>
      </c>
      <c r="D333" s="166" t="s">
        <v>348</v>
      </c>
      <c r="E333" s="167">
        <v>60000</v>
      </c>
      <c r="F333" s="167">
        <v>60000</v>
      </c>
      <c r="G333" s="168">
        <v>120000</v>
      </c>
    </row>
    <row r="334" spans="1:7" x14ac:dyDescent="0.3">
      <c r="A334" s="166">
        <v>5838703084</v>
      </c>
      <c r="B334" s="166" t="s">
        <v>859</v>
      </c>
      <c r="C334" s="166" t="s">
        <v>860</v>
      </c>
      <c r="D334" s="166" t="s">
        <v>353</v>
      </c>
      <c r="E334" s="167">
        <v>60000</v>
      </c>
      <c r="F334" s="167">
        <v>60000</v>
      </c>
      <c r="G334" s="168">
        <v>120000</v>
      </c>
    </row>
    <row r="335" spans="1:7" x14ac:dyDescent="0.3">
      <c r="A335" s="166">
        <v>6388802612</v>
      </c>
      <c r="B335" s="166" t="s">
        <v>861</v>
      </c>
      <c r="C335" s="166" t="s">
        <v>862</v>
      </c>
      <c r="D335" s="166" t="s">
        <v>356</v>
      </c>
      <c r="E335" s="167">
        <v>60000</v>
      </c>
      <c r="F335" s="167">
        <v>60000</v>
      </c>
      <c r="G335" s="168">
        <v>120000</v>
      </c>
    </row>
    <row r="336" spans="1:7" x14ac:dyDescent="0.3">
      <c r="A336" s="166">
        <v>7762601047</v>
      </c>
      <c r="B336" s="166" t="s">
        <v>863</v>
      </c>
      <c r="C336" s="166" t="s">
        <v>864</v>
      </c>
      <c r="D336" s="166" t="s">
        <v>356</v>
      </c>
      <c r="E336" s="167">
        <v>60000</v>
      </c>
      <c r="F336" s="167">
        <v>60000</v>
      </c>
      <c r="G336" s="168">
        <v>120000</v>
      </c>
    </row>
    <row r="337" spans="1:7" x14ac:dyDescent="0.3">
      <c r="A337" s="166">
        <v>1518601048</v>
      </c>
      <c r="B337" s="166" t="s">
        <v>865</v>
      </c>
      <c r="C337" s="166" t="s">
        <v>866</v>
      </c>
      <c r="D337" s="166" t="s">
        <v>361</v>
      </c>
      <c r="E337" s="167">
        <v>60000</v>
      </c>
      <c r="F337" s="167">
        <v>60000</v>
      </c>
      <c r="G337" s="168">
        <v>120000</v>
      </c>
    </row>
    <row r="338" spans="1:7" x14ac:dyDescent="0.3">
      <c r="A338" s="166">
        <v>5388603317</v>
      </c>
      <c r="B338" s="166" t="s">
        <v>867</v>
      </c>
      <c r="C338" s="166" t="s">
        <v>868</v>
      </c>
      <c r="D338" s="166" t="s">
        <v>144</v>
      </c>
      <c r="E338" s="167">
        <v>60000</v>
      </c>
      <c r="F338" s="167">
        <v>60000</v>
      </c>
      <c r="G338" s="168">
        <v>120000</v>
      </c>
    </row>
    <row r="339" spans="1:7" x14ac:dyDescent="0.3">
      <c r="A339" s="166">
        <v>3618602644</v>
      </c>
      <c r="B339" s="166" t="s">
        <v>869</v>
      </c>
      <c r="C339" s="166" t="s">
        <v>870</v>
      </c>
      <c r="D339" s="166" t="s">
        <v>144</v>
      </c>
      <c r="E339" s="167">
        <v>60000</v>
      </c>
      <c r="F339" s="167">
        <v>60000</v>
      </c>
      <c r="G339" s="168">
        <v>120000</v>
      </c>
    </row>
    <row r="340" spans="1:7" x14ac:dyDescent="0.3">
      <c r="A340" s="166">
        <v>6378601407</v>
      </c>
      <c r="B340" s="166" t="s">
        <v>871</v>
      </c>
      <c r="C340" s="166" t="s">
        <v>872</v>
      </c>
      <c r="D340" s="166" t="s">
        <v>149</v>
      </c>
      <c r="E340" s="167">
        <v>60000</v>
      </c>
      <c r="F340" s="167">
        <v>60000</v>
      </c>
      <c r="G340" s="168">
        <v>120000</v>
      </c>
    </row>
    <row r="341" spans="1:7" x14ac:dyDescent="0.3">
      <c r="A341" s="166">
        <v>7838103101</v>
      </c>
      <c r="B341" s="166" t="s">
        <v>873</v>
      </c>
      <c r="C341" s="166" t="s">
        <v>874</v>
      </c>
      <c r="D341" s="166" t="s">
        <v>149</v>
      </c>
      <c r="E341" s="167">
        <v>60000</v>
      </c>
      <c r="F341" s="167">
        <v>60000</v>
      </c>
      <c r="G341" s="168">
        <v>120000</v>
      </c>
    </row>
    <row r="342" spans="1:7" x14ac:dyDescent="0.3">
      <c r="A342" s="166">
        <v>3408602462</v>
      </c>
      <c r="B342" s="166" t="s">
        <v>875</v>
      </c>
      <c r="C342" s="166" t="s">
        <v>876</v>
      </c>
      <c r="D342" s="166" t="s">
        <v>154</v>
      </c>
      <c r="E342" s="167">
        <v>60000</v>
      </c>
      <c r="F342" s="167">
        <v>60000</v>
      </c>
      <c r="G342" s="168">
        <v>120000</v>
      </c>
    </row>
    <row r="343" spans="1:7" x14ac:dyDescent="0.3">
      <c r="A343" s="166">
        <v>6888101680</v>
      </c>
      <c r="B343" s="166" t="s">
        <v>877</v>
      </c>
      <c r="C343" s="166" t="s">
        <v>878</v>
      </c>
      <c r="D343" s="166" t="s">
        <v>157</v>
      </c>
      <c r="E343" s="167">
        <v>60000</v>
      </c>
      <c r="F343" s="167">
        <v>60000</v>
      </c>
      <c r="G343" s="168">
        <v>120000</v>
      </c>
    </row>
    <row r="344" spans="1:7" x14ac:dyDescent="0.3">
      <c r="A344" s="166">
        <v>6628102727</v>
      </c>
      <c r="B344" s="166" t="s">
        <v>879</v>
      </c>
      <c r="C344" s="166" t="s">
        <v>880</v>
      </c>
      <c r="D344" s="166" t="s">
        <v>157</v>
      </c>
      <c r="E344" s="167">
        <v>60000</v>
      </c>
      <c r="F344" s="167">
        <v>60000</v>
      </c>
      <c r="G344" s="168">
        <v>120000</v>
      </c>
    </row>
    <row r="345" spans="1:7" x14ac:dyDescent="0.3">
      <c r="A345" s="166">
        <v>5528602518</v>
      </c>
      <c r="B345" s="166" t="s">
        <v>881</v>
      </c>
      <c r="C345" s="166" t="s">
        <v>882</v>
      </c>
      <c r="D345" s="166" t="s">
        <v>162</v>
      </c>
      <c r="E345" s="167">
        <v>60000</v>
      </c>
      <c r="F345" s="167">
        <v>60000</v>
      </c>
      <c r="G345" s="168">
        <v>120000</v>
      </c>
    </row>
    <row r="346" spans="1:7" x14ac:dyDescent="0.3">
      <c r="A346" s="166">
        <v>5208101972</v>
      </c>
      <c r="B346" s="166" t="s">
        <v>883</v>
      </c>
      <c r="C346" s="166" t="s">
        <v>884</v>
      </c>
      <c r="D346" s="166" t="s">
        <v>162</v>
      </c>
      <c r="E346" s="167">
        <v>60000</v>
      </c>
      <c r="F346" s="167">
        <v>60000</v>
      </c>
      <c r="G346" s="168">
        <v>120000</v>
      </c>
    </row>
    <row r="347" spans="1:7" x14ac:dyDescent="0.3">
      <c r="A347" s="166">
        <v>4588101721</v>
      </c>
      <c r="B347" s="166" t="s">
        <v>885</v>
      </c>
      <c r="C347" s="166" t="s">
        <v>886</v>
      </c>
      <c r="D347" s="166" t="s">
        <v>165</v>
      </c>
      <c r="E347" s="167">
        <v>60000</v>
      </c>
      <c r="F347" s="167">
        <v>60000</v>
      </c>
      <c r="G347" s="168">
        <v>120000</v>
      </c>
    </row>
    <row r="348" spans="1:7" x14ac:dyDescent="0.3">
      <c r="A348" s="166">
        <v>1112799590</v>
      </c>
      <c r="B348" s="166" t="s">
        <v>887</v>
      </c>
      <c r="C348" s="166" t="s">
        <v>888</v>
      </c>
      <c r="D348" s="166" t="s">
        <v>165</v>
      </c>
      <c r="E348" s="167">
        <v>60000</v>
      </c>
      <c r="F348" s="167">
        <v>60000</v>
      </c>
      <c r="G348" s="168">
        <v>120000</v>
      </c>
    </row>
    <row r="349" spans="1:7" x14ac:dyDescent="0.3">
      <c r="A349" s="166">
        <v>3018802248</v>
      </c>
      <c r="B349" s="166" t="s">
        <v>889</v>
      </c>
      <c r="C349" s="166" t="s">
        <v>890</v>
      </c>
      <c r="D349" s="166" t="s">
        <v>170</v>
      </c>
      <c r="E349" s="167">
        <v>60000</v>
      </c>
      <c r="F349" s="167">
        <v>60000</v>
      </c>
      <c r="G349" s="168">
        <v>120000</v>
      </c>
    </row>
    <row r="350" spans="1:7" x14ac:dyDescent="0.3">
      <c r="A350" s="166">
        <v>5662900869</v>
      </c>
      <c r="B350" s="166" t="s">
        <v>891</v>
      </c>
      <c r="C350" s="166" t="s">
        <v>892</v>
      </c>
      <c r="D350" s="166" t="s">
        <v>170</v>
      </c>
      <c r="E350" s="167">
        <v>60000</v>
      </c>
      <c r="F350" s="167">
        <v>60000</v>
      </c>
      <c r="G350" s="168">
        <v>120000</v>
      </c>
    </row>
    <row r="351" spans="1:7" x14ac:dyDescent="0.3">
      <c r="A351" s="166">
        <v>7468802403</v>
      </c>
      <c r="B351" s="166" t="s">
        <v>893</v>
      </c>
      <c r="C351" s="166" t="s">
        <v>894</v>
      </c>
      <c r="D351" s="166" t="s">
        <v>175</v>
      </c>
      <c r="E351" s="167">
        <v>60000</v>
      </c>
      <c r="F351" s="167">
        <v>60000</v>
      </c>
      <c r="G351" s="168">
        <v>120000</v>
      </c>
    </row>
    <row r="352" spans="1:7" x14ac:dyDescent="0.3">
      <c r="A352" s="166">
        <v>5518701022</v>
      </c>
      <c r="B352" s="166" t="s">
        <v>895</v>
      </c>
      <c r="C352" s="166" t="s">
        <v>896</v>
      </c>
      <c r="D352" s="166" t="s">
        <v>178</v>
      </c>
      <c r="E352" s="167">
        <v>60000</v>
      </c>
      <c r="F352" s="167">
        <v>60000</v>
      </c>
      <c r="G352" s="168">
        <v>120000</v>
      </c>
    </row>
    <row r="353" spans="1:7" x14ac:dyDescent="0.3">
      <c r="A353" s="166">
        <v>2668601001</v>
      </c>
      <c r="B353" s="166" t="s">
        <v>897</v>
      </c>
      <c r="C353" s="166" t="s">
        <v>898</v>
      </c>
      <c r="D353" s="166" t="s">
        <v>178</v>
      </c>
      <c r="E353" s="167">
        <v>60000</v>
      </c>
      <c r="F353" s="167">
        <v>60000</v>
      </c>
      <c r="G353" s="168">
        <v>120000</v>
      </c>
    </row>
    <row r="354" spans="1:7" x14ac:dyDescent="0.3">
      <c r="A354" s="166">
        <v>5488701711</v>
      </c>
      <c r="B354" s="166" t="s">
        <v>899</v>
      </c>
      <c r="C354" s="166" t="s">
        <v>900</v>
      </c>
      <c r="D354" s="166" t="s">
        <v>183</v>
      </c>
      <c r="E354" s="167">
        <v>60000</v>
      </c>
      <c r="F354" s="167">
        <v>60000</v>
      </c>
      <c r="G354" s="168">
        <v>120000</v>
      </c>
    </row>
    <row r="355" spans="1:7" x14ac:dyDescent="0.3">
      <c r="A355" s="166">
        <v>6448803178</v>
      </c>
      <c r="B355" s="166" t="s">
        <v>901</v>
      </c>
      <c r="C355" s="166" t="s">
        <v>902</v>
      </c>
      <c r="D355" s="166" t="s">
        <v>186</v>
      </c>
      <c r="E355" s="167">
        <v>60000</v>
      </c>
      <c r="F355" s="167">
        <v>60000</v>
      </c>
      <c r="G355" s="168">
        <v>120000</v>
      </c>
    </row>
    <row r="356" spans="1:7" x14ac:dyDescent="0.3">
      <c r="A356" s="166">
        <v>4768801446</v>
      </c>
      <c r="B356" s="166" t="s">
        <v>903</v>
      </c>
      <c r="C356" s="166" t="s">
        <v>904</v>
      </c>
      <c r="D356" s="166" t="s">
        <v>186</v>
      </c>
      <c r="E356" s="167">
        <v>60000</v>
      </c>
      <c r="F356" s="167">
        <v>60000</v>
      </c>
      <c r="G356" s="168">
        <v>120000</v>
      </c>
    </row>
    <row r="357" spans="1:7" x14ac:dyDescent="0.3">
      <c r="A357" s="166">
        <v>3988602103</v>
      </c>
      <c r="B357" s="166" t="s">
        <v>905</v>
      </c>
      <c r="C357" s="166" t="s">
        <v>906</v>
      </c>
      <c r="D357" s="166" t="s">
        <v>191</v>
      </c>
      <c r="E357" s="167">
        <v>60000</v>
      </c>
      <c r="F357" s="167">
        <v>60000</v>
      </c>
      <c r="G357" s="168">
        <v>120000</v>
      </c>
    </row>
    <row r="358" spans="1:7" x14ac:dyDescent="0.3">
      <c r="A358" s="166">
        <v>5018130097</v>
      </c>
      <c r="B358" s="166" t="s">
        <v>907</v>
      </c>
      <c r="C358" s="166" t="s">
        <v>908</v>
      </c>
      <c r="D358" s="166" t="s">
        <v>191</v>
      </c>
      <c r="E358" s="167">
        <v>60000</v>
      </c>
      <c r="F358" s="167">
        <v>60000</v>
      </c>
      <c r="G358" s="168">
        <v>120000</v>
      </c>
    </row>
    <row r="359" spans="1:7" x14ac:dyDescent="0.3">
      <c r="A359" s="166">
        <v>5988801580</v>
      </c>
      <c r="B359" s="166" t="s">
        <v>909</v>
      </c>
      <c r="C359" s="166" t="s">
        <v>910</v>
      </c>
      <c r="D359" s="166" t="s">
        <v>196</v>
      </c>
      <c r="E359" s="167">
        <v>60000</v>
      </c>
      <c r="F359" s="167">
        <v>60000</v>
      </c>
      <c r="G359" s="168">
        <v>120000</v>
      </c>
    </row>
    <row r="360" spans="1:7" x14ac:dyDescent="0.3">
      <c r="A360" s="166">
        <v>5988101067</v>
      </c>
      <c r="B360" s="166" t="s">
        <v>911</v>
      </c>
      <c r="C360" s="166" t="s">
        <v>912</v>
      </c>
      <c r="D360" s="166" t="s">
        <v>199</v>
      </c>
      <c r="E360" s="167">
        <v>60000</v>
      </c>
      <c r="F360" s="167">
        <v>60000</v>
      </c>
      <c r="G360" s="168">
        <v>120000</v>
      </c>
    </row>
    <row r="361" spans="1:7" x14ac:dyDescent="0.3">
      <c r="A361" s="166">
        <v>1778701649</v>
      </c>
      <c r="B361" s="166" t="s">
        <v>913</v>
      </c>
      <c r="C361" s="166" t="s">
        <v>914</v>
      </c>
      <c r="D361" s="166" t="s">
        <v>199</v>
      </c>
      <c r="E361" s="167">
        <v>60000</v>
      </c>
      <c r="F361" s="167">
        <v>60000</v>
      </c>
      <c r="G361" s="168">
        <v>120000</v>
      </c>
    </row>
    <row r="362" spans="1:7" x14ac:dyDescent="0.3">
      <c r="A362" s="166">
        <v>5708601759</v>
      </c>
      <c r="B362" s="166" t="s">
        <v>915</v>
      </c>
      <c r="C362" s="166" t="s">
        <v>916</v>
      </c>
      <c r="D362" s="166" t="s">
        <v>204</v>
      </c>
      <c r="E362" s="167">
        <v>60000</v>
      </c>
      <c r="F362" s="167">
        <v>60000</v>
      </c>
      <c r="G362" s="168">
        <v>120000</v>
      </c>
    </row>
    <row r="363" spans="1:7" x14ac:dyDescent="0.3">
      <c r="A363" s="166">
        <v>5758802460</v>
      </c>
      <c r="B363" s="166" t="s">
        <v>917</v>
      </c>
      <c r="C363" s="166" t="s">
        <v>918</v>
      </c>
      <c r="D363" s="166" t="s">
        <v>209</v>
      </c>
      <c r="E363" s="167">
        <v>60000</v>
      </c>
      <c r="F363" s="167">
        <v>60000</v>
      </c>
      <c r="G363" s="168">
        <v>120000</v>
      </c>
    </row>
    <row r="364" spans="1:7" x14ac:dyDescent="0.3">
      <c r="A364" s="166">
        <v>2418601166</v>
      </c>
      <c r="B364" s="166" t="s">
        <v>919</v>
      </c>
      <c r="C364" s="166" t="s">
        <v>920</v>
      </c>
      <c r="D364" s="166" t="s">
        <v>209</v>
      </c>
      <c r="E364" s="167">
        <v>60000</v>
      </c>
      <c r="F364" s="167">
        <v>60000</v>
      </c>
      <c r="G364" s="168">
        <v>120000</v>
      </c>
    </row>
    <row r="365" spans="1:7" x14ac:dyDescent="0.3">
      <c r="A365" s="166">
        <v>6968601333</v>
      </c>
      <c r="B365" s="166" t="s">
        <v>921</v>
      </c>
      <c r="C365" s="166" t="s">
        <v>922</v>
      </c>
      <c r="D365" s="166" t="s">
        <v>214</v>
      </c>
      <c r="E365" s="167">
        <v>60000</v>
      </c>
      <c r="F365" s="167">
        <v>60000</v>
      </c>
      <c r="G365" s="168">
        <v>120000</v>
      </c>
    </row>
    <row r="366" spans="1:7" x14ac:dyDescent="0.3">
      <c r="A366" s="166">
        <v>1788101558</v>
      </c>
      <c r="B366" s="166" t="s">
        <v>923</v>
      </c>
      <c r="C366" s="166" t="s">
        <v>924</v>
      </c>
      <c r="D366" s="166" t="s">
        <v>214</v>
      </c>
      <c r="E366" s="167">
        <v>60000</v>
      </c>
      <c r="F366" s="167">
        <v>60000</v>
      </c>
      <c r="G366" s="168">
        <v>120000</v>
      </c>
    </row>
    <row r="367" spans="1:7" x14ac:dyDescent="0.3">
      <c r="A367" s="166">
        <v>7308701061</v>
      </c>
      <c r="B367" s="166" t="s">
        <v>925</v>
      </c>
      <c r="C367" s="166" t="s">
        <v>926</v>
      </c>
      <c r="D367" s="166" t="s">
        <v>219</v>
      </c>
      <c r="E367" s="167">
        <v>60000</v>
      </c>
      <c r="F367" s="167">
        <v>60000</v>
      </c>
      <c r="G367" s="168">
        <v>120000</v>
      </c>
    </row>
    <row r="368" spans="1:7" x14ac:dyDescent="0.3">
      <c r="A368" s="166">
        <v>4418702665</v>
      </c>
      <c r="B368" s="166" t="s">
        <v>927</v>
      </c>
      <c r="C368" s="166" t="s">
        <v>928</v>
      </c>
      <c r="D368" s="166" t="s">
        <v>222</v>
      </c>
      <c r="E368" s="167">
        <v>60000</v>
      </c>
      <c r="F368" s="167">
        <v>60000</v>
      </c>
      <c r="G368" s="168">
        <v>120000</v>
      </c>
    </row>
    <row r="369" spans="1:7" x14ac:dyDescent="0.3">
      <c r="A369" s="166">
        <v>7208702928</v>
      </c>
      <c r="B369" s="166" t="s">
        <v>929</v>
      </c>
      <c r="C369" s="166" t="s">
        <v>930</v>
      </c>
      <c r="D369" s="166" t="s">
        <v>222</v>
      </c>
      <c r="E369" s="167">
        <v>60000</v>
      </c>
      <c r="F369" s="167">
        <v>60000</v>
      </c>
      <c r="G369" s="168">
        <v>120000</v>
      </c>
    </row>
    <row r="370" spans="1:7" x14ac:dyDescent="0.3">
      <c r="A370" s="166">
        <v>7778802066</v>
      </c>
      <c r="B370" s="166" t="s">
        <v>931</v>
      </c>
      <c r="C370" s="166" t="s">
        <v>932</v>
      </c>
      <c r="D370" s="166" t="s">
        <v>227</v>
      </c>
      <c r="E370" s="167">
        <v>60000</v>
      </c>
      <c r="F370" s="167">
        <v>60000</v>
      </c>
      <c r="G370" s="168">
        <v>120000</v>
      </c>
    </row>
    <row r="371" spans="1:7" x14ac:dyDescent="0.3">
      <c r="A371" s="166">
        <v>5288602801</v>
      </c>
      <c r="B371" s="166" t="s">
        <v>933</v>
      </c>
      <c r="C371" s="166" t="s">
        <v>934</v>
      </c>
      <c r="D371" s="166" t="s">
        <v>232</v>
      </c>
      <c r="E371" s="167">
        <v>60000</v>
      </c>
      <c r="F371" s="167">
        <v>60000</v>
      </c>
      <c r="G371" s="168">
        <v>120000</v>
      </c>
    </row>
    <row r="372" spans="1:7" x14ac:dyDescent="0.3">
      <c r="A372" s="166">
        <v>3658801641</v>
      </c>
      <c r="B372" s="166" t="s">
        <v>935</v>
      </c>
      <c r="C372" s="166" t="s">
        <v>936</v>
      </c>
      <c r="D372" s="166" t="s">
        <v>232</v>
      </c>
      <c r="E372" s="167">
        <v>60000</v>
      </c>
      <c r="F372" s="167">
        <v>60000</v>
      </c>
      <c r="G372" s="168">
        <v>120000</v>
      </c>
    </row>
    <row r="373" spans="1:7" x14ac:dyDescent="0.3">
      <c r="A373" s="166">
        <v>3698602615</v>
      </c>
      <c r="B373" s="166" t="s">
        <v>937</v>
      </c>
      <c r="C373" s="166" t="s">
        <v>938</v>
      </c>
      <c r="D373" s="166" t="s">
        <v>237</v>
      </c>
      <c r="E373" s="167">
        <v>60000</v>
      </c>
      <c r="F373" s="167">
        <v>60000</v>
      </c>
      <c r="G373" s="168">
        <v>120000</v>
      </c>
    </row>
    <row r="374" spans="1:7" x14ac:dyDescent="0.3">
      <c r="A374" s="166">
        <v>8878701498</v>
      </c>
      <c r="B374" s="166" t="s">
        <v>939</v>
      </c>
      <c r="C374" s="166" t="s">
        <v>940</v>
      </c>
      <c r="D374" s="166" t="s">
        <v>237</v>
      </c>
      <c r="E374" s="167">
        <v>60000</v>
      </c>
      <c r="F374" s="167">
        <v>60000</v>
      </c>
      <c r="G374" s="168">
        <v>120000</v>
      </c>
    </row>
    <row r="375" spans="1:7" x14ac:dyDescent="0.3">
      <c r="A375" s="166">
        <v>3458602808</v>
      </c>
      <c r="B375" s="166" t="s">
        <v>941</v>
      </c>
      <c r="C375" s="166" t="s">
        <v>942</v>
      </c>
      <c r="D375" s="166" t="s">
        <v>242</v>
      </c>
      <c r="E375" s="167">
        <v>60000</v>
      </c>
      <c r="F375" s="167">
        <v>60000</v>
      </c>
      <c r="G375" s="168">
        <v>120000</v>
      </c>
    </row>
    <row r="376" spans="1:7" x14ac:dyDescent="0.3">
      <c r="A376" s="166">
        <v>6738602853</v>
      </c>
      <c r="B376" s="166" t="s">
        <v>943</v>
      </c>
      <c r="C376" s="166" t="s">
        <v>944</v>
      </c>
      <c r="D376" s="166" t="s">
        <v>245</v>
      </c>
      <c r="E376" s="167">
        <v>60000</v>
      </c>
      <c r="F376" s="167">
        <v>60000</v>
      </c>
      <c r="G376" s="168">
        <v>120000</v>
      </c>
    </row>
    <row r="377" spans="1:7" x14ac:dyDescent="0.3">
      <c r="A377" s="166">
        <v>6088701880</v>
      </c>
      <c r="B377" s="166" t="s">
        <v>945</v>
      </c>
      <c r="C377" s="166" t="s">
        <v>946</v>
      </c>
      <c r="D377" s="166" t="s">
        <v>245</v>
      </c>
      <c r="E377" s="167">
        <v>60000</v>
      </c>
      <c r="F377" s="167">
        <v>60000</v>
      </c>
      <c r="G377" s="168">
        <v>120000</v>
      </c>
    </row>
    <row r="378" spans="1:7" x14ac:dyDescent="0.3">
      <c r="A378" s="166">
        <v>7558100851</v>
      </c>
      <c r="B378" s="166" t="s">
        <v>947</v>
      </c>
      <c r="C378" s="166" t="s">
        <v>948</v>
      </c>
      <c r="D378" s="166" t="s">
        <v>250</v>
      </c>
      <c r="E378" s="167">
        <v>60000</v>
      </c>
      <c r="F378" s="167">
        <v>60000</v>
      </c>
      <c r="G378" s="168">
        <v>120000</v>
      </c>
    </row>
    <row r="379" spans="1:7" x14ac:dyDescent="0.3">
      <c r="A379" s="166">
        <v>7678702024</v>
      </c>
      <c r="B379" s="166" t="s">
        <v>949</v>
      </c>
      <c r="C379" s="166" t="s">
        <v>950</v>
      </c>
      <c r="D379" s="166" t="s">
        <v>255</v>
      </c>
      <c r="E379" s="167">
        <v>60000</v>
      </c>
      <c r="F379" s="167">
        <v>60000</v>
      </c>
      <c r="G379" s="168">
        <v>120000</v>
      </c>
    </row>
    <row r="380" spans="1:7" x14ac:dyDescent="0.3">
      <c r="A380" s="166">
        <v>5508601906</v>
      </c>
      <c r="B380" s="166" t="s">
        <v>951</v>
      </c>
      <c r="C380" s="166" t="s">
        <v>952</v>
      </c>
      <c r="D380" s="166" t="s">
        <v>255</v>
      </c>
      <c r="E380" s="167">
        <v>60000</v>
      </c>
      <c r="F380" s="167">
        <v>60000</v>
      </c>
      <c r="G380" s="168">
        <v>120000</v>
      </c>
    </row>
    <row r="381" spans="1:7" x14ac:dyDescent="0.3">
      <c r="A381" s="166">
        <v>3508602116</v>
      </c>
      <c r="B381" s="166" t="s">
        <v>953</v>
      </c>
      <c r="C381" s="166" t="s">
        <v>954</v>
      </c>
      <c r="D381" s="166" t="s">
        <v>260</v>
      </c>
      <c r="E381" s="167">
        <v>60000</v>
      </c>
      <c r="F381" s="167">
        <v>60000</v>
      </c>
      <c r="G381" s="168">
        <v>120000</v>
      </c>
    </row>
    <row r="382" spans="1:7" x14ac:dyDescent="0.3">
      <c r="A382" s="166">
        <v>4621800799</v>
      </c>
      <c r="B382" s="166" t="s">
        <v>955</v>
      </c>
      <c r="C382" s="166" t="s">
        <v>956</v>
      </c>
      <c r="D382" s="166" t="s">
        <v>260</v>
      </c>
      <c r="E382" s="167">
        <v>60000</v>
      </c>
      <c r="F382" s="167">
        <v>60000</v>
      </c>
      <c r="G382" s="168">
        <v>120000</v>
      </c>
    </row>
    <row r="383" spans="1:7" x14ac:dyDescent="0.3">
      <c r="A383" s="166">
        <v>5791401822</v>
      </c>
      <c r="B383" s="166" t="s">
        <v>957</v>
      </c>
      <c r="C383" s="166" t="s">
        <v>958</v>
      </c>
      <c r="D383" s="166" t="s">
        <v>265</v>
      </c>
      <c r="E383" s="167">
        <v>60000</v>
      </c>
      <c r="F383" s="167">
        <v>60000</v>
      </c>
      <c r="G383" s="168">
        <v>120000</v>
      </c>
    </row>
    <row r="384" spans="1:7" x14ac:dyDescent="0.3">
      <c r="A384" s="166">
        <v>4748601242</v>
      </c>
      <c r="B384" s="166" t="s">
        <v>959</v>
      </c>
      <c r="C384" s="166" t="s">
        <v>960</v>
      </c>
      <c r="D384" s="166" t="s">
        <v>268</v>
      </c>
      <c r="E384" s="167">
        <v>60000</v>
      </c>
      <c r="F384" s="167">
        <v>60000</v>
      </c>
      <c r="G384" s="168">
        <v>120000</v>
      </c>
    </row>
    <row r="385" spans="1:7" x14ac:dyDescent="0.3">
      <c r="A385" s="166">
        <v>6648802775</v>
      </c>
      <c r="B385" s="166" t="s">
        <v>961</v>
      </c>
      <c r="C385" s="166" t="s">
        <v>962</v>
      </c>
      <c r="D385" s="166" t="s">
        <v>268</v>
      </c>
      <c r="E385" s="167">
        <v>60000</v>
      </c>
      <c r="F385" s="167">
        <v>60000</v>
      </c>
      <c r="G385" s="168">
        <v>120000</v>
      </c>
    </row>
    <row r="386" spans="1:7" x14ac:dyDescent="0.3">
      <c r="A386" s="166">
        <v>3278801862</v>
      </c>
      <c r="B386" s="166" t="s">
        <v>963</v>
      </c>
      <c r="C386" s="166" t="s">
        <v>964</v>
      </c>
      <c r="D386" s="166" t="s">
        <v>273</v>
      </c>
      <c r="E386" s="167">
        <v>60000</v>
      </c>
      <c r="F386" s="167">
        <v>60000</v>
      </c>
      <c r="G386" s="168">
        <v>120000</v>
      </c>
    </row>
    <row r="387" spans="1:7" x14ac:dyDescent="0.3">
      <c r="A387" s="166">
        <v>3378800822</v>
      </c>
      <c r="B387" s="166" t="s">
        <v>965</v>
      </c>
      <c r="C387" s="166" t="s">
        <v>966</v>
      </c>
      <c r="D387" s="166" t="s">
        <v>273</v>
      </c>
      <c r="E387" s="167">
        <v>60000</v>
      </c>
      <c r="F387" s="167">
        <v>60000</v>
      </c>
      <c r="G387" s="168">
        <v>120000</v>
      </c>
    </row>
    <row r="388" spans="1:7" x14ac:dyDescent="0.3">
      <c r="A388" s="166">
        <v>3678101032</v>
      </c>
      <c r="B388" s="166" t="s">
        <v>967</v>
      </c>
      <c r="C388" s="166" t="s">
        <v>968</v>
      </c>
      <c r="D388" s="166" t="s">
        <v>278</v>
      </c>
      <c r="E388" s="167">
        <v>60000</v>
      </c>
      <c r="F388" s="167">
        <v>60000</v>
      </c>
      <c r="G388" s="168">
        <v>120000</v>
      </c>
    </row>
    <row r="389" spans="1:7" x14ac:dyDescent="0.3">
      <c r="A389" s="166">
        <v>2470202896</v>
      </c>
      <c r="B389" s="166" t="s">
        <v>969</v>
      </c>
      <c r="C389" s="166" t="s">
        <v>970</v>
      </c>
      <c r="D389" s="166" t="s">
        <v>278</v>
      </c>
      <c r="E389" s="167">
        <v>60000</v>
      </c>
      <c r="F389" s="167">
        <v>60000</v>
      </c>
      <c r="G389" s="168">
        <v>120000</v>
      </c>
    </row>
    <row r="390" spans="1:7" x14ac:dyDescent="0.3">
      <c r="A390" s="166">
        <v>6646900664</v>
      </c>
      <c r="B390" s="166" t="s">
        <v>971</v>
      </c>
      <c r="C390" s="166" t="s">
        <v>972</v>
      </c>
      <c r="D390" s="166" t="s">
        <v>283</v>
      </c>
      <c r="E390" s="167">
        <v>60000</v>
      </c>
      <c r="F390" s="167">
        <v>60000</v>
      </c>
      <c r="G390" s="168">
        <v>120000</v>
      </c>
    </row>
    <row r="391" spans="1:7" x14ac:dyDescent="0.3">
      <c r="A391" s="166">
        <v>1698702972</v>
      </c>
      <c r="B391" s="166" t="s">
        <v>973</v>
      </c>
      <c r="C391" s="166" t="s">
        <v>974</v>
      </c>
      <c r="D391" s="166" t="s">
        <v>283</v>
      </c>
      <c r="E391" s="167">
        <v>60000</v>
      </c>
      <c r="F391" s="167">
        <v>60000</v>
      </c>
      <c r="G391" s="168">
        <v>120000</v>
      </c>
    </row>
    <row r="392" spans="1:7" x14ac:dyDescent="0.3">
      <c r="A392" s="166">
        <v>2268701301</v>
      </c>
      <c r="B392" s="166" t="s">
        <v>975</v>
      </c>
      <c r="C392" s="166" t="s">
        <v>976</v>
      </c>
      <c r="D392" s="166" t="s">
        <v>288</v>
      </c>
      <c r="E392" s="167">
        <v>60000</v>
      </c>
      <c r="F392" s="167">
        <v>60000</v>
      </c>
      <c r="G392" s="168">
        <v>120000</v>
      </c>
    </row>
    <row r="393" spans="1:7" x14ac:dyDescent="0.3">
      <c r="A393" s="166">
        <v>2838801000</v>
      </c>
      <c r="B393" s="166" t="s">
        <v>977</v>
      </c>
      <c r="C393" s="166" t="s">
        <v>978</v>
      </c>
      <c r="D393" s="166" t="s">
        <v>291</v>
      </c>
      <c r="E393" s="167">
        <v>60000</v>
      </c>
      <c r="F393" s="167">
        <v>60000</v>
      </c>
      <c r="G393" s="168">
        <v>120000</v>
      </c>
    </row>
    <row r="394" spans="1:7" x14ac:dyDescent="0.3">
      <c r="A394" s="166">
        <v>6198701503</v>
      </c>
      <c r="B394" s="166" t="s">
        <v>979</v>
      </c>
      <c r="C394" s="166" t="s">
        <v>980</v>
      </c>
      <c r="D394" s="166" t="s">
        <v>291</v>
      </c>
      <c r="E394" s="167">
        <v>60000</v>
      </c>
      <c r="F394" s="167">
        <v>60000</v>
      </c>
      <c r="G394" s="168">
        <v>120000</v>
      </c>
    </row>
    <row r="395" spans="1:7" x14ac:dyDescent="0.3">
      <c r="A395" s="166">
        <v>5878802731</v>
      </c>
      <c r="B395" s="166" t="s">
        <v>981</v>
      </c>
      <c r="C395" s="166" t="s">
        <v>982</v>
      </c>
      <c r="D395" s="166" t="s">
        <v>296</v>
      </c>
      <c r="E395" s="167">
        <v>60000</v>
      </c>
      <c r="F395" s="167">
        <v>60000</v>
      </c>
      <c r="G395" s="168">
        <v>120000</v>
      </c>
    </row>
    <row r="396" spans="1:7" x14ac:dyDescent="0.3">
      <c r="A396" s="166">
        <v>3098603363</v>
      </c>
      <c r="B396" s="166" t="s">
        <v>983</v>
      </c>
      <c r="C396" s="166" t="s">
        <v>984</v>
      </c>
      <c r="D396" s="166" t="s">
        <v>296</v>
      </c>
      <c r="E396" s="167">
        <v>60000</v>
      </c>
      <c r="F396" s="167">
        <v>60000</v>
      </c>
      <c r="G396" s="168">
        <v>120000</v>
      </c>
    </row>
    <row r="397" spans="1:7" x14ac:dyDescent="0.3">
      <c r="A397" s="166">
        <v>4708601987</v>
      </c>
      <c r="B397" s="166" t="s">
        <v>985</v>
      </c>
      <c r="C397" s="166" t="s">
        <v>986</v>
      </c>
      <c r="D397" s="166" t="s">
        <v>987</v>
      </c>
      <c r="E397" s="167">
        <v>60000</v>
      </c>
      <c r="F397" s="167">
        <v>60000</v>
      </c>
      <c r="G397" s="168">
        <v>120000</v>
      </c>
    </row>
    <row r="398" spans="1:7" x14ac:dyDescent="0.3">
      <c r="A398" s="166">
        <v>8788702606</v>
      </c>
      <c r="B398" s="166" t="s">
        <v>988</v>
      </c>
      <c r="C398" s="166" t="s">
        <v>989</v>
      </c>
      <c r="D398" s="166" t="s">
        <v>299</v>
      </c>
      <c r="E398" s="167">
        <v>60000</v>
      </c>
      <c r="F398" s="167">
        <v>60000</v>
      </c>
      <c r="G398" s="168">
        <v>120000</v>
      </c>
    </row>
    <row r="399" spans="1:7" x14ac:dyDescent="0.3">
      <c r="A399" s="166">
        <v>2828701164</v>
      </c>
      <c r="B399" s="166" t="s">
        <v>990</v>
      </c>
      <c r="C399" s="166" t="s">
        <v>991</v>
      </c>
      <c r="D399" s="166" t="s">
        <v>299</v>
      </c>
      <c r="E399" s="167">
        <v>60000</v>
      </c>
      <c r="F399" s="167">
        <v>60000</v>
      </c>
      <c r="G399" s="168">
        <v>120000</v>
      </c>
    </row>
    <row r="400" spans="1:7" x14ac:dyDescent="0.3">
      <c r="A400" s="166">
        <v>7658801079</v>
      </c>
      <c r="B400" s="166" t="s">
        <v>992</v>
      </c>
      <c r="C400" s="166" t="s">
        <v>993</v>
      </c>
      <c r="D400" s="166" t="s">
        <v>304</v>
      </c>
      <c r="E400" s="167">
        <v>60000</v>
      </c>
      <c r="F400" s="167">
        <v>60000</v>
      </c>
      <c r="G400" s="168">
        <v>120000</v>
      </c>
    </row>
    <row r="401" spans="1:7" x14ac:dyDescent="0.3">
      <c r="A401" s="166">
        <v>5658701225</v>
      </c>
      <c r="B401" s="166" t="s">
        <v>994</v>
      </c>
      <c r="C401" s="166" t="s">
        <v>995</v>
      </c>
      <c r="D401" s="166" t="s">
        <v>304</v>
      </c>
      <c r="E401" s="167">
        <v>60000</v>
      </c>
      <c r="F401" s="167">
        <v>60000</v>
      </c>
      <c r="G401" s="168">
        <v>120000</v>
      </c>
    </row>
    <row r="402" spans="1:7" x14ac:dyDescent="0.3">
      <c r="A402" s="166">
        <v>7148800989</v>
      </c>
      <c r="B402" s="166" t="s">
        <v>996</v>
      </c>
      <c r="C402" s="166" t="s">
        <v>997</v>
      </c>
      <c r="D402" s="166" t="s">
        <v>309</v>
      </c>
      <c r="E402" s="167">
        <v>60000</v>
      </c>
      <c r="F402" s="167">
        <v>60000</v>
      </c>
      <c r="G402" s="168">
        <v>120000</v>
      </c>
    </row>
    <row r="403" spans="1:7" x14ac:dyDescent="0.3">
      <c r="A403" s="166">
        <v>1778702366</v>
      </c>
      <c r="B403" s="166" t="s">
        <v>998</v>
      </c>
      <c r="C403" s="166" t="s">
        <v>999</v>
      </c>
      <c r="D403" s="166" t="s">
        <v>312</v>
      </c>
      <c r="E403" s="167">
        <v>60000</v>
      </c>
      <c r="F403" s="167">
        <v>60000</v>
      </c>
      <c r="G403" s="168">
        <v>120000</v>
      </c>
    </row>
    <row r="404" spans="1:7" x14ac:dyDescent="0.3">
      <c r="A404" s="166">
        <v>4858702291</v>
      </c>
      <c r="B404" s="166" t="s">
        <v>1000</v>
      </c>
      <c r="C404" s="166" t="s">
        <v>1001</v>
      </c>
      <c r="D404" s="166" t="s">
        <v>312</v>
      </c>
      <c r="E404" s="167">
        <v>60000</v>
      </c>
      <c r="F404" s="167">
        <v>60000</v>
      </c>
      <c r="G404" s="168">
        <v>120000</v>
      </c>
    </row>
    <row r="405" spans="1:7" x14ac:dyDescent="0.3">
      <c r="A405" s="166">
        <v>6528102166</v>
      </c>
      <c r="B405" s="166" t="s">
        <v>1002</v>
      </c>
      <c r="C405" s="166" t="s">
        <v>1003</v>
      </c>
      <c r="D405" s="166" t="s">
        <v>317</v>
      </c>
      <c r="E405" s="167">
        <v>60000</v>
      </c>
      <c r="F405" s="167">
        <v>60000</v>
      </c>
      <c r="G405" s="168">
        <v>120000</v>
      </c>
    </row>
    <row r="406" spans="1:7" x14ac:dyDescent="0.3">
      <c r="A406" s="166">
        <v>3408600765</v>
      </c>
      <c r="B406" s="166" t="s">
        <v>1004</v>
      </c>
      <c r="C406" s="166" t="s">
        <v>1005</v>
      </c>
      <c r="D406" s="166" t="s">
        <v>320</v>
      </c>
      <c r="E406" s="167">
        <v>60000</v>
      </c>
      <c r="F406" s="167">
        <v>60000</v>
      </c>
      <c r="G406" s="168">
        <v>120000</v>
      </c>
    </row>
    <row r="407" spans="1:7" x14ac:dyDescent="0.3">
      <c r="A407" s="166">
        <v>1188602792</v>
      </c>
      <c r="B407" s="166" t="s">
        <v>1006</v>
      </c>
      <c r="C407" s="166" t="s">
        <v>1007</v>
      </c>
      <c r="D407" s="166" t="s">
        <v>320</v>
      </c>
      <c r="E407" s="167">
        <v>60000</v>
      </c>
      <c r="F407" s="167">
        <v>60000</v>
      </c>
      <c r="G407" s="168">
        <v>120000</v>
      </c>
    </row>
    <row r="408" spans="1:7" x14ac:dyDescent="0.3">
      <c r="A408" s="166">
        <v>6058802626</v>
      </c>
      <c r="B408" s="166" t="s">
        <v>1008</v>
      </c>
      <c r="C408" s="166" t="s">
        <v>1009</v>
      </c>
      <c r="D408" s="166" t="s">
        <v>325</v>
      </c>
      <c r="E408" s="167">
        <v>60000</v>
      </c>
      <c r="F408" s="167">
        <v>60000</v>
      </c>
      <c r="G408" s="168">
        <v>120000</v>
      </c>
    </row>
    <row r="409" spans="1:7" x14ac:dyDescent="0.3">
      <c r="A409" s="166">
        <v>2032810794</v>
      </c>
      <c r="B409" s="166" t="s">
        <v>1010</v>
      </c>
      <c r="C409" s="166" t="s">
        <v>1011</v>
      </c>
      <c r="D409" s="166" t="s">
        <v>325</v>
      </c>
      <c r="E409" s="167">
        <v>60000</v>
      </c>
      <c r="F409" s="167">
        <v>60000</v>
      </c>
      <c r="G409" s="168">
        <v>120000</v>
      </c>
    </row>
    <row r="410" spans="1:7" x14ac:dyDescent="0.3">
      <c r="A410" s="166">
        <v>5798801269</v>
      </c>
      <c r="B410" s="166" t="s">
        <v>1012</v>
      </c>
      <c r="C410" s="166" t="s">
        <v>1013</v>
      </c>
      <c r="D410" s="166" t="s">
        <v>330</v>
      </c>
      <c r="E410" s="167">
        <v>60000</v>
      </c>
      <c r="F410" s="167">
        <v>60000</v>
      </c>
      <c r="G410" s="168">
        <v>120000</v>
      </c>
    </row>
    <row r="411" spans="1:7" x14ac:dyDescent="0.3">
      <c r="A411" s="166">
        <v>7928701531</v>
      </c>
      <c r="B411" s="166" t="s">
        <v>1014</v>
      </c>
      <c r="C411" s="166" t="s">
        <v>1015</v>
      </c>
      <c r="D411" s="166" t="s">
        <v>333</v>
      </c>
      <c r="E411" s="167">
        <v>60000</v>
      </c>
      <c r="F411" s="167">
        <v>60000</v>
      </c>
      <c r="G411" s="168">
        <v>120000</v>
      </c>
    </row>
    <row r="412" spans="1:7" x14ac:dyDescent="0.3">
      <c r="A412" s="166">
        <v>2628101299</v>
      </c>
      <c r="B412" s="166" t="s">
        <v>1016</v>
      </c>
      <c r="C412" s="166" t="s">
        <v>1017</v>
      </c>
      <c r="D412" s="166" t="s">
        <v>333</v>
      </c>
      <c r="E412" s="167">
        <v>60000</v>
      </c>
      <c r="F412" s="167">
        <v>60000</v>
      </c>
      <c r="G412" s="168">
        <v>120000</v>
      </c>
    </row>
    <row r="413" spans="1:7" x14ac:dyDescent="0.3">
      <c r="A413" s="166">
        <v>1158802327</v>
      </c>
      <c r="B413" s="166" t="s">
        <v>1018</v>
      </c>
      <c r="C413" s="166" t="s">
        <v>1019</v>
      </c>
      <c r="D413" s="166" t="s">
        <v>338</v>
      </c>
      <c r="E413" s="167">
        <v>60000</v>
      </c>
      <c r="F413" s="167">
        <v>60000</v>
      </c>
      <c r="G413" s="168">
        <v>120000</v>
      </c>
    </row>
    <row r="414" spans="1:7" x14ac:dyDescent="0.3">
      <c r="A414" s="166">
        <v>5648601657</v>
      </c>
      <c r="B414" s="166" t="s">
        <v>1020</v>
      </c>
      <c r="C414" s="166" t="s">
        <v>1021</v>
      </c>
      <c r="D414" s="166" t="s">
        <v>343</v>
      </c>
      <c r="E414" s="167">
        <v>60000</v>
      </c>
      <c r="F414" s="167">
        <v>60000</v>
      </c>
      <c r="G414" s="168">
        <v>120000</v>
      </c>
    </row>
    <row r="415" spans="1:7" x14ac:dyDescent="0.3">
      <c r="A415" s="166">
        <v>7478601951</v>
      </c>
      <c r="B415" s="166" t="s">
        <v>1022</v>
      </c>
      <c r="C415" s="166" t="s">
        <v>1023</v>
      </c>
      <c r="D415" s="166" t="s">
        <v>343</v>
      </c>
      <c r="E415" s="167">
        <v>60000</v>
      </c>
      <c r="F415" s="167">
        <v>60000</v>
      </c>
      <c r="G415" s="168">
        <v>120000</v>
      </c>
    </row>
    <row r="416" spans="1:7" x14ac:dyDescent="0.3">
      <c r="A416" s="166">
        <v>8798800914</v>
      </c>
      <c r="B416" s="166" t="s">
        <v>1024</v>
      </c>
      <c r="C416" s="166" t="s">
        <v>1025</v>
      </c>
      <c r="D416" s="166" t="s">
        <v>348</v>
      </c>
      <c r="E416" s="167">
        <v>60000</v>
      </c>
      <c r="F416" s="167">
        <v>60000</v>
      </c>
      <c r="G416" s="168">
        <v>120000</v>
      </c>
    </row>
    <row r="417" spans="1:7" x14ac:dyDescent="0.3">
      <c r="A417" s="166">
        <v>3508601403</v>
      </c>
      <c r="B417" s="166" t="s">
        <v>1026</v>
      </c>
      <c r="C417" s="166" t="s">
        <v>1027</v>
      </c>
      <c r="D417" s="166" t="s">
        <v>348</v>
      </c>
      <c r="E417" s="167">
        <v>60000</v>
      </c>
      <c r="F417" s="167">
        <v>60000</v>
      </c>
      <c r="G417" s="168">
        <v>120000</v>
      </c>
    </row>
    <row r="418" spans="1:7" x14ac:dyDescent="0.3">
      <c r="A418" s="166">
        <v>5447900466</v>
      </c>
      <c r="B418" s="166" t="s">
        <v>1028</v>
      </c>
      <c r="C418" s="166" t="s">
        <v>1029</v>
      </c>
      <c r="D418" s="166" t="s">
        <v>353</v>
      </c>
      <c r="E418" s="167">
        <v>60000</v>
      </c>
      <c r="F418" s="167">
        <v>60000</v>
      </c>
      <c r="G418" s="168">
        <v>120000</v>
      </c>
    </row>
    <row r="419" spans="1:7" x14ac:dyDescent="0.3">
      <c r="A419" s="166">
        <v>5958801432</v>
      </c>
      <c r="B419" s="166" t="s">
        <v>1030</v>
      </c>
      <c r="C419" s="166" t="s">
        <v>1031</v>
      </c>
      <c r="D419" s="166" t="s">
        <v>356</v>
      </c>
      <c r="E419" s="167">
        <v>60000</v>
      </c>
      <c r="F419" s="167">
        <v>60000</v>
      </c>
      <c r="G419" s="168">
        <v>120000</v>
      </c>
    </row>
    <row r="420" spans="1:7" x14ac:dyDescent="0.3">
      <c r="A420" s="166">
        <v>6938101794</v>
      </c>
      <c r="B420" s="166" t="s">
        <v>1032</v>
      </c>
      <c r="C420" s="166" t="s">
        <v>1033</v>
      </c>
      <c r="D420" s="166" t="s">
        <v>356</v>
      </c>
      <c r="E420" s="167">
        <v>60000</v>
      </c>
      <c r="F420" s="167">
        <v>60000</v>
      </c>
      <c r="G420" s="168">
        <v>120000</v>
      </c>
    </row>
    <row r="421" spans="1:7" x14ac:dyDescent="0.3">
      <c r="A421" s="166">
        <v>6638702606</v>
      </c>
      <c r="B421" s="166" t="s">
        <v>1034</v>
      </c>
      <c r="C421" s="166" t="s">
        <v>1035</v>
      </c>
      <c r="D421" s="166" t="s">
        <v>361</v>
      </c>
      <c r="E421" s="167">
        <v>60000</v>
      </c>
      <c r="F421" s="167">
        <v>60000</v>
      </c>
      <c r="G421" s="168">
        <v>120000</v>
      </c>
    </row>
    <row r="422" spans="1:7" x14ac:dyDescent="0.3">
      <c r="A422" s="166">
        <v>7848102217</v>
      </c>
      <c r="B422" s="166" t="s">
        <v>1036</v>
      </c>
      <c r="C422" s="166" t="s">
        <v>1037</v>
      </c>
      <c r="D422" s="166" t="s">
        <v>144</v>
      </c>
      <c r="E422" s="167">
        <v>60000</v>
      </c>
      <c r="F422" s="167">
        <v>60000</v>
      </c>
      <c r="G422" s="168">
        <v>120000</v>
      </c>
    </row>
    <row r="423" spans="1:7" x14ac:dyDescent="0.3">
      <c r="A423" s="166">
        <v>7828701683</v>
      </c>
      <c r="B423" s="166" t="s">
        <v>1038</v>
      </c>
      <c r="C423" s="166" t="s">
        <v>1039</v>
      </c>
      <c r="D423" s="166" t="s">
        <v>144</v>
      </c>
      <c r="E423" s="167">
        <v>60000</v>
      </c>
      <c r="F423" s="167">
        <v>60000</v>
      </c>
      <c r="G423" s="168">
        <v>120000</v>
      </c>
    </row>
    <row r="424" spans="1:7" x14ac:dyDescent="0.3">
      <c r="A424" s="166">
        <v>8378100717</v>
      </c>
      <c r="B424" s="166" t="s">
        <v>1040</v>
      </c>
      <c r="C424" s="166" t="s">
        <v>1041</v>
      </c>
      <c r="D424" s="166" t="s">
        <v>149</v>
      </c>
      <c r="E424" s="167">
        <v>60000</v>
      </c>
      <c r="F424" s="167">
        <v>60000</v>
      </c>
      <c r="G424" s="168">
        <v>120000</v>
      </c>
    </row>
    <row r="425" spans="1:7" x14ac:dyDescent="0.3">
      <c r="A425" s="166">
        <v>2012667545</v>
      </c>
      <c r="B425" s="166" t="s">
        <v>1042</v>
      </c>
      <c r="C425" s="166" t="s">
        <v>1043</v>
      </c>
      <c r="D425" s="166" t="s">
        <v>149</v>
      </c>
      <c r="E425" s="167">
        <v>60000</v>
      </c>
      <c r="F425" s="167">
        <v>60000</v>
      </c>
      <c r="G425" s="168">
        <v>120000</v>
      </c>
    </row>
    <row r="426" spans="1:7" x14ac:dyDescent="0.3">
      <c r="A426" s="166">
        <v>7536300720</v>
      </c>
      <c r="B426" s="166" t="s">
        <v>1044</v>
      </c>
      <c r="C426" s="166" t="s">
        <v>1045</v>
      </c>
      <c r="D426" s="166" t="s">
        <v>154</v>
      </c>
      <c r="E426" s="167">
        <v>60000</v>
      </c>
      <c r="F426" s="167">
        <v>60000</v>
      </c>
      <c r="G426" s="168">
        <v>120000</v>
      </c>
    </row>
    <row r="427" spans="1:7" x14ac:dyDescent="0.3">
      <c r="A427" s="166">
        <v>1918801749</v>
      </c>
      <c r="B427" s="166" t="s">
        <v>1046</v>
      </c>
      <c r="C427" s="166" t="s">
        <v>1047</v>
      </c>
      <c r="D427" s="166" t="s">
        <v>157</v>
      </c>
      <c r="E427" s="167">
        <v>60000</v>
      </c>
      <c r="F427" s="167">
        <v>60000</v>
      </c>
      <c r="G427" s="168">
        <v>120000</v>
      </c>
    </row>
    <row r="428" spans="1:7" x14ac:dyDescent="0.3">
      <c r="A428" s="166">
        <v>7978801265</v>
      </c>
      <c r="B428" s="166" t="s">
        <v>1048</v>
      </c>
      <c r="C428" s="166" t="s">
        <v>1049</v>
      </c>
      <c r="D428" s="166" t="s">
        <v>157</v>
      </c>
      <c r="E428" s="167">
        <v>60000</v>
      </c>
      <c r="F428" s="167">
        <v>60000</v>
      </c>
      <c r="G428" s="168">
        <v>120000</v>
      </c>
    </row>
    <row r="429" spans="1:7" x14ac:dyDescent="0.3">
      <c r="A429" s="166">
        <v>5928702245</v>
      </c>
      <c r="B429" s="166" t="s">
        <v>1050</v>
      </c>
      <c r="C429" s="166" t="s">
        <v>1051</v>
      </c>
      <c r="D429" s="166" t="s">
        <v>162</v>
      </c>
      <c r="E429" s="167">
        <v>60000</v>
      </c>
      <c r="F429" s="167">
        <v>60000</v>
      </c>
      <c r="G429" s="168">
        <v>120000</v>
      </c>
    </row>
    <row r="430" spans="1:7" x14ac:dyDescent="0.3">
      <c r="A430" s="166">
        <v>3788602910</v>
      </c>
      <c r="B430" s="166" t="s">
        <v>1052</v>
      </c>
      <c r="C430" s="166" t="s">
        <v>1053</v>
      </c>
      <c r="D430" s="166" t="s">
        <v>162</v>
      </c>
      <c r="E430" s="167">
        <v>60000</v>
      </c>
      <c r="F430" s="167">
        <v>60000</v>
      </c>
      <c r="G430" s="168">
        <v>120000</v>
      </c>
    </row>
    <row r="431" spans="1:7" x14ac:dyDescent="0.3">
      <c r="A431" s="166">
        <v>6608102508</v>
      </c>
      <c r="B431" s="166" t="s">
        <v>1054</v>
      </c>
      <c r="C431" s="166" t="s">
        <v>1055</v>
      </c>
      <c r="D431" s="166" t="s">
        <v>165</v>
      </c>
      <c r="E431" s="167">
        <v>60000</v>
      </c>
      <c r="F431" s="167">
        <v>60000</v>
      </c>
      <c r="G431" s="168">
        <v>120000</v>
      </c>
    </row>
    <row r="432" spans="1:7" x14ac:dyDescent="0.3">
      <c r="A432" s="166">
        <v>1178603070</v>
      </c>
      <c r="B432" s="166" t="s">
        <v>1056</v>
      </c>
      <c r="C432" s="166" t="s">
        <v>1057</v>
      </c>
      <c r="D432" s="166" t="s">
        <v>165</v>
      </c>
      <c r="E432" s="167">
        <v>60000</v>
      </c>
      <c r="F432" s="167">
        <v>60000</v>
      </c>
      <c r="G432" s="168">
        <v>120000</v>
      </c>
    </row>
    <row r="433" spans="1:7" x14ac:dyDescent="0.3">
      <c r="A433" s="166">
        <v>2768801021</v>
      </c>
      <c r="B433" s="166" t="s">
        <v>1058</v>
      </c>
      <c r="C433" s="166" t="s">
        <v>1059</v>
      </c>
      <c r="D433" s="166" t="s">
        <v>170</v>
      </c>
      <c r="E433" s="167">
        <v>60000</v>
      </c>
      <c r="F433" s="167">
        <v>60000</v>
      </c>
      <c r="G433" s="168">
        <v>120000</v>
      </c>
    </row>
    <row r="434" spans="1:7" x14ac:dyDescent="0.3">
      <c r="A434" s="166">
        <v>7748601026</v>
      </c>
      <c r="B434" s="166" t="s">
        <v>1060</v>
      </c>
      <c r="C434" s="166" t="s">
        <v>1061</v>
      </c>
      <c r="D434" s="166" t="s">
        <v>170</v>
      </c>
      <c r="E434" s="167">
        <v>60000</v>
      </c>
      <c r="F434" s="167">
        <v>60000</v>
      </c>
      <c r="G434" s="168">
        <v>120000</v>
      </c>
    </row>
    <row r="435" spans="1:7" x14ac:dyDescent="0.3">
      <c r="A435" s="166">
        <v>7558102034</v>
      </c>
      <c r="B435" s="166" t="s">
        <v>1062</v>
      </c>
      <c r="C435" s="166" t="s">
        <v>1063</v>
      </c>
      <c r="D435" s="166" t="s">
        <v>175</v>
      </c>
      <c r="E435" s="167">
        <v>60000</v>
      </c>
      <c r="F435" s="167">
        <v>60000</v>
      </c>
      <c r="G435" s="168">
        <v>120000</v>
      </c>
    </row>
    <row r="436" spans="1:7" x14ac:dyDescent="0.3">
      <c r="A436" s="166">
        <v>3078151694</v>
      </c>
      <c r="B436" s="166" t="s">
        <v>1064</v>
      </c>
      <c r="C436" s="166" t="s">
        <v>1065</v>
      </c>
      <c r="D436" s="166" t="s">
        <v>178</v>
      </c>
      <c r="E436" s="167">
        <v>60000</v>
      </c>
      <c r="F436" s="167">
        <v>60000</v>
      </c>
      <c r="G436" s="168">
        <v>120000</v>
      </c>
    </row>
    <row r="437" spans="1:7" x14ac:dyDescent="0.3">
      <c r="A437" s="166">
        <v>7458602672</v>
      </c>
      <c r="B437" s="166" t="s">
        <v>1066</v>
      </c>
      <c r="C437" s="166" t="s">
        <v>1067</v>
      </c>
      <c r="D437" s="166" t="s">
        <v>178</v>
      </c>
      <c r="E437" s="167">
        <v>60000</v>
      </c>
      <c r="F437" s="167">
        <v>60000</v>
      </c>
      <c r="G437" s="168">
        <v>120000</v>
      </c>
    </row>
    <row r="438" spans="1:7" x14ac:dyDescent="0.3">
      <c r="A438" s="166">
        <v>5548702132</v>
      </c>
      <c r="B438" s="166" t="s">
        <v>1068</v>
      </c>
      <c r="C438" s="166" t="s">
        <v>1069</v>
      </c>
      <c r="D438" s="166" t="s">
        <v>183</v>
      </c>
      <c r="E438" s="167">
        <v>60000</v>
      </c>
      <c r="F438" s="167">
        <v>60000</v>
      </c>
      <c r="G438" s="168">
        <v>120000</v>
      </c>
    </row>
    <row r="439" spans="1:7" x14ac:dyDescent="0.3">
      <c r="A439" s="166">
        <v>4468702807</v>
      </c>
      <c r="B439" s="166" t="s">
        <v>1070</v>
      </c>
      <c r="C439" s="166" t="s">
        <v>1071</v>
      </c>
      <c r="D439" s="166" t="s">
        <v>183</v>
      </c>
      <c r="E439" s="167">
        <v>60000</v>
      </c>
      <c r="F439" s="167">
        <v>60000</v>
      </c>
      <c r="G439" s="168">
        <v>120000</v>
      </c>
    </row>
    <row r="440" spans="1:7" x14ac:dyDescent="0.3">
      <c r="A440" s="166">
        <v>2848601479</v>
      </c>
      <c r="B440" s="166" t="s">
        <v>1072</v>
      </c>
      <c r="C440" s="166" t="s">
        <v>1073</v>
      </c>
      <c r="D440" s="166" t="s">
        <v>186</v>
      </c>
      <c r="E440" s="167">
        <v>60000</v>
      </c>
      <c r="F440" s="167">
        <v>60000</v>
      </c>
      <c r="G440" s="168">
        <v>120000</v>
      </c>
    </row>
    <row r="441" spans="1:7" x14ac:dyDescent="0.3">
      <c r="A441" s="166">
        <v>1888603223</v>
      </c>
      <c r="B441" s="166" t="s">
        <v>1074</v>
      </c>
      <c r="C441" s="166" t="s">
        <v>1075</v>
      </c>
      <c r="D441" s="166" t="s">
        <v>186</v>
      </c>
      <c r="E441" s="167">
        <v>60000</v>
      </c>
      <c r="F441" s="167">
        <v>60000</v>
      </c>
      <c r="G441" s="168">
        <v>120000</v>
      </c>
    </row>
    <row r="442" spans="1:7" x14ac:dyDescent="0.3">
      <c r="A442" s="166">
        <v>6388602641</v>
      </c>
      <c r="B442" s="166" t="s">
        <v>1076</v>
      </c>
      <c r="C442" s="166" t="s">
        <v>1077</v>
      </c>
      <c r="D442" s="166" t="s">
        <v>191</v>
      </c>
      <c r="E442" s="167">
        <v>60000</v>
      </c>
      <c r="F442" s="167">
        <v>60000</v>
      </c>
      <c r="G442" s="168">
        <v>120000</v>
      </c>
    </row>
    <row r="443" spans="1:7" x14ac:dyDescent="0.3">
      <c r="A443" s="166">
        <v>5688601872</v>
      </c>
      <c r="B443" s="166" t="s">
        <v>1078</v>
      </c>
      <c r="C443" s="166" t="s">
        <v>1079</v>
      </c>
      <c r="D443" s="166" t="s">
        <v>191</v>
      </c>
      <c r="E443" s="167">
        <v>60000</v>
      </c>
      <c r="F443" s="167">
        <v>60000</v>
      </c>
      <c r="G443" s="168">
        <v>120000</v>
      </c>
    </row>
    <row r="444" spans="1:7" x14ac:dyDescent="0.3">
      <c r="A444" s="166">
        <v>1118194369</v>
      </c>
      <c r="B444" s="166" t="s">
        <v>1080</v>
      </c>
      <c r="C444" s="166" t="s">
        <v>1081</v>
      </c>
      <c r="D444" s="166" t="s">
        <v>196</v>
      </c>
      <c r="E444" s="167">
        <v>60000</v>
      </c>
      <c r="F444" s="167">
        <v>60000</v>
      </c>
      <c r="G444" s="168">
        <v>120000</v>
      </c>
    </row>
    <row r="445" spans="1:7" x14ac:dyDescent="0.3">
      <c r="A445" s="166">
        <v>6688602036</v>
      </c>
      <c r="B445" s="166" t="s">
        <v>1082</v>
      </c>
      <c r="C445" s="166" t="s">
        <v>1083</v>
      </c>
      <c r="D445" s="166" t="s">
        <v>199</v>
      </c>
      <c r="E445" s="167">
        <v>60000</v>
      </c>
      <c r="F445" s="167">
        <v>60000</v>
      </c>
      <c r="G445" s="168">
        <v>120000</v>
      </c>
    </row>
    <row r="446" spans="1:7" x14ac:dyDescent="0.3">
      <c r="A446" s="166">
        <v>8951201036</v>
      </c>
      <c r="B446" s="166" t="s">
        <v>1084</v>
      </c>
      <c r="C446" s="166" t="s">
        <v>1085</v>
      </c>
      <c r="D446" s="166" t="s">
        <v>199</v>
      </c>
      <c r="E446" s="167">
        <v>60000</v>
      </c>
      <c r="F446" s="167">
        <v>60000</v>
      </c>
      <c r="G446" s="168">
        <v>120000</v>
      </c>
    </row>
    <row r="447" spans="1:7" x14ac:dyDescent="0.3">
      <c r="A447" s="166">
        <v>3888102585</v>
      </c>
      <c r="B447" s="166" t="s">
        <v>1086</v>
      </c>
      <c r="C447" s="166" t="s">
        <v>1087</v>
      </c>
      <c r="D447" s="166" t="s">
        <v>204</v>
      </c>
      <c r="E447" s="167">
        <v>60000</v>
      </c>
      <c r="F447" s="167">
        <v>60000</v>
      </c>
      <c r="G447" s="168">
        <v>120000</v>
      </c>
    </row>
    <row r="448" spans="1:7" x14ac:dyDescent="0.3">
      <c r="A448" s="166">
        <v>3858802057</v>
      </c>
      <c r="B448" s="166" t="s">
        <v>1088</v>
      </c>
      <c r="C448" s="166" t="s">
        <v>1089</v>
      </c>
      <c r="D448" s="166" t="s">
        <v>209</v>
      </c>
      <c r="E448" s="167">
        <v>60000</v>
      </c>
      <c r="F448" s="167">
        <v>60000</v>
      </c>
      <c r="G448" s="168">
        <v>120000</v>
      </c>
    </row>
    <row r="449" spans="1:7" x14ac:dyDescent="0.3">
      <c r="A449" s="166">
        <v>1298801822</v>
      </c>
      <c r="B449" s="166" t="s">
        <v>1090</v>
      </c>
      <c r="C449" s="166" t="s">
        <v>1091</v>
      </c>
      <c r="D449" s="166" t="s">
        <v>209</v>
      </c>
      <c r="E449" s="167">
        <v>60000</v>
      </c>
      <c r="F449" s="167">
        <v>60000</v>
      </c>
      <c r="G449" s="168">
        <v>120000</v>
      </c>
    </row>
    <row r="450" spans="1:7" x14ac:dyDescent="0.3">
      <c r="A450" s="166">
        <v>5408100701</v>
      </c>
      <c r="B450" s="166" t="s">
        <v>1092</v>
      </c>
      <c r="C450" s="166" t="s">
        <v>1093</v>
      </c>
      <c r="D450" s="166" t="s">
        <v>214</v>
      </c>
      <c r="E450" s="167">
        <v>60000</v>
      </c>
      <c r="F450" s="167">
        <v>60000</v>
      </c>
      <c r="G450" s="168">
        <v>120000</v>
      </c>
    </row>
    <row r="451" spans="1:7" x14ac:dyDescent="0.3">
      <c r="A451" s="166">
        <v>6478702491</v>
      </c>
      <c r="B451" s="166" t="s">
        <v>1094</v>
      </c>
      <c r="C451" s="166" t="s">
        <v>1095</v>
      </c>
      <c r="D451" s="166" t="s">
        <v>214</v>
      </c>
      <c r="E451" s="167">
        <v>60000</v>
      </c>
      <c r="F451" s="167">
        <v>60000</v>
      </c>
      <c r="G451" s="168">
        <v>120000</v>
      </c>
    </row>
    <row r="452" spans="1:7" x14ac:dyDescent="0.3">
      <c r="A452" s="166">
        <v>5148702226</v>
      </c>
      <c r="B452" s="166" t="s">
        <v>1096</v>
      </c>
      <c r="C452" s="166" t="s">
        <v>1097</v>
      </c>
      <c r="D452" s="166" t="s">
        <v>219</v>
      </c>
      <c r="E452" s="167">
        <v>60000</v>
      </c>
      <c r="F452" s="167">
        <v>60000</v>
      </c>
      <c r="G452" s="168">
        <v>120000</v>
      </c>
    </row>
    <row r="453" spans="1:7" x14ac:dyDescent="0.3">
      <c r="A453" s="166">
        <v>2568101940</v>
      </c>
      <c r="B453" s="166" t="s">
        <v>1098</v>
      </c>
      <c r="C453" s="166" t="s">
        <v>1099</v>
      </c>
      <c r="D453" s="166" t="s">
        <v>222</v>
      </c>
      <c r="E453" s="167">
        <v>60000</v>
      </c>
      <c r="F453" s="167">
        <v>60000</v>
      </c>
      <c r="G453" s="168">
        <v>120000</v>
      </c>
    </row>
    <row r="454" spans="1:7" x14ac:dyDescent="0.3">
      <c r="A454" s="166">
        <v>8368602605</v>
      </c>
      <c r="B454" s="166" t="s">
        <v>1100</v>
      </c>
      <c r="C454" s="166" t="s">
        <v>1101</v>
      </c>
      <c r="D454" s="166" t="s">
        <v>222</v>
      </c>
      <c r="E454" s="167">
        <v>60000</v>
      </c>
      <c r="F454" s="167">
        <v>60000</v>
      </c>
      <c r="G454" s="168">
        <v>120000</v>
      </c>
    </row>
    <row r="455" spans="1:7" x14ac:dyDescent="0.3">
      <c r="A455" s="166">
        <v>8768102137</v>
      </c>
      <c r="B455" s="166" t="s">
        <v>1102</v>
      </c>
      <c r="C455" s="166" t="s">
        <v>1103</v>
      </c>
      <c r="D455" s="166" t="s">
        <v>227</v>
      </c>
      <c r="E455" s="167">
        <v>60000</v>
      </c>
      <c r="F455" s="167">
        <v>60000</v>
      </c>
      <c r="G455" s="168">
        <v>120000</v>
      </c>
    </row>
    <row r="456" spans="1:7" x14ac:dyDescent="0.3">
      <c r="A456" s="166">
        <v>5158702379</v>
      </c>
      <c r="B456" s="166" t="s">
        <v>1104</v>
      </c>
      <c r="C456" s="166" t="s">
        <v>1105</v>
      </c>
      <c r="D456" s="166" t="s">
        <v>232</v>
      </c>
      <c r="E456" s="167">
        <v>60000</v>
      </c>
      <c r="F456" s="167">
        <v>60000</v>
      </c>
      <c r="G456" s="168">
        <v>120000</v>
      </c>
    </row>
    <row r="457" spans="1:7" x14ac:dyDescent="0.3">
      <c r="A457" s="166">
        <v>5048801080</v>
      </c>
      <c r="B457" s="166" t="s">
        <v>1106</v>
      </c>
      <c r="C457" s="166" t="s">
        <v>1107</v>
      </c>
      <c r="D457" s="166" t="s">
        <v>232</v>
      </c>
      <c r="E457" s="167">
        <v>60000</v>
      </c>
      <c r="F457" s="167">
        <v>60000</v>
      </c>
      <c r="G457" s="168">
        <v>120000</v>
      </c>
    </row>
    <row r="458" spans="1:7" x14ac:dyDescent="0.3">
      <c r="A458" s="166">
        <v>6658102288</v>
      </c>
      <c r="B458" s="166" t="s">
        <v>1108</v>
      </c>
      <c r="C458" s="166" t="s">
        <v>1109</v>
      </c>
      <c r="D458" s="166" t="s">
        <v>237</v>
      </c>
      <c r="E458" s="167">
        <v>60000</v>
      </c>
      <c r="F458" s="167">
        <v>60000</v>
      </c>
      <c r="G458" s="168">
        <v>120000</v>
      </c>
    </row>
    <row r="459" spans="1:7" x14ac:dyDescent="0.3">
      <c r="A459" s="166">
        <v>4978602579</v>
      </c>
      <c r="B459" s="166" t="s">
        <v>1110</v>
      </c>
      <c r="C459" s="166" t="s">
        <v>1111</v>
      </c>
      <c r="D459" s="166" t="s">
        <v>237</v>
      </c>
      <c r="E459" s="167">
        <v>60000</v>
      </c>
      <c r="F459" s="167">
        <v>60000</v>
      </c>
      <c r="G459" s="168">
        <v>120000</v>
      </c>
    </row>
    <row r="460" spans="1:7" x14ac:dyDescent="0.3">
      <c r="A460" s="166">
        <v>7998802071</v>
      </c>
      <c r="B460" s="166" t="s">
        <v>1112</v>
      </c>
      <c r="C460" s="166" t="s">
        <v>1113</v>
      </c>
      <c r="D460" s="166" t="s">
        <v>242</v>
      </c>
      <c r="E460" s="167">
        <v>60000</v>
      </c>
      <c r="F460" s="167">
        <v>60000</v>
      </c>
      <c r="G460" s="168">
        <v>120000</v>
      </c>
    </row>
    <row r="461" spans="1:7" x14ac:dyDescent="0.3">
      <c r="A461" s="166">
        <v>7158802127</v>
      </c>
      <c r="B461" s="166" t="s">
        <v>1114</v>
      </c>
      <c r="C461" s="166" t="s">
        <v>1115</v>
      </c>
      <c r="D461" s="166" t="s">
        <v>245</v>
      </c>
      <c r="E461" s="167">
        <v>60000</v>
      </c>
      <c r="F461" s="167">
        <v>60000</v>
      </c>
      <c r="G461" s="168">
        <v>120000</v>
      </c>
    </row>
    <row r="462" spans="1:7" x14ac:dyDescent="0.3">
      <c r="A462" s="166">
        <v>6738103105</v>
      </c>
      <c r="B462" s="166" t="s">
        <v>1116</v>
      </c>
      <c r="C462" s="166" t="s">
        <v>1117</v>
      </c>
      <c r="D462" s="166" t="s">
        <v>245</v>
      </c>
      <c r="E462" s="167">
        <v>60000</v>
      </c>
      <c r="F462" s="167">
        <v>60000</v>
      </c>
      <c r="G462" s="168">
        <v>120000</v>
      </c>
    </row>
    <row r="463" spans="1:7" x14ac:dyDescent="0.3">
      <c r="A463" s="166">
        <v>7448602102</v>
      </c>
      <c r="B463" s="166" t="s">
        <v>1118</v>
      </c>
      <c r="C463" s="166" t="s">
        <v>1119</v>
      </c>
      <c r="D463" s="166" t="s">
        <v>250</v>
      </c>
      <c r="E463" s="167">
        <v>60000</v>
      </c>
      <c r="F463" s="167">
        <v>60000</v>
      </c>
      <c r="G463" s="168">
        <v>120000</v>
      </c>
    </row>
    <row r="464" spans="1:7" x14ac:dyDescent="0.3">
      <c r="A464" s="166">
        <v>4310402516</v>
      </c>
      <c r="B464" s="166" t="s">
        <v>1120</v>
      </c>
      <c r="C464" s="166" t="s">
        <v>1121</v>
      </c>
      <c r="D464" s="166" t="s">
        <v>255</v>
      </c>
      <c r="E464" s="167">
        <v>60000</v>
      </c>
      <c r="F464" s="167">
        <v>60000</v>
      </c>
      <c r="G464" s="168">
        <v>120000</v>
      </c>
    </row>
    <row r="465" spans="1:7" x14ac:dyDescent="0.3">
      <c r="A465" s="166">
        <v>5288600986</v>
      </c>
      <c r="B465" s="166" t="s">
        <v>1122</v>
      </c>
      <c r="C465" s="166" t="s">
        <v>1123</v>
      </c>
      <c r="D465" s="166" t="s">
        <v>255</v>
      </c>
      <c r="E465" s="167">
        <v>60000</v>
      </c>
      <c r="F465" s="167">
        <v>60000</v>
      </c>
      <c r="G465" s="168">
        <v>120000</v>
      </c>
    </row>
    <row r="466" spans="1:7" x14ac:dyDescent="0.3">
      <c r="A466" s="166">
        <v>7508801121</v>
      </c>
      <c r="B466" s="166" t="s">
        <v>1124</v>
      </c>
      <c r="C466" s="166" t="s">
        <v>1125</v>
      </c>
      <c r="D466" s="166" t="s">
        <v>260</v>
      </c>
      <c r="E466" s="167">
        <v>60000</v>
      </c>
      <c r="F466" s="167">
        <v>60000</v>
      </c>
      <c r="G466" s="168">
        <v>120000</v>
      </c>
    </row>
    <row r="467" spans="1:7" x14ac:dyDescent="0.3">
      <c r="A467" s="166">
        <v>1858801064</v>
      </c>
      <c r="B467" s="166" t="s">
        <v>1126</v>
      </c>
      <c r="C467" s="166" t="s">
        <v>1127</v>
      </c>
      <c r="D467" s="166" t="s">
        <v>260</v>
      </c>
      <c r="E467" s="167">
        <v>60000</v>
      </c>
      <c r="F467" s="167">
        <v>60000</v>
      </c>
      <c r="G467" s="168">
        <v>120000</v>
      </c>
    </row>
    <row r="468" spans="1:7" x14ac:dyDescent="0.3">
      <c r="A468" s="166">
        <v>7078601967</v>
      </c>
      <c r="B468" s="166" t="s">
        <v>1128</v>
      </c>
      <c r="C468" s="166" t="s">
        <v>1129</v>
      </c>
      <c r="D468" s="166" t="s">
        <v>265</v>
      </c>
      <c r="E468" s="167">
        <v>60000</v>
      </c>
      <c r="F468" s="167">
        <v>60000</v>
      </c>
      <c r="G468" s="168">
        <v>120000</v>
      </c>
    </row>
    <row r="469" spans="1:7" x14ac:dyDescent="0.3">
      <c r="A469" s="166">
        <v>8598802257</v>
      </c>
      <c r="B469" s="166" t="s">
        <v>1130</v>
      </c>
      <c r="C469" s="166" t="s">
        <v>1131</v>
      </c>
      <c r="D469" s="166" t="s">
        <v>268</v>
      </c>
      <c r="E469" s="167">
        <v>60000</v>
      </c>
      <c r="F469" s="167">
        <v>60000</v>
      </c>
      <c r="G469" s="168">
        <v>120000</v>
      </c>
    </row>
    <row r="470" spans="1:7" x14ac:dyDescent="0.3">
      <c r="A470" s="166">
        <v>2248601268</v>
      </c>
      <c r="B470" s="166" t="s">
        <v>1132</v>
      </c>
      <c r="C470" s="166" t="s">
        <v>1133</v>
      </c>
      <c r="D470" s="166" t="s">
        <v>268</v>
      </c>
      <c r="E470" s="167">
        <v>60000</v>
      </c>
      <c r="F470" s="167">
        <v>60000</v>
      </c>
      <c r="G470" s="168">
        <v>120000</v>
      </c>
    </row>
    <row r="471" spans="1:7" x14ac:dyDescent="0.3">
      <c r="A471" s="166">
        <v>8318601601</v>
      </c>
      <c r="B471" s="166" t="s">
        <v>1134</v>
      </c>
      <c r="C471" s="166" t="s">
        <v>1135</v>
      </c>
      <c r="D471" s="166" t="s">
        <v>273</v>
      </c>
      <c r="E471" s="167">
        <v>60000</v>
      </c>
      <c r="F471" s="167">
        <v>60000</v>
      </c>
      <c r="G471" s="168">
        <v>120000</v>
      </c>
    </row>
    <row r="472" spans="1:7" x14ac:dyDescent="0.3">
      <c r="A472" s="166">
        <v>2448802402</v>
      </c>
      <c r="B472" s="166" t="s">
        <v>1136</v>
      </c>
      <c r="C472" s="166" t="s">
        <v>1137</v>
      </c>
      <c r="D472" s="166" t="s">
        <v>278</v>
      </c>
      <c r="E472" s="167">
        <v>60000</v>
      </c>
      <c r="F472" s="167">
        <v>60000</v>
      </c>
      <c r="G472" s="168">
        <v>120000</v>
      </c>
    </row>
    <row r="473" spans="1:7" x14ac:dyDescent="0.3">
      <c r="A473" s="166">
        <v>7168102382</v>
      </c>
      <c r="B473" s="166" t="s">
        <v>1138</v>
      </c>
      <c r="C473" s="166" t="s">
        <v>1139</v>
      </c>
      <c r="D473" s="166" t="s">
        <v>278</v>
      </c>
      <c r="E473" s="167">
        <v>60000</v>
      </c>
      <c r="F473" s="167">
        <v>60000</v>
      </c>
      <c r="G473" s="168">
        <v>120000</v>
      </c>
    </row>
    <row r="474" spans="1:7" x14ac:dyDescent="0.3">
      <c r="A474" s="166">
        <v>5048801381</v>
      </c>
      <c r="B474" s="166" t="s">
        <v>1140</v>
      </c>
      <c r="C474" s="166" t="s">
        <v>1141</v>
      </c>
      <c r="D474" s="166" t="s">
        <v>283</v>
      </c>
      <c r="E474" s="167">
        <v>60000</v>
      </c>
      <c r="F474" s="167">
        <v>60000</v>
      </c>
      <c r="G474" s="168">
        <v>120000</v>
      </c>
    </row>
    <row r="475" spans="1:7" x14ac:dyDescent="0.3">
      <c r="A475" s="166">
        <v>4148602818</v>
      </c>
      <c r="B475" s="166" t="s">
        <v>1142</v>
      </c>
      <c r="C475" s="166" t="s">
        <v>1143</v>
      </c>
      <c r="D475" s="166" t="s">
        <v>283</v>
      </c>
      <c r="E475" s="167">
        <v>60000</v>
      </c>
      <c r="F475" s="167">
        <v>60000</v>
      </c>
      <c r="G475" s="168">
        <v>120000</v>
      </c>
    </row>
    <row r="476" spans="1:7" x14ac:dyDescent="0.3">
      <c r="A476" s="166">
        <v>3298602640</v>
      </c>
      <c r="B476" s="166" t="s">
        <v>1144</v>
      </c>
      <c r="C476" s="166" t="s">
        <v>1145</v>
      </c>
      <c r="D476" s="166" t="s">
        <v>288</v>
      </c>
      <c r="E476" s="167">
        <v>60000</v>
      </c>
      <c r="F476" s="167">
        <v>60000</v>
      </c>
      <c r="G476" s="168">
        <v>120000</v>
      </c>
    </row>
    <row r="477" spans="1:7" x14ac:dyDescent="0.3">
      <c r="A477" s="166">
        <v>5598101136</v>
      </c>
      <c r="B477" s="166" t="s">
        <v>1146</v>
      </c>
      <c r="C477" s="166" t="s">
        <v>1147</v>
      </c>
      <c r="D477" s="166" t="s">
        <v>291</v>
      </c>
      <c r="E477" s="167">
        <v>60000</v>
      </c>
      <c r="F477" s="167">
        <v>60000</v>
      </c>
      <c r="G477" s="168">
        <v>120000</v>
      </c>
    </row>
    <row r="478" spans="1:7" x14ac:dyDescent="0.3">
      <c r="A478" s="166">
        <v>2038166522</v>
      </c>
      <c r="B478" s="166" t="s">
        <v>1148</v>
      </c>
      <c r="C478" s="166" t="s">
        <v>1149</v>
      </c>
      <c r="D478" s="166" t="s">
        <v>291</v>
      </c>
      <c r="E478" s="167">
        <v>60000</v>
      </c>
      <c r="F478" s="167">
        <v>60000</v>
      </c>
      <c r="G478" s="168">
        <v>120000</v>
      </c>
    </row>
    <row r="479" spans="1:7" x14ac:dyDescent="0.3">
      <c r="A479" s="166">
        <v>7908102167</v>
      </c>
      <c r="B479" s="166" t="s">
        <v>1150</v>
      </c>
      <c r="C479" s="166" t="s">
        <v>1151</v>
      </c>
      <c r="D479" s="166" t="s">
        <v>296</v>
      </c>
      <c r="E479" s="167">
        <v>60000</v>
      </c>
      <c r="F479" s="167">
        <v>60000</v>
      </c>
      <c r="G479" s="168">
        <v>120000</v>
      </c>
    </row>
    <row r="480" spans="1:7" x14ac:dyDescent="0.3">
      <c r="A480" s="166">
        <v>8298701890</v>
      </c>
      <c r="B480" s="166" t="s">
        <v>1152</v>
      </c>
      <c r="C480" s="166" t="s">
        <v>1153</v>
      </c>
      <c r="D480" s="166" t="s">
        <v>299</v>
      </c>
      <c r="E480" s="167">
        <v>60000</v>
      </c>
      <c r="F480" s="167">
        <v>60000</v>
      </c>
      <c r="G480" s="168">
        <v>120000</v>
      </c>
    </row>
    <row r="481" spans="1:7" x14ac:dyDescent="0.3">
      <c r="A481" s="166">
        <v>5098602950</v>
      </c>
      <c r="B481" s="166" t="s">
        <v>1154</v>
      </c>
      <c r="C481" s="166" t="s">
        <v>1155</v>
      </c>
      <c r="D481" s="166" t="s">
        <v>299</v>
      </c>
      <c r="E481" s="167">
        <v>60000</v>
      </c>
      <c r="F481" s="167">
        <v>60000</v>
      </c>
      <c r="G481" s="168">
        <v>120000</v>
      </c>
    </row>
    <row r="482" spans="1:7" x14ac:dyDescent="0.3">
      <c r="A482" s="166">
        <v>4238102189</v>
      </c>
      <c r="B482" s="166" t="s">
        <v>1156</v>
      </c>
      <c r="C482" s="166" t="s">
        <v>1157</v>
      </c>
      <c r="D482" s="166" t="s">
        <v>304</v>
      </c>
      <c r="E482" s="167">
        <v>60000</v>
      </c>
      <c r="F482" s="167">
        <v>60000</v>
      </c>
      <c r="G482" s="168">
        <v>120000</v>
      </c>
    </row>
    <row r="483" spans="1:7" x14ac:dyDescent="0.3">
      <c r="A483" s="166">
        <v>6958602474</v>
      </c>
      <c r="B483" s="166" t="s">
        <v>1158</v>
      </c>
      <c r="C483" s="166" t="s">
        <v>1159</v>
      </c>
      <c r="D483" s="166" t="s">
        <v>304</v>
      </c>
      <c r="E483" s="167">
        <v>60000</v>
      </c>
      <c r="F483" s="167">
        <v>60000</v>
      </c>
      <c r="G483" s="168">
        <v>120000</v>
      </c>
    </row>
    <row r="484" spans="1:7" x14ac:dyDescent="0.3">
      <c r="A484" s="166">
        <v>4228701495</v>
      </c>
      <c r="B484" s="166" t="s">
        <v>1160</v>
      </c>
      <c r="C484" s="166" t="s">
        <v>1161</v>
      </c>
      <c r="D484" s="166" t="s">
        <v>309</v>
      </c>
      <c r="E484" s="167">
        <v>60000</v>
      </c>
      <c r="F484" s="167">
        <v>60000</v>
      </c>
      <c r="G484" s="168">
        <v>120000</v>
      </c>
    </row>
    <row r="485" spans="1:7" x14ac:dyDescent="0.3">
      <c r="A485" s="166">
        <v>3108133241</v>
      </c>
      <c r="B485" s="166" t="s">
        <v>1162</v>
      </c>
      <c r="C485" s="166" t="s">
        <v>1163</v>
      </c>
      <c r="D485" s="166" t="s">
        <v>312</v>
      </c>
      <c r="E485" s="167">
        <v>60000</v>
      </c>
      <c r="F485" s="167">
        <v>60000</v>
      </c>
      <c r="G485" s="168">
        <v>120000</v>
      </c>
    </row>
    <row r="486" spans="1:7" x14ac:dyDescent="0.3">
      <c r="A486" s="166">
        <v>7768702498</v>
      </c>
      <c r="B486" s="166" t="s">
        <v>1164</v>
      </c>
      <c r="C486" s="166" t="s">
        <v>1165</v>
      </c>
      <c r="D486" s="166" t="s">
        <v>312</v>
      </c>
      <c r="E486" s="167">
        <v>60000</v>
      </c>
      <c r="F486" s="167">
        <v>60000</v>
      </c>
      <c r="G486" s="168">
        <v>120000</v>
      </c>
    </row>
    <row r="487" spans="1:7" x14ac:dyDescent="0.3">
      <c r="A487" s="166">
        <v>4568702667</v>
      </c>
      <c r="B487" s="166" t="s">
        <v>1166</v>
      </c>
      <c r="C487" s="166" t="s">
        <v>1167</v>
      </c>
      <c r="D487" s="166" t="s">
        <v>317</v>
      </c>
      <c r="E487" s="167">
        <v>60000</v>
      </c>
      <c r="F487" s="167">
        <v>60000</v>
      </c>
      <c r="G487" s="168">
        <v>120000</v>
      </c>
    </row>
    <row r="488" spans="1:7" x14ac:dyDescent="0.3">
      <c r="A488" s="166">
        <v>5168102287</v>
      </c>
      <c r="B488" s="166" t="s">
        <v>1168</v>
      </c>
      <c r="C488" s="166" t="s">
        <v>1169</v>
      </c>
      <c r="D488" s="166" t="s">
        <v>320</v>
      </c>
      <c r="E488" s="167">
        <v>60000</v>
      </c>
      <c r="F488" s="167">
        <v>60000</v>
      </c>
      <c r="G488" s="168">
        <v>120000</v>
      </c>
    </row>
    <row r="489" spans="1:7" x14ac:dyDescent="0.3">
      <c r="A489" s="166">
        <v>5988100904</v>
      </c>
      <c r="B489" s="166" t="s">
        <v>1170</v>
      </c>
      <c r="C489" s="166" t="s">
        <v>1171</v>
      </c>
      <c r="D489" s="166" t="s">
        <v>320</v>
      </c>
      <c r="E489" s="167">
        <v>60000</v>
      </c>
      <c r="F489" s="167">
        <v>60000</v>
      </c>
      <c r="G489" s="168">
        <v>120000</v>
      </c>
    </row>
    <row r="490" spans="1:7" x14ac:dyDescent="0.3">
      <c r="A490" s="166">
        <v>5128800893</v>
      </c>
      <c r="B490" s="166" t="s">
        <v>1172</v>
      </c>
      <c r="C490" s="166" t="s">
        <v>1173</v>
      </c>
      <c r="D490" s="166" t="s">
        <v>325</v>
      </c>
      <c r="E490" s="167">
        <v>60000</v>
      </c>
      <c r="F490" s="167">
        <v>60000</v>
      </c>
      <c r="G490" s="168">
        <v>120000</v>
      </c>
    </row>
    <row r="491" spans="1:7" x14ac:dyDescent="0.3">
      <c r="A491" s="166">
        <v>7528101036</v>
      </c>
      <c r="B491" s="166" t="s">
        <v>1174</v>
      </c>
      <c r="C491" s="166" t="s">
        <v>1175</v>
      </c>
      <c r="D491" s="166" t="s">
        <v>325</v>
      </c>
      <c r="E491" s="167">
        <v>60000</v>
      </c>
      <c r="F491" s="167">
        <v>60000</v>
      </c>
      <c r="G491" s="168">
        <v>120000</v>
      </c>
    </row>
    <row r="492" spans="1:7" x14ac:dyDescent="0.3">
      <c r="A492" s="166">
        <v>2698701967</v>
      </c>
      <c r="B492" s="166" t="s">
        <v>1176</v>
      </c>
      <c r="C492" s="166" t="s">
        <v>1177</v>
      </c>
      <c r="D492" s="166" t="s">
        <v>330</v>
      </c>
      <c r="E492" s="167">
        <v>60000</v>
      </c>
      <c r="F492" s="167">
        <v>60000</v>
      </c>
      <c r="G492" s="168">
        <v>120000</v>
      </c>
    </row>
    <row r="493" spans="1:7" x14ac:dyDescent="0.3">
      <c r="A493" s="166">
        <v>3578801510</v>
      </c>
      <c r="B493" s="166" t="s">
        <v>1178</v>
      </c>
      <c r="C493" s="166" t="s">
        <v>1179</v>
      </c>
      <c r="D493" s="166" t="s">
        <v>333</v>
      </c>
      <c r="E493" s="167">
        <v>60000</v>
      </c>
      <c r="F493" s="167">
        <v>60000</v>
      </c>
      <c r="G493" s="168">
        <v>120000</v>
      </c>
    </row>
    <row r="494" spans="1:7" x14ac:dyDescent="0.3">
      <c r="A494" s="166">
        <v>1348801988</v>
      </c>
      <c r="B494" s="166" t="s">
        <v>1180</v>
      </c>
      <c r="C494" s="166" t="s">
        <v>1181</v>
      </c>
      <c r="D494" s="166" t="s">
        <v>333</v>
      </c>
      <c r="E494" s="167">
        <v>60000</v>
      </c>
      <c r="F494" s="167">
        <v>60000</v>
      </c>
      <c r="G494" s="168">
        <v>120000</v>
      </c>
    </row>
    <row r="495" spans="1:7" x14ac:dyDescent="0.3">
      <c r="A495" s="166">
        <v>7138102307</v>
      </c>
      <c r="B495" s="166" t="s">
        <v>1182</v>
      </c>
      <c r="C495" s="166" t="s">
        <v>1183</v>
      </c>
      <c r="D495" s="166" t="s">
        <v>338</v>
      </c>
      <c r="E495" s="167">
        <v>60000</v>
      </c>
      <c r="F495" s="167">
        <v>60000</v>
      </c>
      <c r="G495" s="168">
        <v>120000</v>
      </c>
    </row>
    <row r="496" spans="1:7" x14ac:dyDescent="0.3">
      <c r="A496" s="166">
        <v>5195800825</v>
      </c>
      <c r="B496" s="166" t="s">
        <v>1184</v>
      </c>
      <c r="C496" s="166" t="s">
        <v>1185</v>
      </c>
      <c r="D496" s="166" t="s">
        <v>343</v>
      </c>
      <c r="E496" s="167">
        <v>60000</v>
      </c>
      <c r="F496" s="167">
        <v>60000</v>
      </c>
      <c r="G496" s="168">
        <v>120000</v>
      </c>
    </row>
    <row r="497" spans="1:7" x14ac:dyDescent="0.3">
      <c r="A497" s="166">
        <v>8700502912</v>
      </c>
      <c r="B497" s="166" t="s">
        <v>1186</v>
      </c>
      <c r="C497" s="166" t="s">
        <v>1187</v>
      </c>
      <c r="D497" s="166" t="s">
        <v>343</v>
      </c>
      <c r="E497" s="167">
        <v>60000</v>
      </c>
      <c r="F497" s="167">
        <v>60000</v>
      </c>
      <c r="G497" s="168">
        <v>120000</v>
      </c>
    </row>
    <row r="498" spans="1:7" x14ac:dyDescent="0.3">
      <c r="A498" s="166">
        <v>3808603154</v>
      </c>
      <c r="B498" s="166" t="s">
        <v>1188</v>
      </c>
      <c r="C498" s="166" t="s">
        <v>1189</v>
      </c>
      <c r="D498" s="166" t="s">
        <v>348</v>
      </c>
      <c r="E498" s="167">
        <v>60000</v>
      </c>
      <c r="F498" s="167">
        <v>60000</v>
      </c>
      <c r="G498" s="168">
        <v>120000</v>
      </c>
    </row>
    <row r="499" spans="1:7" x14ac:dyDescent="0.3">
      <c r="A499" s="166">
        <v>3548602817</v>
      </c>
      <c r="B499" s="166" t="s">
        <v>1190</v>
      </c>
      <c r="C499" s="166" t="s">
        <v>1191</v>
      </c>
      <c r="D499" s="166" t="s">
        <v>348</v>
      </c>
      <c r="E499" s="167">
        <v>60000</v>
      </c>
      <c r="F499" s="167">
        <v>60000</v>
      </c>
      <c r="G499" s="168">
        <v>120000</v>
      </c>
    </row>
    <row r="500" spans="1:7" x14ac:dyDescent="0.3">
      <c r="A500" s="166">
        <v>6348602921</v>
      </c>
      <c r="B500" s="166" t="s">
        <v>1192</v>
      </c>
      <c r="C500" s="166" t="s">
        <v>1193</v>
      </c>
      <c r="D500" s="166" t="s">
        <v>353</v>
      </c>
      <c r="E500" s="167">
        <v>60000</v>
      </c>
      <c r="F500" s="167">
        <v>60000</v>
      </c>
      <c r="G500" s="168">
        <v>120000</v>
      </c>
    </row>
    <row r="501" spans="1:7" x14ac:dyDescent="0.3">
      <c r="A501" s="166">
        <v>1328702188</v>
      </c>
      <c r="B501" s="166" t="s">
        <v>1194</v>
      </c>
      <c r="C501" s="166" t="s">
        <v>1195</v>
      </c>
      <c r="D501" s="166" t="s">
        <v>356</v>
      </c>
      <c r="E501" s="167">
        <v>60000</v>
      </c>
      <c r="F501" s="167">
        <v>60000</v>
      </c>
      <c r="G501" s="168">
        <v>120000</v>
      </c>
    </row>
    <row r="502" spans="1:7" x14ac:dyDescent="0.3">
      <c r="A502" s="166">
        <v>1698603197</v>
      </c>
      <c r="B502" s="166" t="s">
        <v>1196</v>
      </c>
      <c r="C502" s="166" t="s">
        <v>1197</v>
      </c>
      <c r="D502" s="166" t="s">
        <v>356</v>
      </c>
      <c r="E502" s="167">
        <v>60000</v>
      </c>
      <c r="F502" s="167">
        <v>60000</v>
      </c>
      <c r="G502" s="168">
        <v>120000</v>
      </c>
    </row>
    <row r="503" spans="1:7" x14ac:dyDescent="0.3">
      <c r="A503" s="166">
        <v>1708102757</v>
      </c>
      <c r="B503" s="166" t="s">
        <v>1198</v>
      </c>
      <c r="C503" s="166" t="s">
        <v>1199</v>
      </c>
      <c r="D503" s="166" t="s">
        <v>361</v>
      </c>
      <c r="E503" s="167">
        <v>60000</v>
      </c>
      <c r="F503" s="167">
        <v>60000</v>
      </c>
      <c r="G503" s="168">
        <v>120000</v>
      </c>
    </row>
    <row r="504" spans="1:7" x14ac:dyDescent="0.3">
      <c r="A504" s="166">
        <v>7302701688</v>
      </c>
      <c r="B504" s="166" t="s">
        <v>1200</v>
      </c>
      <c r="C504" s="166" t="s">
        <v>1201</v>
      </c>
      <c r="D504" s="166" t="s">
        <v>144</v>
      </c>
      <c r="E504" s="167">
        <v>60000</v>
      </c>
      <c r="F504" s="167">
        <v>60000</v>
      </c>
      <c r="G504" s="168">
        <v>120000</v>
      </c>
    </row>
    <row r="505" spans="1:7" x14ac:dyDescent="0.3">
      <c r="A505" s="166">
        <v>7228602927</v>
      </c>
      <c r="B505" s="166" t="s">
        <v>1202</v>
      </c>
      <c r="C505" s="166" t="s">
        <v>1203</v>
      </c>
      <c r="D505" s="166" t="s">
        <v>144</v>
      </c>
      <c r="E505" s="167">
        <v>60000</v>
      </c>
      <c r="F505" s="167">
        <v>60000</v>
      </c>
      <c r="G505" s="168">
        <v>120000</v>
      </c>
    </row>
    <row r="506" spans="1:7" x14ac:dyDescent="0.3">
      <c r="A506" s="166">
        <v>6818101388</v>
      </c>
      <c r="B506" s="166" t="s">
        <v>1204</v>
      </c>
      <c r="C506" s="166" t="s">
        <v>1205</v>
      </c>
      <c r="D506" s="166" t="s">
        <v>149</v>
      </c>
      <c r="E506" s="167">
        <v>60000</v>
      </c>
      <c r="F506" s="167">
        <v>60000</v>
      </c>
      <c r="G506" s="168">
        <v>120000</v>
      </c>
    </row>
    <row r="507" spans="1:7" x14ac:dyDescent="0.3">
      <c r="A507" s="166">
        <v>6818802751</v>
      </c>
      <c r="B507" s="166" t="s">
        <v>1206</v>
      </c>
      <c r="C507" s="166" t="s">
        <v>1207</v>
      </c>
      <c r="D507" s="166" t="s">
        <v>149</v>
      </c>
      <c r="E507" s="167">
        <v>60000</v>
      </c>
      <c r="F507" s="167">
        <v>60000</v>
      </c>
      <c r="G507" s="168">
        <v>120000</v>
      </c>
    </row>
    <row r="508" spans="1:7" x14ac:dyDescent="0.3">
      <c r="A508" s="166">
        <v>4988701250</v>
      </c>
      <c r="B508" s="166" t="s">
        <v>1208</v>
      </c>
      <c r="C508" s="166" t="s">
        <v>1209</v>
      </c>
      <c r="D508" s="166" t="s">
        <v>154</v>
      </c>
      <c r="E508" s="167">
        <v>60000</v>
      </c>
      <c r="F508" s="167">
        <v>60000</v>
      </c>
      <c r="G508" s="168">
        <v>120000</v>
      </c>
    </row>
    <row r="509" spans="1:7" x14ac:dyDescent="0.3">
      <c r="A509" s="166">
        <v>8428101038</v>
      </c>
      <c r="B509" s="166" t="s">
        <v>1210</v>
      </c>
      <c r="C509" s="166" t="s">
        <v>1211</v>
      </c>
      <c r="D509" s="166" t="s">
        <v>157</v>
      </c>
      <c r="E509" s="167">
        <v>60000</v>
      </c>
      <c r="F509" s="167">
        <v>60000</v>
      </c>
      <c r="G509" s="168">
        <v>120000</v>
      </c>
    </row>
    <row r="510" spans="1:7" x14ac:dyDescent="0.3">
      <c r="A510" s="166">
        <v>6828801212</v>
      </c>
      <c r="B510" s="166" t="s">
        <v>1212</v>
      </c>
      <c r="C510" s="166" t="s">
        <v>1213</v>
      </c>
      <c r="D510" s="166" t="s">
        <v>157</v>
      </c>
      <c r="E510" s="167">
        <v>60000</v>
      </c>
      <c r="F510" s="167">
        <v>60000</v>
      </c>
      <c r="G510" s="168">
        <v>120000</v>
      </c>
    </row>
    <row r="511" spans="1:7" x14ac:dyDescent="0.3">
      <c r="A511" s="166">
        <v>7852601420</v>
      </c>
      <c r="B511" s="166" t="s">
        <v>1214</v>
      </c>
      <c r="C511" s="166" t="s">
        <v>1215</v>
      </c>
      <c r="D511" s="166" t="s">
        <v>162</v>
      </c>
      <c r="E511" s="167">
        <v>60000</v>
      </c>
      <c r="F511" s="167">
        <v>60000</v>
      </c>
      <c r="G511" s="168">
        <v>120000</v>
      </c>
    </row>
    <row r="512" spans="1:7" x14ac:dyDescent="0.3">
      <c r="A512" s="166">
        <v>5688802012</v>
      </c>
      <c r="B512" s="166" t="s">
        <v>1216</v>
      </c>
      <c r="C512" s="166" t="s">
        <v>1217</v>
      </c>
      <c r="D512" s="166" t="s">
        <v>165</v>
      </c>
      <c r="E512" s="167">
        <v>60000</v>
      </c>
      <c r="F512" s="167">
        <v>60000</v>
      </c>
      <c r="G512" s="168">
        <v>120000</v>
      </c>
    </row>
    <row r="513" spans="1:7" x14ac:dyDescent="0.3">
      <c r="A513" s="166">
        <v>5338801171</v>
      </c>
      <c r="B513" s="166" t="s">
        <v>1218</v>
      </c>
      <c r="C513" s="166" t="s">
        <v>1219</v>
      </c>
      <c r="D513" s="166" t="s">
        <v>165</v>
      </c>
      <c r="E513" s="167">
        <v>60000</v>
      </c>
      <c r="F513" s="167">
        <v>60000</v>
      </c>
      <c r="G513" s="168">
        <v>120000</v>
      </c>
    </row>
    <row r="514" spans="1:7" x14ac:dyDescent="0.3">
      <c r="A514" s="166">
        <v>5192301332</v>
      </c>
      <c r="B514" s="166" t="s">
        <v>1220</v>
      </c>
      <c r="C514" s="166" t="s">
        <v>1221</v>
      </c>
      <c r="D514" s="166" t="s">
        <v>170</v>
      </c>
      <c r="E514" s="167">
        <v>60000</v>
      </c>
      <c r="F514" s="167">
        <v>60000</v>
      </c>
      <c r="G514" s="168">
        <v>120000</v>
      </c>
    </row>
    <row r="515" spans="1:7" x14ac:dyDescent="0.3">
      <c r="A515" s="166">
        <v>3221101943</v>
      </c>
      <c r="B515" s="166" t="s">
        <v>1222</v>
      </c>
      <c r="C515" s="166" t="s">
        <v>1223</v>
      </c>
      <c r="D515" s="166" t="s">
        <v>170</v>
      </c>
      <c r="E515" s="167">
        <v>60000</v>
      </c>
      <c r="F515" s="167">
        <v>60000</v>
      </c>
      <c r="G515" s="168">
        <v>120000</v>
      </c>
    </row>
    <row r="516" spans="1:7" x14ac:dyDescent="0.3">
      <c r="A516" s="166">
        <v>6668703074</v>
      </c>
      <c r="B516" s="166" t="s">
        <v>1224</v>
      </c>
      <c r="C516" s="166" t="s">
        <v>1225</v>
      </c>
      <c r="D516" s="166" t="s">
        <v>175</v>
      </c>
      <c r="E516" s="167">
        <v>60000</v>
      </c>
      <c r="F516" s="167">
        <v>60000</v>
      </c>
      <c r="G516" s="168">
        <v>120000</v>
      </c>
    </row>
    <row r="517" spans="1:7" x14ac:dyDescent="0.3">
      <c r="A517" s="166">
        <v>5608602936</v>
      </c>
      <c r="B517" s="166" t="s">
        <v>1226</v>
      </c>
      <c r="C517" s="166" t="s">
        <v>1227</v>
      </c>
      <c r="D517" s="166" t="s">
        <v>178</v>
      </c>
      <c r="E517" s="167">
        <v>60000</v>
      </c>
      <c r="F517" s="167">
        <v>60000</v>
      </c>
      <c r="G517" s="168">
        <v>120000</v>
      </c>
    </row>
    <row r="518" spans="1:7" x14ac:dyDescent="0.3">
      <c r="A518" s="166">
        <v>6048601896</v>
      </c>
      <c r="B518" s="166" t="s">
        <v>1228</v>
      </c>
      <c r="C518" s="166" t="s">
        <v>1229</v>
      </c>
      <c r="D518" s="166" t="s">
        <v>178</v>
      </c>
      <c r="E518" s="167">
        <v>60000</v>
      </c>
      <c r="F518" s="167">
        <v>60000</v>
      </c>
      <c r="G518" s="168">
        <v>120000</v>
      </c>
    </row>
    <row r="519" spans="1:7" x14ac:dyDescent="0.3">
      <c r="A519" s="166">
        <v>2288601974</v>
      </c>
      <c r="B519" s="166" t="s">
        <v>1230</v>
      </c>
      <c r="C519" s="166" t="s">
        <v>1231</v>
      </c>
      <c r="D519" s="166" t="s">
        <v>186</v>
      </c>
      <c r="E519" s="167">
        <v>60000</v>
      </c>
      <c r="F519" s="167">
        <v>60000</v>
      </c>
      <c r="G519" s="168">
        <v>120000</v>
      </c>
    </row>
    <row r="520" spans="1:7" x14ac:dyDescent="0.3">
      <c r="A520" s="166">
        <v>8858802561</v>
      </c>
      <c r="B520" s="166" t="s">
        <v>1232</v>
      </c>
      <c r="C520" s="166" t="s">
        <v>1233</v>
      </c>
      <c r="D520" s="166" t="s">
        <v>186</v>
      </c>
      <c r="E520" s="167">
        <v>60000</v>
      </c>
      <c r="F520" s="167">
        <v>60000</v>
      </c>
      <c r="G520" s="168">
        <v>120000</v>
      </c>
    </row>
    <row r="521" spans="1:7" x14ac:dyDescent="0.3">
      <c r="A521" s="166">
        <v>3598601230</v>
      </c>
      <c r="B521" s="166" t="s">
        <v>1234</v>
      </c>
      <c r="C521" s="166" t="s">
        <v>1235</v>
      </c>
      <c r="D521" s="166" t="s">
        <v>191</v>
      </c>
      <c r="E521" s="167">
        <v>60000</v>
      </c>
      <c r="F521" s="167">
        <v>60000</v>
      </c>
      <c r="G521" s="168">
        <v>120000</v>
      </c>
    </row>
    <row r="522" spans="1:7" x14ac:dyDescent="0.3">
      <c r="A522" s="166">
        <v>4628602137</v>
      </c>
      <c r="B522" s="166" t="s">
        <v>1236</v>
      </c>
      <c r="C522" s="166" t="s">
        <v>1237</v>
      </c>
      <c r="D522" s="166" t="s">
        <v>191</v>
      </c>
      <c r="E522" s="167">
        <v>60000</v>
      </c>
      <c r="F522" s="167">
        <v>60000</v>
      </c>
      <c r="G522" s="168">
        <v>120000</v>
      </c>
    </row>
    <row r="523" spans="1:7" x14ac:dyDescent="0.3">
      <c r="A523" s="166">
        <v>5438702995</v>
      </c>
      <c r="B523" s="166" t="s">
        <v>1238</v>
      </c>
      <c r="C523" s="166" t="s">
        <v>1239</v>
      </c>
      <c r="D523" s="166" t="s">
        <v>196</v>
      </c>
      <c r="E523" s="167">
        <v>60000</v>
      </c>
      <c r="F523" s="167">
        <v>60000</v>
      </c>
      <c r="G523" s="168">
        <v>120000</v>
      </c>
    </row>
    <row r="524" spans="1:7" x14ac:dyDescent="0.3">
      <c r="A524" s="166">
        <v>3448102625</v>
      </c>
      <c r="B524" s="166" t="s">
        <v>1240</v>
      </c>
      <c r="C524" s="166" t="s">
        <v>1241</v>
      </c>
      <c r="D524" s="166" t="s">
        <v>199</v>
      </c>
      <c r="E524" s="167">
        <v>60000</v>
      </c>
      <c r="F524" s="167">
        <v>60000</v>
      </c>
      <c r="G524" s="168">
        <v>120000</v>
      </c>
    </row>
    <row r="525" spans="1:7" x14ac:dyDescent="0.3">
      <c r="A525" s="166">
        <v>5128801984</v>
      </c>
      <c r="B525" s="166" t="s">
        <v>1242</v>
      </c>
      <c r="C525" s="166" t="s">
        <v>1243</v>
      </c>
      <c r="D525" s="166" t="s">
        <v>199</v>
      </c>
      <c r="E525" s="167">
        <v>60000</v>
      </c>
      <c r="F525" s="167">
        <v>60000</v>
      </c>
      <c r="G525" s="168">
        <v>120000</v>
      </c>
    </row>
    <row r="526" spans="1:7" x14ac:dyDescent="0.3">
      <c r="A526" s="166">
        <v>8298701944</v>
      </c>
      <c r="B526" s="166" t="s">
        <v>1244</v>
      </c>
      <c r="C526" s="166" t="s">
        <v>1245</v>
      </c>
      <c r="D526" s="166" t="s">
        <v>209</v>
      </c>
      <c r="E526" s="167">
        <v>60000</v>
      </c>
      <c r="F526" s="167">
        <v>60000</v>
      </c>
      <c r="G526" s="168">
        <v>120000</v>
      </c>
    </row>
    <row r="527" spans="1:7" x14ac:dyDescent="0.3">
      <c r="A527" s="166">
        <v>5144400861</v>
      </c>
      <c r="B527" s="166" t="s">
        <v>1246</v>
      </c>
      <c r="C527" s="166" t="s">
        <v>1247</v>
      </c>
      <c r="D527" s="166" t="s">
        <v>209</v>
      </c>
      <c r="E527" s="167">
        <v>60000</v>
      </c>
      <c r="F527" s="167">
        <v>60000</v>
      </c>
      <c r="G527" s="168">
        <v>120000</v>
      </c>
    </row>
    <row r="528" spans="1:7" x14ac:dyDescent="0.3">
      <c r="A528" s="166">
        <v>5538802776</v>
      </c>
      <c r="B528" s="166" t="s">
        <v>1248</v>
      </c>
      <c r="C528" s="166" t="s">
        <v>1249</v>
      </c>
      <c r="D528" s="166" t="s">
        <v>214</v>
      </c>
      <c r="E528" s="167">
        <v>60000</v>
      </c>
      <c r="F528" s="167">
        <v>60000</v>
      </c>
      <c r="G528" s="168">
        <v>120000</v>
      </c>
    </row>
    <row r="529" spans="1:7" x14ac:dyDescent="0.3">
      <c r="A529" s="166">
        <v>5108701531</v>
      </c>
      <c r="B529" s="166" t="s">
        <v>1250</v>
      </c>
      <c r="C529" s="166" t="s">
        <v>1251</v>
      </c>
      <c r="D529" s="166" t="s">
        <v>214</v>
      </c>
      <c r="E529" s="167">
        <v>60000</v>
      </c>
      <c r="F529" s="167">
        <v>60000</v>
      </c>
      <c r="G529" s="168">
        <v>120000</v>
      </c>
    </row>
    <row r="530" spans="1:7" x14ac:dyDescent="0.3">
      <c r="A530" s="166">
        <v>7578102442</v>
      </c>
      <c r="B530" s="166" t="s">
        <v>1252</v>
      </c>
      <c r="C530" s="166" t="s">
        <v>1253</v>
      </c>
      <c r="D530" s="166" t="s">
        <v>219</v>
      </c>
      <c r="E530" s="167">
        <v>60000</v>
      </c>
      <c r="F530" s="167">
        <v>60000</v>
      </c>
      <c r="G530" s="168">
        <v>120000</v>
      </c>
    </row>
    <row r="531" spans="1:7" x14ac:dyDescent="0.3">
      <c r="A531" s="166">
        <v>7848101635</v>
      </c>
      <c r="B531" s="166" t="s">
        <v>1254</v>
      </c>
      <c r="C531" s="166" t="s">
        <v>1255</v>
      </c>
      <c r="D531" s="166" t="s">
        <v>222</v>
      </c>
      <c r="E531" s="167">
        <v>60000</v>
      </c>
      <c r="F531" s="167">
        <v>60000</v>
      </c>
      <c r="G531" s="168">
        <v>120000</v>
      </c>
    </row>
    <row r="532" spans="1:7" x14ac:dyDescent="0.3">
      <c r="A532" s="166">
        <v>3628601139</v>
      </c>
      <c r="B532" s="166" t="s">
        <v>1256</v>
      </c>
      <c r="C532" s="166" t="s">
        <v>1257</v>
      </c>
      <c r="D532" s="166" t="s">
        <v>222</v>
      </c>
      <c r="E532" s="167">
        <v>60000</v>
      </c>
      <c r="F532" s="167">
        <v>60000</v>
      </c>
      <c r="G532" s="168">
        <v>120000</v>
      </c>
    </row>
    <row r="533" spans="1:7" x14ac:dyDescent="0.3">
      <c r="A533" s="166">
        <v>8338602120</v>
      </c>
      <c r="B533" s="166" t="s">
        <v>1258</v>
      </c>
      <c r="C533" s="166" t="s">
        <v>1259</v>
      </c>
      <c r="D533" s="166" t="s">
        <v>227</v>
      </c>
      <c r="E533" s="167">
        <v>60000</v>
      </c>
      <c r="F533" s="167">
        <v>60000</v>
      </c>
      <c r="G533" s="168">
        <v>120000</v>
      </c>
    </row>
    <row r="534" spans="1:7" x14ac:dyDescent="0.3">
      <c r="A534" s="166">
        <v>6328101580</v>
      </c>
      <c r="B534" s="166" t="s">
        <v>1260</v>
      </c>
      <c r="C534" s="166" t="s">
        <v>1261</v>
      </c>
      <c r="D534" s="166" t="s">
        <v>227</v>
      </c>
      <c r="E534" s="167">
        <v>60000</v>
      </c>
      <c r="F534" s="167">
        <v>60000</v>
      </c>
      <c r="G534" s="168">
        <v>120000</v>
      </c>
    </row>
    <row r="535" spans="1:7" x14ac:dyDescent="0.3">
      <c r="A535" s="166">
        <v>6871800914</v>
      </c>
      <c r="B535" s="166" t="s">
        <v>1262</v>
      </c>
      <c r="C535" s="166" t="s">
        <v>1263</v>
      </c>
      <c r="D535" s="166" t="s">
        <v>232</v>
      </c>
      <c r="E535" s="167">
        <v>60000</v>
      </c>
      <c r="F535" s="167">
        <v>60000</v>
      </c>
      <c r="G535" s="168">
        <v>120000</v>
      </c>
    </row>
    <row r="536" spans="1:7" x14ac:dyDescent="0.3">
      <c r="A536" s="166">
        <v>2218151779</v>
      </c>
      <c r="B536" s="166" t="s">
        <v>1264</v>
      </c>
      <c r="C536" s="166" t="s">
        <v>1265</v>
      </c>
      <c r="D536" s="166" t="s">
        <v>232</v>
      </c>
      <c r="E536" s="167">
        <v>60000</v>
      </c>
      <c r="F536" s="167">
        <v>60000</v>
      </c>
      <c r="G536" s="168">
        <v>120000</v>
      </c>
    </row>
    <row r="537" spans="1:7" x14ac:dyDescent="0.3">
      <c r="A537" s="166">
        <v>1228649118</v>
      </c>
      <c r="B537" s="166" t="s">
        <v>1266</v>
      </c>
      <c r="C537" s="166" t="s">
        <v>1267</v>
      </c>
      <c r="D537" s="166" t="s">
        <v>237</v>
      </c>
      <c r="E537" s="167">
        <v>60000</v>
      </c>
      <c r="F537" s="167">
        <v>60000</v>
      </c>
      <c r="G537" s="168">
        <v>120000</v>
      </c>
    </row>
    <row r="538" spans="1:7" x14ac:dyDescent="0.3">
      <c r="A538" s="166">
        <v>1908801824</v>
      </c>
      <c r="B538" s="166" t="s">
        <v>1268</v>
      </c>
      <c r="C538" s="166" t="s">
        <v>1269</v>
      </c>
      <c r="D538" s="166" t="s">
        <v>237</v>
      </c>
      <c r="E538" s="167">
        <v>60000</v>
      </c>
      <c r="F538" s="167">
        <v>60000</v>
      </c>
      <c r="G538" s="168">
        <v>120000</v>
      </c>
    </row>
    <row r="539" spans="1:7" x14ac:dyDescent="0.3">
      <c r="A539" s="166">
        <v>3068702343</v>
      </c>
      <c r="B539" s="166" t="s">
        <v>1270</v>
      </c>
      <c r="C539" s="166" t="s">
        <v>1271</v>
      </c>
      <c r="D539" s="166" t="s">
        <v>242</v>
      </c>
      <c r="E539" s="167">
        <v>60000</v>
      </c>
      <c r="F539" s="167">
        <v>60000</v>
      </c>
      <c r="G539" s="168">
        <v>120000</v>
      </c>
    </row>
    <row r="540" spans="1:7" x14ac:dyDescent="0.3">
      <c r="A540" s="166">
        <v>1428800791</v>
      </c>
      <c r="B540" s="166" t="s">
        <v>1272</v>
      </c>
      <c r="C540" s="166" t="s">
        <v>1273</v>
      </c>
      <c r="D540" s="166" t="s">
        <v>245</v>
      </c>
      <c r="E540" s="167">
        <v>60000</v>
      </c>
      <c r="F540" s="167">
        <v>60000</v>
      </c>
      <c r="G540" s="168">
        <v>120000</v>
      </c>
    </row>
    <row r="541" spans="1:7" x14ac:dyDescent="0.3">
      <c r="A541" s="166">
        <v>4928101129</v>
      </c>
      <c r="B541" s="166" t="s">
        <v>1274</v>
      </c>
      <c r="C541" s="166" t="s">
        <v>1275</v>
      </c>
      <c r="D541" s="166" t="s">
        <v>245</v>
      </c>
      <c r="E541" s="167">
        <v>60000</v>
      </c>
      <c r="F541" s="167">
        <v>60000</v>
      </c>
      <c r="G541" s="168">
        <v>120000</v>
      </c>
    </row>
    <row r="542" spans="1:7" x14ac:dyDescent="0.3">
      <c r="A542" s="166">
        <v>4388802706</v>
      </c>
      <c r="B542" s="166" t="s">
        <v>1276</v>
      </c>
      <c r="C542" s="166" t="s">
        <v>1277</v>
      </c>
      <c r="D542" s="166" t="s">
        <v>250</v>
      </c>
      <c r="E542" s="167">
        <v>60000</v>
      </c>
      <c r="F542" s="167">
        <v>60000</v>
      </c>
      <c r="G542" s="168">
        <v>120000</v>
      </c>
    </row>
    <row r="543" spans="1:7" x14ac:dyDescent="0.3">
      <c r="A543" s="166">
        <v>2618801408</v>
      </c>
      <c r="B543" s="166" t="s">
        <v>1278</v>
      </c>
      <c r="C543" s="166" t="s">
        <v>1279</v>
      </c>
      <c r="D543" s="166" t="s">
        <v>255</v>
      </c>
      <c r="E543" s="167">
        <v>60000</v>
      </c>
      <c r="F543" s="167">
        <v>60000</v>
      </c>
      <c r="G543" s="168">
        <v>120000</v>
      </c>
    </row>
    <row r="544" spans="1:7" x14ac:dyDescent="0.3">
      <c r="A544" s="166">
        <v>8178601599</v>
      </c>
      <c r="B544" s="166" t="s">
        <v>1280</v>
      </c>
      <c r="C544" s="166" t="s">
        <v>1281</v>
      </c>
      <c r="D544" s="166" t="s">
        <v>255</v>
      </c>
      <c r="E544" s="167">
        <v>60000</v>
      </c>
      <c r="F544" s="167">
        <v>60000</v>
      </c>
      <c r="G544" s="168">
        <v>120000</v>
      </c>
    </row>
    <row r="545" spans="1:7" x14ac:dyDescent="0.3">
      <c r="A545" s="166">
        <v>6058801442</v>
      </c>
      <c r="B545" s="166" t="s">
        <v>1282</v>
      </c>
      <c r="C545" s="166" t="s">
        <v>1283</v>
      </c>
      <c r="D545" s="166" t="s">
        <v>260</v>
      </c>
      <c r="E545" s="167">
        <v>60000</v>
      </c>
      <c r="F545" s="167">
        <v>60000</v>
      </c>
      <c r="G545" s="168">
        <v>120000</v>
      </c>
    </row>
    <row r="546" spans="1:7" x14ac:dyDescent="0.3">
      <c r="A546" s="166">
        <v>5928700970</v>
      </c>
      <c r="B546" s="166" t="s">
        <v>1284</v>
      </c>
      <c r="C546" s="166" t="s">
        <v>1285</v>
      </c>
      <c r="D546" s="166" t="s">
        <v>260</v>
      </c>
      <c r="E546" s="167">
        <v>60000</v>
      </c>
      <c r="F546" s="167">
        <v>60000</v>
      </c>
      <c r="G546" s="168">
        <v>120000</v>
      </c>
    </row>
    <row r="547" spans="1:7" x14ac:dyDescent="0.3">
      <c r="A547" s="166">
        <v>5198801966</v>
      </c>
      <c r="B547" s="166" t="s">
        <v>1286</v>
      </c>
      <c r="C547" s="166" t="s">
        <v>1287</v>
      </c>
      <c r="D547" s="166" t="s">
        <v>265</v>
      </c>
      <c r="E547" s="167">
        <v>60000</v>
      </c>
      <c r="F547" s="167">
        <v>60000</v>
      </c>
      <c r="G547" s="168">
        <v>120000</v>
      </c>
    </row>
    <row r="548" spans="1:7" x14ac:dyDescent="0.3">
      <c r="A548" s="166">
        <v>7118102714</v>
      </c>
      <c r="B548" s="166" t="s">
        <v>1288</v>
      </c>
      <c r="C548" s="166" t="s">
        <v>1289</v>
      </c>
      <c r="D548" s="166" t="s">
        <v>268</v>
      </c>
      <c r="E548" s="167">
        <v>60000</v>
      </c>
      <c r="F548" s="167">
        <v>60000</v>
      </c>
      <c r="G548" s="168">
        <v>120000</v>
      </c>
    </row>
    <row r="549" spans="1:7" x14ac:dyDescent="0.3">
      <c r="A549" s="166">
        <v>6878602643</v>
      </c>
      <c r="B549" s="166" t="s">
        <v>1290</v>
      </c>
      <c r="C549" s="166" t="s">
        <v>1291</v>
      </c>
      <c r="D549" s="166" t="s">
        <v>268</v>
      </c>
      <c r="E549" s="167">
        <v>60000</v>
      </c>
      <c r="F549" s="167">
        <v>60000</v>
      </c>
      <c r="G549" s="168">
        <v>120000</v>
      </c>
    </row>
    <row r="550" spans="1:7" x14ac:dyDescent="0.3">
      <c r="A550" s="166">
        <v>4568701412</v>
      </c>
      <c r="B550" s="166" t="s">
        <v>1292</v>
      </c>
      <c r="C550" s="166" t="s">
        <v>1293</v>
      </c>
      <c r="D550" s="166" t="s">
        <v>278</v>
      </c>
      <c r="E550" s="167">
        <v>60000</v>
      </c>
      <c r="F550" s="167">
        <v>60000</v>
      </c>
      <c r="G550" s="168">
        <v>120000</v>
      </c>
    </row>
    <row r="551" spans="1:7" x14ac:dyDescent="0.3">
      <c r="A551" s="166">
        <v>6588703049</v>
      </c>
      <c r="B551" s="166" t="s">
        <v>1294</v>
      </c>
      <c r="C551" s="166" t="s">
        <v>1295</v>
      </c>
      <c r="D551" s="166" t="s">
        <v>278</v>
      </c>
      <c r="E551" s="167">
        <v>60000</v>
      </c>
      <c r="F551" s="167">
        <v>60000</v>
      </c>
      <c r="G551" s="168">
        <v>120000</v>
      </c>
    </row>
    <row r="552" spans="1:7" x14ac:dyDescent="0.3">
      <c r="A552" s="166">
        <v>3418602505</v>
      </c>
      <c r="B552" s="166" t="s">
        <v>1296</v>
      </c>
      <c r="C552" s="166" t="s">
        <v>1297</v>
      </c>
      <c r="D552" s="166" t="s">
        <v>283</v>
      </c>
      <c r="E552" s="167">
        <v>60000</v>
      </c>
      <c r="F552" s="167">
        <v>60000</v>
      </c>
      <c r="G552" s="168">
        <v>120000</v>
      </c>
    </row>
    <row r="553" spans="1:7" x14ac:dyDescent="0.3">
      <c r="A553" s="166">
        <v>2028801879</v>
      </c>
      <c r="B553" s="166" t="s">
        <v>1298</v>
      </c>
      <c r="C553" s="166" t="s">
        <v>1299</v>
      </c>
      <c r="D553" s="166" t="s">
        <v>283</v>
      </c>
      <c r="E553" s="167">
        <v>60000</v>
      </c>
      <c r="F553" s="167">
        <v>60000</v>
      </c>
      <c r="G553" s="168">
        <v>120000</v>
      </c>
    </row>
    <row r="554" spans="1:7" x14ac:dyDescent="0.3">
      <c r="A554" s="166">
        <v>8928801987</v>
      </c>
      <c r="B554" s="166" t="s">
        <v>1300</v>
      </c>
      <c r="C554" s="166" t="s">
        <v>1301</v>
      </c>
      <c r="D554" s="166" t="s">
        <v>288</v>
      </c>
      <c r="E554" s="167">
        <v>60000</v>
      </c>
      <c r="F554" s="167">
        <v>60000</v>
      </c>
      <c r="G554" s="168">
        <v>120000</v>
      </c>
    </row>
    <row r="555" spans="1:7" x14ac:dyDescent="0.3">
      <c r="A555" s="166">
        <v>6528101833</v>
      </c>
      <c r="B555" s="166" t="s">
        <v>1302</v>
      </c>
      <c r="C555" s="166" t="s">
        <v>1303</v>
      </c>
      <c r="D555" s="166" t="s">
        <v>291</v>
      </c>
      <c r="E555" s="167">
        <v>60000</v>
      </c>
      <c r="F555" s="167">
        <v>60000</v>
      </c>
      <c r="G555" s="168">
        <v>120000</v>
      </c>
    </row>
    <row r="556" spans="1:7" x14ac:dyDescent="0.3">
      <c r="A556" s="166">
        <v>4298701462</v>
      </c>
      <c r="B556" s="166" t="s">
        <v>1304</v>
      </c>
      <c r="C556" s="166" t="s">
        <v>1305</v>
      </c>
      <c r="D556" s="166" t="s">
        <v>291</v>
      </c>
      <c r="E556" s="167">
        <v>60000</v>
      </c>
      <c r="F556" s="167">
        <v>60000</v>
      </c>
      <c r="G556" s="168">
        <v>120000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총괄(사업자번호 입력)</vt:lpstr>
      <vt:lpstr>1차년도</vt:lpstr>
      <vt:lpstr>2차년도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김 승희</cp:lastModifiedBy>
  <cp:revision/>
  <dcterms:created xsi:type="dcterms:W3CDTF">2013-05-30T12:26:24Z</dcterms:created>
  <dcterms:modified xsi:type="dcterms:W3CDTF">2025-02-27T06:39:01Z</dcterms:modified>
  <cp:category/>
  <cp:contentStatus/>
</cp:coreProperties>
</file>