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ght\OneDrive\바탕 화면\젝사젠 주식회사\3. 연구\2024 경기도 디딤돌\3. 협약변경\"/>
    </mc:Choice>
  </mc:AlternateContent>
  <xr:revisionPtr revIDLastSave="0" documentId="8_{4211B487-6C03-4BBC-A681-2F9FA643B3E5}" xr6:coauthVersionLast="47" xr6:coauthVersionMax="47" xr10:uidLastSave="{00000000-0000-0000-0000-000000000000}"/>
  <bookViews>
    <workbookView xWindow="-28920" yWindow="-120" windowWidth="29040" windowHeight="15720" xr2:uid="{EA33C3AF-D58D-4059-BE56-9EFA2C849298}"/>
  </bookViews>
  <sheets>
    <sheet name="인건비 변경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18" i="1"/>
  <c r="K19" i="1"/>
  <c r="K20" i="1"/>
  <c r="K21" i="1"/>
  <c r="K22" i="1"/>
  <c r="K17" i="1"/>
  <c r="J23" i="1"/>
  <c r="I18" i="1"/>
  <c r="I23" i="1" s="1"/>
</calcChain>
</file>

<file path=xl/sharedStrings.xml><?xml version="1.0" encoding="utf-8"?>
<sst xmlns="http://schemas.openxmlformats.org/spreadsheetml/2006/main" count="62" uniqueCount="29">
  <si>
    <t>인력</t>
  </si>
  <si>
    <t>구분</t>
  </si>
  <si>
    <t>성명</t>
  </si>
  <si>
    <t>직위</t>
  </si>
  <si>
    <t>연봉</t>
  </si>
  <si>
    <t>현금계상률</t>
  </si>
  <si>
    <t>현물계상률</t>
  </si>
  <si>
    <t>미지급계상률</t>
  </si>
  <si>
    <t>합 계</t>
  </si>
  <si>
    <t>(참여기간 개월 수 기준 작성)</t>
  </si>
  <si>
    <t>(%)</t>
  </si>
  <si>
    <t>(A)</t>
  </si>
  <si>
    <t>(B)</t>
  </si>
  <si>
    <t>(C)</t>
  </si>
  <si>
    <t>현금</t>
  </si>
  <si>
    <t>현물</t>
  </si>
  <si>
    <t>계</t>
  </si>
  <si>
    <t>기존인력</t>
  </si>
  <si>
    <t>박문식</t>
  </si>
  <si>
    <t>대표</t>
  </si>
  <si>
    <t>신규인력</t>
  </si>
  <si>
    <t>장길석</t>
  </si>
  <si>
    <t>수석</t>
  </si>
  <si>
    <t>김현기</t>
  </si>
  <si>
    <t>한태현</t>
  </si>
  <si>
    <t>선임</t>
  </si>
  <si>
    <t>소 계</t>
  </si>
  <si>
    <t>변경 전</t>
    <phoneticPr fontId="3" type="noConversion"/>
  </si>
  <si>
    <t>변경 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</si>
</sst>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CD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4DCF8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9" fontId="2" fillId="3" borderId="8" xfId="0" applyNumberFormat="1" applyFont="1" applyFill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9" fontId="2" fillId="3" borderId="12" xfId="0" applyNumberFormat="1" applyFont="1" applyFill="1" applyBorder="1" applyAlignment="1">
      <alignment horizontal="center" vertical="center" wrapText="1"/>
    </xf>
    <xf numFmtId="3" fontId="2" fillId="4" borderId="11" xfId="0" applyNumberFormat="1" applyFont="1" applyFill="1" applyBorder="1" applyAlignment="1">
      <alignment horizontal="center" vertical="center" wrapText="1"/>
    </xf>
    <xf numFmtId="3" fontId="2" fillId="4" borderId="10" xfId="0" applyNumberFormat="1" applyFont="1" applyFill="1" applyBorder="1" applyAlignment="1">
      <alignment horizontal="center" vertical="center" wrapText="1"/>
    </xf>
    <xf numFmtId="3" fontId="2" fillId="4" borderId="19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9" fontId="2" fillId="3" borderId="10" xfId="0" applyNumberFormat="1" applyFont="1" applyFill="1" applyBorder="1" applyAlignment="1">
      <alignment horizontal="center" vertical="center" wrapText="1"/>
    </xf>
    <xf numFmtId="3" fontId="2" fillId="3" borderId="10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right" vertical="center" wrapText="1"/>
    </xf>
    <xf numFmtId="41" fontId="2" fillId="3" borderId="8" xfId="1" applyNumberFormat="1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41" fontId="2" fillId="3" borderId="10" xfId="1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FA56-5E0D-4E9C-84E8-2786D8F7A891}">
  <dimension ref="A2:K23"/>
  <sheetViews>
    <sheetView tabSelected="1" workbookViewId="0">
      <selection activeCell="S13" sqref="S13"/>
    </sheetView>
  </sheetViews>
  <sheetFormatPr defaultRowHeight="16.5" x14ac:dyDescent="0.3"/>
  <cols>
    <col min="8" max="8" width="8" bestFit="1" customWidth="1"/>
  </cols>
  <sheetData>
    <row r="2" spans="1:11" ht="17.25" thickBot="1" x14ac:dyDescent="0.35">
      <c r="A2" s="42" t="s">
        <v>27</v>
      </c>
    </row>
    <row r="3" spans="1:11" ht="27" x14ac:dyDescent="0.3">
      <c r="B3" s="1" t="s">
        <v>0</v>
      </c>
      <c r="C3" s="19" t="s">
        <v>2</v>
      </c>
      <c r="D3" s="19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1" t="s">
        <v>8</v>
      </c>
      <c r="J3" s="22"/>
      <c r="K3" s="22"/>
    </row>
    <row r="4" spans="1:11" ht="40.5" x14ac:dyDescent="0.3">
      <c r="B4" s="2" t="s">
        <v>1</v>
      </c>
      <c r="C4" s="20"/>
      <c r="D4" s="20"/>
      <c r="E4" s="2" t="s">
        <v>9</v>
      </c>
      <c r="F4" s="2" t="s">
        <v>10</v>
      </c>
      <c r="G4" s="2" t="s">
        <v>10</v>
      </c>
      <c r="H4" s="2" t="s">
        <v>10</v>
      </c>
      <c r="I4" s="23"/>
      <c r="J4" s="24"/>
      <c r="K4" s="24"/>
    </row>
    <row r="5" spans="1:11" ht="17.25" thickBot="1" x14ac:dyDescent="0.35">
      <c r="B5" s="2"/>
      <c r="C5" s="20"/>
      <c r="D5" s="20"/>
      <c r="E5" s="3" t="s">
        <v>11</v>
      </c>
      <c r="F5" s="3" t="s">
        <v>12</v>
      </c>
      <c r="G5" s="3" t="s">
        <v>13</v>
      </c>
      <c r="H5" s="3"/>
      <c r="I5" s="4" t="s">
        <v>14</v>
      </c>
      <c r="J5" s="4" t="s">
        <v>15</v>
      </c>
      <c r="K5" s="5" t="s">
        <v>16</v>
      </c>
    </row>
    <row r="6" spans="1:11" ht="17.25" thickTop="1" x14ac:dyDescent="0.3">
      <c r="B6" s="6" t="s">
        <v>17</v>
      </c>
      <c r="C6" s="7" t="s">
        <v>18</v>
      </c>
      <c r="D6" s="7" t="s">
        <v>19</v>
      </c>
      <c r="E6" s="8">
        <v>50000</v>
      </c>
      <c r="F6" s="9">
        <v>0.1</v>
      </c>
      <c r="G6" s="9">
        <v>0.36</v>
      </c>
      <c r="H6" s="7"/>
      <c r="I6" s="33">
        <v>5000</v>
      </c>
      <c r="J6" s="33">
        <v>18000</v>
      </c>
      <c r="K6" s="10">
        <v>23000</v>
      </c>
    </row>
    <row r="7" spans="1:11" x14ac:dyDescent="0.3">
      <c r="B7" s="26" t="s">
        <v>20</v>
      </c>
      <c r="C7" s="13" t="s">
        <v>21</v>
      </c>
      <c r="D7" s="13" t="s">
        <v>22</v>
      </c>
      <c r="E7" s="14">
        <v>37500</v>
      </c>
      <c r="F7" s="15">
        <v>0.55000000000000004</v>
      </c>
      <c r="G7" s="13"/>
      <c r="H7" s="13"/>
      <c r="I7" s="33">
        <v>20625</v>
      </c>
      <c r="J7" s="35"/>
      <c r="K7" s="10">
        <v>20625</v>
      </c>
    </row>
    <row r="8" spans="1:11" x14ac:dyDescent="0.3">
      <c r="B8" s="27"/>
      <c r="C8" s="13" t="s">
        <v>23</v>
      </c>
      <c r="D8" s="13" t="s">
        <v>22</v>
      </c>
      <c r="E8" s="14">
        <v>33333</v>
      </c>
      <c r="F8" s="15">
        <v>0.55000000000000004</v>
      </c>
      <c r="G8" s="13"/>
      <c r="H8" s="13"/>
      <c r="I8" s="33">
        <v>18333</v>
      </c>
      <c r="J8" s="36"/>
      <c r="K8" s="10">
        <v>18333</v>
      </c>
    </row>
    <row r="9" spans="1:11" x14ac:dyDescent="0.3">
      <c r="B9" s="27"/>
      <c r="C9" s="13" t="s">
        <v>24</v>
      </c>
      <c r="D9" s="13" t="s">
        <v>25</v>
      </c>
      <c r="E9" s="14">
        <v>22916</v>
      </c>
      <c r="F9" s="15">
        <v>0.3</v>
      </c>
      <c r="G9" s="13"/>
      <c r="H9" s="13"/>
      <c r="I9" s="33">
        <v>6875</v>
      </c>
      <c r="J9" s="35"/>
      <c r="K9" s="10">
        <v>6875</v>
      </c>
    </row>
    <row r="10" spans="1:11" x14ac:dyDescent="0.3">
      <c r="B10" s="28" t="s">
        <v>26</v>
      </c>
      <c r="C10" s="29"/>
      <c r="D10" s="29"/>
      <c r="E10" s="29"/>
      <c r="F10" s="29"/>
      <c r="G10" s="29"/>
      <c r="H10" s="30"/>
      <c r="I10" s="16">
        <v>50833</v>
      </c>
      <c r="J10" s="17">
        <v>18000</v>
      </c>
      <c r="K10" s="18">
        <v>68833</v>
      </c>
    </row>
    <row r="13" spans="1:11" ht="17.25" thickBot="1" x14ac:dyDescent="0.35">
      <c r="A13" s="43" t="s">
        <v>28</v>
      </c>
    </row>
    <row r="14" spans="1:11" ht="27" x14ac:dyDescent="0.3">
      <c r="B14" s="1" t="s">
        <v>0</v>
      </c>
      <c r="C14" s="19" t="s">
        <v>2</v>
      </c>
      <c r="D14" s="19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21" t="s">
        <v>8</v>
      </c>
      <c r="J14" s="22"/>
      <c r="K14" s="22"/>
    </row>
    <row r="15" spans="1:11" ht="40.5" x14ac:dyDescent="0.3">
      <c r="B15" s="2" t="s">
        <v>1</v>
      </c>
      <c r="C15" s="20"/>
      <c r="D15" s="20"/>
      <c r="E15" s="2" t="s">
        <v>9</v>
      </c>
      <c r="F15" s="2" t="s">
        <v>10</v>
      </c>
      <c r="G15" s="2" t="s">
        <v>10</v>
      </c>
      <c r="H15" s="2" t="s">
        <v>10</v>
      </c>
      <c r="I15" s="23"/>
      <c r="J15" s="24"/>
      <c r="K15" s="24"/>
    </row>
    <row r="16" spans="1:11" ht="17.25" thickBot="1" x14ac:dyDescent="0.35">
      <c r="B16" s="2"/>
      <c r="C16" s="20"/>
      <c r="D16" s="20"/>
      <c r="E16" s="3" t="s">
        <v>11</v>
      </c>
      <c r="F16" s="3" t="s">
        <v>12</v>
      </c>
      <c r="G16" s="3" t="s">
        <v>13</v>
      </c>
      <c r="H16" s="3"/>
      <c r="I16" s="4" t="s">
        <v>14</v>
      </c>
      <c r="J16" s="4" t="s">
        <v>15</v>
      </c>
      <c r="K16" s="5" t="s">
        <v>16</v>
      </c>
    </row>
    <row r="17" spans="2:11" ht="17.25" thickTop="1" x14ac:dyDescent="0.3">
      <c r="B17" s="25" t="s">
        <v>17</v>
      </c>
      <c r="C17" s="41" t="s">
        <v>18</v>
      </c>
      <c r="D17" s="41" t="s">
        <v>19</v>
      </c>
      <c r="E17" s="8">
        <v>40000</v>
      </c>
      <c r="F17" s="9">
        <v>0.1</v>
      </c>
      <c r="G17" s="9">
        <v>0.36</v>
      </c>
      <c r="H17" s="7"/>
      <c r="I17" s="33">
        <v>4000</v>
      </c>
      <c r="J17" s="33">
        <v>14400</v>
      </c>
      <c r="K17" s="10">
        <f>I17+J17</f>
        <v>18400</v>
      </c>
    </row>
    <row r="18" spans="2:11" x14ac:dyDescent="0.3">
      <c r="B18" s="25"/>
      <c r="C18" s="40"/>
      <c r="D18" s="40"/>
      <c r="E18" s="32">
        <v>10000</v>
      </c>
      <c r="F18" s="31">
        <v>0.35</v>
      </c>
      <c r="G18" s="31">
        <v>0.36</v>
      </c>
      <c r="H18" s="11"/>
      <c r="I18" s="34">
        <f>E18*F18</f>
        <v>3500</v>
      </c>
      <c r="J18" s="37">
        <v>3600</v>
      </c>
      <c r="K18" s="10">
        <f t="shared" ref="K18:K22" si="0">I18+J18</f>
        <v>7100</v>
      </c>
    </row>
    <row r="19" spans="2:11" x14ac:dyDescent="0.3">
      <c r="B19" s="26" t="s">
        <v>20</v>
      </c>
      <c r="C19" s="38" t="s">
        <v>21</v>
      </c>
      <c r="D19" s="38" t="s">
        <v>22</v>
      </c>
      <c r="E19" s="14">
        <v>30000</v>
      </c>
      <c r="F19" s="15">
        <v>0.55000000000000004</v>
      </c>
      <c r="G19" s="13"/>
      <c r="H19" s="13"/>
      <c r="I19" s="33">
        <v>16500</v>
      </c>
      <c r="J19" s="11"/>
      <c r="K19" s="10">
        <f t="shared" si="0"/>
        <v>16500</v>
      </c>
    </row>
    <row r="20" spans="2:11" x14ac:dyDescent="0.3">
      <c r="B20" s="27"/>
      <c r="C20" s="39"/>
      <c r="D20" s="39"/>
      <c r="E20" s="14">
        <v>7500</v>
      </c>
      <c r="F20" s="15">
        <v>0.4</v>
      </c>
      <c r="G20" s="13"/>
      <c r="H20" s="13"/>
      <c r="I20" s="33">
        <v>3000</v>
      </c>
      <c r="J20" s="12"/>
      <c r="K20" s="10">
        <f t="shared" si="0"/>
        <v>3000</v>
      </c>
    </row>
    <row r="21" spans="2:11" x14ac:dyDescent="0.3">
      <c r="B21" s="27"/>
      <c r="C21" s="13" t="s">
        <v>23</v>
      </c>
      <c r="D21" s="13" t="s">
        <v>22</v>
      </c>
      <c r="E21" s="14">
        <v>33333</v>
      </c>
      <c r="F21" s="15">
        <v>0.55000000000000004</v>
      </c>
      <c r="G21" s="13"/>
      <c r="H21" s="13"/>
      <c r="I21" s="33">
        <v>18333</v>
      </c>
      <c r="J21" s="12"/>
      <c r="K21" s="10">
        <f t="shared" si="0"/>
        <v>18333</v>
      </c>
    </row>
    <row r="22" spans="2:11" x14ac:dyDescent="0.3">
      <c r="B22" s="27"/>
      <c r="C22" s="13" t="s">
        <v>24</v>
      </c>
      <c r="D22" s="13" t="s">
        <v>25</v>
      </c>
      <c r="E22" s="14">
        <v>18333</v>
      </c>
      <c r="F22" s="15">
        <v>0.3</v>
      </c>
      <c r="G22" s="13"/>
      <c r="H22" s="13"/>
      <c r="I22" s="33">
        <v>5500</v>
      </c>
      <c r="J22" s="11"/>
      <c r="K22" s="10">
        <f t="shared" si="0"/>
        <v>5500</v>
      </c>
    </row>
    <row r="23" spans="2:11" x14ac:dyDescent="0.3">
      <c r="B23" s="28" t="s">
        <v>26</v>
      </c>
      <c r="C23" s="29"/>
      <c r="D23" s="29"/>
      <c r="E23" s="29"/>
      <c r="F23" s="29"/>
      <c r="G23" s="29"/>
      <c r="H23" s="30"/>
      <c r="I23" s="16">
        <f>SUM(I17:I22)</f>
        <v>50833</v>
      </c>
      <c r="J23" s="16">
        <f>SUM(J17:J22)</f>
        <v>18000</v>
      </c>
      <c r="K23" s="18">
        <f>I23+J23</f>
        <v>68833</v>
      </c>
    </row>
  </sheetData>
  <mergeCells count="15">
    <mergeCell ref="C14:C16"/>
    <mergeCell ref="D14:D16"/>
    <mergeCell ref="I14:K15"/>
    <mergeCell ref="B17:B18"/>
    <mergeCell ref="B19:B22"/>
    <mergeCell ref="B23:H23"/>
    <mergeCell ref="C19:C20"/>
    <mergeCell ref="D19:D20"/>
    <mergeCell ref="C17:C18"/>
    <mergeCell ref="D17:D18"/>
    <mergeCell ref="C3:C5"/>
    <mergeCell ref="D3:D5"/>
    <mergeCell ref="I3:K4"/>
    <mergeCell ref="B7:B9"/>
    <mergeCell ref="B10:H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인건비 변경표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승희 김</dc:creator>
  <cp:lastModifiedBy>승희 김</cp:lastModifiedBy>
  <dcterms:created xsi:type="dcterms:W3CDTF">2024-11-13T07:00:12Z</dcterms:created>
  <dcterms:modified xsi:type="dcterms:W3CDTF">2024-11-13T07:28:47Z</dcterms:modified>
</cp:coreProperties>
</file>