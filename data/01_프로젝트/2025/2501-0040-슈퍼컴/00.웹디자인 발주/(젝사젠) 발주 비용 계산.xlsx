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k/Desktop/(슈퍼컴) 25년도 설계/00.웹디자인 발주/"/>
    </mc:Choice>
  </mc:AlternateContent>
  <xr:revisionPtr revIDLastSave="0" documentId="13_ncr:1_{A1FB7484-7627-BB42-AED5-9B0662935A47}" xr6:coauthVersionLast="47" xr6:coauthVersionMax="47" xr10:uidLastSave="{00000000-0000-0000-0000-000000000000}"/>
  <bookViews>
    <workbookView xWindow="0" yWindow="500" windowWidth="35840" windowHeight="21900" xr2:uid="{BCDF3796-07F1-1342-891F-718D08296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D23" i="1"/>
  <c r="G10" i="1"/>
  <c r="G9" i="1"/>
  <c r="G8" i="1"/>
  <c r="G7" i="1"/>
  <c r="G6" i="1"/>
  <c r="G5" i="1"/>
  <c r="G4" i="1"/>
  <c r="G3" i="1"/>
  <c r="G11" i="1" l="1"/>
  <c r="G13" i="1" l="1"/>
  <c r="G12" i="1"/>
</calcChain>
</file>

<file path=xl/sharedStrings.xml><?xml version="1.0" encoding="utf-8"?>
<sst xmlns="http://schemas.openxmlformats.org/spreadsheetml/2006/main" count="49" uniqueCount="32">
  <si>
    <t>구분</t>
  </si>
  <si>
    <t>항목</t>
  </si>
  <si>
    <t>단위</t>
  </si>
  <si>
    <t>수량</t>
  </si>
  <si>
    <t>단가</t>
  </si>
  <si>
    <t>공급가액</t>
  </si>
  <si>
    <t>비고</t>
  </si>
  <si>
    <t>프로젝트 기획</t>
  </si>
  <si>
    <t>고객 요구사항 분석</t>
  </si>
  <si>
    <t>M/M</t>
  </si>
  <si>
    <t>(중급기술자)</t>
  </si>
  <si>
    <t>프로젝트 설계</t>
  </si>
  <si>
    <t>기능 정의</t>
  </si>
  <si>
    <t>디자인</t>
  </si>
  <si>
    <t>전체 컨셉 디자인 및 디자인 시안</t>
  </si>
  <si>
    <t>페이지 디자인</t>
  </si>
  <si>
    <t>페이지 퍼블리싱</t>
  </si>
  <si>
    <t>개발</t>
  </si>
  <si>
    <t>기능 개발</t>
  </si>
  <si>
    <t>백엔드 개발</t>
  </si>
  <si>
    <t>기타</t>
  </si>
  <si>
    <t>직접인건비</t>
  </si>
  <si>
    <t>-</t>
  </si>
  <si>
    <t>제경비</t>
  </si>
  <si>
    <t>기술료</t>
  </si>
  <si>
    <t>합계</t>
  </si>
  <si>
    <t>총 용역비</t>
    <phoneticPr fontId="1" type="noConversion"/>
  </si>
  <si>
    <t>디자인 기획 완료</t>
    <phoneticPr fontId="1" type="noConversion"/>
  </si>
  <si>
    <t>개발 업무 완료</t>
    <phoneticPr fontId="1" type="noConversion"/>
  </si>
  <si>
    <t>합계</t>
    <phoneticPr fontId="1" type="noConversion"/>
  </si>
  <si>
    <t>계약금(2월)</t>
    <phoneticPr fontId="1" type="noConversion"/>
  </si>
  <si>
    <t>요구사항 확정(3월)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</si>
</sst>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DF42-A18F-A54D-A9E1-5212A53ADC6C}">
  <dimension ref="B2:H23"/>
  <sheetViews>
    <sheetView tabSelected="1" zoomScale="129" zoomScaleNormal="129" workbookViewId="0">
      <selection activeCell="D6" sqref="D6"/>
    </sheetView>
  </sheetViews>
  <sheetFormatPr baseColWidth="10" defaultRowHeight="18"/>
  <cols>
    <col min="2" max="8" width="20.7109375" customWidth="1"/>
  </cols>
  <sheetData>
    <row r="2" spans="2: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>
      <c r="B3" t="s">
        <v>7</v>
      </c>
      <c r="C3" t="s">
        <v>8</v>
      </c>
      <c r="D3" t="s">
        <v>9</v>
      </c>
      <c r="E3">
        <v>0.45</v>
      </c>
      <c r="F3" s="1">
        <v>9525983</v>
      </c>
      <c r="G3" s="1">
        <f>E3*F3</f>
        <v>4286692.3500000006</v>
      </c>
      <c r="H3" t="s">
        <v>10</v>
      </c>
    </row>
    <row r="4" spans="2:8">
      <c r="B4" t="s">
        <v>11</v>
      </c>
      <c r="C4" t="s">
        <v>12</v>
      </c>
      <c r="D4" t="s">
        <v>9</v>
      </c>
      <c r="E4">
        <v>0.45</v>
      </c>
      <c r="F4" s="1">
        <v>10056941</v>
      </c>
      <c r="G4" s="1">
        <f t="shared" ref="G4:G9" si="0">E4*F4</f>
        <v>4525623.45</v>
      </c>
      <c r="H4" t="s">
        <v>10</v>
      </c>
    </row>
    <row r="5" spans="2:8">
      <c r="B5" t="s">
        <v>13</v>
      </c>
      <c r="C5" t="s">
        <v>14</v>
      </c>
      <c r="D5" t="s">
        <v>9</v>
      </c>
      <c r="E5">
        <v>0.14000000000000001</v>
      </c>
      <c r="F5" s="1">
        <v>4680254</v>
      </c>
      <c r="G5" s="1">
        <f t="shared" si="0"/>
        <v>655235.56000000006</v>
      </c>
      <c r="H5" t="s">
        <v>10</v>
      </c>
    </row>
    <row r="6" spans="2:8">
      <c r="B6" t="s">
        <v>13</v>
      </c>
      <c r="C6" t="s">
        <v>15</v>
      </c>
      <c r="D6" t="s">
        <v>9</v>
      </c>
      <c r="E6">
        <v>0.68</v>
      </c>
      <c r="F6" s="1">
        <v>4680254</v>
      </c>
      <c r="G6" s="1">
        <f t="shared" si="0"/>
        <v>3182572.72</v>
      </c>
      <c r="H6" t="s">
        <v>10</v>
      </c>
    </row>
    <row r="7" spans="2:8">
      <c r="B7" t="s">
        <v>13</v>
      </c>
      <c r="C7" t="s">
        <v>16</v>
      </c>
      <c r="D7" t="s">
        <v>9</v>
      </c>
      <c r="E7">
        <v>0.68</v>
      </c>
      <c r="F7" s="1">
        <v>7128530</v>
      </c>
      <c r="G7" s="1">
        <f t="shared" si="0"/>
        <v>4847400.4000000004</v>
      </c>
      <c r="H7" t="s">
        <v>10</v>
      </c>
    </row>
    <row r="8" spans="2:8">
      <c r="B8" t="s">
        <v>17</v>
      </c>
      <c r="C8" t="s">
        <v>18</v>
      </c>
      <c r="D8" t="s">
        <v>9</v>
      </c>
      <c r="E8">
        <v>0.68</v>
      </c>
      <c r="F8" s="1">
        <v>7128530</v>
      </c>
      <c r="G8" s="1">
        <f t="shared" si="0"/>
        <v>4847400.4000000004</v>
      </c>
      <c r="H8" t="s">
        <v>10</v>
      </c>
    </row>
    <row r="9" spans="2:8">
      <c r="B9" t="s">
        <v>17</v>
      </c>
      <c r="C9" t="s">
        <v>19</v>
      </c>
      <c r="D9" t="s">
        <v>9</v>
      </c>
      <c r="E9">
        <v>0.32</v>
      </c>
      <c r="F9" s="1">
        <v>7128530</v>
      </c>
      <c r="G9" s="1">
        <f t="shared" si="0"/>
        <v>2281129.6</v>
      </c>
      <c r="H9" t="s">
        <v>10</v>
      </c>
    </row>
    <row r="10" spans="2:8">
      <c r="B10" t="s">
        <v>20</v>
      </c>
      <c r="C10" t="s">
        <v>21</v>
      </c>
      <c r="G10" s="1">
        <f>SUM(G3:G9)</f>
        <v>24626054.480000004</v>
      </c>
    </row>
    <row r="11" spans="2:8">
      <c r="B11" t="s">
        <v>20</v>
      </c>
      <c r="C11" t="s">
        <v>23</v>
      </c>
      <c r="D11" s="2">
        <v>0.27</v>
      </c>
      <c r="G11" s="1">
        <f>G10*D11</f>
        <v>6649034.7096000016</v>
      </c>
    </row>
    <row r="12" spans="2:8">
      <c r="B12" t="s">
        <v>20</v>
      </c>
      <c r="C12" t="s">
        <v>24</v>
      </c>
      <c r="D12" s="2">
        <v>0.05</v>
      </c>
      <c r="G12" s="1">
        <f>(G10+G11)*D12</f>
        <v>1563754.4594800004</v>
      </c>
    </row>
    <row r="13" spans="2:8">
      <c r="B13" t="s">
        <v>25</v>
      </c>
      <c r="C13" t="s">
        <v>22</v>
      </c>
      <c r="G13" s="1">
        <f>SUM(G10:G12)</f>
        <v>32838843.649080005</v>
      </c>
    </row>
    <row r="18" spans="3:7">
      <c r="C18" t="s">
        <v>26</v>
      </c>
      <c r="D18" s="1">
        <v>25000000</v>
      </c>
    </row>
    <row r="19" spans="3:7">
      <c r="C19" t="s">
        <v>30</v>
      </c>
      <c r="D19" s="2">
        <v>0.1</v>
      </c>
      <c r="E19" s="1">
        <f>$D$18*D19</f>
        <v>2500000</v>
      </c>
    </row>
    <row r="20" spans="3:7">
      <c r="C20" t="s">
        <v>31</v>
      </c>
      <c r="D20" s="2">
        <v>0.3</v>
      </c>
      <c r="E20" s="1">
        <f>$D$18*D20</f>
        <v>7500000</v>
      </c>
    </row>
    <row r="21" spans="3:7">
      <c r="C21" t="s">
        <v>27</v>
      </c>
      <c r="D21" s="2">
        <v>0.3</v>
      </c>
      <c r="E21" s="1">
        <f>$D$18*D21</f>
        <v>7500000</v>
      </c>
      <c r="F21" s="1"/>
      <c r="G21" s="1"/>
    </row>
    <row r="22" spans="3:7">
      <c r="C22" t="s">
        <v>28</v>
      </c>
      <c r="D22" s="2">
        <v>0.3</v>
      </c>
      <c r="E22" s="1">
        <f>$D$18*D22</f>
        <v>7500000</v>
      </c>
    </row>
    <row r="23" spans="3:7">
      <c r="C23" t="s">
        <v>29</v>
      </c>
      <c r="D23" s="2">
        <f>SUM(D19:D22)</f>
        <v>1</v>
      </c>
      <c r="E23" s="1">
        <f>$D$18*D23</f>
        <v>25000000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2025-01-14T09:05:10Z</dcterms:created>
  <dcterms:modified xsi:type="dcterms:W3CDTF">2025-02-18T00:49:25Z</dcterms:modified>
</cp:coreProperties>
</file>