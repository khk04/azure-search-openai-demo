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젝사젠/01_프로젝트/2025/2506-0010-국산AI반도체/10. 공고문/"/>
    </mc:Choice>
  </mc:AlternateContent>
  <xr:revisionPtr revIDLastSave="0" documentId="13_ncr:1_{88FBC9C7-1F5F-AC46-BBFB-A9E493B4FA5C}" xr6:coauthVersionLast="47" xr6:coauthVersionMax="47" xr10:uidLastSave="{00000000-0000-0000-0000-000000000000}"/>
  <bookViews>
    <workbookView xWindow="74240" yWindow="-21100" windowWidth="51200" windowHeight="21100" tabRatio="737" activeTab="11" xr2:uid="{00000000-000D-0000-FFFF-FFFF00000000}"/>
  </bookViews>
  <sheets>
    <sheet name="서류준비(1세부)" sheetId="4" r:id="rId1"/>
    <sheet name="연구내용(1세부)" sheetId="5" r:id="rId2"/>
    <sheet name="성과지표(총괄)" sheetId="6" r:id="rId3"/>
    <sheet name="성과지표(1세부)" sheetId="7" r:id="rId4"/>
    <sheet name="성과지표(2세부)" sheetId="17" r:id="rId5"/>
    <sheet name="성과지표(3세부)" sheetId="18" r:id="rId6"/>
    <sheet name="성과지표(4세부)" sheetId="19" r:id="rId7"/>
    <sheet name="연구개발비(총괄)" sheetId="9" r:id="rId8"/>
    <sheet name="연구개발비(1세부)" sheetId="10" r:id="rId9"/>
    <sheet name="연구개발비(2세부)" sheetId="20" r:id="rId10"/>
    <sheet name="연구개발비(3세부)" sheetId="21" r:id="rId11"/>
    <sheet name="연구개발비(4세부)" sheetId="22" r:id="rId12"/>
  </sheets>
  <definedNames>
    <definedName name="_xlnm.Print_Area" localSheetId="0">'서류준비(1세부)'!$B$2:$J$70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9" l="1"/>
  <c r="P10" i="9"/>
  <c r="P9" i="9"/>
  <c r="P8" i="9"/>
  <c r="P7" i="9"/>
  <c r="M11" i="9"/>
  <c r="M10" i="9"/>
  <c r="M9" i="9"/>
  <c r="M8" i="9"/>
  <c r="M7" i="9"/>
  <c r="J11" i="9"/>
  <c r="J10" i="9"/>
  <c r="J9" i="9"/>
  <c r="J8" i="9"/>
  <c r="J7" i="9"/>
  <c r="V71" i="9"/>
  <c r="V74" i="9"/>
  <c r="V68" i="9"/>
  <c r="V65" i="9"/>
  <c r="V62" i="9"/>
  <c r="S52" i="9"/>
  <c r="R52" i="9"/>
  <c r="Q52" i="9"/>
  <c r="P52" i="9"/>
  <c r="O52" i="9"/>
  <c r="N52" i="9"/>
  <c r="M52" i="9"/>
  <c r="L52" i="9"/>
  <c r="K52" i="9"/>
  <c r="J52" i="9"/>
  <c r="I52" i="9"/>
  <c r="I54" i="9" s="1"/>
  <c r="H52" i="9"/>
  <c r="H54" i="9" s="1"/>
  <c r="S51" i="9"/>
  <c r="R51" i="9"/>
  <c r="Q51" i="9"/>
  <c r="P51" i="9"/>
  <c r="O51" i="9"/>
  <c r="N51" i="9"/>
  <c r="M51" i="9"/>
  <c r="L51" i="9"/>
  <c r="L23" i="9" s="1"/>
  <c r="K51" i="9"/>
  <c r="K23" i="9" s="1"/>
  <c r="J51" i="9"/>
  <c r="J23" i="9" s="1"/>
  <c r="I51" i="9"/>
  <c r="I23" i="9" s="1"/>
  <c r="H51" i="9"/>
  <c r="S50" i="9"/>
  <c r="R50" i="9"/>
  <c r="Q50" i="9"/>
  <c r="P50" i="9"/>
  <c r="O50" i="9"/>
  <c r="N50" i="9"/>
  <c r="M50" i="9"/>
  <c r="L50" i="9"/>
  <c r="K50" i="9"/>
  <c r="J50" i="9"/>
  <c r="I50" i="9"/>
  <c r="H50" i="9"/>
  <c r="S49" i="9"/>
  <c r="R49" i="9"/>
  <c r="Q49" i="9"/>
  <c r="P49" i="9"/>
  <c r="O49" i="9"/>
  <c r="N49" i="9"/>
  <c r="M49" i="9"/>
  <c r="L49" i="9"/>
  <c r="K49" i="9"/>
  <c r="J49" i="9"/>
  <c r="I49" i="9"/>
  <c r="H49" i="9"/>
  <c r="S48" i="9"/>
  <c r="R48" i="9"/>
  <c r="R20" i="9" s="1"/>
  <c r="Q48" i="9"/>
  <c r="Q20" i="9" s="1"/>
  <c r="P48" i="9"/>
  <c r="P20" i="9" s="1"/>
  <c r="O48" i="9"/>
  <c r="O20" i="9" s="1"/>
  <c r="N48" i="9"/>
  <c r="M48" i="9"/>
  <c r="L48" i="9"/>
  <c r="K48" i="9"/>
  <c r="J48" i="9"/>
  <c r="I48" i="9"/>
  <c r="H48" i="9"/>
  <c r="S45" i="9"/>
  <c r="R45" i="9"/>
  <c r="Q45" i="9"/>
  <c r="P45" i="9"/>
  <c r="O45" i="9"/>
  <c r="N45" i="9"/>
  <c r="M45" i="9"/>
  <c r="L45" i="9"/>
  <c r="K45" i="9"/>
  <c r="J45" i="9"/>
  <c r="I45" i="9"/>
  <c r="H45" i="9"/>
  <c r="S44" i="9"/>
  <c r="R44" i="9"/>
  <c r="Q44" i="9"/>
  <c r="P44" i="9"/>
  <c r="P47" i="9" s="1"/>
  <c r="O44" i="9"/>
  <c r="N44" i="9"/>
  <c r="M44" i="9"/>
  <c r="L44" i="9"/>
  <c r="K44" i="9"/>
  <c r="J44" i="9"/>
  <c r="I44" i="9"/>
  <c r="H44" i="9"/>
  <c r="S43" i="9"/>
  <c r="R43" i="9"/>
  <c r="Q43" i="9"/>
  <c r="P43" i="9"/>
  <c r="O43" i="9"/>
  <c r="N43" i="9"/>
  <c r="M43" i="9"/>
  <c r="L43" i="9"/>
  <c r="K43" i="9"/>
  <c r="J43" i="9"/>
  <c r="I43" i="9"/>
  <c r="H43" i="9"/>
  <c r="S42" i="9"/>
  <c r="R42" i="9"/>
  <c r="Q42" i="9"/>
  <c r="P42" i="9"/>
  <c r="O42" i="9"/>
  <c r="N42" i="9"/>
  <c r="M42" i="9"/>
  <c r="L42" i="9"/>
  <c r="K42" i="9"/>
  <c r="J42" i="9"/>
  <c r="I42" i="9"/>
  <c r="H42" i="9"/>
  <c r="S41" i="9"/>
  <c r="R41" i="9"/>
  <c r="Q41" i="9"/>
  <c r="P41" i="9"/>
  <c r="O41" i="9"/>
  <c r="N41" i="9"/>
  <c r="M41" i="9"/>
  <c r="L41" i="9"/>
  <c r="K41" i="9"/>
  <c r="J41" i="9"/>
  <c r="I41" i="9"/>
  <c r="H41" i="9"/>
  <c r="S38" i="9"/>
  <c r="R38" i="9"/>
  <c r="Q38" i="9"/>
  <c r="P38" i="9"/>
  <c r="O38" i="9"/>
  <c r="N38" i="9"/>
  <c r="M38" i="9"/>
  <c r="L38" i="9"/>
  <c r="K38" i="9"/>
  <c r="J38" i="9"/>
  <c r="I38" i="9"/>
  <c r="H38" i="9"/>
  <c r="S37" i="9"/>
  <c r="R37" i="9"/>
  <c r="Q37" i="9"/>
  <c r="P37" i="9"/>
  <c r="O37" i="9"/>
  <c r="N37" i="9"/>
  <c r="M37" i="9"/>
  <c r="L37" i="9"/>
  <c r="K37" i="9"/>
  <c r="J37" i="9"/>
  <c r="I37" i="9"/>
  <c r="H37" i="9"/>
  <c r="S36" i="9"/>
  <c r="R36" i="9"/>
  <c r="Q36" i="9"/>
  <c r="P36" i="9"/>
  <c r="O36" i="9"/>
  <c r="N36" i="9"/>
  <c r="M36" i="9"/>
  <c r="L36" i="9"/>
  <c r="K36" i="9"/>
  <c r="J36" i="9"/>
  <c r="I36" i="9"/>
  <c r="H36" i="9"/>
  <c r="S35" i="9"/>
  <c r="R35" i="9"/>
  <c r="Q35" i="9"/>
  <c r="P35" i="9"/>
  <c r="O35" i="9"/>
  <c r="N35" i="9"/>
  <c r="M35" i="9"/>
  <c r="L35" i="9"/>
  <c r="K35" i="9"/>
  <c r="J35" i="9"/>
  <c r="I35" i="9"/>
  <c r="H35" i="9"/>
  <c r="S34" i="9"/>
  <c r="R34" i="9"/>
  <c r="Q34" i="9"/>
  <c r="P34" i="9"/>
  <c r="O34" i="9"/>
  <c r="N34" i="9"/>
  <c r="M34" i="9"/>
  <c r="L34" i="9"/>
  <c r="K34" i="9"/>
  <c r="J34" i="9"/>
  <c r="I34" i="9"/>
  <c r="H34" i="9"/>
  <c r="G52" i="9"/>
  <c r="G45" i="9"/>
  <c r="G38" i="9"/>
  <c r="G31" i="9"/>
  <c r="G51" i="9"/>
  <c r="G44" i="9"/>
  <c r="G37" i="9"/>
  <c r="G30" i="9"/>
  <c r="G50" i="9"/>
  <c r="G43" i="9"/>
  <c r="G36" i="9"/>
  <c r="G29" i="9"/>
  <c r="G49" i="9"/>
  <c r="G42" i="9"/>
  <c r="G35" i="9"/>
  <c r="G28" i="9"/>
  <c r="G48" i="9"/>
  <c r="G41" i="9"/>
  <c r="G34" i="9"/>
  <c r="M20" i="9"/>
  <c r="G27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F71" i="9"/>
  <c r="F68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5" i="9"/>
  <c r="S24" i="9"/>
  <c r="R24" i="9"/>
  <c r="Q24" i="9"/>
  <c r="P24" i="9"/>
  <c r="G24" i="9"/>
  <c r="O23" i="9"/>
  <c r="N23" i="9"/>
  <c r="M23" i="9"/>
  <c r="G23" i="9"/>
  <c r="K22" i="9"/>
  <c r="J22" i="9"/>
  <c r="I22" i="9"/>
  <c r="H22" i="9"/>
  <c r="G22" i="9"/>
  <c r="S21" i="9"/>
  <c r="R21" i="9"/>
  <c r="Q21" i="9"/>
  <c r="P21" i="9"/>
  <c r="G21" i="9"/>
  <c r="S20" i="9"/>
  <c r="N20" i="9"/>
  <c r="G20" i="9"/>
  <c r="R276" i="22"/>
  <c r="R72" i="22" s="1"/>
  <c r="P276" i="22"/>
  <c r="O276" i="22"/>
  <c r="N276" i="22"/>
  <c r="M276" i="22"/>
  <c r="M72" i="22" s="1"/>
  <c r="L276" i="22"/>
  <c r="L72" i="22" s="1"/>
  <c r="K276" i="22"/>
  <c r="K72" i="22" s="1"/>
  <c r="J276" i="22"/>
  <c r="J72" i="22" s="1"/>
  <c r="I276" i="22"/>
  <c r="I72" i="22" s="1"/>
  <c r="H276" i="22"/>
  <c r="H72" i="22" s="1"/>
  <c r="G276" i="22"/>
  <c r="G72" i="22" s="1"/>
  <c r="F276" i="22"/>
  <c r="F72" i="22" s="1"/>
  <c r="R275" i="22"/>
  <c r="R71" i="22" s="1"/>
  <c r="Q275" i="22"/>
  <c r="P275" i="22"/>
  <c r="O275" i="22"/>
  <c r="N275" i="22"/>
  <c r="M275" i="22"/>
  <c r="L275" i="22"/>
  <c r="K275" i="22"/>
  <c r="K71" i="22" s="1"/>
  <c r="J275" i="22"/>
  <c r="J71" i="22" s="1"/>
  <c r="I275" i="22"/>
  <c r="I71" i="22" s="1"/>
  <c r="H275" i="22"/>
  <c r="H71" i="22" s="1"/>
  <c r="G275" i="22"/>
  <c r="G71" i="22" s="1"/>
  <c r="F275" i="22"/>
  <c r="F71" i="22" s="1"/>
  <c r="R274" i="22"/>
  <c r="P274" i="22"/>
  <c r="O274" i="22"/>
  <c r="N274" i="22"/>
  <c r="M274" i="22"/>
  <c r="L274" i="22"/>
  <c r="K274" i="22"/>
  <c r="J274" i="22"/>
  <c r="I274" i="22"/>
  <c r="H274" i="22"/>
  <c r="G274" i="22"/>
  <c r="F274" i="22"/>
  <c r="S273" i="22"/>
  <c r="Q273" i="22"/>
  <c r="Q272" i="22"/>
  <c r="X272" i="22" s="1"/>
  <c r="S271" i="22"/>
  <c r="R271" i="22"/>
  <c r="P271" i="22"/>
  <c r="O271" i="22"/>
  <c r="N271" i="22"/>
  <c r="M271" i="22"/>
  <c r="L271" i="22"/>
  <c r="K271" i="22"/>
  <c r="J271" i="22"/>
  <c r="I271" i="22"/>
  <c r="H271" i="22"/>
  <c r="G271" i="22"/>
  <c r="F271" i="22"/>
  <c r="Q270" i="22"/>
  <c r="S270" i="22" s="1"/>
  <c r="X269" i="22"/>
  <c r="S269" i="22"/>
  <c r="Q269" i="22"/>
  <c r="Q271" i="22" s="1"/>
  <c r="R268" i="22"/>
  <c r="P268" i="22"/>
  <c r="O268" i="22"/>
  <c r="N268" i="22"/>
  <c r="M268" i="22"/>
  <c r="L268" i="22"/>
  <c r="K268" i="22"/>
  <c r="J268" i="22"/>
  <c r="I268" i="22"/>
  <c r="H268" i="22"/>
  <c r="G268" i="22"/>
  <c r="G277" i="22" s="1"/>
  <c r="G73" i="22" s="1"/>
  <c r="F268" i="22"/>
  <c r="F277" i="22" s="1"/>
  <c r="F73" i="22" s="1"/>
  <c r="S267" i="22"/>
  <c r="Q267" i="22"/>
  <c r="Q266" i="22"/>
  <c r="X266" i="22" s="1"/>
  <c r="R265" i="22"/>
  <c r="P265" i="22"/>
  <c r="O265" i="22"/>
  <c r="N265" i="22"/>
  <c r="M265" i="22"/>
  <c r="L265" i="22"/>
  <c r="K265" i="22"/>
  <c r="J265" i="22"/>
  <c r="J277" i="22" s="1"/>
  <c r="J73" i="22" s="1"/>
  <c r="I265" i="22"/>
  <c r="I277" i="22" s="1"/>
  <c r="I73" i="22" s="1"/>
  <c r="H265" i="22"/>
  <c r="H277" i="22" s="1"/>
  <c r="H73" i="22" s="1"/>
  <c r="G265" i="22"/>
  <c r="F265" i="22"/>
  <c r="Q264" i="22"/>
  <c r="S264" i="22" s="1"/>
  <c r="Q263" i="22"/>
  <c r="X263" i="22" s="1"/>
  <c r="R262" i="22"/>
  <c r="P262" i="22"/>
  <c r="O262" i="22"/>
  <c r="N262" i="22"/>
  <c r="N277" i="22" s="1"/>
  <c r="N73" i="22" s="1"/>
  <c r="M262" i="22"/>
  <c r="M277" i="22" s="1"/>
  <c r="M73" i="22" s="1"/>
  <c r="L262" i="22"/>
  <c r="L277" i="22" s="1"/>
  <c r="L73" i="22" s="1"/>
  <c r="K262" i="22"/>
  <c r="K277" i="22" s="1"/>
  <c r="K73" i="22" s="1"/>
  <c r="J262" i="22"/>
  <c r="I262" i="22"/>
  <c r="H262" i="22"/>
  <c r="G262" i="22"/>
  <c r="F262" i="22"/>
  <c r="Q261" i="22"/>
  <c r="Q276" i="22" s="1"/>
  <c r="Q72" i="22" s="1"/>
  <c r="Q260" i="22"/>
  <c r="X260" i="22" s="1"/>
  <c r="N252" i="22"/>
  <c r="N70" i="22" s="1"/>
  <c r="R251" i="22"/>
  <c r="R69" i="22" s="1"/>
  <c r="P251" i="22"/>
  <c r="P69" i="22" s="1"/>
  <c r="O251" i="22"/>
  <c r="O69" i="22" s="1"/>
  <c r="N251" i="22"/>
  <c r="N69" i="22" s="1"/>
  <c r="M251" i="22"/>
  <c r="M69" i="22" s="1"/>
  <c r="L251" i="22"/>
  <c r="L69" i="22" s="1"/>
  <c r="K251" i="22"/>
  <c r="J251" i="22"/>
  <c r="I251" i="22"/>
  <c r="H251" i="22"/>
  <c r="G251" i="22"/>
  <c r="G69" i="22" s="1"/>
  <c r="F251" i="22"/>
  <c r="F69" i="22" s="1"/>
  <c r="R250" i="22"/>
  <c r="R68" i="22" s="1"/>
  <c r="P250" i="22"/>
  <c r="P68" i="22" s="1"/>
  <c r="O250" i="22"/>
  <c r="O68" i="22" s="1"/>
  <c r="N250" i="22"/>
  <c r="N68" i="22" s="1"/>
  <c r="M250" i="22"/>
  <c r="M68" i="22" s="1"/>
  <c r="L250" i="22"/>
  <c r="L68" i="22" s="1"/>
  <c r="K250" i="22"/>
  <c r="K68" i="22" s="1"/>
  <c r="J250" i="22"/>
  <c r="I250" i="22"/>
  <c r="H250" i="22"/>
  <c r="G250" i="22"/>
  <c r="F250" i="22"/>
  <c r="R249" i="22"/>
  <c r="P249" i="22"/>
  <c r="O249" i="22"/>
  <c r="N249" i="22"/>
  <c r="M249" i="22"/>
  <c r="L249" i="22"/>
  <c r="K249" i="22"/>
  <c r="J249" i="22"/>
  <c r="I249" i="22"/>
  <c r="H249" i="22"/>
  <c r="G249" i="22"/>
  <c r="F249" i="22"/>
  <c r="Q248" i="22"/>
  <c r="S248" i="22" s="1"/>
  <c r="Q247" i="22"/>
  <c r="X247" i="22" s="1"/>
  <c r="R246" i="22"/>
  <c r="P246" i="22"/>
  <c r="O246" i="22"/>
  <c r="N246" i="22"/>
  <c r="M246" i="22"/>
  <c r="L246" i="22"/>
  <c r="K246" i="22"/>
  <c r="J246" i="22"/>
  <c r="I246" i="22"/>
  <c r="H246" i="22"/>
  <c r="G246" i="22"/>
  <c r="F246" i="22"/>
  <c r="Q245" i="22"/>
  <c r="S245" i="22" s="1"/>
  <c r="S244" i="22"/>
  <c r="S246" i="22" s="1"/>
  <c r="Q244" i="22"/>
  <c r="X244" i="22" s="1"/>
  <c r="R243" i="22"/>
  <c r="P243" i="22"/>
  <c r="P252" i="22" s="1"/>
  <c r="P70" i="22" s="1"/>
  <c r="O243" i="22"/>
  <c r="O252" i="22" s="1"/>
  <c r="O70" i="22" s="1"/>
  <c r="N243" i="22"/>
  <c r="M243" i="22"/>
  <c r="L243" i="22"/>
  <c r="K243" i="22"/>
  <c r="J243" i="22"/>
  <c r="I243" i="22"/>
  <c r="H243" i="22"/>
  <c r="G243" i="22"/>
  <c r="F243" i="22"/>
  <c r="S242" i="22"/>
  <c r="Q242" i="22"/>
  <c r="Q241" i="22"/>
  <c r="Q250" i="22" s="1"/>
  <c r="R240" i="22"/>
  <c r="R252" i="22" s="1"/>
  <c r="R70" i="22" s="1"/>
  <c r="P240" i="22"/>
  <c r="O240" i="22"/>
  <c r="N240" i="22"/>
  <c r="M240" i="22"/>
  <c r="L240" i="22"/>
  <c r="K240" i="22"/>
  <c r="J240" i="22"/>
  <c r="I240" i="22"/>
  <c r="H240" i="22"/>
  <c r="G240" i="22"/>
  <c r="F240" i="22"/>
  <c r="Q239" i="22"/>
  <c r="Q251" i="22" s="1"/>
  <c r="Q69" i="22" s="1"/>
  <c r="X238" i="22"/>
  <c r="S238" i="22"/>
  <c r="Q238" i="22"/>
  <c r="Q240" i="22" s="1"/>
  <c r="R237" i="22"/>
  <c r="P237" i="22"/>
  <c r="O237" i="22"/>
  <c r="N237" i="22"/>
  <c r="M237" i="22"/>
  <c r="M252" i="22" s="1"/>
  <c r="M70" i="22" s="1"/>
  <c r="L237" i="22"/>
  <c r="L252" i="22" s="1"/>
  <c r="L70" i="22" s="1"/>
  <c r="K237" i="22"/>
  <c r="K252" i="22" s="1"/>
  <c r="J237" i="22"/>
  <c r="I237" i="22"/>
  <c r="H237" i="22"/>
  <c r="H252" i="22" s="1"/>
  <c r="H70" i="22" s="1"/>
  <c r="G237" i="22"/>
  <c r="G252" i="22" s="1"/>
  <c r="G70" i="22" s="1"/>
  <c r="F237" i="22"/>
  <c r="F252" i="22" s="1"/>
  <c r="F70" i="22" s="1"/>
  <c r="S236" i="22"/>
  <c r="Q236" i="22"/>
  <c r="Q235" i="22"/>
  <c r="X235" i="22" s="1"/>
  <c r="H227" i="22"/>
  <c r="H67" i="22" s="1"/>
  <c r="R226" i="22"/>
  <c r="P226" i="22"/>
  <c r="P66" i="22" s="1"/>
  <c r="O226" i="22"/>
  <c r="O66" i="22" s="1"/>
  <c r="N226" i="22"/>
  <c r="N66" i="22" s="1"/>
  <c r="M226" i="22"/>
  <c r="M66" i="22" s="1"/>
  <c r="L226" i="22"/>
  <c r="L66" i="22" s="1"/>
  <c r="K226" i="22"/>
  <c r="K66" i="22" s="1"/>
  <c r="J226" i="22"/>
  <c r="J66" i="22" s="1"/>
  <c r="I226" i="22"/>
  <c r="I66" i="22" s="1"/>
  <c r="H226" i="22"/>
  <c r="H66" i="22" s="1"/>
  <c r="G226" i="22"/>
  <c r="G66" i="22" s="1"/>
  <c r="F226" i="22"/>
  <c r="F66" i="22" s="1"/>
  <c r="R225" i="22"/>
  <c r="P225" i="22"/>
  <c r="O225" i="22"/>
  <c r="O65" i="22" s="1"/>
  <c r="N225" i="22"/>
  <c r="N65" i="22" s="1"/>
  <c r="M225" i="22"/>
  <c r="M65" i="22" s="1"/>
  <c r="L225" i="22"/>
  <c r="L65" i="22" s="1"/>
  <c r="K225" i="22"/>
  <c r="K65" i="22" s="1"/>
  <c r="J225" i="22"/>
  <c r="J65" i="22" s="1"/>
  <c r="I225" i="22"/>
  <c r="I65" i="22" s="1"/>
  <c r="H225" i="22"/>
  <c r="H65" i="22" s="1"/>
  <c r="G225" i="22"/>
  <c r="G65" i="22" s="1"/>
  <c r="F225" i="22"/>
  <c r="F65" i="22" s="1"/>
  <c r="R224" i="22"/>
  <c r="P224" i="22"/>
  <c r="O224" i="22"/>
  <c r="N224" i="22"/>
  <c r="M224" i="22"/>
  <c r="L224" i="22"/>
  <c r="K224" i="22"/>
  <c r="J224" i="22"/>
  <c r="I224" i="22"/>
  <c r="H224" i="22"/>
  <c r="G224" i="22"/>
  <c r="F224" i="22"/>
  <c r="Q223" i="22"/>
  <c r="S223" i="22" s="1"/>
  <c r="S224" i="22" s="1"/>
  <c r="X222" i="22"/>
  <c r="Q222" i="22"/>
  <c r="S222" i="22" s="1"/>
  <c r="R221" i="22"/>
  <c r="P221" i="22"/>
  <c r="O221" i="22"/>
  <c r="N221" i="22"/>
  <c r="M221" i="22"/>
  <c r="L221" i="22"/>
  <c r="K221" i="22"/>
  <c r="J221" i="22"/>
  <c r="I221" i="22"/>
  <c r="H221" i="22"/>
  <c r="G221" i="22"/>
  <c r="F221" i="22"/>
  <c r="Q220" i="22"/>
  <c r="S220" i="22" s="1"/>
  <c r="Q219" i="22"/>
  <c r="X219" i="22" s="1"/>
  <c r="R218" i="22"/>
  <c r="P218" i="22"/>
  <c r="O218" i="22"/>
  <c r="N218" i="22"/>
  <c r="M218" i="22"/>
  <c r="L218" i="22"/>
  <c r="K218" i="22"/>
  <c r="K227" i="22" s="1"/>
  <c r="K67" i="22" s="1"/>
  <c r="J218" i="22"/>
  <c r="J227" i="22" s="1"/>
  <c r="J67" i="22" s="1"/>
  <c r="I218" i="22"/>
  <c r="I227" i="22" s="1"/>
  <c r="I67" i="22" s="1"/>
  <c r="H218" i="22"/>
  <c r="G218" i="22"/>
  <c r="F218" i="22"/>
  <c r="Q217" i="22"/>
  <c r="S217" i="22" s="1"/>
  <c r="Q216" i="22"/>
  <c r="X216" i="22" s="1"/>
  <c r="R215" i="22"/>
  <c r="P215" i="22"/>
  <c r="O215" i="22"/>
  <c r="N215" i="22"/>
  <c r="N227" i="22" s="1"/>
  <c r="N67" i="22" s="1"/>
  <c r="M215" i="22"/>
  <c r="M227" i="22" s="1"/>
  <c r="M67" i="22" s="1"/>
  <c r="L215" i="22"/>
  <c r="L227" i="22" s="1"/>
  <c r="L67" i="22" s="1"/>
  <c r="K215" i="22"/>
  <c r="J215" i="22"/>
  <c r="I215" i="22"/>
  <c r="H215" i="22"/>
  <c r="G215" i="22"/>
  <c r="F215" i="22"/>
  <c r="Q214" i="22"/>
  <c r="S214" i="22" s="1"/>
  <c r="S213" i="22"/>
  <c r="S215" i="22" s="1"/>
  <c r="Q213" i="22"/>
  <c r="X213" i="22" s="1"/>
  <c r="R212" i="22"/>
  <c r="R227" i="22" s="1"/>
  <c r="R67" i="22" s="1"/>
  <c r="P212" i="22"/>
  <c r="P227" i="22" s="1"/>
  <c r="P67" i="22" s="1"/>
  <c r="O212" i="22"/>
  <c r="O227" i="22" s="1"/>
  <c r="O67" i="22" s="1"/>
  <c r="N212" i="22"/>
  <c r="M212" i="22"/>
  <c r="L212" i="22"/>
  <c r="K212" i="22"/>
  <c r="J212" i="22"/>
  <c r="I212" i="22"/>
  <c r="H212" i="22"/>
  <c r="G212" i="22"/>
  <c r="G227" i="22" s="1"/>
  <c r="G67" i="22" s="1"/>
  <c r="F212" i="22"/>
  <c r="S211" i="22"/>
  <c r="Q211" i="22"/>
  <c r="Q226" i="22" s="1"/>
  <c r="Q66" i="22" s="1"/>
  <c r="Q210" i="22"/>
  <c r="Q225" i="22" s="1"/>
  <c r="X225" i="22" s="1"/>
  <c r="R202" i="22"/>
  <c r="R64" i="22" s="1"/>
  <c r="R201" i="22"/>
  <c r="R63" i="22" s="1"/>
  <c r="P201" i="22"/>
  <c r="P63" i="22" s="1"/>
  <c r="O201" i="22"/>
  <c r="N201" i="22"/>
  <c r="M201" i="22"/>
  <c r="L201" i="22"/>
  <c r="K201" i="22"/>
  <c r="K63" i="22" s="1"/>
  <c r="J201" i="22"/>
  <c r="J63" i="22" s="1"/>
  <c r="I201" i="22"/>
  <c r="I63" i="22" s="1"/>
  <c r="H201" i="22"/>
  <c r="H63" i="22" s="1"/>
  <c r="G201" i="22"/>
  <c r="G63" i="22" s="1"/>
  <c r="F201" i="22"/>
  <c r="F63" i="22" s="1"/>
  <c r="R200" i="22"/>
  <c r="R62" i="22" s="1"/>
  <c r="P200" i="22"/>
  <c r="P62" i="22" s="1"/>
  <c r="O200" i="22"/>
  <c r="O62" i="22" s="1"/>
  <c r="N200" i="22"/>
  <c r="M200" i="22"/>
  <c r="L200" i="22"/>
  <c r="K200" i="22"/>
  <c r="J200" i="22"/>
  <c r="I200" i="22"/>
  <c r="I62" i="22" s="1"/>
  <c r="H200" i="22"/>
  <c r="H62" i="22" s="1"/>
  <c r="G200" i="22"/>
  <c r="G62" i="22" s="1"/>
  <c r="F200" i="22"/>
  <c r="F62" i="22" s="1"/>
  <c r="R199" i="22"/>
  <c r="P199" i="22"/>
  <c r="O199" i="22"/>
  <c r="N199" i="22"/>
  <c r="M199" i="22"/>
  <c r="L199" i="22"/>
  <c r="K199" i="22"/>
  <c r="J199" i="22"/>
  <c r="I199" i="22"/>
  <c r="H199" i="22"/>
  <c r="G199" i="22"/>
  <c r="F199" i="22"/>
  <c r="Q198" i="22"/>
  <c r="S198" i="22" s="1"/>
  <c r="Q197" i="22"/>
  <c r="X197" i="22" s="1"/>
  <c r="R196" i="22"/>
  <c r="P196" i="22"/>
  <c r="P95" i="22" s="1"/>
  <c r="O196" i="22"/>
  <c r="N196" i="22"/>
  <c r="M196" i="22"/>
  <c r="L196" i="22"/>
  <c r="K196" i="22"/>
  <c r="J196" i="22"/>
  <c r="I196" i="22"/>
  <c r="H196" i="22"/>
  <c r="G196" i="22"/>
  <c r="F196" i="22"/>
  <c r="Q195" i="22"/>
  <c r="S195" i="22" s="1"/>
  <c r="Q194" i="22"/>
  <c r="X194" i="22" s="1"/>
  <c r="R193" i="22"/>
  <c r="P193" i="22"/>
  <c r="O193" i="22"/>
  <c r="N193" i="22"/>
  <c r="M193" i="22"/>
  <c r="L193" i="22"/>
  <c r="K193" i="22"/>
  <c r="J193" i="22"/>
  <c r="I193" i="22"/>
  <c r="H193" i="22"/>
  <c r="G193" i="22"/>
  <c r="F193" i="22"/>
  <c r="Q192" i="22"/>
  <c r="S192" i="22" s="1"/>
  <c r="S193" i="22" s="1"/>
  <c r="X191" i="22"/>
  <c r="Q191" i="22"/>
  <c r="S191" i="22" s="1"/>
  <c r="R190" i="22"/>
  <c r="P190" i="22"/>
  <c r="O190" i="22"/>
  <c r="N190" i="22"/>
  <c r="M190" i="22"/>
  <c r="L190" i="22"/>
  <c r="K190" i="22"/>
  <c r="J190" i="22"/>
  <c r="I190" i="22"/>
  <c r="H190" i="22"/>
  <c r="H202" i="22" s="1"/>
  <c r="H64" i="22" s="1"/>
  <c r="G190" i="22"/>
  <c r="G202" i="22" s="1"/>
  <c r="G64" i="22" s="1"/>
  <c r="F190" i="22"/>
  <c r="F202" i="22" s="1"/>
  <c r="F64" i="22" s="1"/>
  <c r="Q189" i="22"/>
  <c r="S189" i="22" s="1"/>
  <c r="Q188" i="22"/>
  <c r="X188" i="22" s="1"/>
  <c r="R187" i="22"/>
  <c r="P187" i="22"/>
  <c r="O187" i="22"/>
  <c r="O202" i="22" s="1"/>
  <c r="N187" i="22"/>
  <c r="N202" i="22" s="1"/>
  <c r="M187" i="22"/>
  <c r="L187" i="22"/>
  <c r="L202" i="22" s="1"/>
  <c r="L64" i="22" s="1"/>
  <c r="K187" i="22"/>
  <c r="K202" i="22" s="1"/>
  <c r="K64" i="22" s="1"/>
  <c r="J187" i="22"/>
  <c r="J202" i="22" s="1"/>
  <c r="J64" i="22" s="1"/>
  <c r="I187" i="22"/>
  <c r="I202" i="22" s="1"/>
  <c r="I64" i="22" s="1"/>
  <c r="H187" i="22"/>
  <c r="G187" i="22"/>
  <c r="F187" i="22"/>
  <c r="Q186" i="22"/>
  <c r="S186" i="22" s="1"/>
  <c r="Q185" i="22"/>
  <c r="X185" i="22" s="1"/>
  <c r="L177" i="22"/>
  <c r="L61" i="22" s="1"/>
  <c r="R176" i="22"/>
  <c r="R60" i="22" s="1"/>
  <c r="P176" i="22"/>
  <c r="P60" i="22" s="1"/>
  <c r="O176" i="22"/>
  <c r="O60" i="22" s="1"/>
  <c r="N176" i="22"/>
  <c r="N60" i="22" s="1"/>
  <c r="M176" i="22"/>
  <c r="M60" i="22" s="1"/>
  <c r="L176" i="22"/>
  <c r="L60" i="22" s="1"/>
  <c r="K176" i="22"/>
  <c r="K60" i="22" s="1"/>
  <c r="J176" i="22"/>
  <c r="I176" i="22"/>
  <c r="H176" i="22"/>
  <c r="G176" i="22"/>
  <c r="F176" i="22"/>
  <c r="R175" i="22"/>
  <c r="R59" i="22" s="1"/>
  <c r="P175" i="22"/>
  <c r="P59" i="22" s="1"/>
  <c r="O175" i="22"/>
  <c r="O59" i="22" s="1"/>
  <c r="N175" i="22"/>
  <c r="N59" i="22" s="1"/>
  <c r="M175" i="22"/>
  <c r="M59" i="22" s="1"/>
  <c r="L175" i="22"/>
  <c r="L59" i="22" s="1"/>
  <c r="K175" i="22"/>
  <c r="K59" i="22" s="1"/>
  <c r="J175" i="22"/>
  <c r="J59" i="22" s="1"/>
  <c r="I175" i="22"/>
  <c r="H175" i="22"/>
  <c r="G175" i="22"/>
  <c r="F175" i="22"/>
  <c r="R174" i="22"/>
  <c r="P174" i="22"/>
  <c r="O174" i="22"/>
  <c r="N174" i="22"/>
  <c r="M174" i="22"/>
  <c r="L174" i="22"/>
  <c r="K174" i="22"/>
  <c r="J174" i="22"/>
  <c r="J98" i="22" s="1"/>
  <c r="I174" i="22"/>
  <c r="I98" i="22" s="1"/>
  <c r="H174" i="22"/>
  <c r="H98" i="22" s="1"/>
  <c r="G174" i="22"/>
  <c r="G98" i="22" s="1"/>
  <c r="F174" i="22"/>
  <c r="S173" i="22"/>
  <c r="Q173" i="22"/>
  <c r="Q172" i="22"/>
  <c r="X172" i="22" s="1"/>
  <c r="R171" i="22"/>
  <c r="P171" i="22"/>
  <c r="O171" i="22"/>
  <c r="N171" i="22"/>
  <c r="M171" i="22"/>
  <c r="L171" i="22"/>
  <c r="K171" i="22"/>
  <c r="J171" i="22"/>
  <c r="I171" i="22"/>
  <c r="H171" i="22"/>
  <c r="G171" i="22"/>
  <c r="F171" i="22"/>
  <c r="Q170" i="22"/>
  <c r="S170" i="22" s="1"/>
  <c r="Q169" i="22"/>
  <c r="X169" i="22" s="1"/>
  <c r="R168" i="22"/>
  <c r="P168" i="22"/>
  <c r="O168" i="22"/>
  <c r="N168" i="22"/>
  <c r="N92" i="22" s="1"/>
  <c r="M168" i="22"/>
  <c r="M177" i="22" s="1"/>
  <c r="M61" i="22" s="1"/>
  <c r="L168" i="22"/>
  <c r="K168" i="22"/>
  <c r="J168" i="22"/>
  <c r="I168" i="22"/>
  <c r="H168" i="22"/>
  <c r="G168" i="22"/>
  <c r="F168" i="22"/>
  <c r="Q167" i="22"/>
  <c r="S167" i="22" s="1"/>
  <c r="Q166" i="22"/>
  <c r="X166" i="22" s="1"/>
  <c r="R165" i="22"/>
  <c r="R177" i="22" s="1"/>
  <c r="R61" i="22" s="1"/>
  <c r="P165" i="22"/>
  <c r="P177" i="22" s="1"/>
  <c r="P61" i="22" s="1"/>
  <c r="O165" i="22"/>
  <c r="N165" i="22"/>
  <c r="M165" i="22"/>
  <c r="L165" i="22"/>
  <c r="K165" i="22"/>
  <c r="J165" i="22"/>
  <c r="I165" i="22"/>
  <c r="H165" i="22"/>
  <c r="G165" i="22"/>
  <c r="F165" i="22"/>
  <c r="Q164" i="22"/>
  <c r="S164" i="22" s="1"/>
  <c r="Q163" i="22"/>
  <c r="Q175" i="22" s="1"/>
  <c r="R162" i="22"/>
  <c r="P162" i="22"/>
  <c r="O162" i="22"/>
  <c r="N162" i="22"/>
  <c r="M162" i="22"/>
  <c r="L162" i="22"/>
  <c r="K162" i="22"/>
  <c r="K177" i="22" s="1"/>
  <c r="K61" i="22" s="1"/>
  <c r="J162" i="22"/>
  <c r="I162" i="22"/>
  <c r="I177" i="22" s="1"/>
  <c r="I61" i="22" s="1"/>
  <c r="H162" i="22"/>
  <c r="H177" i="22" s="1"/>
  <c r="G162" i="22"/>
  <c r="G177" i="22" s="1"/>
  <c r="G61" i="22" s="1"/>
  <c r="F162" i="22"/>
  <c r="F177" i="22" s="1"/>
  <c r="F61" i="22" s="1"/>
  <c r="Q161" i="22"/>
  <c r="Q176" i="22" s="1"/>
  <c r="Q60" i="22" s="1"/>
  <c r="X160" i="22"/>
  <c r="Q160" i="22"/>
  <c r="S160" i="22" s="1"/>
  <c r="F152" i="22"/>
  <c r="F58" i="22" s="1"/>
  <c r="R151" i="22"/>
  <c r="P151" i="22"/>
  <c r="O151" i="22"/>
  <c r="O57" i="22" s="1"/>
  <c r="N151" i="22"/>
  <c r="N57" i="22" s="1"/>
  <c r="M151" i="22"/>
  <c r="M57" i="22" s="1"/>
  <c r="L151" i="22"/>
  <c r="L57" i="22" s="1"/>
  <c r="K151" i="22"/>
  <c r="K57" i="22" s="1"/>
  <c r="J151" i="22"/>
  <c r="J57" i="22" s="1"/>
  <c r="I151" i="22"/>
  <c r="I57" i="22" s="1"/>
  <c r="H151" i="22"/>
  <c r="H57" i="22" s="1"/>
  <c r="G151" i="22"/>
  <c r="G57" i="22" s="1"/>
  <c r="F151" i="22"/>
  <c r="F57" i="22" s="1"/>
  <c r="R150" i="22"/>
  <c r="P150" i="22"/>
  <c r="O150" i="22"/>
  <c r="N150" i="22"/>
  <c r="M150" i="22"/>
  <c r="M56" i="22" s="1"/>
  <c r="L150" i="22"/>
  <c r="L56" i="22" s="1"/>
  <c r="K150" i="22"/>
  <c r="K56" i="22" s="1"/>
  <c r="J150" i="22"/>
  <c r="J56" i="22" s="1"/>
  <c r="I150" i="22"/>
  <c r="I56" i="22" s="1"/>
  <c r="H150" i="22"/>
  <c r="H56" i="22" s="1"/>
  <c r="G150" i="22"/>
  <c r="G56" i="22" s="1"/>
  <c r="F150" i="22"/>
  <c r="F56" i="22" s="1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S148" i="22"/>
  <c r="Q148" i="22"/>
  <c r="Q147" i="22"/>
  <c r="X147" i="22" s="1"/>
  <c r="R146" i="22"/>
  <c r="P146" i="22"/>
  <c r="O146" i="22"/>
  <c r="N146" i="22"/>
  <c r="M146" i="22"/>
  <c r="M95" i="22" s="1"/>
  <c r="L146" i="22"/>
  <c r="L95" i="22" s="1"/>
  <c r="K146" i="22"/>
  <c r="K95" i="22" s="1"/>
  <c r="J146" i="22"/>
  <c r="I146" i="22"/>
  <c r="I95" i="22" s="1"/>
  <c r="H146" i="22"/>
  <c r="H95" i="22" s="1"/>
  <c r="G146" i="22"/>
  <c r="G95" i="22" s="1"/>
  <c r="F146" i="22"/>
  <c r="Q145" i="22"/>
  <c r="S145" i="22" s="1"/>
  <c r="S144" i="22"/>
  <c r="Q144" i="22"/>
  <c r="X144" i="22" s="1"/>
  <c r="R143" i="22"/>
  <c r="P143" i="22"/>
  <c r="O143" i="22"/>
  <c r="N143" i="22"/>
  <c r="M143" i="22"/>
  <c r="M92" i="22" s="1"/>
  <c r="L143" i="22"/>
  <c r="K143" i="22"/>
  <c r="K92" i="22" s="1"/>
  <c r="J143" i="22"/>
  <c r="I143" i="22"/>
  <c r="I152" i="22" s="1"/>
  <c r="I58" i="22" s="1"/>
  <c r="H143" i="22"/>
  <c r="H152" i="22" s="1"/>
  <c r="H58" i="22" s="1"/>
  <c r="G143" i="22"/>
  <c r="G152" i="22" s="1"/>
  <c r="G58" i="22" s="1"/>
  <c r="F143" i="22"/>
  <c r="S142" i="22"/>
  <c r="Q142" i="22"/>
  <c r="Q141" i="22"/>
  <c r="X141" i="22" s="1"/>
  <c r="R140" i="22"/>
  <c r="P140" i="22"/>
  <c r="O140" i="22"/>
  <c r="N140" i="22"/>
  <c r="M140" i="22"/>
  <c r="L140" i="22"/>
  <c r="L152" i="22" s="1"/>
  <c r="L58" i="22" s="1"/>
  <c r="K140" i="22"/>
  <c r="K152" i="22" s="1"/>
  <c r="K58" i="22" s="1"/>
  <c r="J140" i="22"/>
  <c r="J152" i="22" s="1"/>
  <c r="J58" i="22" s="1"/>
  <c r="I140" i="22"/>
  <c r="H140" i="22"/>
  <c r="G140" i="22"/>
  <c r="F140" i="22"/>
  <c r="Q139" i="22"/>
  <c r="S139" i="22" s="1"/>
  <c r="Q138" i="22"/>
  <c r="X138" i="22" s="1"/>
  <c r="R137" i="22"/>
  <c r="Q137" i="22"/>
  <c r="P137" i="22"/>
  <c r="P152" i="22" s="1"/>
  <c r="P58" i="22" s="1"/>
  <c r="O137" i="22"/>
  <c r="O152" i="22" s="1"/>
  <c r="O58" i="22" s="1"/>
  <c r="N137" i="22"/>
  <c r="M137" i="22"/>
  <c r="M152" i="22" s="1"/>
  <c r="M58" i="22" s="1"/>
  <c r="L137" i="22"/>
  <c r="K137" i="22"/>
  <c r="J137" i="22"/>
  <c r="I137" i="22"/>
  <c r="H137" i="22"/>
  <c r="G137" i="22"/>
  <c r="F137" i="22"/>
  <c r="F86" i="22" s="1"/>
  <c r="Q136" i="22"/>
  <c r="Q135" i="22"/>
  <c r="P127" i="22"/>
  <c r="R126" i="22"/>
  <c r="R100" i="22" s="1"/>
  <c r="P126" i="22"/>
  <c r="O126" i="22"/>
  <c r="N126" i="22"/>
  <c r="M126" i="22"/>
  <c r="L126" i="22"/>
  <c r="K126" i="22"/>
  <c r="J126" i="22"/>
  <c r="I126" i="22"/>
  <c r="I54" i="22" s="1"/>
  <c r="H126" i="22"/>
  <c r="H54" i="22" s="1"/>
  <c r="G126" i="22"/>
  <c r="G100" i="22" s="1"/>
  <c r="F126" i="22"/>
  <c r="F100" i="22" s="1"/>
  <c r="R125" i="22"/>
  <c r="P125" i="22"/>
  <c r="P99" i="22" s="1"/>
  <c r="O125" i="22"/>
  <c r="N125" i="22"/>
  <c r="M125" i="22"/>
  <c r="L125" i="22"/>
  <c r="K125" i="22"/>
  <c r="J125" i="22"/>
  <c r="I125" i="22"/>
  <c r="H125" i="22"/>
  <c r="G125" i="22"/>
  <c r="G53" i="22" s="1"/>
  <c r="G74" i="22" s="1"/>
  <c r="F125" i="22"/>
  <c r="F53" i="22" s="1"/>
  <c r="R124" i="22"/>
  <c r="P124" i="22"/>
  <c r="O124" i="22"/>
  <c r="N124" i="22"/>
  <c r="N98" i="22" s="1"/>
  <c r="M124" i="22"/>
  <c r="L124" i="22"/>
  <c r="L98" i="22" s="1"/>
  <c r="K124" i="22"/>
  <c r="K98" i="22" s="1"/>
  <c r="J124" i="22"/>
  <c r="I124" i="22"/>
  <c r="H124" i="22"/>
  <c r="G124" i="22"/>
  <c r="F124" i="22"/>
  <c r="Q123" i="22"/>
  <c r="Q97" i="22" s="1"/>
  <c r="Q122" i="22"/>
  <c r="X122" i="22" s="1"/>
  <c r="R121" i="22"/>
  <c r="P121" i="22"/>
  <c r="O121" i="22"/>
  <c r="O95" i="22" s="1"/>
  <c r="N121" i="22"/>
  <c r="M121" i="22"/>
  <c r="L121" i="22"/>
  <c r="K121" i="22"/>
  <c r="J121" i="22"/>
  <c r="I121" i="22"/>
  <c r="H121" i="22"/>
  <c r="G121" i="22"/>
  <c r="F121" i="22"/>
  <c r="Q120" i="22"/>
  <c r="S120" i="22" s="1"/>
  <c r="S119" i="22"/>
  <c r="Q119" i="22"/>
  <c r="Q93" i="22" s="1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G92" i="22" s="1"/>
  <c r="F118" i="22"/>
  <c r="F92" i="22" s="1"/>
  <c r="S117" i="22"/>
  <c r="Q117" i="22"/>
  <c r="Q91" i="22" s="1"/>
  <c r="S116" i="22"/>
  <c r="Q116" i="22"/>
  <c r="R115" i="22"/>
  <c r="P115" i="22"/>
  <c r="P89" i="22" s="1"/>
  <c r="O115" i="22"/>
  <c r="O89" i="22" s="1"/>
  <c r="N115" i="22"/>
  <c r="N89" i="22" s="1"/>
  <c r="M115" i="22"/>
  <c r="M89" i="22" s="1"/>
  <c r="L115" i="22"/>
  <c r="L89" i="22" s="1"/>
  <c r="K115" i="22"/>
  <c r="K89" i="22" s="1"/>
  <c r="J115" i="22"/>
  <c r="J89" i="22" s="1"/>
  <c r="I115" i="22"/>
  <c r="I89" i="22" s="1"/>
  <c r="H115" i="22"/>
  <c r="H89" i="22" s="1"/>
  <c r="G115" i="22"/>
  <c r="G89" i="22" s="1"/>
  <c r="F115" i="22"/>
  <c r="F127" i="22" s="1"/>
  <c r="Q114" i="22"/>
  <c r="Q126" i="22" s="1"/>
  <c r="S113" i="22"/>
  <c r="Q113" i="22"/>
  <c r="X113" i="22" s="1"/>
  <c r="R112" i="22"/>
  <c r="P112" i="22"/>
  <c r="O112" i="22"/>
  <c r="O127" i="22" s="1"/>
  <c r="N112" i="22"/>
  <c r="N127" i="22" s="1"/>
  <c r="M112" i="22"/>
  <c r="M127" i="22" s="1"/>
  <c r="L112" i="22"/>
  <c r="L127" i="22" s="1"/>
  <c r="K112" i="22"/>
  <c r="J112" i="22"/>
  <c r="J86" i="22" s="1"/>
  <c r="I112" i="22"/>
  <c r="I86" i="22" s="1"/>
  <c r="H112" i="22"/>
  <c r="G112" i="22"/>
  <c r="F112" i="22"/>
  <c r="S111" i="22"/>
  <c r="Q111" i="22"/>
  <c r="Q110" i="22"/>
  <c r="X110" i="22" s="1"/>
  <c r="I100" i="22"/>
  <c r="H100" i="22"/>
  <c r="H99" i="22"/>
  <c r="G99" i="22"/>
  <c r="F99" i="22"/>
  <c r="F98" i="22"/>
  <c r="R97" i="22"/>
  <c r="P97" i="22"/>
  <c r="O97" i="22"/>
  <c r="N97" i="22"/>
  <c r="M97" i="22"/>
  <c r="L97" i="22"/>
  <c r="K97" i="22"/>
  <c r="J97" i="22"/>
  <c r="I97" i="22"/>
  <c r="H97" i="22"/>
  <c r="G97" i="22"/>
  <c r="F97" i="22"/>
  <c r="R96" i="22"/>
  <c r="P96" i="22"/>
  <c r="O96" i="22"/>
  <c r="N96" i="22"/>
  <c r="M96" i="22"/>
  <c r="L96" i="22"/>
  <c r="K96" i="22"/>
  <c r="J96" i="22"/>
  <c r="I96" i="22"/>
  <c r="H96" i="22"/>
  <c r="G96" i="22"/>
  <c r="F96" i="22"/>
  <c r="N95" i="22"/>
  <c r="R94" i="22"/>
  <c r="P94" i="22"/>
  <c r="O94" i="22"/>
  <c r="N94" i="22"/>
  <c r="M94" i="22"/>
  <c r="L94" i="22"/>
  <c r="K94" i="22"/>
  <c r="J94" i="22"/>
  <c r="I94" i="22"/>
  <c r="H94" i="22"/>
  <c r="G94" i="22"/>
  <c r="F94" i="22"/>
  <c r="R93" i="22"/>
  <c r="P93" i="22"/>
  <c r="O93" i="22"/>
  <c r="N93" i="22"/>
  <c r="M93" i="22"/>
  <c r="L93" i="22"/>
  <c r="K93" i="22"/>
  <c r="J93" i="22"/>
  <c r="I93" i="22"/>
  <c r="H93" i="22"/>
  <c r="G93" i="22"/>
  <c r="F93" i="22"/>
  <c r="L92" i="22"/>
  <c r="I92" i="22"/>
  <c r="H92" i="22"/>
  <c r="R91" i="22"/>
  <c r="P91" i="22"/>
  <c r="O91" i="22"/>
  <c r="N91" i="22"/>
  <c r="M91" i="22"/>
  <c r="L91" i="22"/>
  <c r="K91" i="22"/>
  <c r="J91" i="22"/>
  <c r="I91" i="22"/>
  <c r="H91" i="22"/>
  <c r="G91" i="22"/>
  <c r="F91" i="22"/>
  <c r="R90" i="22"/>
  <c r="P90" i="22"/>
  <c r="O90" i="22"/>
  <c r="N90" i="22"/>
  <c r="M90" i="22"/>
  <c r="L90" i="22"/>
  <c r="K90" i="22"/>
  <c r="J90" i="22"/>
  <c r="I90" i="22"/>
  <c r="H90" i="22"/>
  <c r="G90" i="22"/>
  <c r="F90" i="22"/>
  <c r="R88" i="22"/>
  <c r="P88" i="22"/>
  <c r="O88" i="22"/>
  <c r="N88" i="22"/>
  <c r="M88" i="22"/>
  <c r="L88" i="22"/>
  <c r="K88" i="22"/>
  <c r="J88" i="22"/>
  <c r="I88" i="22"/>
  <c r="H88" i="22"/>
  <c r="G88" i="22"/>
  <c r="F88" i="22"/>
  <c r="R87" i="22"/>
  <c r="P87" i="22"/>
  <c r="O87" i="22"/>
  <c r="N87" i="22"/>
  <c r="M87" i="22"/>
  <c r="L87" i="22"/>
  <c r="K87" i="22"/>
  <c r="J87" i="22"/>
  <c r="I87" i="22"/>
  <c r="H87" i="22"/>
  <c r="G87" i="22"/>
  <c r="F87" i="22"/>
  <c r="R85" i="22"/>
  <c r="P85" i="22"/>
  <c r="O85" i="22"/>
  <c r="N85" i="22"/>
  <c r="M85" i="22"/>
  <c r="L85" i="22"/>
  <c r="K85" i="22"/>
  <c r="J85" i="22"/>
  <c r="I85" i="22"/>
  <c r="H85" i="22"/>
  <c r="G85" i="22"/>
  <c r="F85" i="22"/>
  <c r="R84" i="22"/>
  <c r="P84" i="22"/>
  <c r="O84" i="22"/>
  <c r="N84" i="22"/>
  <c r="M84" i="22"/>
  <c r="L84" i="22"/>
  <c r="K84" i="22"/>
  <c r="J84" i="22"/>
  <c r="I84" i="22"/>
  <c r="H84" i="22"/>
  <c r="G84" i="22"/>
  <c r="F84" i="22"/>
  <c r="P72" i="22"/>
  <c r="O72" i="22"/>
  <c r="N72" i="22"/>
  <c r="P71" i="22"/>
  <c r="O71" i="22"/>
  <c r="N71" i="22"/>
  <c r="M71" i="22"/>
  <c r="L71" i="22"/>
  <c r="K70" i="22"/>
  <c r="K69" i="22"/>
  <c r="J69" i="22"/>
  <c r="I69" i="22"/>
  <c r="H69" i="22"/>
  <c r="J68" i="22"/>
  <c r="I68" i="22"/>
  <c r="H68" i="22"/>
  <c r="G68" i="22"/>
  <c r="F68" i="22"/>
  <c r="R66" i="22"/>
  <c r="R65" i="22"/>
  <c r="P65" i="22"/>
  <c r="O64" i="22"/>
  <c r="N64" i="22"/>
  <c r="O63" i="22"/>
  <c r="N63" i="22"/>
  <c r="M63" i="22"/>
  <c r="L63" i="22"/>
  <c r="N62" i="22"/>
  <c r="M62" i="22"/>
  <c r="L62" i="22"/>
  <c r="K62" i="22"/>
  <c r="J62" i="22"/>
  <c r="H61" i="22"/>
  <c r="I60" i="22"/>
  <c r="H60" i="22"/>
  <c r="G60" i="22"/>
  <c r="F60" i="22"/>
  <c r="H59" i="22"/>
  <c r="G59" i="22"/>
  <c r="F59" i="22"/>
  <c r="R57" i="22"/>
  <c r="P57" i="22"/>
  <c r="R56" i="22"/>
  <c r="P56" i="22"/>
  <c r="O56" i="22"/>
  <c r="N56" i="22"/>
  <c r="M55" i="22"/>
  <c r="L55" i="22"/>
  <c r="M54" i="22"/>
  <c r="L54" i="22"/>
  <c r="K54" i="22"/>
  <c r="K75" i="22" s="1"/>
  <c r="J54" i="22"/>
  <c r="L53" i="22"/>
  <c r="K53" i="22"/>
  <c r="K74" i="22" s="1"/>
  <c r="J53" i="22"/>
  <c r="J74" i="22" s="1"/>
  <c r="I53" i="22"/>
  <c r="H53" i="22"/>
  <c r="H74" i="22" s="1"/>
  <c r="O44" i="22"/>
  <c r="N44" i="22"/>
  <c r="L44" i="22"/>
  <c r="K44" i="22"/>
  <c r="I44" i="22"/>
  <c r="H44" i="22"/>
  <c r="G44" i="22"/>
  <c r="O43" i="22"/>
  <c r="N43" i="22"/>
  <c r="L43" i="22"/>
  <c r="K43" i="22"/>
  <c r="I43" i="22"/>
  <c r="H43" i="22"/>
  <c r="G43" i="22"/>
  <c r="R42" i="22"/>
  <c r="Q42" i="22"/>
  <c r="S42" i="22" s="1"/>
  <c r="P42" i="22"/>
  <c r="M42" i="22"/>
  <c r="J42" i="22"/>
  <c r="R41" i="22"/>
  <c r="Q41" i="22"/>
  <c r="S41" i="22" s="1"/>
  <c r="P41" i="22"/>
  <c r="M41" i="22"/>
  <c r="J41" i="22"/>
  <c r="R40" i="22"/>
  <c r="Q40" i="22"/>
  <c r="S40" i="22" s="1"/>
  <c r="P40" i="22"/>
  <c r="M40" i="22"/>
  <c r="J40" i="22"/>
  <c r="R39" i="22"/>
  <c r="S39" i="22" s="1"/>
  <c r="Q39" i="22"/>
  <c r="P39" i="22"/>
  <c r="M39" i="22"/>
  <c r="J39" i="22"/>
  <c r="R38" i="22"/>
  <c r="Q38" i="22"/>
  <c r="S38" i="22" s="1"/>
  <c r="P38" i="22"/>
  <c r="M38" i="22"/>
  <c r="J38" i="22"/>
  <c r="R37" i="22"/>
  <c r="Q37" i="22"/>
  <c r="S37" i="22" s="1"/>
  <c r="P37" i="22"/>
  <c r="M37" i="22"/>
  <c r="J37" i="22"/>
  <c r="R36" i="22"/>
  <c r="Q36" i="22"/>
  <c r="S36" i="22" s="1"/>
  <c r="P36" i="22"/>
  <c r="M36" i="22"/>
  <c r="J36" i="22"/>
  <c r="R35" i="22"/>
  <c r="Q35" i="22"/>
  <c r="S35" i="22" s="1"/>
  <c r="P35" i="22"/>
  <c r="M35" i="22"/>
  <c r="J35" i="22"/>
  <c r="R34" i="22"/>
  <c r="Q34" i="22"/>
  <c r="S34" i="22" s="1"/>
  <c r="P34" i="22"/>
  <c r="M34" i="22"/>
  <c r="J34" i="22"/>
  <c r="R33" i="22"/>
  <c r="Q33" i="22"/>
  <c r="S33" i="22" s="1"/>
  <c r="P33" i="22"/>
  <c r="M33" i="22"/>
  <c r="J33" i="22"/>
  <c r="R32" i="22"/>
  <c r="Q32" i="22"/>
  <c r="S32" i="22" s="1"/>
  <c r="P32" i="22"/>
  <c r="M32" i="22"/>
  <c r="J32" i="22"/>
  <c r="R31" i="22"/>
  <c r="S31" i="22" s="1"/>
  <c r="Q31" i="22"/>
  <c r="P31" i="22"/>
  <c r="M31" i="22"/>
  <c r="J31" i="22"/>
  <c r="R30" i="22"/>
  <c r="Q30" i="22"/>
  <c r="S30" i="22" s="1"/>
  <c r="P30" i="22"/>
  <c r="M30" i="22"/>
  <c r="J30" i="22"/>
  <c r="R29" i="22"/>
  <c r="Q29" i="22"/>
  <c r="P29" i="22"/>
  <c r="M29" i="22"/>
  <c r="J29" i="22"/>
  <c r="O28" i="22"/>
  <c r="N28" i="22"/>
  <c r="L28" i="22"/>
  <c r="K28" i="22"/>
  <c r="I28" i="22"/>
  <c r="H28" i="22"/>
  <c r="G28" i="22"/>
  <c r="R27" i="22"/>
  <c r="Q27" i="22"/>
  <c r="S27" i="22" s="1"/>
  <c r="P27" i="22"/>
  <c r="M27" i="22"/>
  <c r="J27" i="22"/>
  <c r="R26" i="22"/>
  <c r="Q26" i="22"/>
  <c r="S26" i="22" s="1"/>
  <c r="P26" i="22"/>
  <c r="M26" i="22"/>
  <c r="J26" i="22"/>
  <c r="R25" i="22"/>
  <c r="Q25" i="22"/>
  <c r="S25" i="22" s="1"/>
  <c r="P25" i="22"/>
  <c r="M25" i="22"/>
  <c r="J25" i="22"/>
  <c r="S24" i="22"/>
  <c r="R24" i="22"/>
  <c r="Q24" i="22"/>
  <c r="P24" i="22"/>
  <c r="M24" i="22"/>
  <c r="J24" i="22"/>
  <c r="R23" i="22"/>
  <c r="Q23" i="22"/>
  <c r="S23" i="22" s="1"/>
  <c r="P23" i="22"/>
  <c r="M23" i="22"/>
  <c r="J23" i="22"/>
  <c r="R22" i="22"/>
  <c r="Q22" i="22"/>
  <c r="S22" i="22" s="1"/>
  <c r="P22" i="22"/>
  <c r="M22" i="22"/>
  <c r="J22" i="22"/>
  <c r="R21" i="22"/>
  <c r="Q21" i="22"/>
  <c r="S21" i="22" s="1"/>
  <c r="P21" i="22"/>
  <c r="M21" i="22"/>
  <c r="J21" i="22"/>
  <c r="R20" i="22"/>
  <c r="Q20" i="22"/>
  <c r="S20" i="22" s="1"/>
  <c r="P20" i="22"/>
  <c r="M20" i="22"/>
  <c r="J20" i="22"/>
  <c r="R19" i="22"/>
  <c r="Q19" i="22"/>
  <c r="S19" i="22" s="1"/>
  <c r="P19" i="22"/>
  <c r="M19" i="22"/>
  <c r="J19" i="22"/>
  <c r="R18" i="22"/>
  <c r="Q18" i="22"/>
  <c r="S18" i="22" s="1"/>
  <c r="P18" i="22"/>
  <c r="M18" i="22"/>
  <c r="J18" i="22"/>
  <c r="R17" i="22"/>
  <c r="Q17" i="22"/>
  <c r="S17" i="22" s="1"/>
  <c r="P17" i="22"/>
  <c r="M17" i="22"/>
  <c r="J17" i="22"/>
  <c r="S16" i="22"/>
  <c r="R16" i="22"/>
  <c r="Q16" i="22"/>
  <c r="P16" i="22"/>
  <c r="M16" i="22"/>
  <c r="J16" i="22"/>
  <c r="R15" i="22"/>
  <c r="Q15" i="22"/>
  <c r="S15" i="22" s="1"/>
  <c r="P15" i="22"/>
  <c r="M15" i="22"/>
  <c r="J15" i="22"/>
  <c r="R14" i="22"/>
  <c r="Q14" i="22"/>
  <c r="S14" i="22" s="1"/>
  <c r="P14" i="22"/>
  <c r="M14" i="22"/>
  <c r="J14" i="22"/>
  <c r="R13" i="22"/>
  <c r="Q13" i="22"/>
  <c r="S13" i="22" s="1"/>
  <c r="P13" i="22"/>
  <c r="M13" i="22"/>
  <c r="J13" i="22"/>
  <c r="R12" i="22"/>
  <c r="Q12" i="22"/>
  <c r="S12" i="22" s="1"/>
  <c r="P12" i="22"/>
  <c r="M12" i="22"/>
  <c r="J12" i="22"/>
  <c r="R11" i="22"/>
  <c r="Q11" i="22"/>
  <c r="S11" i="22" s="1"/>
  <c r="P11" i="22"/>
  <c r="M11" i="22"/>
  <c r="J11" i="22"/>
  <c r="R10" i="22"/>
  <c r="Q10" i="22"/>
  <c r="S10" i="22" s="1"/>
  <c r="P10" i="22"/>
  <c r="M10" i="22"/>
  <c r="J10" i="22"/>
  <c r="R9" i="22"/>
  <c r="Q9" i="22"/>
  <c r="S9" i="22" s="1"/>
  <c r="P9" i="22"/>
  <c r="M9" i="22"/>
  <c r="J9" i="22"/>
  <c r="S8" i="22"/>
  <c r="R8" i="22"/>
  <c r="Q8" i="22"/>
  <c r="P8" i="22"/>
  <c r="M8" i="22"/>
  <c r="J8" i="22"/>
  <c r="R7" i="22"/>
  <c r="Q7" i="22"/>
  <c r="P7" i="22"/>
  <c r="M7" i="22"/>
  <c r="J7" i="22"/>
  <c r="R276" i="21"/>
  <c r="R72" i="21" s="1"/>
  <c r="P276" i="21"/>
  <c r="O276" i="21"/>
  <c r="N276" i="21"/>
  <c r="M276" i="21"/>
  <c r="M72" i="21" s="1"/>
  <c r="L276" i="21"/>
  <c r="L72" i="21" s="1"/>
  <c r="K276" i="21"/>
  <c r="K72" i="21" s="1"/>
  <c r="J276" i="21"/>
  <c r="J72" i="21" s="1"/>
  <c r="I276" i="21"/>
  <c r="I72" i="21" s="1"/>
  <c r="H276" i="21"/>
  <c r="H72" i="21" s="1"/>
  <c r="G276" i="21"/>
  <c r="G72" i="21" s="1"/>
  <c r="F276" i="21"/>
  <c r="F72" i="21" s="1"/>
  <c r="R275" i="21"/>
  <c r="R71" i="21" s="1"/>
  <c r="Q275" i="21"/>
  <c r="Q71" i="21" s="1"/>
  <c r="P275" i="21"/>
  <c r="O275" i="21"/>
  <c r="N275" i="21"/>
  <c r="M275" i="21"/>
  <c r="L275" i="21"/>
  <c r="K275" i="21"/>
  <c r="K71" i="21" s="1"/>
  <c r="J275" i="21"/>
  <c r="J71" i="21" s="1"/>
  <c r="I275" i="21"/>
  <c r="I71" i="21" s="1"/>
  <c r="H275" i="21"/>
  <c r="H71" i="21" s="1"/>
  <c r="G275" i="21"/>
  <c r="G71" i="21" s="1"/>
  <c r="F275" i="21"/>
  <c r="F71" i="21" s="1"/>
  <c r="R274" i="21"/>
  <c r="P274" i="21"/>
  <c r="O274" i="21"/>
  <c r="N274" i="21"/>
  <c r="M274" i="21"/>
  <c r="L274" i="21"/>
  <c r="K274" i="21"/>
  <c r="J274" i="21"/>
  <c r="I274" i="21"/>
  <c r="H274" i="21"/>
  <c r="G274" i="21"/>
  <c r="F274" i="21"/>
  <c r="S273" i="21"/>
  <c r="Q273" i="21"/>
  <c r="Q272" i="21"/>
  <c r="Q274" i="21" s="1"/>
  <c r="R271" i="21"/>
  <c r="P271" i="21"/>
  <c r="O271" i="21"/>
  <c r="N271" i="21"/>
  <c r="M271" i="21"/>
  <c r="L271" i="21"/>
  <c r="K271" i="21"/>
  <c r="J271" i="21"/>
  <c r="I271" i="21"/>
  <c r="H271" i="21"/>
  <c r="G271" i="21"/>
  <c r="F271" i="21"/>
  <c r="Q270" i="21"/>
  <c r="S270" i="21" s="1"/>
  <c r="X269" i="21"/>
  <c r="S269" i="21"/>
  <c r="S271" i="21" s="1"/>
  <c r="Q269" i="21"/>
  <c r="Q271" i="21" s="1"/>
  <c r="R268" i="21"/>
  <c r="P268" i="21"/>
  <c r="O268" i="21"/>
  <c r="N268" i="21"/>
  <c r="M268" i="21"/>
  <c r="L268" i="21"/>
  <c r="K268" i="21"/>
  <c r="J268" i="21"/>
  <c r="I268" i="21"/>
  <c r="H268" i="21"/>
  <c r="G268" i="21"/>
  <c r="G277" i="21" s="1"/>
  <c r="G73" i="21" s="1"/>
  <c r="F268" i="21"/>
  <c r="F277" i="21" s="1"/>
  <c r="F73" i="21" s="1"/>
  <c r="S267" i="21"/>
  <c r="Q267" i="21"/>
  <c r="Q266" i="21"/>
  <c r="X266" i="21" s="1"/>
  <c r="R265" i="21"/>
  <c r="P265" i="21"/>
  <c r="O265" i="21"/>
  <c r="N265" i="21"/>
  <c r="M265" i="21"/>
  <c r="L265" i="21"/>
  <c r="K265" i="21"/>
  <c r="J265" i="21"/>
  <c r="J277" i="21" s="1"/>
  <c r="J73" i="21" s="1"/>
  <c r="I265" i="21"/>
  <c r="I277" i="21" s="1"/>
  <c r="I73" i="21" s="1"/>
  <c r="H265" i="21"/>
  <c r="H277" i="21" s="1"/>
  <c r="H73" i="21" s="1"/>
  <c r="G265" i="21"/>
  <c r="F265" i="21"/>
  <c r="Q264" i="21"/>
  <c r="S264" i="21" s="1"/>
  <c r="Q263" i="21"/>
  <c r="X263" i="21" s="1"/>
  <c r="R262" i="21"/>
  <c r="R277" i="21" s="1"/>
  <c r="R73" i="21" s="1"/>
  <c r="P262" i="21"/>
  <c r="P277" i="21" s="1"/>
  <c r="P73" i="21" s="1"/>
  <c r="O262" i="21"/>
  <c r="O277" i="21" s="1"/>
  <c r="O73" i="21" s="1"/>
  <c r="N262" i="21"/>
  <c r="N277" i="21" s="1"/>
  <c r="N73" i="21" s="1"/>
  <c r="M262" i="21"/>
  <c r="M277" i="21" s="1"/>
  <c r="M73" i="21" s="1"/>
  <c r="L262" i="21"/>
  <c r="L277" i="21" s="1"/>
  <c r="L73" i="21" s="1"/>
  <c r="K262" i="21"/>
  <c r="K277" i="21" s="1"/>
  <c r="K73" i="21" s="1"/>
  <c r="J262" i="21"/>
  <c r="I262" i="21"/>
  <c r="H262" i="21"/>
  <c r="G262" i="21"/>
  <c r="F262" i="21"/>
  <c r="Q261" i="21"/>
  <c r="Q276" i="21" s="1"/>
  <c r="Q72" i="21" s="1"/>
  <c r="Q260" i="21"/>
  <c r="X260" i="21" s="1"/>
  <c r="N252" i="21"/>
  <c r="N70" i="21" s="1"/>
  <c r="R251" i="21"/>
  <c r="R69" i="21" s="1"/>
  <c r="P251" i="21"/>
  <c r="P69" i="21" s="1"/>
  <c r="O251" i="21"/>
  <c r="O69" i="21" s="1"/>
  <c r="N251" i="21"/>
  <c r="N69" i="21" s="1"/>
  <c r="M251" i="21"/>
  <c r="M69" i="21" s="1"/>
  <c r="L251" i="21"/>
  <c r="L69" i="21" s="1"/>
  <c r="K251" i="21"/>
  <c r="J251" i="21"/>
  <c r="I251" i="21"/>
  <c r="H251" i="21"/>
  <c r="G251" i="21"/>
  <c r="G69" i="21" s="1"/>
  <c r="F251" i="21"/>
  <c r="F69" i="21" s="1"/>
  <c r="R250" i="21"/>
  <c r="R68" i="21" s="1"/>
  <c r="P250" i="21"/>
  <c r="P68" i="21" s="1"/>
  <c r="O250" i="21"/>
  <c r="O68" i="21" s="1"/>
  <c r="N250" i="21"/>
  <c r="N68" i="21" s="1"/>
  <c r="M250" i="21"/>
  <c r="M68" i="21" s="1"/>
  <c r="L250" i="21"/>
  <c r="L68" i="21" s="1"/>
  <c r="K250" i="21"/>
  <c r="K68" i="21" s="1"/>
  <c r="J250" i="21"/>
  <c r="I250" i="21"/>
  <c r="H250" i="21"/>
  <c r="G250" i="21"/>
  <c r="F250" i="21"/>
  <c r="R249" i="21"/>
  <c r="P249" i="21"/>
  <c r="O249" i="21"/>
  <c r="N249" i="21"/>
  <c r="M249" i="21"/>
  <c r="L249" i="21"/>
  <c r="K249" i="21"/>
  <c r="J249" i="21"/>
  <c r="I249" i="21"/>
  <c r="H249" i="21"/>
  <c r="G249" i="21"/>
  <c r="F249" i="21"/>
  <c r="S248" i="21"/>
  <c r="Q248" i="21"/>
  <c r="Q247" i="21"/>
  <c r="X247" i="21" s="1"/>
  <c r="R246" i="21"/>
  <c r="P246" i="21"/>
  <c r="O246" i="21"/>
  <c r="N246" i="21"/>
  <c r="M246" i="21"/>
  <c r="L246" i="21"/>
  <c r="K246" i="21"/>
  <c r="J246" i="21"/>
  <c r="I246" i="21"/>
  <c r="H246" i="21"/>
  <c r="G246" i="21"/>
  <c r="F246" i="21"/>
  <c r="Q245" i="21"/>
  <c r="S245" i="21" s="1"/>
  <c r="X244" i="21"/>
  <c r="S244" i="21"/>
  <c r="S246" i="21" s="1"/>
  <c r="Q244" i="21"/>
  <c r="Q246" i="21" s="1"/>
  <c r="R243" i="21"/>
  <c r="P243" i="21"/>
  <c r="P252" i="21" s="1"/>
  <c r="P70" i="21" s="1"/>
  <c r="O243" i="21"/>
  <c r="O252" i="21" s="1"/>
  <c r="O70" i="21" s="1"/>
  <c r="N243" i="21"/>
  <c r="M243" i="21"/>
  <c r="L243" i="21"/>
  <c r="K243" i="21"/>
  <c r="J243" i="21"/>
  <c r="I243" i="21"/>
  <c r="H243" i="21"/>
  <c r="G243" i="21"/>
  <c r="F243" i="21"/>
  <c r="S242" i="21"/>
  <c r="Q242" i="21"/>
  <c r="Q241" i="21"/>
  <c r="Q250" i="21" s="1"/>
  <c r="R240" i="21"/>
  <c r="R252" i="21" s="1"/>
  <c r="R70" i="21" s="1"/>
  <c r="P240" i="21"/>
  <c r="O240" i="21"/>
  <c r="N240" i="21"/>
  <c r="M240" i="21"/>
  <c r="L240" i="21"/>
  <c r="K240" i="21"/>
  <c r="J240" i="21"/>
  <c r="I240" i="21"/>
  <c r="H240" i="21"/>
  <c r="G240" i="21"/>
  <c r="F240" i="21"/>
  <c r="Q239" i="21"/>
  <c r="Q251" i="21" s="1"/>
  <c r="Q69" i="21" s="1"/>
  <c r="X238" i="21"/>
  <c r="S238" i="21"/>
  <c r="Q238" i="21"/>
  <c r="Q240" i="21" s="1"/>
  <c r="R237" i="21"/>
  <c r="P237" i="21"/>
  <c r="O237" i="21"/>
  <c r="N237" i="21"/>
  <c r="M237" i="21"/>
  <c r="M252" i="21" s="1"/>
  <c r="M70" i="21" s="1"/>
  <c r="L237" i="21"/>
  <c r="L252" i="21" s="1"/>
  <c r="L70" i="21" s="1"/>
  <c r="K237" i="21"/>
  <c r="K252" i="21" s="1"/>
  <c r="K70" i="21" s="1"/>
  <c r="J237" i="21"/>
  <c r="J252" i="21" s="1"/>
  <c r="J70" i="21" s="1"/>
  <c r="I237" i="21"/>
  <c r="I252" i="21" s="1"/>
  <c r="I70" i="21" s="1"/>
  <c r="H237" i="21"/>
  <c r="H252" i="21" s="1"/>
  <c r="H70" i="21" s="1"/>
  <c r="G237" i="21"/>
  <c r="G252" i="21" s="1"/>
  <c r="G70" i="21" s="1"/>
  <c r="F237" i="21"/>
  <c r="F252" i="21" s="1"/>
  <c r="F70" i="21" s="1"/>
  <c r="S236" i="21"/>
  <c r="Q236" i="21"/>
  <c r="Q235" i="21"/>
  <c r="X235" i="21" s="1"/>
  <c r="H227" i="21"/>
  <c r="H67" i="21" s="1"/>
  <c r="R226" i="21"/>
  <c r="P226" i="21"/>
  <c r="P66" i="21" s="1"/>
  <c r="O226" i="21"/>
  <c r="O66" i="21" s="1"/>
  <c r="N226" i="21"/>
  <c r="N66" i="21" s="1"/>
  <c r="M226" i="21"/>
  <c r="M66" i="21" s="1"/>
  <c r="L226" i="21"/>
  <c r="L66" i="21" s="1"/>
  <c r="K226" i="21"/>
  <c r="K66" i="21" s="1"/>
  <c r="J226" i="21"/>
  <c r="J66" i="21" s="1"/>
  <c r="I226" i="21"/>
  <c r="I66" i="21" s="1"/>
  <c r="H226" i="21"/>
  <c r="H66" i="21" s="1"/>
  <c r="G226" i="21"/>
  <c r="G66" i="21" s="1"/>
  <c r="F226" i="21"/>
  <c r="F66" i="21" s="1"/>
  <c r="R225" i="21"/>
  <c r="P225" i="21"/>
  <c r="O225" i="21"/>
  <c r="O65" i="21" s="1"/>
  <c r="N225" i="21"/>
  <c r="N65" i="21" s="1"/>
  <c r="M225" i="21"/>
  <c r="M65" i="21" s="1"/>
  <c r="L225" i="21"/>
  <c r="L65" i="21" s="1"/>
  <c r="K225" i="21"/>
  <c r="K65" i="21" s="1"/>
  <c r="J225" i="21"/>
  <c r="J65" i="21" s="1"/>
  <c r="I225" i="21"/>
  <c r="I65" i="21" s="1"/>
  <c r="H225" i="21"/>
  <c r="H65" i="21" s="1"/>
  <c r="G225" i="21"/>
  <c r="G65" i="21" s="1"/>
  <c r="F225" i="21"/>
  <c r="F65" i="21" s="1"/>
  <c r="R224" i="21"/>
  <c r="P224" i="21"/>
  <c r="O224" i="21"/>
  <c r="N224" i="21"/>
  <c r="M224" i="21"/>
  <c r="L224" i="21"/>
  <c r="K224" i="21"/>
  <c r="J224" i="21"/>
  <c r="I224" i="21"/>
  <c r="H224" i="21"/>
  <c r="G224" i="21"/>
  <c r="F224" i="21"/>
  <c r="Q223" i="21"/>
  <c r="S223" i="21" s="1"/>
  <c r="X222" i="21"/>
  <c r="Q222" i="21"/>
  <c r="S222" i="21" s="1"/>
  <c r="R221" i="21"/>
  <c r="P221" i="21"/>
  <c r="O221" i="21"/>
  <c r="N221" i="21"/>
  <c r="M221" i="21"/>
  <c r="L221" i="21"/>
  <c r="K221" i="21"/>
  <c r="J221" i="21"/>
  <c r="I221" i="21"/>
  <c r="H221" i="21"/>
  <c r="G221" i="21"/>
  <c r="F221" i="21"/>
  <c r="Q220" i="21"/>
  <c r="S220" i="21" s="1"/>
  <c r="S219" i="21"/>
  <c r="S221" i="21" s="1"/>
  <c r="Q219" i="21"/>
  <c r="X219" i="21" s="1"/>
  <c r="R218" i="21"/>
  <c r="P218" i="21"/>
  <c r="O218" i="21"/>
  <c r="N218" i="21"/>
  <c r="M218" i="21"/>
  <c r="L218" i="21"/>
  <c r="L92" i="21" s="1"/>
  <c r="K218" i="21"/>
  <c r="K227" i="21" s="1"/>
  <c r="K67" i="21" s="1"/>
  <c r="J218" i="21"/>
  <c r="J92" i="21" s="1"/>
  <c r="I218" i="21"/>
  <c r="I92" i="21" s="1"/>
  <c r="H218" i="21"/>
  <c r="G218" i="21"/>
  <c r="F218" i="21"/>
  <c r="S217" i="21"/>
  <c r="Q217" i="21"/>
  <c r="Q216" i="21"/>
  <c r="X216" i="21" s="1"/>
  <c r="R215" i="21"/>
  <c r="P215" i="21"/>
  <c r="O215" i="21"/>
  <c r="N215" i="21"/>
  <c r="N227" i="21" s="1"/>
  <c r="N67" i="21" s="1"/>
  <c r="M215" i="21"/>
  <c r="M227" i="21" s="1"/>
  <c r="M67" i="21" s="1"/>
  <c r="L215" i="21"/>
  <c r="L227" i="21" s="1"/>
  <c r="L67" i="21" s="1"/>
  <c r="K215" i="21"/>
  <c r="J215" i="21"/>
  <c r="I215" i="21"/>
  <c r="H215" i="21"/>
  <c r="G215" i="21"/>
  <c r="F215" i="21"/>
  <c r="Q214" i="21"/>
  <c r="S214" i="21" s="1"/>
  <c r="X213" i="21"/>
  <c r="S213" i="21"/>
  <c r="S215" i="21" s="1"/>
  <c r="Q213" i="21"/>
  <c r="Q215" i="21" s="1"/>
  <c r="R212" i="21"/>
  <c r="R227" i="21" s="1"/>
  <c r="R67" i="21" s="1"/>
  <c r="P212" i="21"/>
  <c r="P227" i="21" s="1"/>
  <c r="P67" i="21" s="1"/>
  <c r="O212" i="21"/>
  <c r="O227" i="21" s="1"/>
  <c r="O67" i="21" s="1"/>
  <c r="N212" i="21"/>
  <c r="M212" i="21"/>
  <c r="L212" i="21"/>
  <c r="K212" i="21"/>
  <c r="J212" i="21"/>
  <c r="I212" i="21"/>
  <c r="H212" i="21"/>
  <c r="G212" i="21"/>
  <c r="G227" i="21" s="1"/>
  <c r="G67" i="21" s="1"/>
  <c r="F212" i="21"/>
  <c r="F227" i="21" s="1"/>
  <c r="F67" i="21" s="1"/>
  <c r="S211" i="21"/>
  <c r="Q211" i="21"/>
  <c r="Q226" i="21" s="1"/>
  <c r="Q66" i="21" s="1"/>
  <c r="Q210" i="21"/>
  <c r="Q225" i="21" s="1"/>
  <c r="R202" i="21"/>
  <c r="R64" i="21" s="1"/>
  <c r="R201" i="21"/>
  <c r="R63" i="21" s="1"/>
  <c r="P201" i="21"/>
  <c r="P63" i="21" s="1"/>
  <c r="O201" i="21"/>
  <c r="N201" i="21"/>
  <c r="M201" i="21"/>
  <c r="L201" i="21"/>
  <c r="K201" i="21"/>
  <c r="K63" i="21" s="1"/>
  <c r="J201" i="21"/>
  <c r="J63" i="21" s="1"/>
  <c r="I201" i="21"/>
  <c r="I63" i="21" s="1"/>
  <c r="H201" i="21"/>
  <c r="H63" i="21" s="1"/>
  <c r="G201" i="21"/>
  <c r="G63" i="21" s="1"/>
  <c r="F201" i="21"/>
  <c r="F63" i="21" s="1"/>
  <c r="R200" i="21"/>
  <c r="R62" i="21" s="1"/>
  <c r="P200" i="21"/>
  <c r="P62" i="21" s="1"/>
  <c r="O200" i="21"/>
  <c r="O62" i="21" s="1"/>
  <c r="N200" i="21"/>
  <c r="M200" i="21"/>
  <c r="L200" i="21"/>
  <c r="K200" i="21"/>
  <c r="J200" i="21"/>
  <c r="I200" i="21"/>
  <c r="I62" i="21" s="1"/>
  <c r="H200" i="21"/>
  <c r="H62" i="21" s="1"/>
  <c r="G200" i="21"/>
  <c r="G62" i="21" s="1"/>
  <c r="F200" i="21"/>
  <c r="F62" i="21" s="1"/>
  <c r="R199" i="21"/>
  <c r="P199" i="21"/>
  <c r="O199" i="21"/>
  <c r="N199" i="21"/>
  <c r="M199" i="21"/>
  <c r="L199" i="21"/>
  <c r="K199" i="21"/>
  <c r="J199" i="21"/>
  <c r="I199" i="21"/>
  <c r="H199" i="21"/>
  <c r="G199" i="21"/>
  <c r="F199" i="21"/>
  <c r="Q198" i="21"/>
  <c r="S198" i="21" s="1"/>
  <c r="X197" i="21"/>
  <c r="Q197" i="21"/>
  <c r="S197" i="21" s="1"/>
  <c r="S199" i="21" s="1"/>
  <c r="R196" i="21"/>
  <c r="R95" i="21" s="1"/>
  <c r="P196" i="21"/>
  <c r="P95" i="21" s="1"/>
  <c r="O196" i="21"/>
  <c r="N196" i="21"/>
  <c r="M196" i="21"/>
  <c r="L196" i="21"/>
  <c r="K196" i="21"/>
  <c r="J196" i="21"/>
  <c r="I196" i="21"/>
  <c r="H196" i="21"/>
  <c r="G196" i="21"/>
  <c r="F196" i="21"/>
  <c r="Q195" i="21"/>
  <c r="S195" i="21" s="1"/>
  <c r="Q194" i="21"/>
  <c r="Q200" i="21" s="1"/>
  <c r="R193" i="21"/>
  <c r="P193" i="21"/>
  <c r="O193" i="21"/>
  <c r="N193" i="21"/>
  <c r="M193" i="21"/>
  <c r="L193" i="21"/>
  <c r="K193" i="21"/>
  <c r="J193" i="21"/>
  <c r="I193" i="21"/>
  <c r="H193" i="21"/>
  <c r="G193" i="21"/>
  <c r="F193" i="21"/>
  <c r="Q192" i="21"/>
  <c r="Q201" i="21" s="1"/>
  <c r="Q63" i="21" s="1"/>
  <c r="X191" i="21"/>
  <c r="Q191" i="21"/>
  <c r="S191" i="21" s="1"/>
  <c r="R190" i="21"/>
  <c r="P190" i="21"/>
  <c r="O190" i="21"/>
  <c r="N190" i="21"/>
  <c r="M190" i="21"/>
  <c r="L190" i="21"/>
  <c r="K190" i="21"/>
  <c r="J190" i="21"/>
  <c r="I190" i="21"/>
  <c r="I89" i="21" s="1"/>
  <c r="H190" i="21"/>
  <c r="H202" i="21" s="1"/>
  <c r="H64" i="21" s="1"/>
  <c r="G190" i="21"/>
  <c r="G202" i="21" s="1"/>
  <c r="G64" i="21" s="1"/>
  <c r="F190" i="21"/>
  <c r="F202" i="21" s="1"/>
  <c r="F64" i="21" s="1"/>
  <c r="Q189" i="21"/>
  <c r="S189" i="21" s="1"/>
  <c r="S188" i="21"/>
  <c r="Q188" i="21"/>
  <c r="X188" i="21" s="1"/>
  <c r="R187" i="21"/>
  <c r="P187" i="21"/>
  <c r="P202" i="21" s="1"/>
  <c r="P64" i="21" s="1"/>
  <c r="O187" i="21"/>
  <c r="O202" i="21" s="1"/>
  <c r="O64" i="21" s="1"/>
  <c r="N187" i="21"/>
  <c r="N202" i="21" s="1"/>
  <c r="N64" i="21" s="1"/>
  <c r="M187" i="21"/>
  <c r="M202" i="21" s="1"/>
  <c r="M64" i="21" s="1"/>
  <c r="L187" i="21"/>
  <c r="L202" i="21" s="1"/>
  <c r="L64" i="21" s="1"/>
  <c r="K187" i="21"/>
  <c r="K202" i="21" s="1"/>
  <c r="K64" i="21" s="1"/>
  <c r="J187" i="21"/>
  <c r="J202" i="21" s="1"/>
  <c r="J64" i="21" s="1"/>
  <c r="I187" i="21"/>
  <c r="I202" i="21" s="1"/>
  <c r="I64" i="21" s="1"/>
  <c r="H187" i="21"/>
  <c r="G187" i="21"/>
  <c r="F187" i="21"/>
  <c r="S186" i="21"/>
  <c r="Q186" i="21"/>
  <c r="Q185" i="21"/>
  <c r="X185" i="21" s="1"/>
  <c r="L177" i="21"/>
  <c r="L61" i="21" s="1"/>
  <c r="R176" i="21"/>
  <c r="R60" i="21" s="1"/>
  <c r="P176" i="21"/>
  <c r="P60" i="21" s="1"/>
  <c r="O176" i="21"/>
  <c r="O60" i="21" s="1"/>
  <c r="N176" i="21"/>
  <c r="N60" i="21" s="1"/>
  <c r="M176" i="21"/>
  <c r="M60" i="21" s="1"/>
  <c r="L176" i="21"/>
  <c r="L60" i="21" s="1"/>
  <c r="K176" i="21"/>
  <c r="K60" i="21" s="1"/>
  <c r="J176" i="21"/>
  <c r="J100" i="21" s="1"/>
  <c r="I176" i="21"/>
  <c r="H176" i="21"/>
  <c r="G176" i="21"/>
  <c r="F176" i="21"/>
  <c r="R175" i="21"/>
  <c r="R59" i="21" s="1"/>
  <c r="P175" i="21"/>
  <c r="P59" i="21" s="1"/>
  <c r="O175" i="21"/>
  <c r="O59" i="21" s="1"/>
  <c r="N175" i="21"/>
  <c r="N59" i="21" s="1"/>
  <c r="M175" i="21"/>
  <c r="M59" i="21" s="1"/>
  <c r="L175" i="21"/>
  <c r="L59" i="21" s="1"/>
  <c r="K175" i="21"/>
  <c r="K59" i="21" s="1"/>
  <c r="J175" i="21"/>
  <c r="J59" i="21" s="1"/>
  <c r="I175" i="21"/>
  <c r="I59" i="21" s="1"/>
  <c r="H175" i="21"/>
  <c r="G175" i="21"/>
  <c r="F175" i="21"/>
  <c r="R174" i="21"/>
  <c r="P174" i="21"/>
  <c r="O174" i="21"/>
  <c r="N174" i="21"/>
  <c r="M174" i="21"/>
  <c r="L174" i="21"/>
  <c r="K174" i="21"/>
  <c r="J174" i="21"/>
  <c r="J98" i="21" s="1"/>
  <c r="I174" i="21"/>
  <c r="I98" i="21" s="1"/>
  <c r="H174" i="21"/>
  <c r="G174" i="21"/>
  <c r="G98" i="21" s="1"/>
  <c r="F174" i="21"/>
  <c r="Q173" i="21"/>
  <c r="S173" i="21" s="1"/>
  <c r="Q172" i="21"/>
  <c r="X172" i="21" s="1"/>
  <c r="R171" i="21"/>
  <c r="P171" i="21"/>
  <c r="O171" i="21"/>
  <c r="N171" i="21"/>
  <c r="M171" i="21"/>
  <c r="L171" i="21"/>
  <c r="K171" i="21"/>
  <c r="J171" i="21"/>
  <c r="I171" i="21"/>
  <c r="H171" i="21"/>
  <c r="G171" i="21"/>
  <c r="F171" i="21"/>
  <c r="Q170" i="21"/>
  <c r="S170" i="21" s="1"/>
  <c r="Q169" i="21"/>
  <c r="X169" i="21" s="1"/>
  <c r="R168" i="21"/>
  <c r="P168" i="21"/>
  <c r="P92" i="21" s="1"/>
  <c r="O168" i="21"/>
  <c r="O92" i="21" s="1"/>
  <c r="N168" i="21"/>
  <c r="N92" i="21" s="1"/>
  <c r="M168" i="21"/>
  <c r="M177" i="21" s="1"/>
  <c r="M61" i="21" s="1"/>
  <c r="L168" i="21"/>
  <c r="K168" i="21"/>
  <c r="J168" i="21"/>
  <c r="I168" i="21"/>
  <c r="H168" i="21"/>
  <c r="G168" i="21"/>
  <c r="F168" i="21"/>
  <c r="Q167" i="21"/>
  <c r="S167" i="21" s="1"/>
  <c r="X166" i="21"/>
  <c r="Q166" i="21"/>
  <c r="S166" i="21" s="1"/>
  <c r="S168" i="21" s="1"/>
  <c r="R165" i="21"/>
  <c r="R177" i="21" s="1"/>
  <c r="R61" i="21" s="1"/>
  <c r="P165" i="21"/>
  <c r="P177" i="21" s="1"/>
  <c r="P61" i="21" s="1"/>
  <c r="O165" i="21"/>
  <c r="N165" i="21"/>
  <c r="M165" i="21"/>
  <c r="L165" i="21"/>
  <c r="K165" i="21"/>
  <c r="J165" i="21"/>
  <c r="I165" i="21"/>
  <c r="H165" i="21"/>
  <c r="G165" i="21"/>
  <c r="F165" i="21"/>
  <c r="Q164" i="21"/>
  <c r="S164" i="21" s="1"/>
  <c r="Q163" i="21"/>
  <c r="Q175" i="21" s="1"/>
  <c r="R162" i="21"/>
  <c r="P162" i="21"/>
  <c r="O162" i="21"/>
  <c r="N162" i="21"/>
  <c r="M162" i="21"/>
  <c r="L162" i="21"/>
  <c r="K162" i="21"/>
  <c r="K177" i="21" s="1"/>
  <c r="K61" i="21" s="1"/>
  <c r="J162" i="21"/>
  <c r="J177" i="21" s="1"/>
  <c r="J61" i="21" s="1"/>
  <c r="I162" i="21"/>
  <c r="I177" i="21" s="1"/>
  <c r="I61" i="21" s="1"/>
  <c r="H162" i="21"/>
  <c r="H177" i="21" s="1"/>
  <c r="H61" i="21" s="1"/>
  <c r="G162" i="21"/>
  <c r="G177" i="21" s="1"/>
  <c r="G61" i="21" s="1"/>
  <c r="F162" i="21"/>
  <c r="F177" i="21" s="1"/>
  <c r="F61" i="21" s="1"/>
  <c r="Q161" i="21"/>
  <c r="Q176" i="21" s="1"/>
  <c r="Q60" i="21" s="1"/>
  <c r="X160" i="21"/>
  <c r="Q160" i="21"/>
  <c r="S160" i="21" s="1"/>
  <c r="F152" i="21"/>
  <c r="F58" i="21" s="1"/>
  <c r="R151" i="21"/>
  <c r="P151" i="21"/>
  <c r="O151" i="21"/>
  <c r="O57" i="21" s="1"/>
  <c r="N151" i="21"/>
  <c r="N57" i="21" s="1"/>
  <c r="M151" i="21"/>
  <c r="M57" i="21" s="1"/>
  <c r="L151" i="21"/>
  <c r="L57" i="21" s="1"/>
  <c r="K151" i="21"/>
  <c r="K57" i="21" s="1"/>
  <c r="J151" i="21"/>
  <c r="J57" i="21" s="1"/>
  <c r="I151" i="21"/>
  <c r="I57" i="21" s="1"/>
  <c r="H151" i="21"/>
  <c r="H57" i="21" s="1"/>
  <c r="G151" i="21"/>
  <c r="G57" i="21" s="1"/>
  <c r="F151" i="21"/>
  <c r="F57" i="21" s="1"/>
  <c r="R150" i="21"/>
  <c r="P150" i="21"/>
  <c r="O150" i="21"/>
  <c r="N150" i="21"/>
  <c r="M150" i="21"/>
  <c r="M56" i="21" s="1"/>
  <c r="L150" i="21"/>
  <c r="L56" i="21" s="1"/>
  <c r="K150" i="21"/>
  <c r="K56" i="21" s="1"/>
  <c r="J150" i="21"/>
  <c r="J56" i="21" s="1"/>
  <c r="I150" i="21"/>
  <c r="I56" i="21" s="1"/>
  <c r="H150" i="21"/>
  <c r="H56" i="21" s="1"/>
  <c r="G150" i="21"/>
  <c r="G56" i="21" s="1"/>
  <c r="F150" i="21"/>
  <c r="F56" i="21" s="1"/>
  <c r="R149" i="21"/>
  <c r="P149" i="21"/>
  <c r="O149" i="21"/>
  <c r="N149" i="21"/>
  <c r="M149" i="21"/>
  <c r="L149" i="21"/>
  <c r="K149" i="21"/>
  <c r="J149" i="21"/>
  <c r="I149" i="21"/>
  <c r="H149" i="21"/>
  <c r="H98" i="21" s="1"/>
  <c r="G149" i="21"/>
  <c r="F149" i="21"/>
  <c r="Q148" i="21"/>
  <c r="S148" i="21" s="1"/>
  <c r="Q147" i="21"/>
  <c r="Q149" i="21" s="1"/>
  <c r="R146" i="21"/>
  <c r="P146" i="21"/>
  <c r="O146" i="21"/>
  <c r="N146" i="21"/>
  <c r="M146" i="21"/>
  <c r="M95" i="21" s="1"/>
  <c r="L146" i="21"/>
  <c r="L95" i="21" s="1"/>
  <c r="K146" i="21"/>
  <c r="K95" i="21" s="1"/>
  <c r="J146" i="21"/>
  <c r="J95" i="21" s="1"/>
  <c r="I146" i="21"/>
  <c r="I95" i="21" s="1"/>
  <c r="H146" i="21"/>
  <c r="H95" i="21" s="1"/>
  <c r="G146" i="21"/>
  <c r="G95" i="21" s="1"/>
  <c r="F146" i="21"/>
  <c r="F95" i="21" s="1"/>
  <c r="Q145" i="21"/>
  <c r="S145" i="21" s="1"/>
  <c r="Q144" i="21"/>
  <c r="X144" i="21" s="1"/>
  <c r="R143" i="21"/>
  <c r="P143" i="21"/>
  <c r="O143" i="21"/>
  <c r="N143" i="21"/>
  <c r="M143" i="21"/>
  <c r="M92" i="21" s="1"/>
  <c r="L143" i="21"/>
  <c r="K143" i="21"/>
  <c r="J143" i="21"/>
  <c r="I143" i="21"/>
  <c r="I152" i="21" s="1"/>
  <c r="I58" i="21" s="1"/>
  <c r="H143" i="21"/>
  <c r="H152" i="21" s="1"/>
  <c r="H58" i="21" s="1"/>
  <c r="G143" i="21"/>
  <c r="G152" i="21" s="1"/>
  <c r="G58" i="21" s="1"/>
  <c r="F143" i="21"/>
  <c r="Q142" i="21"/>
  <c r="S142" i="21" s="1"/>
  <c r="Q141" i="21"/>
  <c r="X141" i="21" s="1"/>
  <c r="R140" i="21"/>
  <c r="P140" i="21"/>
  <c r="O140" i="21"/>
  <c r="N140" i="21"/>
  <c r="N89" i="21" s="1"/>
  <c r="M140" i="21"/>
  <c r="L140" i="21"/>
  <c r="L152" i="21" s="1"/>
  <c r="L58" i="21" s="1"/>
  <c r="K140" i="21"/>
  <c r="K152" i="21" s="1"/>
  <c r="K58" i="21" s="1"/>
  <c r="J140" i="21"/>
  <c r="J152" i="21" s="1"/>
  <c r="J58" i="21" s="1"/>
  <c r="I140" i="21"/>
  <c r="H140" i="21"/>
  <c r="G140" i="21"/>
  <c r="F140" i="21"/>
  <c r="Q139" i="21"/>
  <c r="S139" i="21" s="1"/>
  <c r="Q138" i="21"/>
  <c r="X138" i="21" s="1"/>
  <c r="R137" i="21"/>
  <c r="R152" i="21" s="1"/>
  <c r="R58" i="21" s="1"/>
  <c r="P137" i="21"/>
  <c r="P152" i="21" s="1"/>
  <c r="P58" i="21" s="1"/>
  <c r="O137" i="21"/>
  <c r="O152" i="21" s="1"/>
  <c r="O58" i="21" s="1"/>
  <c r="N137" i="21"/>
  <c r="N152" i="21" s="1"/>
  <c r="N58" i="21" s="1"/>
  <c r="M137" i="21"/>
  <c r="M86" i="21" s="1"/>
  <c r="L137" i="21"/>
  <c r="K137" i="21"/>
  <c r="J137" i="21"/>
  <c r="I137" i="21"/>
  <c r="H137" i="21"/>
  <c r="G137" i="21"/>
  <c r="F137" i="21"/>
  <c r="F86" i="21" s="1"/>
  <c r="Q136" i="21"/>
  <c r="Q151" i="21" s="1"/>
  <c r="Q57" i="21" s="1"/>
  <c r="X135" i="21"/>
  <c r="Q135" i="21"/>
  <c r="Q150" i="21" s="1"/>
  <c r="P127" i="21"/>
  <c r="R126" i="21"/>
  <c r="R100" i="21" s="1"/>
  <c r="P126" i="21"/>
  <c r="P100" i="21" s="1"/>
  <c r="O126" i="21"/>
  <c r="O100" i="21" s="1"/>
  <c r="N126" i="21"/>
  <c r="N100" i="21" s="1"/>
  <c r="M126" i="21"/>
  <c r="L126" i="21"/>
  <c r="K126" i="21"/>
  <c r="J126" i="21"/>
  <c r="I126" i="21"/>
  <c r="I54" i="21" s="1"/>
  <c r="I75" i="21" s="1"/>
  <c r="H126" i="21"/>
  <c r="H54" i="21" s="1"/>
  <c r="H75" i="21" s="1"/>
  <c r="G126" i="21"/>
  <c r="G100" i="21" s="1"/>
  <c r="F126" i="21"/>
  <c r="F100" i="21" s="1"/>
  <c r="R125" i="21"/>
  <c r="R99" i="21" s="1"/>
  <c r="P125" i="21"/>
  <c r="P99" i="21" s="1"/>
  <c r="O125" i="21"/>
  <c r="O53" i="21" s="1"/>
  <c r="N125" i="21"/>
  <c r="N99" i="21" s="1"/>
  <c r="M125" i="21"/>
  <c r="M99" i="21" s="1"/>
  <c r="L125" i="21"/>
  <c r="K125" i="21"/>
  <c r="J125" i="21"/>
  <c r="I125" i="21"/>
  <c r="H125" i="21"/>
  <c r="G125" i="21"/>
  <c r="G53" i="21" s="1"/>
  <c r="G74" i="21" s="1"/>
  <c r="F125" i="21"/>
  <c r="F53" i="21" s="1"/>
  <c r="F74" i="21" s="1"/>
  <c r="R124" i="21"/>
  <c r="R98" i="21" s="1"/>
  <c r="P124" i="21"/>
  <c r="P98" i="21" s="1"/>
  <c r="O124" i="21"/>
  <c r="O98" i="21" s="1"/>
  <c r="N124" i="21"/>
  <c r="N98" i="21" s="1"/>
  <c r="M124" i="21"/>
  <c r="M98" i="21" s="1"/>
  <c r="L124" i="21"/>
  <c r="L98" i="21" s="1"/>
  <c r="K124" i="21"/>
  <c r="K98" i="21" s="1"/>
  <c r="J124" i="21"/>
  <c r="I124" i="21"/>
  <c r="H124" i="21"/>
  <c r="G124" i="21"/>
  <c r="F124" i="21"/>
  <c r="Q123" i="21"/>
  <c r="Q97" i="21" s="1"/>
  <c r="Q122" i="21"/>
  <c r="X122" i="21" s="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Q120" i="21"/>
  <c r="S120" i="21" s="1"/>
  <c r="Q119" i="21"/>
  <c r="Q93" i="21" s="1"/>
  <c r="R118" i="21"/>
  <c r="R92" i="21" s="1"/>
  <c r="Q118" i="21"/>
  <c r="P118" i="21"/>
  <c r="O118" i="21"/>
  <c r="N118" i="21"/>
  <c r="M118" i="21"/>
  <c r="L118" i="21"/>
  <c r="K118" i="21"/>
  <c r="J118" i="21"/>
  <c r="I118" i="21"/>
  <c r="H118" i="21"/>
  <c r="G118" i="21"/>
  <c r="G92" i="21" s="1"/>
  <c r="F118" i="21"/>
  <c r="F92" i="21" s="1"/>
  <c r="Q117" i="21"/>
  <c r="Q91" i="21" s="1"/>
  <c r="Q116" i="21"/>
  <c r="X116" i="21" s="1"/>
  <c r="R115" i="21"/>
  <c r="P115" i="21"/>
  <c r="P89" i="21" s="1"/>
  <c r="O115" i="21"/>
  <c r="O89" i="21" s="1"/>
  <c r="N115" i="21"/>
  <c r="M115" i="21"/>
  <c r="M89" i="21" s="1"/>
  <c r="L115" i="21"/>
  <c r="L89" i="21" s="1"/>
  <c r="K115" i="21"/>
  <c r="K89" i="21" s="1"/>
  <c r="J115" i="21"/>
  <c r="J89" i="21" s="1"/>
  <c r="I115" i="21"/>
  <c r="H115" i="21"/>
  <c r="G115" i="21"/>
  <c r="G89" i="21" s="1"/>
  <c r="F115" i="21"/>
  <c r="F127" i="21" s="1"/>
  <c r="Q114" i="21"/>
  <c r="Q88" i="21" s="1"/>
  <c r="Q113" i="21"/>
  <c r="X113" i="21" s="1"/>
  <c r="R112" i="21"/>
  <c r="P112" i="21"/>
  <c r="O112" i="21"/>
  <c r="O127" i="21" s="1"/>
  <c r="N112" i="21"/>
  <c r="N127" i="21" s="1"/>
  <c r="M112" i="21"/>
  <c r="M127" i="21" s="1"/>
  <c r="L112" i="21"/>
  <c r="L127" i="21" s="1"/>
  <c r="K112" i="21"/>
  <c r="K86" i="21" s="1"/>
  <c r="J112" i="21"/>
  <c r="J86" i="21" s="1"/>
  <c r="I112" i="21"/>
  <c r="I86" i="21" s="1"/>
  <c r="H112" i="21"/>
  <c r="H86" i="21" s="1"/>
  <c r="G112" i="21"/>
  <c r="G86" i="21" s="1"/>
  <c r="F112" i="21"/>
  <c r="Q111" i="21"/>
  <c r="S111" i="21" s="1"/>
  <c r="Q110" i="21"/>
  <c r="X110" i="21" s="1"/>
  <c r="I100" i="21"/>
  <c r="H100" i="21"/>
  <c r="H99" i="21"/>
  <c r="G99" i="21"/>
  <c r="F99" i="21"/>
  <c r="F98" i="21"/>
  <c r="R97" i="21"/>
  <c r="P97" i="21"/>
  <c r="O97" i="21"/>
  <c r="N97" i="21"/>
  <c r="M97" i="21"/>
  <c r="L97" i="21"/>
  <c r="K97" i="21"/>
  <c r="J97" i="21"/>
  <c r="I97" i="21"/>
  <c r="H97" i="21"/>
  <c r="G97" i="21"/>
  <c r="F97" i="21"/>
  <c r="R96" i="21"/>
  <c r="P96" i="21"/>
  <c r="O96" i="21"/>
  <c r="N96" i="21"/>
  <c r="M96" i="21"/>
  <c r="L96" i="21"/>
  <c r="K96" i="21"/>
  <c r="J96" i="21"/>
  <c r="I96" i="21"/>
  <c r="H96" i="21"/>
  <c r="G96" i="21"/>
  <c r="F96" i="21"/>
  <c r="O95" i="21"/>
  <c r="N95" i="21"/>
  <c r="R94" i="21"/>
  <c r="P94" i="21"/>
  <c r="O94" i="21"/>
  <c r="N94" i="21"/>
  <c r="M94" i="21"/>
  <c r="L94" i="21"/>
  <c r="K94" i="21"/>
  <c r="J94" i="21"/>
  <c r="I94" i="21"/>
  <c r="H94" i="21"/>
  <c r="G94" i="21"/>
  <c r="F94" i="21"/>
  <c r="R93" i="21"/>
  <c r="P93" i="21"/>
  <c r="O93" i="21"/>
  <c r="N93" i="21"/>
  <c r="M93" i="21"/>
  <c r="L93" i="21"/>
  <c r="K93" i="21"/>
  <c r="J93" i="21"/>
  <c r="I93" i="21"/>
  <c r="H93" i="21"/>
  <c r="G93" i="21"/>
  <c r="F93" i="21"/>
  <c r="H92" i="21"/>
  <c r="R91" i="21"/>
  <c r="P91" i="21"/>
  <c r="O91" i="21"/>
  <c r="N91" i="21"/>
  <c r="M91" i="21"/>
  <c r="L91" i="21"/>
  <c r="K91" i="21"/>
  <c r="J91" i="21"/>
  <c r="I91" i="21"/>
  <c r="H91" i="21"/>
  <c r="G91" i="21"/>
  <c r="F91" i="21"/>
  <c r="R90" i="21"/>
  <c r="P90" i="21"/>
  <c r="O90" i="21"/>
  <c r="N90" i="21"/>
  <c r="M90" i="21"/>
  <c r="L90" i="21"/>
  <c r="K90" i="21"/>
  <c r="J90" i="21"/>
  <c r="I90" i="21"/>
  <c r="H90" i="21"/>
  <c r="G90" i="21"/>
  <c r="F90" i="21"/>
  <c r="R89" i="21"/>
  <c r="R88" i="21"/>
  <c r="P88" i="21"/>
  <c r="O88" i="21"/>
  <c r="N88" i="21"/>
  <c r="M88" i="21"/>
  <c r="L88" i="21"/>
  <c r="K88" i="21"/>
  <c r="J88" i="21"/>
  <c r="I88" i="21"/>
  <c r="H88" i="21"/>
  <c r="G88" i="21"/>
  <c r="F88" i="21"/>
  <c r="R87" i="21"/>
  <c r="P87" i="21"/>
  <c r="O87" i="21"/>
  <c r="N87" i="21"/>
  <c r="M87" i="21"/>
  <c r="L87" i="21"/>
  <c r="K87" i="21"/>
  <c r="J87" i="21"/>
  <c r="I87" i="21"/>
  <c r="H87" i="21"/>
  <c r="G87" i="21"/>
  <c r="F87" i="21"/>
  <c r="L86" i="21"/>
  <c r="R85" i="21"/>
  <c r="P85" i="21"/>
  <c r="O85" i="21"/>
  <c r="N85" i="21"/>
  <c r="M85" i="21"/>
  <c r="L85" i="21"/>
  <c r="K85" i="21"/>
  <c r="J85" i="21"/>
  <c r="I85" i="21"/>
  <c r="H85" i="21"/>
  <c r="G85" i="21"/>
  <c r="F85" i="21"/>
  <c r="R84" i="21"/>
  <c r="P84" i="21"/>
  <c r="O84" i="21"/>
  <c r="N84" i="21"/>
  <c r="M84" i="21"/>
  <c r="L84" i="21"/>
  <c r="K84" i="21"/>
  <c r="J84" i="21"/>
  <c r="I84" i="21"/>
  <c r="H84" i="21"/>
  <c r="G84" i="21"/>
  <c r="F84" i="21"/>
  <c r="P72" i="21"/>
  <c r="O72" i="21"/>
  <c r="N72" i="21"/>
  <c r="P71" i="21"/>
  <c r="O71" i="21"/>
  <c r="N71" i="21"/>
  <c r="M71" i="21"/>
  <c r="L71" i="21"/>
  <c r="K69" i="21"/>
  <c r="J69" i="21"/>
  <c r="I69" i="21"/>
  <c r="H69" i="21"/>
  <c r="J68" i="21"/>
  <c r="I68" i="21"/>
  <c r="H68" i="21"/>
  <c r="G68" i="21"/>
  <c r="F68" i="21"/>
  <c r="R66" i="21"/>
  <c r="R65" i="21"/>
  <c r="P65" i="21"/>
  <c r="O63" i="21"/>
  <c r="N63" i="21"/>
  <c r="M63" i="21"/>
  <c r="L63" i="21"/>
  <c r="N62" i="21"/>
  <c r="M62" i="21"/>
  <c r="L62" i="21"/>
  <c r="K62" i="21"/>
  <c r="J62" i="21"/>
  <c r="I60" i="21"/>
  <c r="H60" i="21"/>
  <c r="G60" i="21"/>
  <c r="F60" i="21"/>
  <c r="H59" i="21"/>
  <c r="G59" i="21"/>
  <c r="F59" i="21"/>
  <c r="R57" i="21"/>
  <c r="P57" i="21"/>
  <c r="R56" i="21"/>
  <c r="P56" i="21"/>
  <c r="O56" i="21"/>
  <c r="N56" i="21"/>
  <c r="M54" i="21"/>
  <c r="L54" i="21"/>
  <c r="K54" i="21"/>
  <c r="J54" i="21"/>
  <c r="L53" i="21"/>
  <c r="K53" i="21"/>
  <c r="J53" i="21"/>
  <c r="I53" i="21"/>
  <c r="H53" i="21"/>
  <c r="O44" i="21"/>
  <c r="N44" i="21"/>
  <c r="L44" i="21"/>
  <c r="I44" i="21"/>
  <c r="H44" i="21"/>
  <c r="G44" i="21"/>
  <c r="O43" i="21"/>
  <c r="N43" i="21"/>
  <c r="L43" i="21"/>
  <c r="K43" i="21"/>
  <c r="I43" i="21"/>
  <c r="H43" i="21"/>
  <c r="G43" i="21"/>
  <c r="R42" i="21"/>
  <c r="Q42" i="21"/>
  <c r="S42" i="21" s="1"/>
  <c r="P42" i="21"/>
  <c r="M42" i="21"/>
  <c r="J42" i="21"/>
  <c r="R41" i="21"/>
  <c r="Q41" i="21"/>
  <c r="S41" i="21" s="1"/>
  <c r="P41" i="21"/>
  <c r="M41" i="21"/>
  <c r="J41" i="21"/>
  <c r="R40" i="21"/>
  <c r="S40" i="21" s="1"/>
  <c r="Q40" i="21"/>
  <c r="P40" i="21"/>
  <c r="M40" i="21"/>
  <c r="J40" i="21"/>
  <c r="R39" i="21"/>
  <c r="S39" i="21" s="1"/>
  <c r="Q39" i="21"/>
  <c r="P39" i="21"/>
  <c r="M39" i="21"/>
  <c r="J39" i="21"/>
  <c r="R38" i="21"/>
  <c r="Q38" i="21"/>
  <c r="S38" i="21" s="1"/>
  <c r="P38" i="21"/>
  <c r="M38" i="21"/>
  <c r="J38" i="21"/>
  <c r="R37" i="21"/>
  <c r="Q37" i="21"/>
  <c r="S37" i="21" s="1"/>
  <c r="P37" i="21"/>
  <c r="M37" i="21"/>
  <c r="J37" i="21"/>
  <c r="R36" i="21"/>
  <c r="Q36" i="21"/>
  <c r="S36" i="21" s="1"/>
  <c r="P36" i="21"/>
  <c r="M36" i="21"/>
  <c r="J36" i="21"/>
  <c r="R35" i="21"/>
  <c r="Q35" i="21"/>
  <c r="S35" i="21" s="1"/>
  <c r="P35" i="21"/>
  <c r="M35" i="21"/>
  <c r="J35" i="21"/>
  <c r="R34" i="21"/>
  <c r="Q34" i="21"/>
  <c r="S34" i="21" s="1"/>
  <c r="P34" i="21"/>
  <c r="M34" i="21"/>
  <c r="J34" i="21"/>
  <c r="R33" i="21"/>
  <c r="Q33" i="21"/>
  <c r="S33" i="21" s="1"/>
  <c r="P33" i="21"/>
  <c r="M33" i="21"/>
  <c r="J33" i="21"/>
  <c r="R32" i="21"/>
  <c r="S32" i="21" s="1"/>
  <c r="Q32" i="21"/>
  <c r="P32" i="21"/>
  <c r="M32" i="21"/>
  <c r="J32" i="21"/>
  <c r="R31" i="21"/>
  <c r="S31" i="21" s="1"/>
  <c r="Q31" i="21"/>
  <c r="P31" i="21"/>
  <c r="M31" i="21"/>
  <c r="J31" i="21"/>
  <c r="R30" i="21"/>
  <c r="Q30" i="21"/>
  <c r="S30" i="21" s="1"/>
  <c r="P30" i="21"/>
  <c r="M30" i="21"/>
  <c r="J30" i="21"/>
  <c r="R29" i="21"/>
  <c r="R43" i="21" s="1"/>
  <c r="Q29" i="21"/>
  <c r="Q43" i="21" s="1"/>
  <c r="P29" i="21"/>
  <c r="P43" i="21" s="1"/>
  <c r="M29" i="21"/>
  <c r="M43" i="21" s="1"/>
  <c r="J29" i="21"/>
  <c r="J43" i="21" s="1"/>
  <c r="O28" i="21"/>
  <c r="N28" i="21"/>
  <c r="L28" i="21"/>
  <c r="K28" i="21"/>
  <c r="K44" i="21" s="1"/>
  <c r="I28" i="21"/>
  <c r="H28" i="21"/>
  <c r="G28" i="21"/>
  <c r="R27" i="21"/>
  <c r="Q27" i="21"/>
  <c r="S27" i="21" s="1"/>
  <c r="P27" i="21"/>
  <c r="M27" i="21"/>
  <c r="J27" i="21"/>
  <c r="R26" i="21"/>
  <c r="Q26" i="21"/>
  <c r="S26" i="21" s="1"/>
  <c r="P26" i="21"/>
  <c r="M26" i="21"/>
  <c r="J26" i="21"/>
  <c r="S25" i="21"/>
  <c r="R25" i="21"/>
  <c r="Q25" i="21"/>
  <c r="P25" i="21"/>
  <c r="M25" i="21"/>
  <c r="J25" i="21"/>
  <c r="S24" i="21"/>
  <c r="R24" i="21"/>
  <c r="Q24" i="21"/>
  <c r="P24" i="21"/>
  <c r="M24" i="21"/>
  <c r="J24" i="21"/>
  <c r="R23" i="21"/>
  <c r="Q23" i="21"/>
  <c r="S23" i="21" s="1"/>
  <c r="P23" i="21"/>
  <c r="M23" i="21"/>
  <c r="J23" i="21"/>
  <c r="R22" i="21"/>
  <c r="Q22" i="21"/>
  <c r="S22" i="21" s="1"/>
  <c r="P22" i="21"/>
  <c r="M22" i="21"/>
  <c r="J22" i="21"/>
  <c r="R21" i="21"/>
  <c r="Q21" i="21"/>
  <c r="S21" i="21" s="1"/>
  <c r="P21" i="21"/>
  <c r="M21" i="21"/>
  <c r="J21" i="21"/>
  <c r="R20" i="21"/>
  <c r="Q20" i="21"/>
  <c r="S20" i="21" s="1"/>
  <c r="P20" i="21"/>
  <c r="M20" i="21"/>
  <c r="J20" i="21"/>
  <c r="R19" i="21"/>
  <c r="Q19" i="21"/>
  <c r="S19" i="21" s="1"/>
  <c r="P19" i="21"/>
  <c r="M19" i="21"/>
  <c r="J19" i="21"/>
  <c r="R18" i="21"/>
  <c r="Q18" i="21"/>
  <c r="S18" i="21" s="1"/>
  <c r="P18" i="21"/>
  <c r="M18" i="21"/>
  <c r="J18" i="21"/>
  <c r="S17" i="21"/>
  <c r="R17" i="21"/>
  <c r="Q17" i="21"/>
  <c r="P17" i="21"/>
  <c r="M17" i="21"/>
  <c r="J17" i="21"/>
  <c r="S16" i="21"/>
  <c r="R16" i="21"/>
  <c r="Q16" i="21"/>
  <c r="P16" i="21"/>
  <c r="M16" i="21"/>
  <c r="J16" i="21"/>
  <c r="R15" i="21"/>
  <c r="Q15" i="21"/>
  <c r="S15" i="21" s="1"/>
  <c r="P15" i="21"/>
  <c r="M15" i="21"/>
  <c r="J15" i="21"/>
  <c r="R14" i="21"/>
  <c r="Q14" i="21"/>
  <c r="S14" i="21" s="1"/>
  <c r="P14" i="21"/>
  <c r="M14" i="21"/>
  <c r="J14" i="21"/>
  <c r="R13" i="21"/>
  <c r="Q13" i="21"/>
  <c r="S13" i="21" s="1"/>
  <c r="P13" i="21"/>
  <c r="M13" i="21"/>
  <c r="J13" i="21"/>
  <c r="R12" i="21"/>
  <c r="Q12" i="21"/>
  <c r="S12" i="21" s="1"/>
  <c r="P12" i="21"/>
  <c r="M12" i="21"/>
  <c r="J12" i="21"/>
  <c r="R11" i="21"/>
  <c r="Q11" i="21"/>
  <c r="S11" i="21" s="1"/>
  <c r="P11" i="21"/>
  <c r="M11" i="21"/>
  <c r="J11" i="21"/>
  <c r="R10" i="21"/>
  <c r="Q10" i="21"/>
  <c r="S10" i="21" s="1"/>
  <c r="P10" i="21"/>
  <c r="M10" i="21"/>
  <c r="J10" i="21"/>
  <c r="S9" i="21"/>
  <c r="R9" i="21"/>
  <c r="Q9" i="21"/>
  <c r="P9" i="21"/>
  <c r="M9" i="21"/>
  <c r="J9" i="21"/>
  <c r="J28" i="21" s="1"/>
  <c r="S8" i="21"/>
  <c r="R8" i="21"/>
  <c r="Q8" i="21"/>
  <c r="P8" i="21"/>
  <c r="M8" i="21"/>
  <c r="J8" i="21"/>
  <c r="R7" i="21"/>
  <c r="R28" i="21" s="1"/>
  <c r="R44" i="21" s="1"/>
  <c r="Q7" i="21"/>
  <c r="Q28" i="21" s="1"/>
  <c r="Q44" i="21" s="1"/>
  <c r="P7" i="21"/>
  <c r="P28" i="21" s="1"/>
  <c r="P44" i="21" s="1"/>
  <c r="M7" i="21"/>
  <c r="M28" i="21" s="1"/>
  <c r="J7" i="21"/>
  <c r="R276" i="20"/>
  <c r="R72" i="20" s="1"/>
  <c r="P276" i="20"/>
  <c r="O276" i="20"/>
  <c r="N276" i="20"/>
  <c r="M276" i="20"/>
  <c r="M72" i="20" s="1"/>
  <c r="L276" i="20"/>
  <c r="L72" i="20" s="1"/>
  <c r="K276" i="20"/>
  <c r="K72" i="20" s="1"/>
  <c r="J276" i="20"/>
  <c r="J72" i="20" s="1"/>
  <c r="I276" i="20"/>
  <c r="I72" i="20" s="1"/>
  <c r="H276" i="20"/>
  <c r="H72" i="20" s="1"/>
  <c r="G276" i="20"/>
  <c r="G72" i="20" s="1"/>
  <c r="F276" i="20"/>
  <c r="F72" i="20" s="1"/>
  <c r="R275" i="20"/>
  <c r="R71" i="20" s="1"/>
  <c r="P275" i="20"/>
  <c r="O275" i="20"/>
  <c r="N275" i="20"/>
  <c r="M275" i="20"/>
  <c r="L275" i="20"/>
  <c r="K275" i="20"/>
  <c r="K71" i="20" s="1"/>
  <c r="J275" i="20"/>
  <c r="J71" i="20" s="1"/>
  <c r="I275" i="20"/>
  <c r="I71" i="20" s="1"/>
  <c r="H275" i="20"/>
  <c r="H71" i="20" s="1"/>
  <c r="G275" i="20"/>
  <c r="G71" i="20" s="1"/>
  <c r="F275" i="20"/>
  <c r="F71" i="20" s="1"/>
  <c r="R274" i="20"/>
  <c r="Q274" i="20"/>
  <c r="P274" i="20"/>
  <c r="O274" i="20"/>
  <c r="N274" i="20"/>
  <c r="M274" i="20"/>
  <c r="L274" i="20"/>
  <c r="K274" i="20"/>
  <c r="J274" i="20"/>
  <c r="I274" i="20"/>
  <c r="H274" i="20"/>
  <c r="G274" i="20"/>
  <c r="F274" i="20"/>
  <c r="Q273" i="20"/>
  <c r="S273" i="20" s="1"/>
  <c r="Q272" i="20"/>
  <c r="S271" i="20"/>
  <c r="R271" i="20"/>
  <c r="P271" i="20"/>
  <c r="O271" i="20"/>
  <c r="N271" i="20"/>
  <c r="M271" i="20"/>
  <c r="L271" i="20"/>
  <c r="K271" i="20"/>
  <c r="J271" i="20"/>
  <c r="I271" i="20"/>
  <c r="H271" i="20"/>
  <c r="G271" i="20"/>
  <c r="F271" i="20"/>
  <c r="Q270" i="20"/>
  <c r="S270" i="20" s="1"/>
  <c r="X269" i="20"/>
  <c r="S269" i="20"/>
  <c r="Q269" i="20"/>
  <c r="Q271" i="20" s="1"/>
  <c r="R268" i="20"/>
  <c r="P268" i="20"/>
  <c r="O268" i="20"/>
  <c r="N268" i="20"/>
  <c r="M268" i="20"/>
  <c r="L268" i="20"/>
  <c r="K268" i="20"/>
  <c r="J268" i="20"/>
  <c r="I268" i="20"/>
  <c r="H268" i="20"/>
  <c r="G268" i="20"/>
  <c r="G277" i="20" s="1"/>
  <c r="G73" i="20" s="1"/>
  <c r="F268" i="20"/>
  <c r="F277" i="20" s="1"/>
  <c r="F73" i="20" s="1"/>
  <c r="S267" i="20"/>
  <c r="Q267" i="20"/>
  <c r="S266" i="20"/>
  <c r="S268" i="20" s="1"/>
  <c r="Q266" i="20"/>
  <c r="X266" i="20" s="1"/>
  <c r="R265" i="20"/>
  <c r="Q265" i="20"/>
  <c r="P265" i="20"/>
  <c r="O265" i="20"/>
  <c r="N265" i="20"/>
  <c r="M265" i="20"/>
  <c r="L265" i="20"/>
  <c r="K265" i="20"/>
  <c r="J265" i="20"/>
  <c r="J277" i="20" s="1"/>
  <c r="J73" i="20" s="1"/>
  <c r="I265" i="20"/>
  <c r="I277" i="20" s="1"/>
  <c r="I73" i="20" s="1"/>
  <c r="H265" i="20"/>
  <c r="H277" i="20" s="1"/>
  <c r="H73" i="20" s="1"/>
  <c r="G265" i="20"/>
  <c r="F265" i="20"/>
  <c r="S264" i="20"/>
  <c r="Q264" i="20"/>
  <c r="Q263" i="20"/>
  <c r="X263" i="20" s="1"/>
  <c r="R262" i="20"/>
  <c r="R277" i="20" s="1"/>
  <c r="R73" i="20" s="1"/>
  <c r="P262" i="20"/>
  <c r="O262" i="20"/>
  <c r="O277" i="20" s="1"/>
  <c r="O73" i="20" s="1"/>
  <c r="N262" i="20"/>
  <c r="N277" i="20" s="1"/>
  <c r="N73" i="20" s="1"/>
  <c r="M262" i="20"/>
  <c r="M277" i="20" s="1"/>
  <c r="M73" i="20" s="1"/>
  <c r="L262" i="20"/>
  <c r="L277" i="20" s="1"/>
  <c r="L73" i="20" s="1"/>
  <c r="K262" i="20"/>
  <c r="K277" i="20" s="1"/>
  <c r="K73" i="20" s="1"/>
  <c r="J262" i="20"/>
  <c r="I262" i="20"/>
  <c r="H262" i="20"/>
  <c r="G262" i="20"/>
  <c r="F262" i="20"/>
  <c r="Q261" i="20"/>
  <c r="Q276" i="20" s="1"/>
  <c r="S260" i="20"/>
  <c r="Q260" i="20"/>
  <c r="X260" i="20" s="1"/>
  <c r="P252" i="20"/>
  <c r="P70" i="20" s="1"/>
  <c r="O252" i="20"/>
  <c r="O70" i="20" s="1"/>
  <c r="N252" i="20"/>
  <c r="N70" i="20" s="1"/>
  <c r="R251" i="20"/>
  <c r="R69" i="20" s="1"/>
  <c r="P251" i="20"/>
  <c r="P69" i="20" s="1"/>
  <c r="O251" i="20"/>
  <c r="O69" i="20" s="1"/>
  <c r="N251" i="20"/>
  <c r="N69" i="20" s="1"/>
  <c r="M251" i="20"/>
  <c r="M69" i="20" s="1"/>
  <c r="L251" i="20"/>
  <c r="L69" i="20" s="1"/>
  <c r="K251" i="20"/>
  <c r="J251" i="20"/>
  <c r="I251" i="20"/>
  <c r="H251" i="20"/>
  <c r="G251" i="20"/>
  <c r="G69" i="20" s="1"/>
  <c r="F251" i="20"/>
  <c r="F69" i="20" s="1"/>
  <c r="R250" i="20"/>
  <c r="R68" i="20" s="1"/>
  <c r="P250" i="20"/>
  <c r="P68" i="20" s="1"/>
  <c r="O250" i="20"/>
  <c r="O68" i="20" s="1"/>
  <c r="N250" i="20"/>
  <c r="N68" i="20" s="1"/>
  <c r="M250" i="20"/>
  <c r="M68" i="20" s="1"/>
  <c r="L250" i="20"/>
  <c r="L68" i="20" s="1"/>
  <c r="K250" i="20"/>
  <c r="K68" i="20" s="1"/>
  <c r="J250" i="20"/>
  <c r="I250" i="20"/>
  <c r="H250" i="20"/>
  <c r="G250" i="20"/>
  <c r="F250" i="20"/>
  <c r="R249" i="20"/>
  <c r="P249" i="20"/>
  <c r="O249" i="20"/>
  <c r="N249" i="20"/>
  <c r="M249" i="20"/>
  <c r="L249" i="20"/>
  <c r="K249" i="20"/>
  <c r="J249" i="20"/>
  <c r="I249" i="20"/>
  <c r="H249" i="20"/>
  <c r="G249" i="20"/>
  <c r="F249" i="20"/>
  <c r="Q248" i="20"/>
  <c r="S248" i="20" s="1"/>
  <c r="S247" i="20"/>
  <c r="S249" i="20" s="1"/>
  <c r="Q247" i="20"/>
  <c r="X247" i="20" s="1"/>
  <c r="R246" i="20"/>
  <c r="P246" i="20"/>
  <c r="O246" i="20"/>
  <c r="N246" i="20"/>
  <c r="M246" i="20"/>
  <c r="L246" i="20"/>
  <c r="K246" i="20"/>
  <c r="J246" i="20"/>
  <c r="I246" i="20"/>
  <c r="H246" i="20"/>
  <c r="G246" i="20"/>
  <c r="F246" i="20"/>
  <c r="S245" i="20"/>
  <c r="Q245" i="20"/>
  <c r="Q244" i="20"/>
  <c r="X244" i="20" s="1"/>
  <c r="R243" i="20"/>
  <c r="Q243" i="20"/>
  <c r="P243" i="20"/>
  <c r="O243" i="20"/>
  <c r="N243" i="20"/>
  <c r="M243" i="20"/>
  <c r="L243" i="20"/>
  <c r="K243" i="20"/>
  <c r="J243" i="20"/>
  <c r="I243" i="20"/>
  <c r="H243" i="20"/>
  <c r="G243" i="20"/>
  <c r="F243" i="20"/>
  <c r="Q242" i="20"/>
  <c r="S242" i="20" s="1"/>
  <c r="Q241" i="20"/>
  <c r="R240" i="20"/>
  <c r="R252" i="20" s="1"/>
  <c r="R70" i="20" s="1"/>
  <c r="P240" i="20"/>
  <c r="O240" i="20"/>
  <c r="N240" i="20"/>
  <c r="M240" i="20"/>
  <c r="L240" i="20"/>
  <c r="K240" i="20"/>
  <c r="J240" i="20"/>
  <c r="I240" i="20"/>
  <c r="H240" i="20"/>
  <c r="G240" i="20"/>
  <c r="F240" i="20"/>
  <c r="Q239" i="20"/>
  <c r="X238" i="20"/>
  <c r="S238" i="20"/>
  <c r="Q238" i="20"/>
  <c r="Q240" i="20" s="1"/>
  <c r="R237" i="20"/>
  <c r="P237" i="20"/>
  <c r="O237" i="20"/>
  <c r="N237" i="20"/>
  <c r="M237" i="20"/>
  <c r="L237" i="20"/>
  <c r="K237" i="20"/>
  <c r="J237" i="20"/>
  <c r="I237" i="20"/>
  <c r="I252" i="20" s="1"/>
  <c r="I70" i="20" s="1"/>
  <c r="H237" i="20"/>
  <c r="H252" i="20" s="1"/>
  <c r="H70" i="20" s="1"/>
  <c r="G237" i="20"/>
  <c r="G252" i="20" s="1"/>
  <c r="G70" i="20" s="1"/>
  <c r="F237" i="20"/>
  <c r="F252" i="20" s="1"/>
  <c r="F70" i="20" s="1"/>
  <c r="S236" i="20"/>
  <c r="Q236" i="20"/>
  <c r="S235" i="20"/>
  <c r="S237" i="20" s="1"/>
  <c r="Q235" i="20"/>
  <c r="X235" i="20" s="1"/>
  <c r="R226" i="20"/>
  <c r="P226" i="20"/>
  <c r="P66" i="20" s="1"/>
  <c r="O226" i="20"/>
  <c r="O66" i="20" s="1"/>
  <c r="N226" i="20"/>
  <c r="N66" i="20" s="1"/>
  <c r="M226" i="20"/>
  <c r="M66" i="20" s="1"/>
  <c r="L226" i="20"/>
  <c r="L66" i="20" s="1"/>
  <c r="K226" i="20"/>
  <c r="K66" i="20" s="1"/>
  <c r="J226" i="20"/>
  <c r="J66" i="20" s="1"/>
  <c r="I226" i="20"/>
  <c r="I66" i="20" s="1"/>
  <c r="H226" i="20"/>
  <c r="H66" i="20" s="1"/>
  <c r="G226" i="20"/>
  <c r="G66" i="20" s="1"/>
  <c r="F226" i="20"/>
  <c r="F66" i="20" s="1"/>
  <c r="R225" i="20"/>
  <c r="P225" i="20"/>
  <c r="O225" i="20"/>
  <c r="O65" i="20" s="1"/>
  <c r="N225" i="20"/>
  <c r="N65" i="20" s="1"/>
  <c r="M225" i="20"/>
  <c r="M65" i="20" s="1"/>
  <c r="L225" i="20"/>
  <c r="L65" i="20" s="1"/>
  <c r="K225" i="20"/>
  <c r="K65" i="20" s="1"/>
  <c r="J225" i="20"/>
  <c r="J65" i="20" s="1"/>
  <c r="I225" i="20"/>
  <c r="I65" i="20" s="1"/>
  <c r="H225" i="20"/>
  <c r="H65" i="20" s="1"/>
  <c r="G225" i="20"/>
  <c r="G65" i="20" s="1"/>
  <c r="F225" i="20"/>
  <c r="F65" i="20" s="1"/>
  <c r="R224" i="20"/>
  <c r="P224" i="20"/>
  <c r="O224" i="20"/>
  <c r="N224" i="20"/>
  <c r="M224" i="20"/>
  <c r="L224" i="20"/>
  <c r="K224" i="20"/>
  <c r="J224" i="20"/>
  <c r="I224" i="20"/>
  <c r="H224" i="20"/>
  <c r="G224" i="20"/>
  <c r="F224" i="20"/>
  <c r="Q223" i="20"/>
  <c r="S223" i="20" s="1"/>
  <c r="X222" i="20"/>
  <c r="Q222" i="20"/>
  <c r="S222" i="20" s="1"/>
  <c r="S224" i="20" s="1"/>
  <c r="R221" i="20"/>
  <c r="P221" i="20"/>
  <c r="O221" i="20"/>
  <c r="N221" i="20"/>
  <c r="M221" i="20"/>
  <c r="L221" i="20"/>
  <c r="K221" i="20"/>
  <c r="J221" i="20"/>
  <c r="I221" i="20"/>
  <c r="H221" i="20"/>
  <c r="H227" i="20" s="1"/>
  <c r="H67" i="20" s="1"/>
  <c r="G221" i="20"/>
  <c r="F221" i="20"/>
  <c r="Q220" i="20"/>
  <c r="S220" i="20" s="1"/>
  <c r="Q219" i="20"/>
  <c r="X219" i="20" s="1"/>
  <c r="R218" i="20"/>
  <c r="P218" i="20"/>
  <c r="O218" i="20"/>
  <c r="N218" i="20"/>
  <c r="M218" i="20"/>
  <c r="L218" i="20"/>
  <c r="L92" i="20" s="1"/>
  <c r="K218" i="20"/>
  <c r="K227" i="20" s="1"/>
  <c r="K67" i="20" s="1"/>
  <c r="J218" i="20"/>
  <c r="J227" i="20" s="1"/>
  <c r="J67" i="20" s="1"/>
  <c r="I218" i="20"/>
  <c r="I227" i="20" s="1"/>
  <c r="I67" i="20" s="1"/>
  <c r="H218" i="20"/>
  <c r="G218" i="20"/>
  <c r="F218" i="20"/>
  <c r="Q217" i="20"/>
  <c r="S217" i="20" s="1"/>
  <c r="S216" i="20"/>
  <c r="Q216" i="20"/>
  <c r="X216" i="20" s="1"/>
  <c r="R215" i="20"/>
  <c r="P215" i="20"/>
  <c r="O215" i="20"/>
  <c r="N215" i="20"/>
  <c r="N227" i="20" s="1"/>
  <c r="N67" i="20" s="1"/>
  <c r="M215" i="20"/>
  <c r="M227" i="20" s="1"/>
  <c r="M67" i="20" s="1"/>
  <c r="L215" i="20"/>
  <c r="L227" i="20" s="1"/>
  <c r="L67" i="20" s="1"/>
  <c r="K215" i="20"/>
  <c r="J215" i="20"/>
  <c r="I215" i="20"/>
  <c r="H215" i="20"/>
  <c r="G215" i="20"/>
  <c r="F215" i="20"/>
  <c r="S214" i="20"/>
  <c r="Q214" i="20"/>
  <c r="Q213" i="20"/>
  <c r="X213" i="20" s="1"/>
  <c r="R212" i="20"/>
  <c r="R227" i="20" s="1"/>
  <c r="R67" i="20" s="1"/>
  <c r="Q212" i="20"/>
  <c r="P212" i="20"/>
  <c r="P227" i="20" s="1"/>
  <c r="P67" i="20" s="1"/>
  <c r="O212" i="20"/>
  <c r="O227" i="20" s="1"/>
  <c r="O67" i="20" s="1"/>
  <c r="N212" i="20"/>
  <c r="M212" i="20"/>
  <c r="L212" i="20"/>
  <c r="K212" i="20"/>
  <c r="J212" i="20"/>
  <c r="I212" i="20"/>
  <c r="H212" i="20"/>
  <c r="G212" i="20"/>
  <c r="F212" i="20"/>
  <c r="Q211" i="20"/>
  <c r="Q210" i="20"/>
  <c r="R202" i="20"/>
  <c r="R64" i="20" s="1"/>
  <c r="R201" i="20"/>
  <c r="R63" i="20" s="1"/>
  <c r="Q201" i="20"/>
  <c r="Q63" i="20" s="1"/>
  <c r="P201" i="20"/>
  <c r="P63" i="20" s="1"/>
  <c r="O201" i="20"/>
  <c r="N201" i="20"/>
  <c r="M201" i="20"/>
  <c r="L201" i="20"/>
  <c r="K201" i="20"/>
  <c r="K63" i="20" s="1"/>
  <c r="J201" i="20"/>
  <c r="J63" i="20" s="1"/>
  <c r="I201" i="20"/>
  <c r="I63" i="20" s="1"/>
  <c r="H201" i="20"/>
  <c r="H63" i="20" s="1"/>
  <c r="G201" i="20"/>
  <c r="G63" i="20" s="1"/>
  <c r="F201" i="20"/>
  <c r="F63" i="20" s="1"/>
  <c r="R200" i="20"/>
  <c r="R62" i="20" s="1"/>
  <c r="Q200" i="20"/>
  <c r="P200" i="20"/>
  <c r="P62" i="20" s="1"/>
  <c r="O200" i="20"/>
  <c r="O62" i="20" s="1"/>
  <c r="N200" i="20"/>
  <c r="M200" i="20"/>
  <c r="L200" i="20"/>
  <c r="K200" i="20"/>
  <c r="J200" i="20"/>
  <c r="I200" i="20"/>
  <c r="I62" i="20" s="1"/>
  <c r="H200" i="20"/>
  <c r="H62" i="20" s="1"/>
  <c r="G200" i="20"/>
  <c r="G62" i="20" s="1"/>
  <c r="F200" i="20"/>
  <c r="F62" i="20" s="1"/>
  <c r="R199" i="20"/>
  <c r="P199" i="20"/>
  <c r="O199" i="20"/>
  <c r="N199" i="20"/>
  <c r="M199" i="20"/>
  <c r="L199" i="20"/>
  <c r="K199" i="20"/>
  <c r="J199" i="20"/>
  <c r="I199" i="20"/>
  <c r="H199" i="20"/>
  <c r="G199" i="20"/>
  <c r="F199" i="20"/>
  <c r="Q198" i="20"/>
  <c r="S198" i="20" s="1"/>
  <c r="Q197" i="20"/>
  <c r="X197" i="20" s="1"/>
  <c r="R196" i="20"/>
  <c r="Q196" i="20"/>
  <c r="P196" i="20"/>
  <c r="O196" i="20"/>
  <c r="N196" i="20"/>
  <c r="M196" i="20"/>
  <c r="L196" i="20"/>
  <c r="K196" i="20"/>
  <c r="J196" i="20"/>
  <c r="I196" i="20"/>
  <c r="H196" i="20"/>
  <c r="G196" i="20"/>
  <c r="F196" i="20"/>
  <c r="Q195" i="20"/>
  <c r="S195" i="20" s="1"/>
  <c r="Q194" i="20"/>
  <c r="X194" i="20" s="1"/>
  <c r="R193" i="20"/>
  <c r="P193" i="20"/>
  <c r="O193" i="20"/>
  <c r="N193" i="20"/>
  <c r="M193" i="20"/>
  <c r="L193" i="20"/>
  <c r="K193" i="20"/>
  <c r="J193" i="20"/>
  <c r="I193" i="20"/>
  <c r="H193" i="20"/>
  <c r="G193" i="20"/>
  <c r="F193" i="20"/>
  <c r="Q192" i="20"/>
  <c r="S192" i="20" s="1"/>
  <c r="X191" i="20"/>
  <c r="Q191" i="20"/>
  <c r="S191" i="20" s="1"/>
  <c r="S193" i="20" s="1"/>
  <c r="R190" i="20"/>
  <c r="P190" i="20"/>
  <c r="O190" i="20"/>
  <c r="N190" i="20"/>
  <c r="M190" i="20"/>
  <c r="L190" i="20"/>
  <c r="K190" i="20"/>
  <c r="J190" i="20"/>
  <c r="I190" i="20"/>
  <c r="H190" i="20"/>
  <c r="H202" i="20" s="1"/>
  <c r="H64" i="20" s="1"/>
  <c r="G190" i="20"/>
  <c r="G202" i="20" s="1"/>
  <c r="G64" i="20" s="1"/>
  <c r="F190" i="20"/>
  <c r="F202" i="20" s="1"/>
  <c r="F64" i="20" s="1"/>
  <c r="Q189" i="20"/>
  <c r="S189" i="20" s="1"/>
  <c r="Q188" i="20"/>
  <c r="X188" i="20" s="1"/>
  <c r="R187" i="20"/>
  <c r="P187" i="20"/>
  <c r="O187" i="20"/>
  <c r="N187" i="20"/>
  <c r="M187" i="20"/>
  <c r="L187" i="20"/>
  <c r="L202" i="20" s="1"/>
  <c r="L64" i="20" s="1"/>
  <c r="K187" i="20"/>
  <c r="K202" i="20" s="1"/>
  <c r="K64" i="20" s="1"/>
  <c r="J187" i="20"/>
  <c r="J202" i="20" s="1"/>
  <c r="J64" i="20" s="1"/>
  <c r="I187" i="20"/>
  <c r="I202" i="20" s="1"/>
  <c r="I64" i="20" s="1"/>
  <c r="H187" i="20"/>
  <c r="G187" i="20"/>
  <c r="F187" i="20"/>
  <c r="Q186" i="20"/>
  <c r="S186" i="20" s="1"/>
  <c r="S185" i="20"/>
  <c r="S187" i="20" s="1"/>
  <c r="Q185" i="20"/>
  <c r="X185" i="20" s="1"/>
  <c r="L177" i="20"/>
  <c r="L61" i="20" s="1"/>
  <c r="R176" i="20"/>
  <c r="R60" i="20" s="1"/>
  <c r="P176" i="20"/>
  <c r="P60" i="20" s="1"/>
  <c r="O176" i="20"/>
  <c r="O60" i="20" s="1"/>
  <c r="N176" i="20"/>
  <c r="N60" i="20" s="1"/>
  <c r="M176" i="20"/>
  <c r="L176" i="20"/>
  <c r="K176" i="20"/>
  <c r="K60" i="20" s="1"/>
  <c r="J176" i="20"/>
  <c r="J60" i="20" s="1"/>
  <c r="I176" i="20"/>
  <c r="H176" i="20"/>
  <c r="G176" i="20"/>
  <c r="F176" i="20"/>
  <c r="R175" i="20"/>
  <c r="R59" i="20" s="1"/>
  <c r="P175" i="20"/>
  <c r="P59" i="20" s="1"/>
  <c r="O175" i="20"/>
  <c r="O59" i="20" s="1"/>
  <c r="N175" i="20"/>
  <c r="N59" i="20" s="1"/>
  <c r="M175" i="20"/>
  <c r="M59" i="20" s="1"/>
  <c r="L175" i="20"/>
  <c r="L59" i="20" s="1"/>
  <c r="K175" i="20"/>
  <c r="J175" i="20"/>
  <c r="I175" i="20"/>
  <c r="I59" i="20" s="1"/>
  <c r="H175" i="20"/>
  <c r="G175" i="20"/>
  <c r="F175" i="20"/>
  <c r="R174" i="20"/>
  <c r="P174" i="20"/>
  <c r="O174" i="20"/>
  <c r="N174" i="20"/>
  <c r="M174" i="20"/>
  <c r="L174" i="20"/>
  <c r="K174" i="20"/>
  <c r="J174" i="20"/>
  <c r="I174" i="20"/>
  <c r="H174" i="20"/>
  <c r="H98" i="20" s="1"/>
  <c r="G174" i="20"/>
  <c r="F174" i="20"/>
  <c r="Q173" i="20"/>
  <c r="S173" i="20" s="1"/>
  <c r="Q172" i="20"/>
  <c r="X172" i="20" s="1"/>
  <c r="R171" i="20"/>
  <c r="P171" i="20"/>
  <c r="O171" i="20"/>
  <c r="N171" i="20"/>
  <c r="M171" i="20"/>
  <c r="L171" i="20"/>
  <c r="K171" i="20"/>
  <c r="J171" i="20"/>
  <c r="I171" i="20"/>
  <c r="H171" i="20"/>
  <c r="G171" i="20"/>
  <c r="F171" i="20"/>
  <c r="Q170" i="20"/>
  <c r="S170" i="20" s="1"/>
  <c r="Q169" i="20"/>
  <c r="X169" i="20" s="1"/>
  <c r="R168" i="20"/>
  <c r="P168" i="20"/>
  <c r="O168" i="20"/>
  <c r="N168" i="20"/>
  <c r="N177" i="20" s="1"/>
  <c r="N61" i="20" s="1"/>
  <c r="M168" i="20"/>
  <c r="M92" i="20" s="1"/>
  <c r="L168" i="20"/>
  <c r="K168" i="20"/>
  <c r="J168" i="20"/>
  <c r="I168" i="20"/>
  <c r="H168" i="20"/>
  <c r="G168" i="20"/>
  <c r="F168" i="20"/>
  <c r="Q167" i="20"/>
  <c r="S167" i="20" s="1"/>
  <c r="Q166" i="20"/>
  <c r="X166" i="20" s="1"/>
  <c r="R165" i="20"/>
  <c r="R177" i="20" s="1"/>
  <c r="R61" i="20" s="1"/>
  <c r="Q165" i="20"/>
  <c r="P165" i="20"/>
  <c r="P177" i="20" s="1"/>
  <c r="P61" i="20" s="1"/>
  <c r="O165" i="20"/>
  <c r="N165" i="20"/>
  <c r="M165" i="20"/>
  <c r="L165" i="20"/>
  <c r="K165" i="20"/>
  <c r="J165" i="20"/>
  <c r="I165" i="20"/>
  <c r="H165" i="20"/>
  <c r="G165" i="20"/>
  <c r="F165" i="20"/>
  <c r="Q164" i="20"/>
  <c r="S164" i="20" s="1"/>
  <c r="Q163" i="20"/>
  <c r="Q175" i="20" s="1"/>
  <c r="R162" i="20"/>
  <c r="P162" i="20"/>
  <c r="O162" i="20"/>
  <c r="N162" i="20"/>
  <c r="M162" i="20"/>
  <c r="L162" i="20"/>
  <c r="K162" i="20"/>
  <c r="K177" i="20" s="1"/>
  <c r="J162" i="20"/>
  <c r="I162" i="20"/>
  <c r="H162" i="20"/>
  <c r="G162" i="20"/>
  <c r="F162" i="20"/>
  <c r="F177" i="20" s="1"/>
  <c r="F61" i="20" s="1"/>
  <c r="Q161" i="20"/>
  <c r="X160" i="20"/>
  <c r="Q160" i="20"/>
  <c r="S160" i="20" s="1"/>
  <c r="I152" i="20"/>
  <c r="I58" i="20" s="1"/>
  <c r="H152" i="20"/>
  <c r="H58" i="20" s="1"/>
  <c r="G152" i="20"/>
  <c r="G58" i="20" s="1"/>
  <c r="F152" i="20"/>
  <c r="F58" i="20" s="1"/>
  <c r="R151" i="20"/>
  <c r="P151" i="20"/>
  <c r="O151" i="20"/>
  <c r="O57" i="20" s="1"/>
  <c r="N151" i="20"/>
  <c r="N57" i="20" s="1"/>
  <c r="M151" i="20"/>
  <c r="M57" i="20" s="1"/>
  <c r="L151" i="20"/>
  <c r="L57" i="20" s="1"/>
  <c r="K151" i="20"/>
  <c r="K57" i="20" s="1"/>
  <c r="J151" i="20"/>
  <c r="J57" i="20" s="1"/>
  <c r="I151" i="20"/>
  <c r="I57" i="20" s="1"/>
  <c r="H151" i="20"/>
  <c r="H57" i="20" s="1"/>
  <c r="G151" i="20"/>
  <c r="G57" i="20" s="1"/>
  <c r="F151" i="20"/>
  <c r="F57" i="20" s="1"/>
  <c r="R150" i="20"/>
  <c r="P150" i="20"/>
  <c r="O150" i="20"/>
  <c r="N150" i="20"/>
  <c r="M150" i="20"/>
  <c r="M56" i="20" s="1"/>
  <c r="L150" i="20"/>
  <c r="L56" i="20" s="1"/>
  <c r="K150" i="20"/>
  <c r="K56" i="20" s="1"/>
  <c r="J150" i="20"/>
  <c r="J56" i="20" s="1"/>
  <c r="I150" i="20"/>
  <c r="I56" i="20" s="1"/>
  <c r="H150" i="20"/>
  <c r="H56" i="20" s="1"/>
  <c r="G150" i="20"/>
  <c r="G56" i="20" s="1"/>
  <c r="F150" i="20"/>
  <c r="F56" i="20" s="1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Q148" i="20"/>
  <c r="S148" i="20" s="1"/>
  <c r="Q147" i="20"/>
  <c r="X147" i="20" s="1"/>
  <c r="R146" i="20"/>
  <c r="P146" i="20"/>
  <c r="O146" i="20"/>
  <c r="N146" i="20"/>
  <c r="M146" i="20"/>
  <c r="L146" i="20"/>
  <c r="K146" i="20"/>
  <c r="K95" i="20" s="1"/>
  <c r="J146" i="20"/>
  <c r="I146" i="20"/>
  <c r="I95" i="20" s="1"/>
  <c r="H146" i="20"/>
  <c r="G146" i="20"/>
  <c r="F146" i="20"/>
  <c r="Q145" i="20"/>
  <c r="Q94" i="20" s="1"/>
  <c r="Q144" i="20"/>
  <c r="X144" i="20" s="1"/>
  <c r="R143" i="20"/>
  <c r="P143" i="20"/>
  <c r="P92" i="20" s="1"/>
  <c r="O143" i="20"/>
  <c r="N143" i="20"/>
  <c r="N92" i="20" s="1"/>
  <c r="M143" i="20"/>
  <c r="L143" i="20"/>
  <c r="K143" i="20"/>
  <c r="J143" i="20"/>
  <c r="I143" i="20"/>
  <c r="H143" i="20"/>
  <c r="G143" i="20"/>
  <c r="F143" i="20"/>
  <c r="Q142" i="20"/>
  <c r="S142" i="20" s="1"/>
  <c r="Q141" i="20"/>
  <c r="X141" i="20" s="1"/>
  <c r="R140" i="20"/>
  <c r="P140" i="20"/>
  <c r="O140" i="20"/>
  <c r="N140" i="20"/>
  <c r="M140" i="20"/>
  <c r="L140" i="20"/>
  <c r="L152" i="20" s="1"/>
  <c r="L58" i="20" s="1"/>
  <c r="K140" i="20"/>
  <c r="K152" i="20" s="1"/>
  <c r="K58" i="20" s="1"/>
  <c r="J140" i="20"/>
  <c r="I140" i="20"/>
  <c r="H140" i="20"/>
  <c r="G140" i="20"/>
  <c r="F140" i="20"/>
  <c r="Q139" i="20"/>
  <c r="S139" i="20" s="1"/>
  <c r="Q138" i="20"/>
  <c r="X138" i="20" s="1"/>
  <c r="R137" i="20"/>
  <c r="P137" i="20"/>
  <c r="O137" i="20"/>
  <c r="O152" i="20" s="1"/>
  <c r="O58" i="20" s="1"/>
  <c r="N137" i="20"/>
  <c r="N152" i="20" s="1"/>
  <c r="N58" i="20" s="1"/>
  <c r="M137" i="20"/>
  <c r="L137" i="20"/>
  <c r="K137" i="20"/>
  <c r="J137" i="20"/>
  <c r="I137" i="20"/>
  <c r="H137" i="20"/>
  <c r="G137" i="20"/>
  <c r="F137" i="20"/>
  <c r="Q136" i="20"/>
  <c r="Q135" i="20"/>
  <c r="R127" i="20"/>
  <c r="P127" i="20"/>
  <c r="R126" i="20"/>
  <c r="P126" i="20"/>
  <c r="O126" i="20"/>
  <c r="N126" i="20"/>
  <c r="M126" i="20"/>
  <c r="L126" i="20"/>
  <c r="K126" i="20"/>
  <c r="J126" i="20"/>
  <c r="I126" i="20"/>
  <c r="I54" i="20" s="1"/>
  <c r="H126" i="20"/>
  <c r="H54" i="20" s="1"/>
  <c r="G126" i="20"/>
  <c r="F126" i="20"/>
  <c r="R125" i="20"/>
  <c r="P125" i="20"/>
  <c r="O125" i="20"/>
  <c r="N125" i="20"/>
  <c r="M125" i="20"/>
  <c r="L125" i="20"/>
  <c r="K125" i="20"/>
  <c r="J125" i="20"/>
  <c r="I125" i="20"/>
  <c r="H125" i="20"/>
  <c r="G125" i="20"/>
  <c r="G53" i="20" s="1"/>
  <c r="F125" i="20"/>
  <c r="F53" i="20" s="1"/>
  <c r="R124" i="20"/>
  <c r="P124" i="20"/>
  <c r="O124" i="20"/>
  <c r="N124" i="20"/>
  <c r="M124" i="20"/>
  <c r="L124" i="20"/>
  <c r="K124" i="20"/>
  <c r="J124" i="20"/>
  <c r="I124" i="20"/>
  <c r="H124" i="20"/>
  <c r="G124" i="20"/>
  <c r="F124" i="20"/>
  <c r="Q123" i="20"/>
  <c r="Q97" i="20" s="1"/>
  <c r="S122" i="20"/>
  <c r="Q122" i="20"/>
  <c r="X122" i="20" s="1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S120" i="20"/>
  <c r="Q120" i="20"/>
  <c r="Q119" i="20"/>
  <c r="R118" i="20"/>
  <c r="R92" i="20" s="1"/>
  <c r="P118" i="20"/>
  <c r="O118" i="20"/>
  <c r="N118" i="20"/>
  <c r="M118" i="20"/>
  <c r="L118" i="20"/>
  <c r="K118" i="20"/>
  <c r="J118" i="20"/>
  <c r="I118" i="20"/>
  <c r="H118" i="20"/>
  <c r="G118" i="20"/>
  <c r="G92" i="20" s="1"/>
  <c r="F118" i="20"/>
  <c r="F92" i="20" s="1"/>
  <c r="Q117" i="20"/>
  <c r="Q116" i="20"/>
  <c r="Q118" i="20" s="1"/>
  <c r="R115" i="20"/>
  <c r="P115" i="20"/>
  <c r="O115" i="20"/>
  <c r="O89" i="20" s="1"/>
  <c r="N115" i="20"/>
  <c r="N89" i="20" s="1"/>
  <c r="M115" i="20"/>
  <c r="L115" i="20"/>
  <c r="K115" i="20"/>
  <c r="J115" i="20"/>
  <c r="J89" i="20" s="1"/>
  <c r="I115" i="20"/>
  <c r="I89" i="20" s="1"/>
  <c r="H115" i="20"/>
  <c r="H89" i="20" s="1"/>
  <c r="G115" i="20"/>
  <c r="G89" i="20" s="1"/>
  <c r="F115" i="20"/>
  <c r="S114" i="20"/>
  <c r="Q114" i="20"/>
  <c r="Q113" i="20"/>
  <c r="X113" i="20" s="1"/>
  <c r="R112" i="20"/>
  <c r="P112" i="20"/>
  <c r="O112" i="20"/>
  <c r="O127" i="20" s="1"/>
  <c r="N112" i="20"/>
  <c r="N127" i="20" s="1"/>
  <c r="M112" i="20"/>
  <c r="M127" i="20" s="1"/>
  <c r="L112" i="20"/>
  <c r="L127" i="20" s="1"/>
  <c r="K112" i="20"/>
  <c r="J112" i="20"/>
  <c r="I112" i="20"/>
  <c r="H112" i="20"/>
  <c r="G112" i="20"/>
  <c r="F112" i="20"/>
  <c r="Q111" i="20"/>
  <c r="S111" i="20" s="1"/>
  <c r="Q110" i="20"/>
  <c r="X110" i="20" s="1"/>
  <c r="I100" i="20"/>
  <c r="H100" i="20"/>
  <c r="H99" i="20"/>
  <c r="F99" i="20"/>
  <c r="G98" i="20"/>
  <c r="F98" i="20"/>
  <c r="R97" i="20"/>
  <c r="P97" i="20"/>
  <c r="O97" i="20"/>
  <c r="N97" i="20"/>
  <c r="M97" i="20"/>
  <c r="L97" i="20"/>
  <c r="K97" i="20"/>
  <c r="J97" i="20"/>
  <c r="I97" i="20"/>
  <c r="H97" i="20"/>
  <c r="G97" i="20"/>
  <c r="F97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P95" i="20"/>
  <c r="O95" i="20"/>
  <c r="N95" i="20"/>
  <c r="R94" i="20"/>
  <c r="P94" i="20"/>
  <c r="O94" i="20"/>
  <c r="N94" i="20"/>
  <c r="M94" i="20"/>
  <c r="L94" i="20"/>
  <c r="K94" i="20"/>
  <c r="J94" i="20"/>
  <c r="I94" i="20"/>
  <c r="H94" i="20"/>
  <c r="G94" i="20"/>
  <c r="F94" i="20"/>
  <c r="R93" i="20"/>
  <c r="P93" i="20"/>
  <c r="O93" i="20"/>
  <c r="N93" i="20"/>
  <c r="M93" i="20"/>
  <c r="L93" i="20"/>
  <c r="K93" i="20"/>
  <c r="J93" i="20"/>
  <c r="I93" i="20"/>
  <c r="H93" i="20"/>
  <c r="G93" i="20"/>
  <c r="F93" i="20"/>
  <c r="K92" i="20"/>
  <c r="J92" i="20"/>
  <c r="I92" i="20"/>
  <c r="H92" i="20"/>
  <c r="R91" i="20"/>
  <c r="P91" i="20"/>
  <c r="O91" i="20"/>
  <c r="N91" i="20"/>
  <c r="M91" i="20"/>
  <c r="L91" i="20"/>
  <c r="K91" i="20"/>
  <c r="J91" i="20"/>
  <c r="I91" i="20"/>
  <c r="H91" i="20"/>
  <c r="G91" i="20"/>
  <c r="F91" i="20"/>
  <c r="R90" i="20"/>
  <c r="P90" i="20"/>
  <c r="O90" i="20"/>
  <c r="N90" i="20"/>
  <c r="M90" i="20"/>
  <c r="L90" i="20"/>
  <c r="K90" i="20"/>
  <c r="J90" i="20"/>
  <c r="I90" i="20"/>
  <c r="H90" i="20"/>
  <c r="G90" i="20"/>
  <c r="F90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R87" i="20"/>
  <c r="P87" i="20"/>
  <c r="O87" i="20"/>
  <c r="N87" i="20"/>
  <c r="M87" i="20"/>
  <c r="L87" i="20"/>
  <c r="K87" i="20"/>
  <c r="J87" i="20"/>
  <c r="I87" i="20"/>
  <c r="H87" i="20"/>
  <c r="G87" i="20"/>
  <c r="F87" i="20"/>
  <c r="O86" i="20"/>
  <c r="N86" i="20"/>
  <c r="L86" i="20"/>
  <c r="R85" i="20"/>
  <c r="P85" i="20"/>
  <c r="O85" i="20"/>
  <c r="N85" i="20"/>
  <c r="M85" i="20"/>
  <c r="L85" i="20"/>
  <c r="K85" i="20"/>
  <c r="J85" i="20"/>
  <c r="I85" i="20"/>
  <c r="H85" i="20"/>
  <c r="G85" i="20"/>
  <c r="F85" i="20"/>
  <c r="R84" i="20"/>
  <c r="P84" i="20"/>
  <c r="O84" i="20"/>
  <c r="N84" i="20"/>
  <c r="M84" i="20"/>
  <c r="L84" i="20"/>
  <c r="K84" i="20"/>
  <c r="J84" i="20"/>
  <c r="I84" i="20"/>
  <c r="H84" i="20"/>
  <c r="G84" i="20"/>
  <c r="F84" i="20"/>
  <c r="Q72" i="20"/>
  <c r="P72" i="20"/>
  <c r="O72" i="20"/>
  <c r="N72" i="20"/>
  <c r="P71" i="20"/>
  <c r="O71" i="20"/>
  <c r="N71" i="20"/>
  <c r="M71" i="20"/>
  <c r="L71" i="20"/>
  <c r="K69" i="20"/>
  <c r="J69" i="20"/>
  <c r="I69" i="20"/>
  <c r="H69" i="20"/>
  <c r="J68" i="20"/>
  <c r="I68" i="20"/>
  <c r="H68" i="20"/>
  <c r="G68" i="20"/>
  <c r="F68" i="20"/>
  <c r="R66" i="20"/>
  <c r="R65" i="20"/>
  <c r="P65" i="20"/>
  <c r="O63" i="20"/>
  <c r="N63" i="20"/>
  <c r="M63" i="20"/>
  <c r="L63" i="20"/>
  <c r="N62" i="20"/>
  <c r="M62" i="20"/>
  <c r="L62" i="20"/>
  <c r="K62" i="20"/>
  <c r="J62" i="20"/>
  <c r="K61" i="20"/>
  <c r="I60" i="20"/>
  <c r="H60" i="20"/>
  <c r="G60" i="20"/>
  <c r="F60" i="20"/>
  <c r="H59" i="20"/>
  <c r="G59" i="20"/>
  <c r="F59" i="20"/>
  <c r="R57" i="20"/>
  <c r="P57" i="20"/>
  <c r="R56" i="20"/>
  <c r="P56" i="20"/>
  <c r="O56" i="20"/>
  <c r="N56" i="20"/>
  <c r="O55" i="20"/>
  <c r="N55" i="20"/>
  <c r="M55" i="20"/>
  <c r="L55" i="20"/>
  <c r="M54" i="20"/>
  <c r="L54" i="20"/>
  <c r="K54" i="20"/>
  <c r="J54" i="20"/>
  <c r="J75" i="20" s="1"/>
  <c r="L53" i="20"/>
  <c r="K53" i="20"/>
  <c r="J53" i="20"/>
  <c r="I53" i="20"/>
  <c r="H53" i="20"/>
  <c r="O44" i="20"/>
  <c r="N44" i="20"/>
  <c r="L44" i="20"/>
  <c r="K44" i="20"/>
  <c r="I44" i="20"/>
  <c r="H44" i="20"/>
  <c r="G44" i="20"/>
  <c r="O43" i="20"/>
  <c r="N43" i="20"/>
  <c r="L43" i="20"/>
  <c r="K43" i="20"/>
  <c r="I43" i="20"/>
  <c r="H43" i="20"/>
  <c r="G43" i="20"/>
  <c r="R42" i="20"/>
  <c r="Q42" i="20"/>
  <c r="S42" i="20" s="1"/>
  <c r="P42" i="20"/>
  <c r="M42" i="20"/>
  <c r="J42" i="20"/>
  <c r="R41" i="20"/>
  <c r="Q41" i="20"/>
  <c r="S41" i="20" s="1"/>
  <c r="P41" i="20"/>
  <c r="M41" i="20"/>
  <c r="J41" i="20"/>
  <c r="R40" i="20"/>
  <c r="Q40" i="20"/>
  <c r="S40" i="20" s="1"/>
  <c r="P40" i="20"/>
  <c r="M40" i="20"/>
  <c r="J40" i="20"/>
  <c r="R39" i="20"/>
  <c r="S39" i="20" s="1"/>
  <c r="Q39" i="20"/>
  <c r="P39" i="20"/>
  <c r="M39" i="20"/>
  <c r="J39" i="20"/>
  <c r="R38" i="20"/>
  <c r="Q38" i="20"/>
  <c r="S38" i="20" s="1"/>
  <c r="P38" i="20"/>
  <c r="M38" i="20"/>
  <c r="J38" i="20"/>
  <c r="R37" i="20"/>
  <c r="Q37" i="20"/>
  <c r="S37" i="20" s="1"/>
  <c r="P37" i="20"/>
  <c r="M37" i="20"/>
  <c r="J37" i="20"/>
  <c r="R36" i="20"/>
  <c r="Q36" i="20"/>
  <c r="S36" i="20" s="1"/>
  <c r="P36" i="20"/>
  <c r="M36" i="20"/>
  <c r="J36" i="20"/>
  <c r="R35" i="20"/>
  <c r="Q35" i="20"/>
  <c r="S35" i="20" s="1"/>
  <c r="P35" i="20"/>
  <c r="M35" i="20"/>
  <c r="J35" i="20"/>
  <c r="R34" i="20"/>
  <c r="S34" i="20" s="1"/>
  <c r="Q34" i="20"/>
  <c r="P34" i="20"/>
  <c r="M34" i="20"/>
  <c r="J34" i="20"/>
  <c r="R33" i="20"/>
  <c r="Q33" i="20"/>
  <c r="S33" i="20" s="1"/>
  <c r="P33" i="20"/>
  <c r="M33" i="20"/>
  <c r="J33" i="20"/>
  <c r="R32" i="20"/>
  <c r="Q32" i="20"/>
  <c r="S32" i="20" s="1"/>
  <c r="P32" i="20"/>
  <c r="M32" i="20"/>
  <c r="J32" i="20"/>
  <c r="R31" i="20"/>
  <c r="S31" i="20" s="1"/>
  <c r="Q31" i="20"/>
  <c r="P31" i="20"/>
  <c r="M31" i="20"/>
  <c r="J31" i="20"/>
  <c r="R30" i="20"/>
  <c r="Q30" i="20"/>
  <c r="S30" i="20" s="1"/>
  <c r="P30" i="20"/>
  <c r="M30" i="20"/>
  <c r="J30" i="20"/>
  <c r="R29" i="20"/>
  <c r="Q29" i="20"/>
  <c r="P29" i="20"/>
  <c r="P43" i="20" s="1"/>
  <c r="M29" i="20"/>
  <c r="M43" i="20" s="1"/>
  <c r="J29" i="20"/>
  <c r="J43" i="20" s="1"/>
  <c r="O28" i="20"/>
  <c r="N28" i="20"/>
  <c r="L28" i="20"/>
  <c r="K28" i="20"/>
  <c r="I28" i="20"/>
  <c r="H28" i="20"/>
  <c r="G28" i="20"/>
  <c r="R27" i="20"/>
  <c r="Q27" i="20"/>
  <c r="S27" i="20" s="1"/>
  <c r="P27" i="20"/>
  <c r="M27" i="20"/>
  <c r="J27" i="20"/>
  <c r="R26" i="20"/>
  <c r="Q26" i="20"/>
  <c r="S26" i="20" s="1"/>
  <c r="P26" i="20"/>
  <c r="M26" i="20"/>
  <c r="J26" i="20"/>
  <c r="R25" i="20"/>
  <c r="Q25" i="20"/>
  <c r="S25" i="20" s="1"/>
  <c r="P25" i="20"/>
  <c r="M25" i="20"/>
  <c r="J25" i="20"/>
  <c r="S24" i="20"/>
  <c r="R24" i="20"/>
  <c r="Q24" i="20"/>
  <c r="P24" i="20"/>
  <c r="M24" i="20"/>
  <c r="J24" i="20"/>
  <c r="R23" i="20"/>
  <c r="Q23" i="20"/>
  <c r="S23" i="20" s="1"/>
  <c r="P23" i="20"/>
  <c r="M23" i="20"/>
  <c r="J23" i="20"/>
  <c r="R22" i="20"/>
  <c r="Q22" i="20"/>
  <c r="P22" i="20"/>
  <c r="M22" i="20"/>
  <c r="J22" i="20"/>
  <c r="R21" i="20"/>
  <c r="Q21" i="20"/>
  <c r="S21" i="20" s="1"/>
  <c r="P21" i="20"/>
  <c r="M21" i="20"/>
  <c r="J21" i="20"/>
  <c r="R20" i="20"/>
  <c r="Q20" i="20"/>
  <c r="S20" i="20" s="1"/>
  <c r="P20" i="20"/>
  <c r="M20" i="20"/>
  <c r="J20" i="20"/>
  <c r="S19" i="20"/>
  <c r="R19" i="20"/>
  <c r="Q19" i="20"/>
  <c r="P19" i="20"/>
  <c r="M19" i="20"/>
  <c r="J19" i="20"/>
  <c r="R18" i="20"/>
  <c r="Q18" i="20"/>
  <c r="S18" i="20" s="1"/>
  <c r="P18" i="20"/>
  <c r="M18" i="20"/>
  <c r="J18" i="20"/>
  <c r="R17" i="20"/>
  <c r="Q17" i="20"/>
  <c r="S17" i="20" s="1"/>
  <c r="P17" i="20"/>
  <c r="M17" i="20"/>
  <c r="J17" i="20"/>
  <c r="S16" i="20"/>
  <c r="R16" i="20"/>
  <c r="Q16" i="20"/>
  <c r="P16" i="20"/>
  <c r="M16" i="20"/>
  <c r="J16" i="20"/>
  <c r="R15" i="20"/>
  <c r="Q15" i="20"/>
  <c r="S15" i="20" s="1"/>
  <c r="P15" i="20"/>
  <c r="M15" i="20"/>
  <c r="J15" i="20"/>
  <c r="R14" i="20"/>
  <c r="Q14" i="20"/>
  <c r="S14" i="20" s="1"/>
  <c r="P14" i="20"/>
  <c r="M14" i="20"/>
  <c r="J14" i="20"/>
  <c r="R13" i="20"/>
  <c r="Q13" i="20"/>
  <c r="S13" i="20" s="1"/>
  <c r="P13" i="20"/>
  <c r="M13" i="20"/>
  <c r="J13" i="20"/>
  <c r="R12" i="20"/>
  <c r="Q12" i="20"/>
  <c r="S12" i="20" s="1"/>
  <c r="P12" i="20"/>
  <c r="M12" i="20"/>
  <c r="J12" i="20"/>
  <c r="R11" i="20"/>
  <c r="Q11" i="20"/>
  <c r="S11" i="20" s="1"/>
  <c r="P11" i="20"/>
  <c r="M11" i="20"/>
  <c r="J11" i="20"/>
  <c r="R10" i="20"/>
  <c r="Q10" i="20"/>
  <c r="S10" i="20" s="1"/>
  <c r="P10" i="20"/>
  <c r="M10" i="20"/>
  <c r="J10" i="20"/>
  <c r="R9" i="20"/>
  <c r="Q9" i="20"/>
  <c r="S9" i="20" s="1"/>
  <c r="P9" i="20"/>
  <c r="M9" i="20"/>
  <c r="J9" i="20"/>
  <c r="S8" i="20"/>
  <c r="R8" i="20"/>
  <c r="Q8" i="20"/>
  <c r="P8" i="20"/>
  <c r="M8" i="20"/>
  <c r="J8" i="20"/>
  <c r="R7" i="20"/>
  <c r="R28" i="20" s="1"/>
  <c r="Q7" i="20"/>
  <c r="Q28" i="20" s="1"/>
  <c r="P7" i="20"/>
  <c r="M7" i="20"/>
  <c r="J7" i="20"/>
  <c r="R126" i="10"/>
  <c r="R54" i="10" s="1"/>
  <c r="P126" i="10"/>
  <c r="O126" i="10"/>
  <c r="N126" i="10"/>
  <c r="M126" i="10"/>
  <c r="L126" i="10"/>
  <c r="K126" i="10"/>
  <c r="J126" i="10"/>
  <c r="I126" i="10"/>
  <c r="H126" i="10"/>
  <c r="G126" i="10"/>
  <c r="G54" i="10" s="1"/>
  <c r="F126" i="10"/>
  <c r="F54" i="10" s="1"/>
  <c r="R125" i="10"/>
  <c r="R53" i="10" s="1"/>
  <c r="P125" i="10"/>
  <c r="O125" i="10"/>
  <c r="N125" i="10"/>
  <c r="M125" i="10"/>
  <c r="L125" i="10"/>
  <c r="L53" i="10" s="1"/>
  <c r="K125" i="10"/>
  <c r="J125" i="10"/>
  <c r="I125" i="10"/>
  <c r="H125" i="10"/>
  <c r="G125" i="10"/>
  <c r="F125" i="10"/>
  <c r="F53" i="10" s="1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Q123" i="10"/>
  <c r="S123" i="10" s="1"/>
  <c r="Q122" i="10"/>
  <c r="S122" i="10" s="1"/>
  <c r="S124" i="10" s="1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Q120" i="10"/>
  <c r="S120" i="10" s="1"/>
  <c r="Q119" i="10"/>
  <c r="S119" i="10" s="1"/>
  <c r="S121" i="10" s="1"/>
  <c r="R118" i="10"/>
  <c r="P118" i="10"/>
  <c r="O118" i="10"/>
  <c r="N118" i="10"/>
  <c r="M118" i="10"/>
  <c r="L118" i="10"/>
  <c r="K118" i="10"/>
  <c r="J118" i="10"/>
  <c r="I118" i="10"/>
  <c r="H118" i="10"/>
  <c r="G118" i="10"/>
  <c r="F118" i="10"/>
  <c r="Q117" i="10"/>
  <c r="S117" i="10" s="1"/>
  <c r="Q116" i="10"/>
  <c r="Q118" i="10" s="1"/>
  <c r="R115" i="10"/>
  <c r="P115" i="10"/>
  <c r="O115" i="10"/>
  <c r="N115" i="10"/>
  <c r="M115" i="10"/>
  <c r="L115" i="10"/>
  <c r="K115" i="10"/>
  <c r="J115" i="10"/>
  <c r="I115" i="10"/>
  <c r="H115" i="10"/>
  <c r="G115" i="10"/>
  <c r="F115" i="10"/>
  <c r="Q114" i="10"/>
  <c r="Q115" i="10" s="1"/>
  <c r="Q113" i="10"/>
  <c r="S113" i="10" s="1"/>
  <c r="R112" i="10"/>
  <c r="R127" i="10" s="1"/>
  <c r="Q112" i="10"/>
  <c r="Q127" i="10" s="1"/>
  <c r="P112" i="10"/>
  <c r="P127" i="10" s="1"/>
  <c r="O112" i="10"/>
  <c r="O127" i="10" s="1"/>
  <c r="N112" i="10"/>
  <c r="N127" i="10" s="1"/>
  <c r="M112" i="10"/>
  <c r="M127" i="10" s="1"/>
  <c r="L112" i="10"/>
  <c r="L127" i="10" s="1"/>
  <c r="K112" i="10"/>
  <c r="K127" i="10" s="1"/>
  <c r="J112" i="10"/>
  <c r="J127" i="10" s="1"/>
  <c r="I112" i="10"/>
  <c r="I127" i="10" s="1"/>
  <c r="H112" i="10"/>
  <c r="H127" i="10" s="1"/>
  <c r="G112" i="10"/>
  <c r="G127" i="10" s="1"/>
  <c r="F112" i="10"/>
  <c r="F127" i="10" s="1"/>
  <c r="Q111" i="10"/>
  <c r="Q126" i="10" s="1"/>
  <c r="Q110" i="10"/>
  <c r="S110" i="10" s="1"/>
  <c r="R151" i="10"/>
  <c r="P151" i="10"/>
  <c r="O151" i="10"/>
  <c r="N151" i="10"/>
  <c r="M151" i="10"/>
  <c r="L151" i="10"/>
  <c r="K151" i="10"/>
  <c r="K57" i="10" s="1"/>
  <c r="J151" i="10"/>
  <c r="J57" i="10" s="1"/>
  <c r="I151" i="10"/>
  <c r="I57" i="10" s="1"/>
  <c r="H151" i="10"/>
  <c r="H57" i="10" s="1"/>
  <c r="G151" i="10"/>
  <c r="G57" i="10" s="1"/>
  <c r="F151" i="10"/>
  <c r="F57" i="10" s="1"/>
  <c r="R150" i="10"/>
  <c r="P150" i="10"/>
  <c r="P56" i="10" s="1"/>
  <c r="O150" i="10"/>
  <c r="N150" i="10"/>
  <c r="M150" i="10"/>
  <c r="L150" i="10"/>
  <c r="K150" i="10"/>
  <c r="J150" i="10"/>
  <c r="I150" i="10"/>
  <c r="H150" i="10"/>
  <c r="G150" i="10"/>
  <c r="F150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Q148" i="10"/>
  <c r="S148" i="10" s="1"/>
  <c r="Q147" i="10"/>
  <c r="S147" i="10" s="1"/>
  <c r="S149" i="10" s="1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Q145" i="10"/>
  <c r="S145" i="10" s="1"/>
  <c r="Q144" i="10"/>
  <c r="S144" i="10" s="1"/>
  <c r="S146" i="10" s="1"/>
  <c r="R143" i="10"/>
  <c r="P143" i="10"/>
  <c r="O143" i="10"/>
  <c r="N143" i="10"/>
  <c r="M143" i="10"/>
  <c r="L143" i="10"/>
  <c r="K143" i="10"/>
  <c r="J143" i="10"/>
  <c r="I143" i="10"/>
  <c r="H143" i="10"/>
  <c r="G143" i="10"/>
  <c r="F143" i="10"/>
  <c r="Q142" i="10"/>
  <c r="S142" i="10" s="1"/>
  <c r="Q141" i="10"/>
  <c r="Q143" i="10" s="1"/>
  <c r="R140" i="10"/>
  <c r="P140" i="10"/>
  <c r="O140" i="10"/>
  <c r="N140" i="10"/>
  <c r="M140" i="10"/>
  <c r="L140" i="10"/>
  <c r="K140" i="10"/>
  <c r="J140" i="10"/>
  <c r="I140" i="10"/>
  <c r="H140" i="10"/>
  <c r="G140" i="10"/>
  <c r="F140" i="10"/>
  <c r="Q139" i="10"/>
  <c r="Q140" i="10" s="1"/>
  <c r="Q138" i="10"/>
  <c r="S138" i="10" s="1"/>
  <c r="R137" i="10"/>
  <c r="R152" i="10" s="1"/>
  <c r="Q137" i="10"/>
  <c r="Q152" i="10" s="1"/>
  <c r="P137" i="10"/>
  <c r="P152" i="10" s="1"/>
  <c r="O137" i="10"/>
  <c r="O152" i="10" s="1"/>
  <c r="N137" i="10"/>
  <c r="N152" i="10" s="1"/>
  <c r="M137" i="10"/>
  <c r="M152" i="10" s="1"/>
  <c r="L137" i="10"/>
  <c r="L152" i="10" s="1"/>
  <c r="K137" i="10"/>
  <c r="K152" i="10" s="1"/>
  <c r="J137" i="10"/>
  <c r="J152" i="10" s="1"/>
  <c r="I137" i="10"/>
  <c r="I152" i="10" s="1"/>
  <c r="H137" i="10"/>
  <c r="H152" i="10" s="1"/>
  <c r="G137" i="10"/>
  <c r="G152" i="10" s="1"/>
  <c r="F137" i="10"/>
  <c r="F152" i="10" s="1"/>
  <c r="Q136" i="10"/>
  <c r="Q151" i="10" s="1"/>
  <c r="Q135" i="10"/>
  <c r="S135" i="10" s="1"/>
  <c r="R176" i="10"/>
  <c r="R60" i="10" s="1"/>
  <c r="P176" i="10"/>
  <c r="O176" i="10"/>
  <c r="N176" i="10"/>
  <c r="M176" i="10"/>
  <c r="L176" i="10"/>
  <c r="K176" i="10"/>
  <c r="J176" i="10"/>
  <c r="I176" i="10"/>
  <c r="H176" i="10"/>
  <c r="G176" i="10"/>
  <c r="F176" i="10"/>
  <c r="R175" i="10"/>
  <c r="R59" i="10" s="1"/>
  <c r="P175" i="10"/>
  <c r="O175" i="10"/>
  <c r="N175" i="10"/>
  <c r="M175" i="10"/>
  <c r="L175" i="10"/>
  <c r="K175" i="10"/>
  <c r="J175" i="10"/>
  <c r="J59" i="10" s="1"/>
  <c r="I175" i="10"/>
  <c r="H175" i="10"/>
  <c r="G175" i="10"/>
  <c r="F175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Q173" i="10"/>
  <c r="S173" i="10" s="1"/>
  <c r="Q172" i="10"/>
  <c r="S172" i="10" s="1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Q170" i="10"/>
  <c r="S170" i="10" s="1"/>
  <c r="Q169" i="10"/>
  <c r="S169" i="10" s="1"/>
  <c r="S171" i="10" s="1"/>
  <c r="R168" i="10"/>
  <c r="P168" i="10"/>
  <c r="O168" i="10"/>
  <c r="N168" i="10"/>
  <c r="M168" i="10"/>
  <c r="L168" i="10"/>
  <c r="K168" i="10"/>
  <c r="J168" i="10"/>
  <c r="I168" i="10"/>
  <c r="H168" i="10"/>
  <c r="G168" i="10"/>
  <c r="F168" i="10"/>
  <c r="Q167" i="10"/>
  <c r="S167" i="10" s="1"/>
  <c r="Q166" i="10"/>
  <c r="Q168" i="10" s="1"/>
  <c r="R165" i="10"/>
  <c r="P165" i="10"/>
  <c r="O165" i="10"/>
  <c r="N165" i="10"/>
  <c r="M165" i="10"/>
  <c r="L165" i="10"/>
  <c r="K165" i="10"/>
  <c r="J165" i="10"/>
  <c r="I165" i="10"/>
  <c r="H165" i="10"/>
  <c r="G165" i="10"/>
  <c r="F165" i="10"/>
  <c r="Q164" i="10"/>
  <c r="Q165" i="10" s="1"/>
  <c r="Q163" i="10"/>
  <c r="S163" i="10" s="1"/>
  <c r="R162" i="10"/>
  <c r="R177" i="10" s="1"/>
  <c r="P162" i="10"/>
  <c r="P177" i="10" s="1"/>
  <c r="O162" i="10"/>
  <c r="O177" i="10" s="1"/>
  <c r="N162" i="10"/>
  <c r="N177" i="10" s="1"/>
  <c r="M162" i="10"/>
  <c r="M177" i="10" s="1"/>
  <c r="L162" i="10"/>
  <c r="L177" i="10" s="1"/>
  <c r="K162" i="10"/>
  <c r="K177" i="10" s="1"/>
  <c r="J162" i="10"/>
  <c r="J177" i="10" s="1"/>
  <c r="I162" i="10"/>
  <c r="I177" i="10" s="1"/>
  <c r="H162" i="10"/>
  <c r="H177" i="10" s="1"/>
  <c r="G162" i="10"/>
  <c r="G177" i="10" s="1"/>
  <c r="F162" i="10"/>
  <c r="F177" i="10" s="1"/>
  <c r="Q161" i="10"/>
  <c r="Q176" i="10" s="1"/>
  <c r="Q160" i="10"/>
  <c r="S160" i="10" s="1"/>
  <c r="R201" i="10"/>
  <c r="R63" i="10" s="1"/>
  <c r="P201" i="10"/>
  <c r="O201" i="10"/>
  <c r="N201" i="10"/>
  <c r="M201" i="10"/>
  <c r="L201" i="10"/>
  <c r="K201" i="10"/>
  <c r="J201" i="10"/>
  <c r="J63" i="10" s="1"/>
  <c r="I201" i="10"/>
  <c r="I63" i="10" s="1"/>
  <c r="H201" i="10"/>
  <c r="H63" i="10" s="1"/>
  <c r="G201" i="10"/>
  <c r="G63" i="10" s="1"/>
  <c r="F201" i="10"/>
  <c r="F63" i="10" s="1"/>
  <c r="R200" i="10"/>
  <c r="R62" i="10" s="1"/>
  <c r="P200" i="10"/>
  <c r="O200" i="10"/>
  <c r="N200" i="10"/>
  <c r="M200" i="10"/>
  <c r="L200" i="10"/>
  <c r="K200" i="10"/>
  <c r="K62" i="10" s="1"/>
  <c r="J200" i="10"/>
  <c r="I200" i="10"/>
  <c r="H200" i="10"/>
  <c r="G200" i="10"/>
  <c r="F200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S198" i="10"/>
  <c r="Q198" i="10"/>
  <c r="Q197" i="10"/>
  <c r="S197" i="10" s="1"/>
  <c r="S199" i="10" s="1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Q195" i="10"/>
  <c r="S195" i="10" s="1"/>
  <c r="Q194" i="10"/>
  <c r="X194" i="10" s="1"/>
  <c r="R193" i="10"/>
  <c r="P193" i="10"/>
  <c r="O193" i="10"/>
  <c r="N193" i="10"/>
  <c r="M193" i="10"/>
  <c r="L193" i="10"/>
  <c r="K193" i="10"/>
  <c r="J193" i="10"/>
  <c r="I193" i="10"/>
  <c r="H193" i="10"/>
  <c r="G193" i="10"/>
  <c r="F193" i="10"/>
  <c r="Q192" i="10"/>
  <c r="S192" i="10" s="1"/>
  <c r="Q191" i="10"/>
  <c r="Q193" i="10" s="1"/>
  <c r="R190" i="10"/>
  <c r="P190" i="10"/>
  <c r="O190" i="10"/>
  <c r="N190" i="10"/>
  <c r="M190" i="10"/>
  <c r="L190" i="10"/>
  <c r="K190" i="10"/>
  <c r="J190" i="10"/>
  <c r="I190" i="10"/>
  <c r="H190" i="10"/>
  <c r="G190" i="10"/>
  <c r="F190" i="10"/>
  <c r="Q189" i="10"/>
  <c r="Q190" i="10" s="1"/>
  <c r="Q188" i="10"/>
  <c r="S188" i="10" s="1"/>
  <c r="R187" i="10"/>
  <c r="R202" i="10" s="1"/>
  <c r="Q187" i="10"/>
  <c r="Q202" i="10" s="1"/>
  <c r="P187" i="10"/>
  <c r="P202" i="10" s="1"/>
  <c r="O187" i="10"/>
  <c r="O202" i="10" s="1"/>
  <c r="N187" i="10"/>
  <c r="N202" i="10" s="1"/>
  <c r="M187" i="10"/>
  <c r="M202" i="10" s="1"/>
  <c r="L187" i="10"/>
  <c r="L202" i="10" s="1"/>
  <c r="K187" i="10"/>
  <c r="K202" i="10" s="1"/>
  <c r="J187" i="10"/>
  <c r="J202" i="10" s="1"/>
  <c r="I187" i="10"/>
  <c r="I202" i="10" s="1"/>
  <c r="H187" i="10"/>
  <c r="H202" i="10" s="1"/>
  <c r="G187" i="10"/>
  <c r="G202" i="10" s="1"/>
  <c r="F187" i="10"/>
  <c r="F202" i="10" s="1"/>
  <c r="Q186" i="10"/>
  <c r="Q201" i="10" s="1"/>
  <c r="Q63" i="10" s="1"/>
  <c r="Q185" i="10"/>
  <c r="S185" i="10" s="1"/>
  <c r="R226" i="10"/>
  <c r="R66" i="10" s="1"/>
  <c r="P226" i="10"/>
  <c r="O226" i="10"/>
  <c r="O66" i="10" s="1"/>
  <c r="N226" i="10"/>
  <c r="N66" i="10" s="1"/>
  <c r="M226" i="10"/>
  <c r="M66" i="10" s="1"/>
  <c r="L226" i="10"/>
  <c r="L66" i="10" s="1"/>
  <c r="K226" i="10"/>
  <c r="K66" i="10" s="1"/>
  <c r="J226" i="10"/>
  <c r="I226" i="10"/>
  <c r="I66" i="10" s="1"/>
  <c r="H226" i="10"/>
  <c r="H66" i="10" s="1"/>
  <c r="G226" i="10"/>
  <c r="G66" i="10" s="1"/>
  <c r="F226" i="10"/>
  <c r="F66" i="10" s="1"/>
  <c r="R225" i="10"/>
  <c r="P225" i="10"/>
  <c r="P65" i="10" s="1"/>
  <c r="O225" i="10"/>
  <c r="N225" i="10"/>
  <c r="M225" i="10"/>
  <c r="L225" i="10"/>
  <c r="K225" i="10"/>
  <c r="J225" i="10"/>
  <c r="I225" i="10"/>
  <c r="H225" i="10"/>
  <c r="G225" i="10"/>
  <c r="F225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Q223" i="10"/>
  <c r="S223" i="10" s="1"/>
  <c r="Q222" i="10"/>
  <c r="X222" i="10" s="1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Q220" i="10"/>
  <c r="S220" i="10" s="1"/>
  <c r="Q219" i="10"/>
  <c r="S219" i="10" s="1"/>
  <c r="S221" i="10" s="1"/>
  <c r="R218" i="10"/>
  <c r="P218" i="10"/>
  <c r="O218" i="10"/>
  <c r="N218" i="10"/>
  <c r="M218" i="10"/>
  <c r="L218" i="10"/>
  <c r="K218" i="10"/>
  <c r="J218" i="10"/>
  <c r="I218" i="10"/>
  <c r="H218" i="10"/>
  <c r="G218" i="10"/>
  <c r="F218" i="10"/>
  <c r="Q217" i="10"/>
  <c r="S217" i="10" s="1"/>
  <c r="Q216" i="10"/>
  <c r="Q218" i="10" s="1"/>
  <c r="R215" i="10"/>
  <c r="P215" i="10"/>
  <c r="O215" i="10"/>
  <c r="N215" i="10"/>
  <c r="M215" i="10"/>
  <c r="L215" i="10"/>
  <c r="K215" i="10"/>
  <c r="J215" i="10"/>
  <c r="I215" i="10"/>
  <c r="H215" i="10"/>
  <c r="G215" i="10"/>
  <c r="F215" i="10"/>
  <c r="Q214" i="10"/>
  <c r="Q215" i="10" s="1"/>
  <c r="Q213" i="10"/>
  <c r="S213" i="10" s="1"/>
  <c r="R212" i="10"/>
  <c r="R227" i="10" s="1"/>
  <c r="Q212" i="10"/>
  <c r="Q227" i="10" s="1"/>
  <c r="P212" i="10"/>
  <c r="P227" i="10" s="1"/>
  <c r="O212" i="10"/>
  <c r="O227" i="10" s="1"/>
  <c r="N212" i="10"/>
  <c r="N227" i="10" s="1"/>
  <c r="M212" i="10"/>
  <c r="M227" i="10" s="1"/>
  <c r="L212" i="10"/>
  <c r="L227" i="10" s="1"/>
  <c r="K212" i="10"/>
  <c r="K227" i="10" s="1"/>
  <c r="J212" i="10"/>
  <c r="J227" i="10" s="1"/>
  <c r="I212" i="10"/>
  <c r="I227" i="10" s="1"/>
  <c r="H212" i="10"/>
  <c r="H227" i="10" s="1"/>
  <c r="G212" i="10"/>
  <c r="G227" i="10" s="1"/>
  <c r="F212" i="10"/>
  <c r="F227" i="10" s="1"/>
  <c r="Q211" i="10"/>
  <c r="Q226" i="10" s="1"/>
  <c r="S210" i="10"/>
  <c r="Q210" i="10"/>
  <c r="R251" i="10"/>
  <c r="R69" i="10" s="1"/>
  <c r="P251" i="10"/>
  <c r="O251" i="10"/>
  <c r="N251" i="10"/>
  <c r="M251" i="10"/>
  <c r="L251" i="10"/>
  <c r="K251" i="10"/>
  <c r="J251" i="10"/>
  <c r="I251" i="10"/>
  <c r="H251" i="10"/>
  <c r="G251" i="10"/>
  <c r="F251" i="10"/>
  <c r="F69" i="10" s="1"/>
  <c r="R250" i="10"/>
  <c r="R68" i="10" s="1"/>
  <c r="P250" i="10"/>
  <c r="O250" i="10"/>
  <c r="N250" i="10"/>
  <c r="N68" i="10" s="1"/>
  <c r="M250" i="10"/>
  <c r="L250" i="10"/>
  <c r="K250" i="10"/>
  <c r="K68" i="10" s="1"/>
  <c r="J250" i="10"/>
  <c r="J68" i="10" s="1"/>
  <c r="I250" i="10"/>
  <c r="H250" i="10"/>
  <c r="H68" i="10" s="1"/>
  <c r="G250" i="10"/>
  <c r="G68" i="10" s="1"/>
  <c r="F250" i="10"/>
  <c r="F68" i="10" s="1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Q248" i="10"/>
  <c r="S248" i="10" s="1"/>
  <c r="Q247" i="10"/>
  <c r="X247" i="10" s="1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Q245" i="10"/>
  <c r="S245" i="10" s="1"/>
  <c r="Q244" i="10"/>
  <c r="S244" i="10" s="1"/>
  <c r="S246" i="10" s="1"/>
  <c r="R243" i="10"/>
  <c r="P243" i="10"/>
  <c r="O243" i="10"/>
  <c r="N243" i="10"/>
  <c r="M243" i="10"/>
  <c r="L243" i="10"/>
  <c r="K243" i="10"/>
  <c r="J243" i="10"/>
  <c r="I243" i="10"/>
  <c r="H243" i="10"/>
  <c r="G243" i="10"/>
  <c r="F243" i="10"/>
  <c r="Q242" i="10"/>
  <c r="S242" i="10" s="1"/>
  <c r="Q241" i="10"/>
  <c r="Q243" i="10" s="1"/>
  <c r="R240" i="10"/>
  <c r="P240" i="10"/>
  <c r="O240" i="10"/>
  <c r="N240" i="10"/>
  <c r="M240" i="10"/>
  <c r="L240" i="10"/>
  <c r="K240" i="10"/>
  <c r="J240" i="10"/>
  <c r="I240" i="10"/>
  <c r="H240" i="10"/>
  <c r="G240" i="10"/>
  <c r="F240" i="10"/>
  <c r="Q239" i="10"/>
  <c r="S239" i="10" s="1"/>
  <c r="Q238" i="10"/>
  <c r="S238" i="10" s="1"/>
  <c r="S240" i="10" s="1"/>
  <c r="R237" i="10"/>
  <c r="R252" i="10" s="1"/>
  <c r="Q237" i="10"/>
  <c r="P237" i="10"/>
  <c r="P252" i="10" s="1"/>
  <c r="O237" i="10"/>
  <c r="O252" i="10" s="1"/>
  <c r="N237" i="10"/>
  <c r="N252" i="10" s="1"/>
  <c r="M237" i="10"/>
  <c r="M252" i="10" s="1"/>
  <c r="L237" i="10"/>
  <c r="L252" i="10" s="1"/>
  <c r="K237" i="10"/>
  <c r="K252" i="10" s="1"/>
  <c r="J237" i="10"/>
  <c r="J252" i="10" s="1"/>
  <c r="I237" i="10"/>
  <c r="I252" i="10" s="1"/>
  <c r="H237" i="10"/>
  <c r="H252" i="10" s="1"/>
  <c r="G237" i="10"/>
  <c r="G252" i="10" s="1"/>
  <c r="F237" i="10"/>
  <c r="F252" i="10" s="1"/>
  <c r="Q236" i="10"/>
  <c r="Q251" i="10" s="1"/>
  <c r="Q235" i="10"/>
  <c r="S235" i="10" s="1"/>
  <c r="R276" i="10"/>
  <c r="R72" i="10" s="1"/>
  <c r="P276" i="10"/>
  <c r="P72" i="10" s="1"/>
  <c r="O276" i="10"/>
  <c r="O72" i="10" s="1"/>
  <c r="N276" i="10"/>
  <c r="N72" i="10" s="1"/>
  <c r="M276" i="10"/>
  <c r="M72" i="10" s="1"/>
  <c r="L276" i="10"/>
  <c r="L72" i="10" s="1"/>
  <c r="K276" i="10"/>
  <c r="K72" i="10" s="1"/>
  <c r="J276" i="10"/>
  <c r="J72" i="10" s="1"/>
  <c r="I276" i="10"/>
  <c r="I72" i="10" s="1"/>
  <c r="H276" i="10"/>
  <c r="H72" i="10" s="1"/>
  <c r="G276" i="10"/>
  <c r="G72" i="10" s="1"/>
  <c r="F276" i="10"/>
  <c r="F72" i="10" s="1"/>
  <c r="R275" i="10"/>
  <c r="P275" i="10"/>
  <c r="P71" i="10" s="1"/>
  <c r="O275" i="10"/>
  <c r="O71" i="10" s="1"/>
  <c r="N275" i="10"/>
  <c r="M275" i="10"/>
  <c r="L275" i="10"/>
  <c r="K275" i="10"/>
  <c r="K71" i="10" s="1"/>
  <c r="J275" i="10"/>
  <c r="J71" i="10" s="1"/>
  <c r="I275" i="10"/>
  <c r="I71" i="10" s="1"/>
  <c r="H275" i="10"/>
  <c r="H71" i="10" s="1"/>
  <c r="G275" i="10"/>
  <c r="G71" i="10" s="1"/>
  <c r="F275" i="10"/>
  <c r="F71" i="10" s="1"/>
  <c r="I69" i="10"/>
  <c r="H69" i="10"/>
  <c r="G69" i="10"/>
  <c r="P60" i="10"/>
  <c r="N60" i="10"/>
  <c r="M60" i="10"/>
  <c r="L60" i="10"/>
  <c r="K60" i="10"/>
  <c r="J60" i="10"/>
  <c r="I60" i="10"/>
  <c r="F60" i="10"/>
  <c r="J56" i="10"/>
  <c r="I56" i="10"/>
  <c r="H56" i="10"/>
  <c r="M54" i="9"/>
  <c r="L54" i="9"/>
  <c r="K54" i="9"/>
  <c r="J54" i="9"/>
  <c r="G54" i="9"/>
  <c r="S53" i="9"/>
  <c r="R53" i="9"/>
  <c r="Q53" i="9"/>
  <c r="O47" i="9"/>
  <c r="S47" i="9"/>
  <c r="R47" i="9"/>
  <c r="Q47" i="9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D11" i="19" s="1"/>
  <c r="C99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E11" i="19" s="1"/>
  <c r="D88" i="19"/>
  <c r="C88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F11" i="19" s="1"/>
  <c r="E77" i="19"/>
  <c r="D77" i="19"/>
  <c r="C77" i="19"/>
  <c r="S66" i="19"/>
  <c r="R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66" i="19"/>
  <c r="C66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H11" i="19" s="1"/>
  <c r="G55" i="19"/>
  <c r="F55" i="19"/>
  <c r="E55" i="19"/>
  <c r="D55" i="19"/>
  <c r="C55" i="19"/>
  <c r="S44" i="19"/>
  <c r="R44" i="19"/>
  <c r="Q44" i="19"/>
  <c r="P44" i="19"/>
  <c r="O44" i="19"/>
  <c r="N44" i="19"/>
  <c r="M44" i="19"/>
  <c r="L44" i="19"/>
  <c r="K44" i="19"/>
  <c r="J44" i="19"/>
  <c r="I44" i="19"/>
  <c r="I11" i="19" s="1"/>
  <c r="H44" i="19"/>
  <c r="G44" i="19"/>
  <c r="F44" i="19"/>
  <c r="E44" i="19"/>
  <c r="D44" i="19"/>
  <c r="C44" i="19"/>
  <c r="S33" i="19"/>
  <c r="R33" i="19"/>
  <c r="Q33" i="19"/>
  <c r="P33" i="19"/>
  <c r="O33" i="19"/>
  <c r="N33" i="19"/>
  <c r="M33" i="19"/>
  <c r="L33" i="19"/>
  <c r="K33" i="19"/>
  <c r="K11" i="19" s="1"/>
  <c r="J33" i="19"/>
  <c r="J11" i="19" s="1"/>
  <c r="I33" i="19"/>
  <c r="H33" i="19"/>
  <c r="G33" i="19"/>
  <c r="G11" i="19" s="1"/>
  <c r="F33" i="19"/>
  <c r="E33" i="19"/>
  <c r="D33" i="19"/>
  <c r="C33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S11" i="19"/>
  <c r="R11" i="19"/>
  <c r="Q11" i="19"/>
  <c r="P11" i="19"/>
  <c r="O11" i="19"/>
  <c r="N11" i="19"/>
  <c r="M11" i="19"/>
  <c r="L11" i="19"/>
  <c r="C11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D11" i="18" s="1"/>
  <c r="C99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E11" i="18" s="1"/>
  <c r="D88" i="18"/>
  <c r="C88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F11" i="18" s="1"/>
  <c r="E77" i="18"/>
  <c r="D77" i="18"/>
  <c r="C77" i="18"/>
  <c r="S66" i="18"/>
  <c r="R66" i="18"/>
  <c r="Q66" i="18"/>
  <c r="P66" i="18"/>
  <c r="O66" i="18"/>
  <c r="N66" i="18"/>
  <c r="M66" i="18"/>
  <c r="L66" i="18"/>
  <c r="K66" i="18"/>
  <c r="J66" i="18"/>
  <c r="I66" i="18"/>
  <c r="H66" i="18"/>
  <c r="G66" i="18"/>
  <c r="G11" i="18" s="1"/>
  <c r="F66" i="18"/>
  <c r="E66" i="18"/>
  <c r="D66" i="18"/>
  <c r="C66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H11" i="18" s="1"/>
  <c r="G55" i="18"/>
  <c r="F55" i="18"/>
  <c r="E55" i="18"/>
  <c r="D55" i="18"/>
  <c r="C55" i="18"/>
  <c r="S44" i="18"/>
  <c r="R44" i="18"/>
  <c r="Q44" i="18"/>
  <c r="P44" i="18"/>
  <c r="O44" i="18"/>
  <c r="N44" i="18"/>
  <c r="M44" i="18"/>
  <c r="L44" i="18"/>
  <c r="K44" i="18"/>
  <c r="J44" i="18"/>
  <c r="I44" i="18"/>
  <c r="I11" i="18" s="1"/>
  <c r="H44" i="18"/>
  <c r="G44" i="18"/>
  <c r="F44" i="18"/>
  <c r="E44" i="18"/>
  <c r="D44" i="18"/>
  <c r="C44" i="18"/>
  <c r="S33" i="18"/>
  <c r="R33" i="18"/>
  <c r="Q33" i="18"/>
  <c r="P33" i="18"/>
  <c r="O33" i="18"/>
  <c r="N33" i="18"/>
  <c r="M33" i="18"/>
  <c r="L33" i="18"/>
  <c r="K33" i="18"/>
  <c r="K11" i="18" s="1"/>
  <c r="J33" i="18"/>
  <c r="J11" i="18" s="1"/>
  <c r="I33" i="18"/>
  <c r="H33" i="18"/>
  <c r="G33" i="18"/>
  <c r="F33" i="18"/>
  <c r="E33" i="18"/>
  <c r="D33" i="18"/>
  <c r="C33" i="18"/>
  <c r="S22" i="18"/>
  <c r="S11" i="18" s="1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C11" i="18" s="1"/>
  <c r="R11" i="18"/>
  <c r="Q11" i="18"/>
  <c r="P11" i="18"/>
  <c r="O11" i="18"/>
  <c r="N11" i="18"/>
  <c r="M11" i="18"/>
  <c r="L11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D11" i="17" s="1"/>
  <c r="C99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E11" i="17" s="1"/>
  <c r="D88" i="17"/>
  <c r="C88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F11" i="17" s="1"/>
  <c r="E77" i="17"/>
  <c r="D77" i="17"/>
  <c r="C77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G11" i="17" s="1"/>
  <c r="F66" i="17"/>
  <c r="E66" i="17"/>
  <c r="D66" i="17"/>
  <c r="C66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H11" i="17" s="1"/>
  <c r="G55" i="17"/>
  <c r="F55" i="17"/>
  <c r="E55" i="17"/>
  <c r="D55" i="17"/>
  <c r="C55" i="17"/>
  <c r="S44" i="17"/>
  <c r="R44" i="17"/>
  <c r="Q44" i="17"/>
  <c r="P44" i="17"/>
  <c r="O44" i="17"/>
  <c r="N44" i="17"/>
  <c r="M44" i="17"/>
  <c r="L44" i="17"/>
  <c r="K44" i="17"/>
  <c r="J44" i="17"/>
  <c r="I44" i="17"/>
  <c r="I11" i="17" s="1"/>
  <c r="H44" i="17"/>
  <c r="G44" i="17"/>
  <c r="F44" i="17"/>
  <c r="E44" i="17"/>
  <c r="D44" i="17"/>
  <c r="C44" i="17"/>
  <c r="S33" i="17"/>
  <c r="R33" i="17"/>
  <c r="Q33" i="17"/>
  <c r="P33" i="17"/>
  <c r="O33" i="17"/>
  <c r="N33" i="17"/>
  <c r="M33" i="17"/>
  <c r="L33" i="17"/>
  <c r="K33" i="17"/>
  <c r="K11" i="17" s="1"/>
  <c r="J33" i="17"/>
  <c r="J11" i="17" s="1"/>
  <c r="I33" i="17"/>
  <c r="H33" i="17"/>
  <c r="G33" i="17"/>
  <c r="F33" i="17"/>
  <c r="E33" i="17"/>
  <c r="D33" i="17"/>
  <c r="C33" i="17"/>
  <c r="S22" i="17"/>
  <c r="R22" i="17"/>
  <c r="Q22" i="17"/>
  <c r="Q11" i="17" s="1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S11" i="17"/>
  <c r="R11" i="17"/>
  <c r="P11" i="17"/>
  <c r="O11" i="17"/>
  <c r="N11" i="17"/>
  <c r="M11" i="17"/>
  <c r="L11" i="17"/>
  <c r="C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R97" i="10"/>
  <c r="P97" i="10"/>
  <c r="O97" i="10"/>
  <c r="N97" i="10"/>
  <c r="M97" i="10"/>
  <c r="L97" i="10"/>
  <c r="K97" i="10"/>
  <c r="J97" i="10"/>
  <c r="I97" i="10"/>
  <c r="H97" i="10"/>
  <c r="G97" i="10"/>
  <c r="F97" i="10"/>
  <c r="R96" i="10"/>
  <c r="O96" i="10"/>
  <c r="N96" i="10"/>
  <c r="M96" i="10"/>
  <c r="L96" i="10"/>
  <c r="K96" i="10"/>
  <c r="J96" i="10"/>
  <c r="I96" i="10"/>
  <c r="H96" i="10"/>
  <c r="G96" i="10"/>
  <c r="F96" i="10"/>
  <c r="R94" i="10"/>
  <c r="P94" i="10"/>
  <c r="O94" i="10"/>
  <c r="N94" i="10"/>
  <c r="M94" i="10"/>
  <c r="L94" i="10"/>
  <c r="K94" i="10"/>
  <c r="J94" i="10"/>
  <c r="I94" i="10"/>
  <c r="H94" i="10"/>
  <c r="G94" i="10"/>
  <c r="F94" i="10"/>
  <c r="R93" i="10"/>
  <c r="O93" i="10"/>
  <c r="N93" i="10"/>
  <c r="M93" i="10"/>
  <c r="L93" i="10"/>
  <c r="K93" i="10"/>
  <c r="J93" i="10"/>
  <c r="I93" i="10"/>
  <c r="H93" i="10"/>
  <c r="G93" i="10"/>
  <c r="F93" i="10"/>
  <c r="R91" i="10"/>
  <c r="P91" i="10"/>
  <c r="O91" i="10"/>
  <c r="N91" i="10"/>
  <c r="M91" i="10"/>
  <c r="L91" i="10"/>
  <c r="K91" i="10"/>
  <c r="J91" i="10"/>
  <c r="I91" i="10"/>
  <c r="H91" i="10"/>
  <c r="G91" i="10"/>
  <c r="F91" i="10"/>
  <c r="R90" i="10"/>
  <c r="O90" i="10"/>
  <c r="N90" i="10"/>
  <c r="M90" i="10"/>
  <c r="L90" i="10"/>
  <c r="K90" i="10"/>
  <c r="J90" i="10"/>
  <c r="I90" i="10"/>
  <c r="H90" i="10"/>
  <c r="G90" i="10"/>
  <c r="F90" i="10"/>
  <c r="R88" i="10"/>
  <c r="P88" i="10"/>
  <c r="O88" i="10"/>
  <c r="N88" i="10"/>
  <c r="M88" i="10"/>
  <c r="L88" i="10"/>
  <c r="K88" i="10"/>
  <c r="J88" i="10"/>
  <c r="I88" i="10"/>
  <c r="H88" i="10"/>
  <c r="G88" i="10"/>
  <c r="F88" i="10"/>
  <c r="R87" i="10"/>
  <c r="O87" i="10"/>
  <c r="N87" i="10"/>
  <c r="M87" i="10"/>
  <c r="L87" i="10"/>
  <c r="K87" i="10"/>
  <c r="J87" i="10"/>
  <c r="I87" i="10"/>
  <c r="H87" i="10"/>
  <c r="G87" i="10"/>
  <c r="F87" i="10"/>
  <c r="R85" i="10"/>
  <c r="P85" i="10"/>
  <c r="O85" i="10"/>
  <c r="N85" i="10"/>
  <c r="M85" i="10"/>
  <c r="L85" i="10"/>
  <c r="K85" i="10"/>
  <c r="J85" i="10"/>
  <c r="I85" i="10"/>
  <c r="H85" i="10"/>
  <c r="G85" i="10"/>
  <c r="F85" i="10"/>
  <c r="R84" i="10"/>
  <c r="O84" i="10"/>
  <c r="N84" i="10"/>
  <c r="M84" i="10"/>
  <c r="L84" i="10"/>
  <c r="K84" i="10"/>
  <c r="J84" i="10"/>
  <c r="I84" i="10"/>
  <c r="H84" i="10"/>
  <c r="G84" i="10"/>
  <c r="F84" i="10"/>
  <c r="R274" i="10"/>
  <c r="P274" i="10"/>
  <c r="O274" i="10"/>
  <c r="N274" i="10"/>
  <c r="M274" i="10"/>
  <c r="L274" i="10"/>
  <c r="K274" i="10"/>
  <c r="J274" i="10"/>
  <c r="I274" i="10"/>
  <c r="H274" i="10"/>
  <c r="G274" i="10"/>
  <c r="F274" i="10"/>
  <c r="Q273" i="10"/>
  <c r="S273" i="10" s="1"/>
  <c r="Q272" i="10"/>
  <c r="X272" i="10" s="1"/>
  <c r="R271" i="10"/>
  <c r="P271" i="10"/>
  <c r="O271" i="10"/>
  <c r="N271" i="10"/>
  <c r="M271" i="10"/>
  <c r="L271" i="10"/>
  <c r="K271" i="10"/>
  <c r="J271" i="10"/>
  <c r="I271" i="10"/>
  <c r="H271" i="10"/>
  <c r="G271" i="10"/>
  <c r="F271" i="10"/>
  <c r="Q270" i="10"/>
  <c r="S270" i="10" s="1"/>
  <c r="Q269" i="10"/>
  <c r="R268" i="10"/>
  <c r="P268" i="10"/>
  <c r="O268" i="10"/>
  <c r="N268" i="10"/>
  <c r="M268" i="10"/>
  <c r="L268" i="10"/>
  <c r="K268" i="10"/>
  <c r="J268" i="10"/>
  <c r="I268" i="10"/>
  <c r="H268" i="10"/>
  <c r="G268" i="10"/>
  <c r="F268" i="10"/>
  <c r="Q267" i="10"/>
  <c r="S267" i="10" s="1"/>
  <c r="Q266" i="10"/>
  <c r="X266" i="10" s="1"/>
  <c r="R265" i="10"/>
  <c r="P265" i="10"/>
  <c r="O265" i="10"/>
  <c r="N265" i="10"/>
  <c r="M265" i="10"/>
  <c r="L265" i="10"/>
  <c r="K265" i="10"/>
  <c r="J265" i="10"/>
  <c r="I265" i="10"/>
  <c r="H265" i="10"/>
  <c r="G265" i="10"/>
  <c r="F265" i="10"/>
  <c r="Q264" i="10"/>
  <c r="S264" i="10" s="1"/>
  <c r="Q263" i="10"/>
  <c r="S263" i="10" s="1"/>
  <c r="R262" i="10"/>
  <c r="P262" i="10"/>
  <c r="O262" i="10"/>
  <c r="N262" i="10"/>
  <c r="M262" i="10"/>
  <c r="L262" i="10"/>
  <c r="K262" i="10"/>
  <c r="J262" i="10"/>
  <c r="I262" i="10"/>
  <c r="H262" i="10"/>
  <c r="G262" i="10"/>
  <c r="F262" i="10"/>
  <c r="Q261" i="10"/>
  <c r="S261" i="10" s="1"/>
  <c r="Q260" i="10"/>
  <c r="X260" i="10" s="1"/>
  <c r="P69" i="10"/>
  <c r="O69" i="10"/>
  <c r="N69" i="10"/>
  <c r="M69" i="10"/>
  <c r="L69" i="10"/>
  <c r="K69" i="10"/>
  <c r="J69" i="10"/>
  <c r="O68" i="10"/>
  <c r="M68" i="10"/>
  <c r="X238" i="10"/>
  <c r="P66" i="10"/>
  <c r="O65" i="10"/>
  <c r="N65" i="10"/>
  <c r="M65" i="10"/>
  <c r="L65" i="10"/>
  <c r="K65" i="10"/>
  <c r="J65" i="10"/>
  <c r="G65" i="10"/>
  <c r="X210" i="10"/>
  <c r="P63" i="10"/>
  <c r="O63" i="10"/>
  <c r="N63" i="10"/>
  <c r="M63" i="10"/>
  <c r="L63" i="10"/>
  <c r="K63" i="10"/>
  <c r="N62" i="10"/>
  <c r="X188" i="10"/>
  <c r="X185" i="10"/>
  <c r="O59" i="10"/>
  <c r="X163" i="10"/>
  <c r="O57" i="10"/>
  <c r="N57" i="10"/>
  <c r="M57" i="10"/>
  <c r="L57" i="10"/>
  <c r="L56" i="10"/>
  <c r="K56" i="10"/>
  <c r="X135" i="10"/>
  <c r="P54" i="10"/>
  <c r="K54" i="10"/>
  <c r="J54" i="10"/>
  <c r="I54" i="10"/>
  <c r="H54" i="10"/>
  <c r="O53" i="10"/>
  <c r="P90" i="10"/>
  <c r="P84" i="10"/>
  <c r="O43" i="10"/>
  <c r="N43" i="10"/>
  <c r="L43" i="10"/>
  <c r="K43" i="10"/>
  <c r="I43" i="10"/>
  <c r="H43" i="10"/>
  <c r="G43" i="10"/>
  <c r="R42" i="10"/>
  <c r="Q42" i="10"/>
  <c r="S42" i="10" s="1"/>
  <c r="P42" i="10"/>
  <c r="M42" i="10"/>
  <c r="J42" i="10"/>
  <c r="R41" i="10"/>
  <c r="Q41" i="10"/>
  <c r="P41" i="10"/>
  <c r="M41" i="10"/>
  <c r="J41" i="10"/>
  <c r="R40" i="10"/>
  <c r="Q40" i="10"/>
  <c r="P40" i="10"/>
  <c r="M40" i="10"/>
  <c r="J40" i="10"/>
  <c r="R39" i="10"/>
  <c r="Q39" i="10"/>
  <c r="P39" i="10"/>
  <c r="M39" i="10"/>
  <c r="J39" i="10"/>
  <c r="R38" i="10"/>
  <c r="Q38" i="10"/>
  <c r="P38" i="10"/>
  <c r="M38" i="10"/>
  <c r="J38" i="10"/>
  <c r="R37" i="10"/>
  <c r="Q37" i="10"/>
  <c r="P37" i="10"/>
  <c r="M37" i="10"/>
  <c r="J37" i="10"/>
  <c r="R36" i="10"/>
  <c r="Q36" i="10"/>
  <c r="P36" i="10"/>
  <c r="M36" i="10"/>
  <c r="J36" i="10"/>
  <c r="R35" i="10"/>
  <c r="Q35" i="10"/>
  <c r="P35" i="10"/>
  <c r="M35" i="10"/>
  <c r="J35" i="10"/>
  <c r="R34" i="10"/>
  <c r="Q34" i="10"/>
  <c r="P34" i="10"/>
  <c r="M34" i="10"/>
  <c r="J34" i="10"/>
  <c r="R33" i="10"/>
  <c r="Q33" i="10"/>
  <c r="P33" i="10"/>
  <c r="M33" i="10"/>
  <c r="J33" i="10"/>
  <c r="R32" i="10"/>
  <c r="Q32" i="10"/>
  <c r="P32" i="10"/>
  <c r="M32" i="10"/>
  <c r="J32" i="10"/>
  <c r="R31" i="10"/>
  <c r="Q31" i="10"/>
  <c r="P31" i="10"/>
  <c r="M31" i="10"/>
  <c r="J31" i="10"/>
  <c r="R30" i="10"/>
  <c r="Q30" i="10"/>
  <c r="P30" i="10"/>
  <c r="M30" i="10"/>
  <c r="J30" i="10"/>
  <c r="R29" i="10"/>
  <c r="Q29" i="10"/>
  <c r="P29" i="10"/>
  <c r="M29" i="10"/>
  <c r="J29" i="10"/>
  <c r="O28" i="10"/>
  <c r="N28" i="10"/>
  <c r="L28" i="10"/>
  <c r="K28" i="10"/>
  <c r="I28" i="10"/>
  <c r="H28" i="10"/>
  <c r="G28" i="10"/>
  <c r="R27" i="10"/>
  <c r="Q27" i="10"/>
  <c r="P27" i="10"/>
  <c r="M27" i="10"/>
  <c r="J27" i="10"/>
  <c r="R26" i="10"/>
  <c r="Q26" i="10"/>
  <c r="P26" i="10"/>
  <c r="M26" i="10"/>
  <c r="J26" i="10"/>
  <c r="R25" i="10"/>
  <c r="Q25" i="10"/>
  <c r="P25" i="10"/>
  <c r="M25" i="10"/>
  <c r="J25" i="10"/>
  <c r="R24" i="10"/>
  <c r="Q24" i="10"/>
  <c r="P24" i="10"/>
  <c r="M24" i="10"/>
  <c r="J24" i="10"/>
  <c r="R23" i="10"/>
  <c r="Q23" i="10"/>
  <c r="P23" i="10"/>
  <c r="M23" i="10"/>
  <c r="J23" i="10"/>
  <c r="R22" i="10"/>
  <c r="Q22" i="10"/>
  <c r="P22" i="10"/>
  <c r="M22" i="10"/>
  <c r="J22" i="10"/>
  <c r="R21" i="10"/>
  <c r="Q21" i="10"/>
  <c r="P21" i="10"/>
  <c r="M21" i="10"/>
  <c r="J21" i="10"/>
  <c r="R20" i="10"/>
  <c r="Q20" i="10"/>
  <c r="P20" i="10"/>
  <c r="M20" i="10"/>
  <c r="J20" i="10"/>
  <c r="R19" i="10"/>
  <c r="Q19" i="10"/>
  <c r="P19" i="10"/>
  <c r="M19" i="10"/>
  <c r="J19" i="10"/>
  <c r="R18" i="10"/>
  <c r="Q18" i="10"/>
  <c r="P18" i="10"/>
  <c r="M18" i="10"/>
  <c r="J18" i="10"/>
  <c r="R17" i="10"/>
  <c r="Q17" i="10"/>
  <c r="P17" i="10"/>
  <c r="M17" i="10"/>
  <c r="J17" i="10"/>
  <c r="R16" i="10"/>
  <c r="Q16" i="10"/>
  <c r="P16" i="10"/>
  <c r="M16" i="10"/>
  <c r="J16" i="10"/>
  <c r="R15" i="10"/>
  <c r="Q15" i="10"/>
  <c r="P15" i="10"/>
  <c r="M15" i="10"/>
  <c r="J15" i="10"/>
  <c r="R14" i="10"/>
  <c r="Q14" i="10"/>
  <c r="P14" i="10"/>
  <c r="M14" i="10"/>
  <c r="J14" i="10"/>
  <c r="R13" i="10"/>
  <c r="Q13" i="10"/>
  <c r="P13" i="10"/>
  <c r="M13" i="10"/>
  <c r="J13" i="10"/>
  <c r="R12" i="10"/>
  <c r="Q12" i="10"/>
  <c r="P12" i="10"/>
  <c r="M12" i="10"/>
  <c r="J12" i="10"/>
  <c r="R11" i="10"/>
  <c r="Q11" i="10"/>
  <c r="P11" i="10"/>
  <c r="M11" i="10"/>
  <c r="J11" i="10"/>
  <c r="R10" i="10"/>
  <c r="Q10" i="10"/>
  <c r="P10" i="10"/>
  <c r="M10" i="10"/>
  <c r="J10" i="10"/>
  <c r="R9" i="10"/>
  <c r="Q9" i="10"/>
  <c r="P9" i="10"/>
  <c r="M9" i="10"/>
  <c r="J9" i="10"/>
  <c r="R8" i="10"/>
  <c r="Q8" i="10"/>
  <c r="P8" i="10"/>
  <c r="M8" i="10"/>
  <c r="J8" i="10"/>
  <c r="R7" i="10"/>
  <c r="Q7" i="10"/>
  <c r="P7" i="10"/>
  <c r="M7" i="10"/>
  <c r="J7" i="10"/>
  <c r="O31" i="9"/>
  <c r="N31" i="9"/>
  <c r="L31" i="9"/>
  <c r="K31" i="9"/>
  <c r="I31" i="9"/>
  <c r="H31" i="9"/>
  <c r="O30" i="9"/>
  <c r="N30" i="9"/>
  <c r="L30" i="9"/>
  <c r="K30" i="9"/>
  <c r="I30" i="9"/>
  <c r="H30" i="9"/>
  <c r="O29" i="9"/>
  <c r="N29" i="9"/>
  <c r="L29" i="9"/>
  <c r="K29" i="9"/>
  <c r="I29" i="9"/>
  <c r="H29" i="9"/>
  <c r="O28" i="9"/>
  <c r="N28" i="9"/>
  <c r="L28" i="9"/>
  <c r="K28" i="9"/>
  <c r="I28" i="9"/>
  <c r="H28" i="9"/>
  <c r="O27" i="9"/>
  <c r="N27" i="9"/>
  <c r="L27" i="9"/>
  <c r="K27" i="9"/>
  <c r="I27" i="9"/>
  <c r="H27" i="9"/>
  <c r="P6" i="9"/>
  <c r="M6" i="9"/>
  <c r="J6" i="9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R23" i="9" l="1"/>
  <c r="O22" i="9"/>
  <c r="S23" i="9"/>
  <c r="M21" i="9"/>
  <c r="Q22" i="9"/>
  <c r="N21" i="9"/>
  <c r="R22" i="9"/>
  <c r="J24" i="9"/>
  <c r="O21" i="9"/>
  <c r="S22" i="9"/>
  <c r="L24" i="9"/>
  <c r="L11" i="9" s="1"/>
  <c r="L21" i="9"/>
  <c r="L8" i="9" s="1"/>
  <c r="I24" i="9"/>
  <c r="I11" i="9" s="1"/>
  <c r="H23" i="9"/>
  <c r="H10" i="9" s="1"/>
  <c r="P22" i="9"/>
  <c r="N24" i="9"/>
  <c r="N11" i="9" s="1"/>
  <c r="H24" i="9"/>
  <c r="O24" i="9"/>
  <c r="I21" i="9"/>
  <c r="M22" i="9"/>
  <c r="Q23" i="9"/>
  <c r="J21" i="9"/>
  <c r="N22" i="9"/>
  <c r="L22" i="9"/>
  <c r="L9" i="9" s="1"/>
  <c r="K21" i="9"/>
  <c r="H20" i="9"/>
  <c r="H7" i="9" s="1"/>
  <c r="H21" i="9"/>
  <c r="H8" i="9" s="1"/>
  <c r="I20" i="9"/>
  <c r="J20" i="9"/>
  <c r="K20" i="9"/>
  <c r="K7" i="9" s="1"/>
  <c r="K24" i="9"/>
  <c r="K11" i="9" s="1"/>
  <c r="P23" i="9"/>
  <c r="L20" i="9"/>
  <c r="L7" i="9" s="1"/>
  <c r="M24" i="9"/>
  <c r="J28" i="22"/>
  <c r="I74" i="22"/>
  <c r="Q90" i="22"/>
  <c r="Q125" i="22"/>
  <c r="X116" i="22"/>
  <c r="R92" i="22"/>
  <c r="R127" i="22"/>
  <c r="Q59" i="22"/>
  <c r="X175" i="22"/>
  <c r="S115" i="22"/>
  <c r="S118" i="22"/>
  <c r="Q71" i="22"/>
  <c r="X275" i="22"/>
  <c r="S114" i="22"/>
  <c r="S91" i="22"/>
  <c r="S94" i="22"/>
  <c r="O100" i="22"/>
  <c r="O54" i="22"/>
  <c r="O75" i="22" s="1"/>
  <c r="S201" i="22"/>
  <c r="S63" i="22" s="1"/>
  <c r="F55" i="22"/>
  <c r="P100" i="22"/>
  <c r="G86" i="22"/>
  <c r="G127" i="22"/>
  <c r="M99" i="22"/>
  <c r="M53" i="22"/>
  <c r="M74" i="22" s="1"/>
  <c r="Q152" i="22"/>
  <c r="Q58" i="22" s="1"/>
  <c r="S146" i="22"/>
  <c r="S147" i="22"/>
  <c r="S149" i="22" s="1"/>
  <c r="S226" i="22"/>
  <c r="S66" i="22" s="1"/>
  <c r="Q68" i="22"/>
  <c r="X250" i="22"/>
  <c r="M28" i="22"/>
  <c r="L75" i="22"/>
  <c r="Q88" i="22"/>
  <c r="H86" i="22"/>
  <c r="H127" i="22"/>
  <c r="N99" i="22"/>
  <c r="N53" i="22"/>
  <c r="N74" i="22" s="1"/>
  <c r="P55" i="22"/>
  <c r="P76" i="22" s="1"/>
  <c r="P101" i="22"/>
  <c r="R152" i="22"/>
  <c r="R58" i="22" s="1"/>
  <c r="F227" i="22"/>
  <c r="F67" i="22" s="1"/>
  <c r="O277" i="22"/>
  <c r="O73" i="22" s="1"/>
  <c r="P28" i="22"/>
  <c r="M75" i="22"/>
  <c r="O99" i="22"/>
  <c r="J177" i="22"/>
  <c r="J61" i="22" s="1"/>
  <c r="P277" i="22"/>
  <c r="P73" i="22" s="1"/>
  <c r="L74" i="22"/>
  <c r="Q28" i="22"/>
  <c r="Q44" i="22" s="1"/>
  <c r="J43" i="22"/>
  <c r="L76" i="22"/>
  <c r="Q65" i="22"/>
  <c r="R89" i="22"/>
  <c r="Q150" i="22"/>
  <c r="F95" i="22"/>
  <c r="S251" i="22"/>
  <c r="S69" i="22" s="1"/>
  <c r="R277" i="22"/>
  <c r="R73" i="22" s="1"/>
  <c r="N152" i="22"/>
  <c r="N58" i="22" s="1"/>
  <c r="N86" i="22"/>
  <c r="R28" i="22"/>
  <c r="M43" i="22"/>
  <c r="K86" i="22"/>
  <c r="M98" i="22"/>
  <c r="R99" i="22"/>
  <c r="Q151" i="22"/>
  <c r="Q57" i="22" s="1"/>
  <c r="O92" i="22"/>
  <c r="J60" i="22"/>
  <c r="J75" i="22" s="1"/>
  <c r="J100" i="22"/>
  <c r="N100" i="22"/>
  <c r="N54" i="22"/>
  <c r="N75" i="22" s="1"/>
  <c r="P43" i="22"/>
  <c r="Q96" i="22"/>
  <c r="L101" i="22"/>
  <c r="P92" i="22"/>
  <c r="Q43" i="22"/>
  <c r="O98" i="22"/>
  <c r="M202" i="22"/>
  <c r="M64" i="22" s="1"/>
  <c r="M76" i="22" s="1"/>
  <c r="R95" i="22"/>
  <c r="Q54" i="22"/>
  <c r="R43" i="22"/>
  <c r="N101" i="22"/>
  <c r="N55" i="22"/>
  <c r="N76" i="22" s="1"/>
  <c r="P98" i="22"/>
  <c r="H75" i="22"/>
  <c r="J95" i="22"/>
  <c r="I59" i="22"/>
  <c r="I99" i="22"/>
  <c r="I252" i="22"/>
  <c r="I70" i="22" s="1"/>
  <c r="L86" i="22"/>
  <c r="O55" i="22"/>
  <c r="R98" i="22"/>
  <c r="I75" i="22"/>
  <c r="J252" i="22"/>
  <c r="J70" i="22" s="1"/>
  <c r="M86" i="22"/>
  <c r="F74" i="22"/>
  <c r="P202" i="22"/>
  <c r="P64" i="22" s="1"/>
  <c r="Q165" i="22"/>
  <c r="Q196" i="22"/>
  <c r="Q201" i="22"/>
  <c r="Q63" i="22" s="1"/>
  <c r="J92" i="22"/>
  <c r="S161" i="22"/>
  <c r="S163" i="22"/>
  <c r="S165" i="22" s="1"/>
  <c r="N177" i="22"/>
  <c r="N61" i="22" s="1"/>
  <c r="S194" i="22"/>
  <c r="S196" i="22" s="1"/>
  <c r="Q200" i="22"/>
  <c r="Q212" i="22"/>
  <c r="Q243" i="22"/>
  <c r="Q274" i="22"/>
  <c r="O86" i="22"/>
  <c r="Q87" i="22"/>
  <c r="K100" i="22"/>
  <c r="Q121" i="22"/>
  <c r="X163" i="22"/>
  <c r="O177" i="22"/>
  <c r="O61" i="22" s="1"/>
  <c r="S210" i="22"/>
  <c r="S239" i="22"/>
  <c r="S240" i="22" s="1"/>
  <c r="S241" i="22"/>
  <c r="S243" i="22" s="1"/>
  <c r="S272" i="22"/>
  <c r="S274" i="22" s="1"/>
  <c r="F89" i="22"/>
  <c r="J99" i="22"/>
  <c r="L100" i="22"/>
  <c r="Q168" i="22"/>
  <c r="Q199" i="22"/>
  <c r="X210" i="22"/>
  <c r="X241" i="22"/>
  <c r="S29" i="22"/>
  <c r="S43" i="22" s="1"/>
  <c r="Q94" i="22"/>
  <c r="K99" i="22"/>
  <c r="M100" i="22"/>
  <c r="X119" i="22"/>
  <c r="S121" i="22"/>
  <c r="S95" i="22" s="1"/>
  <c r="S135" i="22"/>
  <c r="S166" i="22"/>
  <c r="S168" i="22" s="1"/>
  <c r="S197" i="22"/>
  <c r="S199" i="22" s="1"/>
  <c r="Q215" i="22"/>
  <c r="Q246" i="22"/>
  <c r="P86" i="22"/>
  <c r="P54" i="22"/>
  <c r="P75" i="22" s="1"/>
  <c r="R86" i="22"/>
  <c r="L99" i="22"/>
  <c r="Q124" i="22"/>
  <c r="X135" i="22"/>
  <c r="Q262" i="22"/>
  <c r="O53" i="22"/>
  <c r="O74" i="22" s="1"/>
  <c r="Q85" i="22"/>
  <c r="S122" i="22"/>
  <c r="Q140" i="22"/>
  <c r="Q171" i="22"/>
  <c r="S260" i="22"/>
  <c r="P53" i="22"/>
  <c r="P74" i="22" s="1"/>
  <c r="R54" i="22"/>
  <c r="R75" i="22" s="1"/>
  <c r="S136" i="22"/>
  <c r="S138" i="22"/>
  <c r="S169" i="22"/>
  <c r="S171" i="22" s="1"/>
  <c r="Q187" i="22"/>
  <c r="Q218" i="22"/>
  <c r="Q249" i="22"/>
  <c r="Q84" i="22"/>
  <c r="I127" i="22"/>
  <c r="S185" i="22"/>
  <c r="S216" i="22"/>
  <c r="S218" i="22" s="1"/>
  <c r="S247" i="22"/>
  <c r="S249" i="22" s="1"/>
  <c r="Q265" i="22"/>
  <c r="S7" i="22"/>
  <c r="S28" i="22" s="1"/>
  <c r="S44" i="22" s="1"/>
  <c r="R53" i="22"/>
  <c r="R74" i="22" s="1"/>
  <c r="Q112" i="22"/>
  <c r="S123" i="22"/>
  <c r="S97" i="22" s="1"/>
  <c r="J127" i="22"/>
  <c r="Q143" i="22"/>
  <c r="Q92" i="22" s="1"/>
  <c r="Q174" i="22"/>
  <c r="S261" i="22"/>
  <c r="S276" i="22" s="1"/>
  <c r="S72" i="22" s="1"/>
  <c r="S263" i="22"/>
  <c r="S265" i="22" s="1"/>
  <c r="S110" i="22"/>
  <c r="K127" i="22"/>
  <c r="S141" i="22"/>
  <c r="S143" i="22" s="1"/>
  <c r="S172" i="22"/>
  <c r="S174" i="22" s="1"/>
  <c r="Q190" i="22"/>
  <c r="Q221" i="22"/>
  <c r="F54" i="22"/>
  <c r="F75" i="22" s="1"/>
  <c r="S188" i="22"/>
  <c r="S190" i="22" s="1"/>
  <c r="S219" i="22"/>
  <c r="S221" i="22" s="1"/>
  <c r="Q237" i="22"/>
  <c r="Q268" i="22"/>
  <c r="G54" i="22"/>
  <c r="G75" i="22" s="1"/>
  <c r="Q115" i="22"/>
  <c r="Q146" i="22"/>
  <c r="S235" i="22"/>
  <c r="S266" i="22"/>
  <c r="S268" i="22" s="1"/>
  <c r="Q162" i="22"/>
  <c r="Q193" i="22"/>
  <c r="Q224" i="22"/>
  <c r="S226" i="21"/>
  <c r="S66" i="21" s="1"/>
  <c r="L101" i="21"/>
  <c r="L55" i="21"/>
  <c r="L76" i="21" s="1"/>
  <c r="M55" i="21"/>
  <c r="Q68" i="21"/>
  <c r="X250" i="21"/>
  <c r="H74" i="21"/>
  <c r="N55" i="21"/>
  <c r="N76" i="21" s="1"/>
  <c r="N101" i="21"/>
  <c r="S240" i="21"/>
  <c r="I74" i="21"/>
  <c r="O101" i="21"/>
  <c r="O55" i="21"/>
  <c r="O76" i="21" s="1"/>
  <c r="J44" i="21"/>
  <c r="J74" i="21"/>
  <c r="S94" i="21"/>
  <c r="X225" i="21"/>
  <c r="Q65" i="21"/>
  <c r="K74" i="21"/>
  <c r="L74" i="21"/>
  <c r="J75" i="21"/>
  <c r="Q62" i="21"/>
  <c r="X200" i="21"/>
  <c r="K75" i="21"/>
  <c r="F101" i="21"/>
  <c r="F55" i="21"/>
  <c r="F76" i="21" s="1"/>
  <c r="P101" i="21"/>
  <c r="Q59" i="21"/>
  <c r="X175" i="21"/>
  <c r="L75" i="21"/>
  <c r="O74" i="21"/>
  <c r="X150" i="21"/>
  <c r="Q56" i="21"/>
  <c r="S162" i="21"/>
  <c r="M44" i="21"/>
  <c r="M75" i="21"/>
  <c r="S190" i="21"/>
  <c r="S224" i="21"/>
  <c r="N86" i="21"/>
  <c r="R127" i="21"/>
  <c r="N177" i="21"/>
  <c r="N61" i="21" s="1"/>
  <c r="S192" i="21"/>
  <c r="S201" i="21" s="1"/>
  <c r="S63" i="21" s="1"/>
  <c r="Q212" i="21"/>
  <c r="J227" i="21"/>
  <c r="J67" i="21" s="1"/>
  <c r="Q243" i="21"/>
  <c r="Q87" i="21"/>
  <c r="K92" i="21"/>
  <c r="I99" i="21"/>
  <c r="O177" i="21"/>
  <c r="O61" i="21" s="1"/>
  <c r="X194" i="21"/>
  <c r="S210" i="21"/>
  <c r="S239" i="21"/>
  <c r="S251" i="21" s="1"/>
  <c r="S69" i="21" s="1"/>
  <c r="S241" i="21"/>
  <c r="S243" i="21" s="1"/>
  <c r="S272" i="21"/>
  <c r="S274" i="21" s="1"/>
  <c r="N54" i="21"/>
  <c r="N75" i="21" s="1"/>
  <c r="P55" i="21"/>
  <c r="P76" i="21" s="1"/>
  <c r="J60" i="21"/>
  <c r="P86" i="21"/>
  <c r="F89" i="21"/>
  <c r="J99" i="21"/>
  <c r="L100" i="21"/>
  <c r="S117" i="21"/>
  <c r="S91" i="21" s="1"/>
  <c r="S119" i="21"/>
  <c r="Q125" i="21"/>
  <c r="Q137" i="21"/>
  <c r="Q168" i="21"/>
  <c r="Q199" i="21"/>
  <c r="X210" i="21"/>
  <c r="X241" i="21"/>
  <c r="X272" i="21"/>
  <c r="Q196" i="21"/>
  <c r="S194" i="21"/>
  <c r="S196" i="21" s="1"/>
  <c r="O86" i="21"/>
  <c r="K100" i="21"/>
  <c r="Q126" i="21"/>
  <c r="X163" i="21"/>
  <c r="X275" i="21"/>
  <c r="S29" i="21"/>
  <c r="S43" i="21" s="1"/>
  <c r="M53" i="21"/>
  <c r="M74" i="21" s="1"/>
  <c r="O54" i="21"/>
  <c r="O75" i="21" s="1"/>
  <c r="Q94" i="21"/>
  <c r="K99" i="21"/>
  <c r="M100" i="21"/>
  <c r="X119" i="21"/>
  <c r="S135" i="21"/>
  <c r="N53" i="21"/>
  <c r="N74" i="21" s="1"/>
  <c r="P54" i="21"/>
  <c r="P75" i="21" s="1"/>
  <c r="R86" i="21"/>
  <c r="H89" i="21"/>
  <c r="L99" i="21"/>
  <c r="Q124" i="21"/>
  <c r="Q262" i="21"/>
  <c r="I227" i="21"/>
  <c r="I67" i="21" s="1"/>
  <c r="S161" i="21"/>
  <c r="S176" i="21" s="1"/>
  <c r="S60" i="21" s="1"/>
  <c r="Q85" i="21"/>
  <c r="S122" i="21"/>
  <c r="G127" i="21"/>
  <c r="Q140" i="21"/>
  <c r="M152" i="21"/>
  <c r="M58" i="21" s="1"/>
  <c r="Q171" i="21"/>
  <c r="S260" i="21"/>
  <c r="S114" i="21"/>
  <c r="S88" i="21" s="1"/>
  <c r="Q165" i="21"/>
  <c r="S163" i="21"/>
  <c r="S165" i="21" s="1"/>
  <c r="P53" i="21"/>
  <c r="P74" i="21" s="1"/>
  <c r="R54" i="21"/>
  <c r="R75" i="21" s="1"/>
  <c r="H127" i="21"/>
  <c r="S136" i="21"/>
  <c r="S151" i="21" s="1"/>
  <c r="S57" i="21" s="1"/>
  <c r="S138" i="21"/>
  <c r="S140" i="21" s="1"/>
  <c r="S169" i="21"/>
  <c r="S171" i="21" s="1"/>
  <c r="Q187" i="21"/>
  <c r="Q218" i="21"/>
  <c r="Q249" i="21"/>
  <c r="S116" i="21"/>
  <c r="S147" i="21"/>
  <c r="S149" i="21" s="1"/>
  <c r="X147" i="21"/>
  <c r="Q84" i="21"/>
  <c r="O99" i="21"/>
  <c r="I127" i="21"/>
  <c r="S185" i="21"/>
  <c r="S216" i="21"/>
  <c r="S218" i="21" s="1"/>
  <c r="S247" i="21"/>
  <c r="S249" i="21" s="1"/>
  <c r="Q265" i="21"/>
  <c r="Q96" i="21"/>
  <c r="S7" i="21"/>
  <c r="S28" i="21" s="1"/>
  <c r="R53" i="21"/>
  <c r="R74" i="21" s="1"/>
  <c r="Q112" i="21"/>
  <c r="S123" i="21"/>
  <c r="S97" i="21" s="1"/>
  <c r="J127" i="21"/>
  <c r="Q143" i="21"/>
  <c r="Q92" i="21" s="1"/>
  <c r="Q174" i="21"/>
  <c r="S261" i="21"/>
  <c r="S276" i="21" s="1"/>
  <c r="S72" i="21" s="1"/>
  <c r="S263" i="21"/>
  <c r="S265" i="21" s="1"/>
  <c r="S110" i="21"/>
  <c r="K127" i="21"/>
  <c r="S141" i="21"/>
  <c r="S143" i="21" s="1"/>
  <c r="S172" i="21"/>
  <c r="S174" i="21" s="1"/>
  <c r="Q190" i="21"/>
  <c r="Q221" i="21"/>
  <c r="F54" i="21"/>
  <c r="F75" i="21" s="1"/>
  <c r="Q237" i="21"/>
  <c r="Q268" i="21"/>
  <c r="G54" i="21"/>
  <c r="G75" i="21" s="1"/>
  <c r="Q90" i="21"/>
  <c r="Q115" i="21"/>
  <c r="Q146" i="21"/>
  <c r="S235" i="21"/>
  <c r="S266" i="21"/>
  <c r="S268" i="21" s="1"/>
  <c r="S113" i="21"/>
  <c r="S144" i="21"/>
  <c r="S146" i="21" s="1"/>
  <c r="Q162" i="21"/>
  <c r="Q177" i="21" s="1"/>
  <c r="Q61" i="21" s="1"/>
  <c r="Q193" i="21"/>
  <c r="Q224" i="21"/>
  <c r="L74" i="20"/>
  <c r="Q91" i="20"/>
  <c r="S117" i="20"/>
  <c r="S91" i="20" s="1"/>
  <c r="G86" i="20"/>
  <c r="G127" i="20"/>
  <c r="O54" i="20"/>
  <c r="O75" i="20" s="1"/>
  <c r="O100" i="20"/>
  <c r="L60" i="20"/>
  <c r="L75" i="20" s="1"/>
  <c r="L100" i="20"/>
  <c r="Q62" i="20"/>
  <c r="X200" i="20"/>
  <c r="S218" i="20"/>
  <c r="J252" i="20"/>
  <c r="J70" i="20" s="1"/>
  <c r="M60" i="20"/>
  <c r="M75" i="20" s="1"/>
  <c r="M100" i="20"/>
  <c r="Q225" i="20"/>
  <c r="S210" i="20"/>
  <c r="X210" i="20"/>
  <c r="L76" i="20"/>
  <c r="G99" i="20"/>
  <c r="I86" i="20"/>
  <c r="I127" i="20"/>
  <c r="M99" i="20"/>
  <c r="M53" i="20"/>
  <c r="M74" i="20" s="1"/>
  <c r="Q126" i="20"/>
  <c r="S147" i="20"/>
  <c r="Q59" i="20"/>
  <c r="X175" i="20"/>
  <c r="J59" i="20"/>
  <c r="J99" i="20"/>
  <c r="Q226" i="20"/>
  <c r="Q66" i="20" s="1"/>
  <c r="L252" i="20"/>
  <c r="L70" i="20" s="1"/>
  <c r="S272" i="20"/>
  <c r="S274" i="20" s="1"/>
  <c r="X272" i="20"/>
  <c r="Q43" i="20"/>
  <c r="Q44" i="20" s="1"/>
  <c r="S29" i="20"/>
  <c r="S43" i="20" s="1"/>
  <c r="M76" i="20"/>
  <c r="J86" i="20"/>
  <c r="J127" i="20"/>
  <c r="K89" i="20"/>
  <c r="N99" i="20"/>
  <c r="N53" i="20"/>
  <c r="N74" i="20" s="1"/>
  <c r="R100" i="20"/>
  <c r="Q176" i="20"/>
  <c r="Q60" i="20" s="1"/>
  <c r="Q85" i="20"/>
  <c r="S163" i="20"/>
  <c r="S165" i="20" s="1"/>
  <c r="K59" i="20"/>
  <c r="K74" i="20" s="1"/>
  <c r="K99" i="20"/>
  <c r="M202" i="20"/>
  <c r="M64" i="20" s="1"/>
  <c r="F227" i="20"/>
  <c r="F67" i="20" s="1"/>
  <c r="M252" i="20"/>
  <c r="M70" i="20" s="1"/>
  <c r="S262" i="20"/>
  <c r="R43" i="20"/>
  <c r="N76" i="20"/>
  <c r="I99" i="20"/>
  <c r="K86" i="20"/>
  <c r="L89" i="20"/>
  <c r="K98" i="20"/>
  <c r="O99" i="20"/>
  <c r="O53" i="20"/>
  <c r="O74" i="20" s="1"/>
  <c r="P55" i="20"/>
  <c r="P152" i="20"/>
  <c r="P58" i="20" s="1"/>
  <c r="P86" i="20"/>
  <c r="S145" i="20"/>
  <c r="S94" i="20" s="1"/>
  <c r="S161" i="20"/>
  <c r="S176" i="20" s="1"/>
  <c r="S60" i="20" s="1"/>
  <c r="X163" i="20"/>
  <c r="N202" i="20"/>
  <c r="N64" i="20" s="1"/>
  <c r="G227" i="20"/>
  <c r="G67" i="20" s="1"/>
  <c r="O76" i="20"/>
  <c r="M89" i="20"/>
  <c r="L98" i="20"/>
  <c r="P99" i="20"/>
  <c r="P53" i="20"/>
  <c r="P74" i="20" s="1"/>
  <c r="R152" i="20"/>
  <c r="R58" i="20" s="1"/>
  <c r="F95" i="20"/>
  <c r="I98" i="20"/>
  <c r="O202" i="20"/>
  <c r="O64" i="20" s="1"/>
  <c r="K252" i="20"/>
  <c r="K70" i="20" s="1"/>
  <c r="M98" i="20"/>
  <c r="R99" i="20"/>
  <c r="R101" i="20"/>
  <c r="R55" i="20"/>
  <c r="R76" i="20" s="1"/>
  <c r="G95" i="20"/>
  <c r="G177" i="20"/>
  <c r="G61" i="20" s="1"/>
  <c r="P202" i="20"/>
  <c r="P64" i="20" s="1"/>
  <c r="R95" i="20"/>
  <c r="R44" i="20"/>
  <c r="J100" i="20"/>
  <c r="N98" i="20"/>
  <c r="F100" i="20"/>
  <c r="H95" i="20"/>
  <c r="H177" i="20"/>
  <c r="H61" i="20" s="1"/>
  <c r="M177" i="20"/>
  <c r="M61" i="20" s="1"/>
  <c r="K75" i="20"/>
  <c r="P100" i="20"/>
  <c r="P54" i="20"/>
  <c r="P75" i="20" s="1"/>
  <c r="K100" i="20"/>
  <c r="O101" i="20"/>
  <c r="P89" i="20"/>
  <c r="O98" i="20"/>
  <c r="G100" i="20"/>
  <c r="Q150" i="20"/>
  <c r="I177" i="20"/>
  <c r="I61" i="20" s="1"/>
  <c r="S194" i="20"/>
  <c r="S196" i="20" s="1"/>
  <c r="F127" i="20"/>
  <c r="F89" i="20"/>
  <c r="H74" i="20"/>
  <c r="P98" i="20"/>
  <c r="H75" i="20"/>
  <c r="Q151" i="20"/>
  <c r="Q57" i="20" s="1"/>
  <c r="J95" i="20"/>
  <c r="J98" i="20"/>
  <c r="J177" i="20"/>
  <c r="J61" i="20" s="1"/>
  <c r="S252" i="20"/>
  <c r="S70" i="20" s="1"/>
  <c r="S250" i="20"/>
  <c r="S68" i="20" s="1"/>
  <c r="S241" i="20"/>
  <c r="S243" i="20" s="1"/>
  <c r="Q250" i="20"/>
  <c r="X241" i="20"/>
  <c r="N100" i="20"/>
  <c r="N54" i="20"/>
  <c r="N75" i="20" s="1"/>
  <c r="H86" i="20"/>
  <c r="H127" i="20"/>
  <c r="M152" i="20"/>
  <c r="M58" i="20" s="1"/>
  <c r="J28" i="20"/>
  <c r="J44" i="20" s="1"/>
  <c r="I74" i="20"/>
  <c r="Q87" i="20"/>
  <c r="R89" i="20"/>
  <c r="Q90" i="20"/>
  <c r="Q125" i="20"/>
  <c r="R98" i="20"/>
  <c r="I75" i="20"/>
  <c r="F86" i="20"/>
  <c r="O177" i="20"/>
  <c r="O61" i="20" s="1"/>
  <c r="O92" i="20"/>
  <c r="P277" i="20"/>
  <c r="P73" i="20" s="1"/>
  <c r="M28" i="20"/>
  <c r="M44" i="20" s="1"/>
  <c r="J74" i="20"/>
  <c r="S116" i="20"/>
  <c r="F74" i="20"/>
  <c r="L95" i="20"/>
  <c r="S201" i="20"/>
  <c r="S63" i="20" s="1"/>
  <c r="S239" i="20"/>
  <c r="S240" i="20" s="1"/>
  <c r="Q251" i="20"/>
  <c r="Q69" i="20" s="1"/>
  <c r="P28" i="20"/>
  <c r="P44" i="20" s="1"/>
  <c r="S22" i="20"/>
  <c r="M86" i="20"/>
  <c r="X116" i="20"/>
  <c r="Q93" i="20"/>
  <c r="X119" i="20"/>
  <c r="S119" i="20"/>
  <c r="G74" i="20"/>
  <c r="J152" i="20"/>
  <c r="J58" i="20" s="1"/>
  <c r="M95" i="20"/>
  <c r="Q275" i="20"/>
  <c r="Q137" i="20"/>
  <c r="Q168" i="20"/>
  <c r="Q199" i="20"/>
  <c r="S135" i="20"/>
  <c r="S166" i="20"/>
  <c r="S168" i="20" s="1"/>
  <c r="S197" i="20"/>
  <c r="S199" i="20" s="1"/>
  <c r="Q215" i="20"/>
  <c r="Q246" i="20"/>
  <c r="R86" i="20"/>
  <c r="L99" i="20"/>
  <c r="Q124" i="20"/>
  <c r="X135" i="20"/>
  <c r="S211" i="20"/>
  <c r="S226" i="20" s="1"/>
  <c r="S66" i="20" s="1"/>
  <c r="S213" i="20"/>
  <c r="S215" i="20" s="1"/>
  <c r="S244" i="20"/>
  <c r="S246" i="20" s="1"/>
  <c r="Q262" i="20"/>
  <c r="Q277" i="20" s="1"/>
  <c r="Q73" i="20" s="1"/>
  <c r="Q140" i="20"/>
  <c r="Q171" i="20"/>
  <c r="R54" i="20"/>
  <c r="R75" i="20" s="1"/>
  <c r="S136" i="20"/>
  <c r="S151" i="20" s="1"/>
  <c r="S57" i="20" s="1"/>
  <c r="S138" i="20"/>
  <c r="S140" i="20" s="1"/>
  <c r="S169" i="20"/>
  <c r="S171" i="20" s="1"/>
  <c r="Q187" i="20"/>
  <c r="Q218" i="20"/>
  <c r="Q249" i="20"/>
  <c r="S7" i="20"/>
  <c r="S28" i="20" s="1"/>
  <c r="R53" i="20"/>
  <c r="R74" i="20" s="1"/>
  <c r="Q112" i="20"/>
  <c r="S123" i="20"/>
  <c r="S97" i="20" s="1"/>
  <c r="Q143" i="20"/>
  <c r="Q92" i="20" s="1"/>
  <c r="Q174" i="20"/>
  <c r="S261" i="20"/>
  <c r="S276" i="20" s="1"/>
  <c r="S72" i="20" s="1"/>
  <c r="S263" i="20"/>
  <c r="Q84" i="20"/>
  <c r="K127" i="20"/>
  <c r="S141" i="20"/>
  <c r="S143" i="20" s="1"/>
  <c r="S172" i="20"/>
  <c r="S174" i="20" s="1"/>
  <c r="Q190" i="20"/>
  <c r="Q221" i="20"/>
  <c r="S110" i="20"/>
  <c r="F54" i="20"/>
  <c r="F75" i="20" s="1"/>
  <c r="S188" i="20"/>
  <c r="S219" i="20"/>
  <c r="S221" i="20" s="1"/>
  <c r="Q237" i="20"/>
  <c r="Q252" i="20" s="1"/>
  <c r="Q70" i="20" s="1"/>
  <c r="Q268" i="20"/>
  <c r="G54" i="20"/>
  <c r="G75" i="20" s="1"/>
  <c r="Q115" i="20"/>
  <c r="Q146" i="20"/>
  <c r="S113" i="20"/>
  <c r="S144" i="20"/>
  <c r="S146" i="20" s="1"/>
  <c r="Q162" i="20"/>
  <c r="Q177" i="20" s="1"/>
  <c r="Q61" i="20" s="1"/>
  <c r="Q193" i="20"/>
  <c r="Q224" i="20"/>
  <c r="Q227" i="20" s="1"/>
  <c r="Q67" i="20" s="1"/>
  <c r="G11" i="9"/>
  <c r="Q125" i="10"/>
  <c r="S116" i="10"/>
  <c r="S118" i="10" s="1"/>
  <c r="S114" i="10"/>
  <c r="S115" i="10" s="1"/>
  <c r="S111" i="10"/>
  <c r="S126" i="10" s="1"/>
  <c r="S141" i="10"/>
  <c r="S143" i="10" s="1"/>
  <c r="Q150" i="10"/>
  <c r="S139" i="10"/>
  <c r="S140" i="10" s="1"/>
  <c r="S136" i="10"/>
  <c r="S174" i="10"/>
  <c r="Q175" i="10"/>
  <c r="S164" i="10"/>
  <c r="S165" i="10" s="1"/>
  <c r="S166" i="10"/>
  <c r="S168" i="10" s="1"/>
  <c r="X166" i="10"/>
  <c r="Q162" i="10"/>
  <c r="Q177" i="10" s="1"/>
  <c r="S161" i="10"/>
  <c r="S176" i="10" s="1"/>
  <c r="S191" i="10"/>
  <c r="S193" i="10" s="1"/>
  <c r="X191" i="10"/>
  <c r="S194" i="10"/>
  <c r="S196" i="10" s="1"/>
  <c r="S189" i="10"/>
  <c r="S190" i="10" s="1"/>
  <c r="Q200" i="10"/>
  <c r="Q62" i="10" s="1"/>
  <c r="X197" i="10"/>
  <c r="S186" i="10"/>
  <c r="S201" i="10" s="1"/>
  <c r="S63" i="10" s="1"/>
  <c r="Q225" i="10"/>
  <c r="X216" i="10"/>
  <c r="S222" i="10"/>
  <c r="S224" i="10" s="1"/>
  <c r="S214" i="10"/>
  <c r="S215" i="10" s="1"/>
  <c r="S216" i="10"/>
  <c r="S218" i="10" s="1"/>
  <c r="S211" i="10"/>
  <c r="S226" i="10" s="1"/>
  <c r="S241" i="10"/>
  <c r="S243" i="10" s="1"/>
  <c r="S247" i="10"/>
  <c r="S249" i="10" s="1"/>
  <c r="Q240" i="10"/>
  <c r="Q252" i="10" s="1"/>
  <c r="Q250" i="10"/>
  <c r="S236" i="10"/>
  <c r="S251" i="10" s="1"/>
  <c r="R277" i="10"/>
  <c r="K277" i="10"/>
  <c r="L277" i="10"/>
  <c r="S276" i="10"/>
  <c r="J277" i="10"/>
  <c r="F277" i="10"/>
  <c r="F73" i="10" s="1"/>
  <c r="G277" i="10"/>
  <c r="G73" i="10" s="1"/>
  <c r="N277" i="10"/>
  <c r="O277" i="10"/>
  <c r="O73" i="10" s="1"/>
  <c r="P277" i="10"/>
  <c r="P73" i="10" s="1"/>
  <c r="M277" i="10"/>
  <c r="Q275" i="10"/>
  <c r="Q71" i="10" s="1"/>
  <c r="H277" i="10"/>
  <c r="H73" i="10" s="1"/>
  <c r="I277" i="10"/>
  <c r="Q276" i="10"/>
  <c r="Q72" i="10" s="1"/>
  <c r="S38" i="10"/>
  <c r="S20" i="10"/>
  <c r="S41" i="10"/>
  <c r="G92" i="10"/>
  <c r="J95" i="10"/>
  <c r="K95" i="10"/>
  <c r="O98" i="10"/>
  <c r="M95" i="10"/>
  <c r="L95" i="10"/>
  <c r="S17" i="10"/>
  <c r="P89" i="10"/>
  <c r="L92" i="10"/>
  <c r="M92" i="10"/>
  <c r="M100" i="10"/>
  <c r="R89" i="10"/>
  <c r="G98" i="10"/>
  <c r="O86" i="10"/>
  <c r="N92" i="10"/>
  <c r="R98" i="10"/>
  <c r="K86" i="10"/>
  <c r="Q97" i="10"/>
  <c r="N100" i="10"/>
  <c r="F98" i="10"/>
  <c r="K99" i="10"/>
  <c r="L86" i="10"/>
  <c r="M86" i="10"/>
  <c r="L100" i="10"/>
  <c r="N86" i="10"/>
  <c r="P96" i="10"/>
  <c r="S97" i="10"/>
  <c r="O95" i="10"/>
  <c r="F86" i="10"/>
  <c r="J99" i="10"/>
  <c r="I92" i="10"/>
  <c r="N95" i="10"/>
  <c r="H99" i="10"/>
  <c r="L99" i="10"/>
  <c r="M99" i="10"/>
  <c r="I99" i="10"/>
  <c r="I98" i="10"/>
  <c r="Q88" i="10"/>
  <c r="K92" i="10"/>
  <c r="H98" i="10"/>
  <c r="O99" i="10"/>
  <c r="I89" i="10"/>
  <c r="J89" i="10"/>
  <c r="R95" i="10"/>
  <c r="J98" i="10"/>
  <c r="J92" i="10"/>
  <c r="P98" i="10"/>
  <c r="R92" i="10"/>
  <c r="M98" i="10"/>
  <c r="F95" i="10"/>
  <c r="F99" i="10"/>
  <c r="O100" i="10"/>
  <c r="H92" i="10"/>
  <c r="I86" i="10"/>
  <c r="L98" i="10"/>
  <c r="J86" i="10"/>
  <c r="Q93" i="10"/>
  <c r="N98" i="10"/>
  <c r="O89" i="10"/>
  <c r="P87" i="10"/>
  <c r="G99" i="10"/>
  <c r="R86" i="10"/>
  <c r="G86" i="10"/>
  <c r="H86" i="10"/>
  <c r="O92" i="10"/>
  <c r="F89" i="10"/>
  <c r="M89" i="10"/>
  <c r="H89" i="10"/>
  <c r="G95" i="10"/>
  <c r="H95" i="10"/>
  <c r="K89" i="10"/>
  <c r="K98" i="10"/>
  <c r="L89" i="10"/>
  <c r="G89" i="10"/>
  <c r="N89" i="10"/>
  <c r="F92" i="10"/>
  <c r="I95" i="10"/>
  <c r="P100" i="10"/>
  <c r="K46" i="9"/>
  <c r="I46" i="9"/>
  <c r="L46" i="9"/>
  <c r="N99" i="10"/>
  <c r="Q85" i="10"/>
  <c r="I75" i="10"/>
  <c r="I66" i="9" s="1"/>
  <c r="G100" i="10"/>
  <c r="H100" i="10"/>
  <c r="R100" i="10"/>
  <c r="P93" i="10"/>
  <c r="F100" i="10"/>
  <c r="K75" i="10"/>
  <c r="K66" i="9" s="1"/>
  <c r="Q91" i="10"/>
  <c r="I100" i="10"/>
  <c r="Q94" i="10"/>
  <c r="J100" i="10"/>
  <c r="R99" i="10"/>
  <c r="K100" i="10"/>
  <c r="S22" i="10"/>
  <c r="F75" i="10"/>
  <c r="F66" i="9" s="1"/>
  <c r="Q54" i="9"/>
  <c r="G53" i="9"/>
  <c r="N54" i="9"/>
  <c r="P54" i="9"/>
  <c r="I47" i="9"/>
  <c r="K47" i="9"/>
  <c r="K53" i="9"/>
  <c r="L47" i="9"/>
  <c r="L53" i="9"/>
  <c r="M47" i="9"/>
  <c r="M53" i="9"/>
  <c r="O54" i="9"/>
  <c r="O46" i="9"/>
  <c r="N47" i="9"/>
  <c r="N53" i="9"/>
  <c r="N46" i="9"/>
  <c r="O53" i="9"/>
  <c r="G47" i="9"/>
  <c r="H47" i="9"/>
  <c r="G46" i="9"/>
  <c r="P53" i="9"/>
  <c r="H53" i="9"/>
  <c r="I53" i="9"/>
  <c r="R54" i="9"/>
  <c r="J47" i="9"/>
  <c r="J53" i="9"/>
  <c r="S54" i="9"/>
  <c r="H46" i="9"/>
  <c r="G8" i="9"/>
  <c r="N9" i="9"/>
  <c r="O9" i="9"/>
  <c r="H39" i="9"/>
  <c r="H25" i="9" s="1"/>
  <c r="I9" i="9"/>
  <c r="R39" i="9"/>
  <c r="K9" i="9"/>
  <c r="G40" i="9"/>
  <c r="I10" i="9"/>
  <c r="L10" i="9"/>
  <c r="O10" i="9"/>
  <c r="I40" i="9"/>
  <c r="I26" i="9" s="1"/>
  <c r="K39" i="9"/>
  <c r="I39" i="9"/>
  <c r="G7" i="9"/>
  <c r="I7" i="9"/>
  <c r="M39" i="9"/>
  <c r="G39" i="9"/>
  <c r="Q40" i="9"/>
  <c r="Q26" i="9" s="1"/>
  <c r="R40" i="9"/>
  <c r="O11" i="7"/>
  <c r="M11" i="7"/>
  <c r="N11" i="7"/>
  <c r="P11" i="7"/>
  <c r="R11" i="7"/>
  <c r="Q11" i="7"/>
  <c r="C11" i="7"/>
  <c r="S11" i="7"/>
  <c r="D11" i="7"/>
  <c r="E11" i="7"/>
  <c r="G11" i="7"/>
  <c r="F11" i="7"/>
  <c r="I11" i="7"/>
  <c r="L11" i="7"/>
  <c r="J11" i="7"/>
  <c r="K11" i="7"/>
  <c r="H11" i="7"/>
  <c r="O61" i="10"/>
  <c r="Q262" i="10"/>
  <c r="N44" i="10"/>
  <c r="S10" i="10"/>
  <c r="S26" i="10"/>
  <c r="S32" i="10"/>
  <c r="F58" i="10"/>
  <c r="G58" i="10"/>
  <c r="S40" i="10"/>
  <c r="S25" i="10"/>
  <c r="O67" i="10"/>
  <c r="P95" i="10"/>
  <c r="S35" i="10"/>
  <c r="S30" i="10"/>
  <c r="F56" i="10"/>
  <c r="G56" i="10"/>
  <c r="S34" i="10"/>
  <c r="H32" i="9"/>
  <c r="S29" i="10"/>
  <c r="M73" i="10"/>
  <c r="K32" i="9"/>
  <c r="L32" i="9"/>
  <c r="S27" i="10"/>
  <c r="S33" i="10"/>
  <c r="L73" i="10"/>
  <c r="S39" i="10"/>
  <c r="I32" i="9"/>
  <c r="S12" i="10"/>
  <c r="F61" i="10"/>
  <c r="R67" i="10"/>
  <c r="N73" i="10"/>
  <c r="I53" i="10"/>
  <c r="N33" i="9"/>
  <c r="Q31" i="9"/>
  <c r="Q11" i="9" s="1"/>
  <c r="H53" i="10"/>
  <c r="M29" i="9"/>
  <c r="K61" i="10"/>
  <c r="M70" i="10"/>
  <c r="H58" i="10"/>
  <c r="L61" i="10"/>
  <c r="L71" i="10"/>
  <c r="I58" i="10"/>
  <c r="N10" i="9"/>
  <c r="O60" i="10"/>
  <c r="M71" i="10"/>
  <c r="J58" i="10"/>
  <c r="N61" i="10"/>
  <c r="F64" i="10"/>
  <c r="S15" i="10"/>
  <c r="N71" i="10"/>
  <c r="G64" i="10"/>
  <c r="M31" i="9"/>
  <c r="O44" i="10"/>
  <c r="R28" i="9"/>
  <c r="R8" i="9" s="1"/>
  <c r="I70" i="10"/>
  <c r="O64" i="10"/>
  <c r="G44" i="10"/>
  <c r="Q87" i="10"/>
  <c r="X244" i="10"/>
  <c r="N70" i="10"/>
  <c r="M30" i="9"/>
  <c r="O70" i="10"/>
  <c r="R65" i="10"/>
  <c r="J30" i="9"/>
  <c r="J29" i="9"/>
  <c r="M61" i="10"/>
  <c r="H11" i="9"/>
  <c r="K70" i="10"/>
  <c r="S272" i="10"/>
  <c r="M28" i="10"/>
  <c r="P99" i="10"/>
  <c r="L70" i="10"/>
  <c r="M67" i="10"/>
  <c r="N67" i="10"/>
  <c r="S265" i="10"/>
  <c r="X263" i="10"/>
  <c r="X138" i="10"/>
  <c r="O58" i="10"/>
  <c r="P67" i="10"/>
  <c r="I73" i="10"/>
  <c r="S13" i="10"/>
  <c r="S16" i="10"/>
  <c r="J73" i="10"/>
  <c r="J28" i="9"/>
  <c r="R58" i="10"/>
  <c r="I61" i="10"/>
  <c r="X241" i="10"/>
  <c r="L64" i="10"/>
  <c r="X235" i="10"/>
  <c r="R31" i="9"/>
  <c r="R11" i="9" s="1"/>
  <c r="F62" i="10"/>
  <c r="K58" i="10"/>
  <c r="M64" i="10"/>
  <c r="Q69" i="10"/>
  <c r="N8" i="9"/>
  <c r="G62" i="10"/>
  <c r="L58" i="10"/>
  <c r="M27" i="9"/>
  <c r="I68" i="10"/>
  <c r="O8" i="9"/>
  <c r="H64" i="10"/>
  <c r="S72" i="10"/>
  <c r="L33" i="9"/>
  <c r="I8" i="9"/>
  <c r="P27" i="9"/>
  <c r="H44" i="10"/>
  <c r="I44" i="10"/>
  <c r="F59" i="10"/>
  <c r="K44" i="10"/>
  <c r="K59" i="10"/>
  <c r="O62" i="10"/>
  <c r="Q60" i="10"/>
  <c r="M28" i="9"/>
  <c r="G32" i="9"/>
  <c r="K8" i="9"/>
  <c r="S14" i="10"/>
  <c r="O56" i="10"/>
  <c r="L44" i="10"/>
  <c r="R56" i="10"/>
  <c r="L59" i="10"/>
  <c r="K64" i="10"/>
  <c r="X219" i="10"/>
  <c r="J70" i="10"/>
  <c r="J43" i="10"/>
  <c r="H62" i="10"/>
  <c r="L68" i="10"/>
  <c r="P31" i="9"/>
  <c r="S23" i="10"/>
  <c r="S36" i="10"/>
  <c r="M59" i="10"/>
  <c r="R61" i="10"/>
  <c r="N64" i="10"/>
  <c r="F70" i="10"/>
  <c r="J31" i="9"/>
  <c r="R30" i="9"/>
  <c r="R10" i="9" s="1"/>
  <c r="J61" i="10"/>
  <c r="H9" i="9"/>
  <c r="S18" i="10"/>
  <c r="S31" i="10"/>
  <c r="N59" i="10"/>
  <c r="L67" i="10"/>
  <c r="R70" i="10"/>
  <c r="Q274" i="10"/>
  <c r="X160" i="10"/>
  <c r="G33" i="9"/>
  <c r="G10" i="9"/>
  <c r="O11" i="9"/>
  <c r="O33" i="9"/>
  <c r="J28" i="10"/>
  <c r="J27" i="9"/>
  <c r="H33" i="9"/>
  <c r="I33" i="9"/>
  <c r="P28" i="10"/>
  <c r="P46" i="9" s="1"/>
  <c r="X144" i="10"/>
  <c r="X147" i="10"/>
  <c r="P29" i="9"/>
  <c r="S91" i="10"/>
  <c r="P64" i="10"/>
  <c r="P62" i="10"/>
  <c r="F67" i="10"/>
  <c r="F65" i="10"/>
  <c r="J66" i="10"/>
  <c r="H40" i="9"/>
  <c r="H26" i="9" s="1"/>
  <c r="L40" i="9"/>
  <c r="L26" i="9" s="1"/>
  <c r="Q29" i="9"/>
  <c r="Q9" i="9" s="1"/>
  <c r="P57" i="10"/>
  <c r="M58" i="10"/>
  <c r="M56" i="10"/>
  <c r="Q57" i="10"/>
  <c r="P61" i="10"/>
  <c r="P59" i="10"/>
  <c r="H67" i="10"/>
  <c r="Q28" i="9"/>
  <c r="Q8" i="9" s="1"/>
  <c r="R29" i="9"/>
  <c r="R9" i="9" s="1"/>
  <c r="S21" i="10"/>
  <c r="J40" i="9"/>
  <c r="P30" i="9"/>
  <c r="P43" i="10"/>
  <c r="I67" i="10"/>
  <c r="I65" i="10"/>
  <c r="K10" i="9"/>
  <c r="K40" i="9"/>
  <c r="K26" i="9" s="1"/>
  <c r="O39" i="9"/>
  <c r="O25" i="9" s="1"/>
  <c r="Q28" i="10"/>
  <c r="S8" i="10"/>
  <c r="Q30" i="9"/>
  <c r="Q43" i="10"/>
  <c r="G53" i="10"/>
  <c r="L54" i="10"/>
  <c r="G9" i="9"/>
  <c r="L39" i="9"/>
  <c r="P58" i="10"/>
  <c r="G60" i="10"/>
  <c r="X213" i="10"/>
  <c r="K67" i="10"/>
  <c r="P68" i="10"/>
  <c r="P70" i="10"/>
  <c r="R73" i="10"/>
  <c r="R71" i="10"/>
  <c r="N54" i="10"/>
  <c r="H60" i="10"/>
  <c r="O32" i="9"/>
  <c r="O7" i="9"/>
  <c r="N39" i="9"/>
  <c r="N40" i="9"/>
  <c r="P28" i="9"/>
  <c r="M62" i="10"/>
  <c r="J53" i="10"/>
  <c r="O54" i="10"/>
  <c r="K33" i="9"/>
  <c r="K53" i="10"/>
  <c r="Q66" i="10"/>
  <c r="S66" i="10"/>
  <c r="N32" i="9"/>
  <c r="N7" i="9"/>
  <c r="M40" i="9"/>
  <c r="L62" i="10"/>
  <c r="Q27" i="9"/>
  <c r="P40" i="9"/>
  <c r="P26" i="9" s="1"/>
  <c r="S9" i="10"/>
  <c r="H65" i="10"/>
  <c r="J39" i="9"/>
  <c r="S11" i="10"/>
  <c r="X141" i="10"/>
  <c r="N58" i="10"/>
  <c r="G67" i="10"/>
  <c r="Q64" i="10"/>
  <c r="X200" i="10"/>
  <c r="S19" i="10"/>
  <c r="M54" i="10"/>
  <c r="R64" i="10"/>
  <c r="P92" i="10"/>
  <c r="G61" i="10"/>
  <c r="Q39" i="9"/>
  <c r="R43" i="10"/>
  <c r="X169" i="10"/>
  <c r="X172" i="10"/>
  <c r="H61" i="10"/>
  <c r="S37" i="10"/>
  <c r="Q90" i="10"/>
  <c r="S24" i="10"/>
  <c r="O40" i="9"/>
  <c r="R27" i="9"/>
  <c r="M53" i="10"/>
  <c r="G70" i="10"/>
  <c r="P39" i="9"/>
  <c r="S7" i="10"/>
  <c r="R28" i="10"/>
  <c r="N53" i="10"/>
  <c r="G59" i="10"/>
  <c r="H70" i="10"/>
  <c r="Q271" i="10"/>
  <c r="H59" i="10"/>
  <c r="X119" i="10"/>
  <c r="I64" i="10"/>
  <c r="I62" i="10"/>
  <c r="J67" i="10"/>
  <c r="S269" i="10"/>
  <c r="S271" i="10" s="1"/>
  <c r="R57" i="10"/>
  <c r="I59" i="10"/>
  <c r="Q96" i="10"/>
  <c r="J64" i="10"/>
  <c r="J62" i="10"/>
  <c r="X269" i="10"/>
  <c r="M43" i="10"/>
  <c r="N56" i="10"/>
  <c r="P86" i="10"/>
  <c r="Q84" i="10"/>
  <c r="S260" i="10"/>
  <c r="Q268" i="10"/>
  <c r="K73" i="10"/>
  <c r="S69" i="10"/>
  <c r="S266" i="10"/>
  <c r="S268" i="10" s="1"/>
  <c r="Q265" i="10"/>
  <c r="O26" i="9" l="1"/>
  <c r="R26" i="9"/>
  <c r="K25" i="9"/>
  <c r="N25" i="9"/>
  <c r="P25" i="9"/>
  <c r="N26" i="9"/>
  <c r="J26" i="9"/>
  <c r="I25" i="9"/>
  <c r="L25" i="9"/>
  <c r="M26" i="9"/>
  <c r="G26" i="9"/>
  <c r="G25" i="9"/>
  <c r="S137" i="22"/>
  <c r="S150" i="22"/>
  <c r="S56" i="22" s="1"/>
  <c r="S124" i="22"/>
  <c r="S98" i="22" s="1"/>
  <c r="S96" i="22"/>
  <c r="S92" i="22"/>
  <c r="S90" i="22"/>
  <c r="S187" i="22"/>
  <c r="S202" i="22" s="1"/>
  <c r="S64" i="22" s="1"/>
  <c r="S200" i="22"/>
  <c r="S62" i="22" s="1"/>
  <c r="I101" i="22"/>
  <c r="I55" i="22"/>
  <c r="I76" i="22" s="1"/>
  <c r="Q277" i="22"/>
  <c r="Q73" i="22" s="1"/>
  <c r="K55" i="22"/>
  <c r="K76" i="22" s="1"/>
  <c r="K101" i="22"/>
  <c r="Q75" i="22"/>
  <c r="S112" i="22"/>
  <c r="S84" i="22"/>
  <c r="S125" i="22"/>
  <c r="Q98" i="22"/>
  <c r="Q100" i="22"/>
  <c r="H101" i="22"/>
  <c r="H55" i="22"/>
  <c r="H76" i="22" s="1"/>
  <c r="F76" i="22"/>
  <c r="S175" i="22"/>
  <c r="S59" i="22" s="1"/>
  <c r="F101" i="22"/>
  <c r="R101" i="22"/>
  <c r="R55" i="22"/>
  <c r="R76" i="22" s="1"/>
  <c r="S89" i="22"/>
  <c r="S237" i="22"/>
  <c r="S252" i="22" s="1"/>
  <c r="S70" i="22" s="1"/>
  <c r="S250" i="22"/>
  <c r="S68" i="22" s="1"/>
  <c r="Q202" i="22"/>
  <c r="Q64" i="22" s="1"/>
  <c r="Q227" i="22"/>
  <c r="Q67" i="22" s="1"/>
  <c r="O76" i="22"/>
  <c r="G101" i="22"/>
  <c r="G55" i="22"/>
  <c r="G76" i="22" s="1"/>
  <c r="Q89" i="22"/>
  <c r="S140" i="22"/>
  <c r="S87" i="22"/>
  <c r="Q62" i="22"/>
  <c r="X200" i="22"/>
  <c r="O101" i="22"/>
  <c r="M101" i="22"/>
  <c r="M44" i="22"/>
  <c r="Q99" i="22"/>
  <c r="Q53" i="22"/>
  <c r="X125" i="22"/>
  <c r="Q95" i="22"/>
  <c r="J55" i="22"/>
  <c r="J76" i="22" s="1"/>
  <c r="J101" i="22"/>
  <c r="S151" i="22"/>
  <c r="S57" i="22" s="1"/>
  <c r="S85" i="22"/>
  <c r="S93" i="22"/>
  <c r="R44" i="22"/>
  <c r="S225" i="22"/>
  <c r="S65" i="22" s="1"/>
  <c r="S212" i="22"/>
  <c r="S227" i="22" s="1"/>
  <c r="S67" i="22" s="1"/>
  <c r="Q177" i="22"/>
  <c r="Q61" i="22" s="1"/>
  <c r="Q252" i="22"/>
  <c r="Q70" i="22" s="1"/>
  <c r="Q86" i="22"/>
  <c r="Q127" i="22"/>
  <c r="P44" i="22"/>
  <c r="J44" i="22"/>
  <c r="Q56" i="22"/>
  <c r="X150" i="22"/>
  <c r="S262" i="22"/>
  <c r="S277" i="22" s="1"/>
  <c r="S73" i="22" s="1"/>
  <c r="S275" i="22"/>
  <c r="S71" i="22" s="1"/>
  <c r="S176" i="22"/>
  <c r="S60" i="22" s="1"/>
  <c r="S162" i="22"/>
  <c r="S177" i="22" s="1"/>
  <c r="S61" i="22" s="1"/>
  <c r="S126" i="22"/>
  <c r="S88" i="22"/>
  <c r="S187" i="21"/>
  <c r="S200" i="21"/>
  <c r="S62" i="21" s="1"/>
  <c r="K55" i="21"/>
  <c r="K76" i="21" s="1"/>
  <c r="K101" i="21"/>
  <c r="S225" i="21"/>
  <c r="S65" i="21" s="1"/>
  <c r="S212" i="21"/>
  <c r="S227" i="21" s="1"/>
  <c r="S67" i="21" s="1"/>
  <c r="Q95" i="21"/>
  <c r="S90" i="21"/>
  <c r="S118" i="21"/>
  <c r="S92" i="21" s="1"/>
  <c r="S177" i="21"/>
  <c r="S61" i="21" s="1"/>
  <c r="I101" i="21"/>
  <c r="I55" i="21"/>
  <c r="I76" i="21" s="1"/>
  <c r="Q89" i="21"/>
  <c r="J55" i="21"/>
  <c r="J76" i="21" s="1"/>
  <c r="J101" i="21"/>
  <c r="G101" i="21"/>
  <c r="G55" i="21"/>
  <c r="G76" i="21" s="1"/>
  <c r="Q152" i="21"/>
  <c r="Q58" i="21" s="1"/>
  <c r="S175" i="21"/>
  <c r="S59" i="21" s="1"/>
  <c r="S124" i="21"/>
  <c r="S98" i="21" s="1"/>
  <c r="S96" i="21"/>
  <c r="Q53" i="21"/>
  <c r="Q74" i="21" s="1"/>
  <c r="Q99" i="21"/>
  <c r="X125" i="21"/>
  <c r="Q127" i="21"/>
  <c r="Q86" i="21"/>
  <c r="Q202" i="21"/>
  <c r="Q64" i="21" s="1"/>
  <c r="S93" i="21"/>
  <c r="S121" i="21"/>
  <c r="S95" i="21" s="1"/>
  <c r="M101" i="21"/>
  <c r="S262" i="21"/>
  <c r="S277" i="21" s="1"/>
  <c r="S73" i="21" s="1"/>
  <c r="S275" i="21"/>
  <c r="S71" i="21" s="1"/>
  <c r="Q252" i="21"/>
  <c r="Q70" i="21" s="1"/>
  <c r="S44" i="21"/>
  <c r="S126" i="21"/>
  <c r="M76" i="21"/>
  <c r="Q277" i="21"/>
  <c r="Q73" i="21" s="1"/>
  <c r="S85" i="21"/>
  <c r="R101" i="21"/>
  <c r="R55" i="21"/>
  <c r="R76" i="21" s="1"/>
  <c r="S150" i="21"/>
  <c r="S56" i="21" s="1"/>
  <c r="S137" i="21"/>
  <c r="S152" i="21" s="1"/>
  <c r="S58" i="21" s="1"/>
  <c r="H101" i="21"/>
  <c r="H55" i="21"/>
  <c r="H76" i="21" s="1"/>
  <c r="Q98" i="21"/>
  <c r="Q100" i="21"/>
  <c r="Q54" i="21"/>
  <c r="Q75" i="21" s="1"/>
  <c r="Q227" i="21"/>
  <c r="Q67" i="21" s="1"/>
  <c r="S115" i="21"/>
  <c r="S89" i="21" s="1"/>
  <c r="S87" i="21"/>
  <c r="S237" i="21"/>
  <c r="S252" i="21" s="1"/>
  <c r="S70" i="21" s="1"/>
  <c r="S250" i="21"/>
  <c r="S68" i="21" s="1"/>
  <c r="S193" i="21"/>
  <c r="S112" i="21"/>
  <c r="S84" i="21"/>
  <c r="S125" i="21"/>
  <c r="Q53" i="20"/>
  <c r="Q99" i="20"/>
  <c r="X125" i="20"/>
  <c r="I101" i="20"/>
  <c r="I55" i="20"/>
  <c r="I76" i="20" s="1"/>
  <c r="G101" i="20"/>
  <c r="G55" i="20"/>
  <c r="G76" i="20" s="1"/>
  <c r="Q95" i="20"/>
  <c r="X275" i="20"/>
  <c r="Q71" i="20"/>
  <c r="Q89" i="20"/>
  <c r="S124" i="20"/>
  <c r="S98" i="20" s="1"/>
  <c r="S90" i="20"/>
  <c r="S118" i="20"/>
  <c r="S92" i="20" s="1"/>
  <c r="S126" i="20"/>
  <c r="S225" i="20"/>
  <c r="S65" i="20" s="1"/>
  <c r="S212" i="20"/>
  <c r="S227" i="20" s="1"/>
  <c r="S67" i="20" s="1"/>
  <c r="S85" i="20"/>
  <c r="X225" i="20"/>
  <c r="Q65" i="20"/>
  <c r="H101" i="20"/>
  <c r="H55" i="20"/>
  <c r="H76" i="20" s="1"/>
  <c r="J55" i="20"/>
  <c r="J76" i="20" s="1"/>
  <c r="J101" i="20"/>
  <c r="S251" i="20"/>
  <c r="S69" i="20" s="1"/>
  <c r="M101" i="20"/>
  <c r="S265" i="20"/>
  <c r="S277" i="20" s="1"/>
  <c r="S73" i="20" s="1"/>
  <c r="S275" i="20"/>
  <c r="S71" i="20" s="1"/>
  <c r="S175" i="20"/>
  <c r="S59" i="20" s="1"/>
  <c r="P76" i="20"/>
  <c r="L101" i="20"/>
  <c r="S137" i="20"/>
  <c r="S150" i="20"/>
  <c r="S56" i="20" s="1"/>
  <c r="Q152" i="20"/>
  <c r="Q58" i="20" s="1"/>
  <c r="Q86" i="20"/>
  <c r="Q127" i="20"/>
  <c r="F101" i="20"/>
  <c r="F55" i="20"/>
  <c r="F76" i="20" s="1"/>
  <c r="S44" i="20"/>
  <c r="S112" i="20"/>
  <c r="S84" i="20"/>
  <c r="S125" i="20"/>
  <c r="Q56" i="20"/>
  <c r="X150" i="20"/>
  <c r="S162" i="20"/>
  <c r="S177" i="20" s="1"/>
  <c r="S61" i="20" s="1"/>
  <c r="K55" i="20"/>
  <c r="K76" i="20" s="1"/>
  <c r="K101" i="20"/>
  <c r="S115" i="20"/>
  <c r="S87" i="20"/>
  <c r="S93" i="20"/>
  <c r="S121" i="20"/>
  <c r="S95" i="20" s="1"/>
  <c r="Q98" i="20"/>
  <c r="Q202" i="20"/>
  <c r="Q64" i="20" s="1"/>
  <c r="X250" i="20"/>
  <c r="Q68" i="20"/>
  <c r="N101" i="20"/>
  <c r="S96" i="20"/>
  <c r="S149" i="20"/>
  <c r="S88" i="20"/>
  <c r="S190" i="20"/>
  <c r="S202" i="20" s="1"/>
  <c r="S64" i="20" s="1"/>
  <c r="S200" i="20"/>
  <c r="S62" i="20" s="1"/>
  <c r="P101" i="20"/>
  <c r="Q100" i="20"/>
  <c r="Q54" i="20"/>
  <c r="Q75" i="20" s="1"/>
  <c r="S125" i="10"/>
  <c r="S112" i="10"/>
  <c r="S127" i="10" s="1"/>
  <c r="S151" i="10"/>
  <c r="S150" i="10"/>
  <c r="S137" i="10"/>
  <c r="S152" i="10" s="1"/>
  <c r="S175" i="10"/>
  <c r="S162" i="10"/>
  <c r="S177" i="10" s="1"/>
  <c r="S200" i="10"/>
  <c r="S187" i="10"/>
  <c r="S202" i="10" s="1"/>
  <c r="S212" i="10"/>
  <c r="S227" i="10" s="1"/>
  <c r="S225" i="10"/>
  <c r="S237" i="10"/>
  <c r="S252" i="10" s="1"/>
  <c r="S250" i="10"/>
  <c r="Q277" i="10"/>
  <c r="S274" i="10"/>
  <c r="S275" i="10"/>
  <c r="J46" i="9"/>
  <c r="J25" i="9" s="1"/>
  <c r="Q46" i="9"/>
  <c r="Q25" i="9" s="1"/>
  <c r="X275" i="10"/>
  <c r="P53" i="10"/>
  <c r="K74" i="10"/>
  <c r="K65" i="9" s="1"/>
  <c r="K62" i="9" s="1"/>
  <c r="M46" i="9"/>
  <c r="M25" i="9" s="1"/>
  <c r="L101" i="10"/>
  <c r="R46" i="9"/>
  <c r="R25" i="9" s="1"/>
  <c r="O74" i="10"/>
  <c r="O65" i="9" s="1"/>
  <c r="O62" i="9" s="1"/>
  <c r="P101" i="10"/>
  <c r="M101" i="10"/>
  <c r="G101" i="10"/>
  <c r="Q100" i="10"/>
  <c r="F74" i="10"/>
  <c r="F62" i="9" s="1"/>
  <c r="I55" i="10"/>
  <c r="I76" i="10" s="1"/>
  <c r="I67" i="9" s="1"/>
  <c r="I101" i="10"/>
  <c r="R55" i="10"/>
  <c r="R76" i="10" s="1"/>
  <c r="R67" i="9" s="1"/>
  <c r="R101" i="10"/>
  <c r="H55" i="10"/>
  <c r="H76" i="10" s="1"/>
  <c r="H67" i="9" s="1"/>
  <c r="H101" i="10"/>
  <c r="S88" i="10"/>
  <c r="K101" i="10"/>
  <c r="F101" i="10"/>
  <c r="N101" i="10"/>
  <c r="Q95" i="10"/>
  <c r="O75" i="10"/>
  <c r="O66" i="9" s="1"/>
  <c r="O63" i="9" s="1"/>
  <c r="S93" i="10"/>
  <c r="M74" i="10"/>
  <c r="M65" i="9" s="1"/>
  <c r="M62" i="9" s="1"/>
  <c r="S85" i="10"/>
  <c r="O101" i="10"/>
  <c r="L74" i="10"/>
  <c r="L65" i="9" s="1"/>
  <c r="L62" i="9" s="1"/>
  <c r="N74" i="10"/>
  <c r="N65" i="9" s="1"/>
  <c r="N62" i="9" s="1"/>
  <c r="J101" i="10"/>
  <c r="S94" i="10"/>
  <c r="F63" i="9"/>
  <c r="L75" i="10"/>
  <c r="L66" i="9" s="1"/>
  <c r="L63" i="9" s="1"/>
  <c r="H74" i="10"/>
  <c r="H65" i="9" s="1"/>
  <c r="H62" i="9" s="1"/>
  <c r="G74" i="10"/>
  <c r="G65" i="9" s="1"/>
  <c r="G62" i="9" s="1"/>
  <c r="I74" i="10"/>
  <c r="I65" i="9" s="1"/>
  <c r="I62" i="9" s="1"/>
  <c r="N75" i="10"/>
  <c r="N66" i="9" s="1"/>
  <c r="N63" i="9" s="1"/>
  <c r="G75" i="10"/>
  <c r="G66" i="9" s="1"/>
  <c r="G63" i="9" s="1"/>
  <c r="H75" i="10"/>
  <c r="H66" i="9" s="1"/>
  <c r="H63" i="9" s="1"/>
  <c r="M75" i="10"/>
  <c r="M66" i="9" s="1"/>
  <c r="M63" i="9" s="1"/>
  <c r="J75" i="10"/>
  <c r="J66" i="9" s="1"/>
  <c r="J63" i="9" s="1"/>
  <c r="J74" i="10"/>
  <c r="J65" i="9" s="1"/>
  <c r="J62" i="9" s="1"/>
  <c r="R75" i="10"/>
  <c r="R66" i="9" s="1"/>
  <c r="R63" i="9" s="1"/>
  <c r="P74" i="10"/>
  <c r="P65" i="9" s="1"/>
  <c r="P62" i="9" s="1"/>
  <c r="R74" i="10"/>
  <c r="R65" i="9" s="1"/>
  <c r="P75" i="10"/>
  <c r="P66" i="9" s="1"/>
  <c r="P63" i="9" s="1"/>
  <c r="Q70" i="10"/>
  <c r="S30" i="9"/>
  <c r="S10" i="9" s="1"/>
  <c r="X113" i="10"/>
  <c r="S87" i="10"/>
  <c r="G6" i="9"/>
  <c r="Q89" i="10"/>
  <c r="L6" i="9"/>
  <c r="N6" i="9"/>
  <c r="I6" i="9"/>
  <c r="S28" i="9"/>
  <c r="S8" i="9" s="1"/>
  <c r="M44" i="10"/>
  <c r="M33" i="9"/>
  <c r="J44" i="10"/>
  <c r="M32" i="9"/>
  <c r="J33" i="9"/>
  <c r="K6" i="9"/>
  <c r="X250" i="10"/>
  <c r="Q68" i="10"/>
  <c r="S68" i="10"/>
  <c r="S57" i="10"/>
  <c r="S43" i="10"/>
  <c r="H6" i="9"/>
  <c r="Q61" i="10"/>
  <c r="X175" i="10"/>
  <c r="Q59" i="10"/>
  <c r="X122" i="10"/>
  <c r="S96" i="10"/>
  <c r="Q98" i="10"/>
  <c r="R7" i="9"/>
  <c r="R6" i="9" s="1"/>
  <c r="R32" i="9"/>
  <c r="F55" i="10"/>
  <c r="P55" i="10"/>
  <c r="M55" i="10"/>
  <c r="R33" i="9"/>
  <c r="S262" i="10"/>
  <c r="R44" i="10"/>
  <c r="O6" i="9"/>
  <c r="G55" i="10"/>
  <c r="X225" i="10"/>
  <c r="Q65" i="10"/>
  <c r="Q67" i="10"/>
  <c r="S95" i="10"/>
  <c r="X110" i="10"/>
  <c r="Q99" i="10"/>
  <c r="S84" i="10"/>
  <c r="Q86" i="10"/>
  <c r="L55" i="10"/>
  <c r="S28" i="10"/>
  <c r="S27" i="9"/>
  <c r="X116" i="10"/>
  <c r="S90" i="10"/>
  <c r="Q92" i="10"/>
  <c r="S64" i="10"/>
  <c r="S62" i="10"/>
  <c r="Q54" i="10"/>
  <c r="Q73" i="10"/>
  <c r="O55" i="10"/>
  <c r="S60" i="10"/>
  <c r="J32" i="9"/>
  <c r="Q7" i="9"/>
  <c r="Q32" i="9"/>
  <c r="S31" i="9"/>
  <c r="S11" i="9" s="1"/>
  <c r="J55" i="10"/>
  <c r="Q33" i="9"/>
  <c r="Q10" i="9"/>
  <c r="I63" i="9"/>
  <c r="Q44" i="10"/>
  <c r="P44" i="10"/>
  <c r="K55" i="10"/>
  <c r="P33" i="9"/>
  <c r="P32" i="9"/>
  <c r="S54" i="10"/>
  <c r="K63" i="9"/>
  <c r="N55" i="10"/>
  <c r="S40" i="9"/>
  <c r="S26" i="9" s="1"/>
  <c r="S39" i="9"/>
  <c r="Q58" i="10"/>
  <c r="X150" i="10"/>
  <c r="Q56" i="10"/>
  <c r="S29" i="9"/>
  <c r="S9" i="9" s="1"/>
  <c r="Q101" i="22" l="1"/>
  <c r="Q55" i="22"/>
  <c r="Q76" i="22" s="1"/>
  <c r="S100" i="22"/>
  <c r="S54" i="22"/>
  <c r="S75" i="22" s="1"/>
  <c r="S86" i="22"/>
  <c r="S127" i="22"/>
  <c r="Q74" i="22"/>
  <c r="S99" i="22"/>
  <c r="S53" i="22"/>
  <c r="S74" i="22" s="1"/>
  <c r="S152" i="22"/>
  <c r="S58" i="22" s="1"/>
  <c r="S99" i="21"/>
  <c r="S53" i="21"/>
  <c r="S74" i="21" s="1"/>
  <c r="S54" i="21"/>
  <c r="S75" i="21" s="1"/>
  <c r="S100" i="21"/>
  <c r="Q101" i="21"/>
  <c r="Q55" i="21"/>
  <c r="Q76" i="21" s="1"/>
  <c r="S86" i="21"/>
  <c r="S127" i="21"/>
  <c r="S202" i="21"/>
  <c r="S64" i="21" s="1"/>
  <c r="S99" i="20"/>
  <c r="S53" i="20"/>
  <c r="S74" i="20" s="1"/>
  <c r="S100" i="20"/>
  <c r="S54" i="20"/>
  <c r="S75" i="20" s="1"/>
  <c r="S86" i="20"/>
  <c r="S127" i="20"/>
  <c r="Q55" i="20"/>
  <c r="Q76" i="20" s="1"/>
  <c r="Q101" i="20"/>
  <c r="S89" i="20"/>
  <c r="S152" i="20"/>
  <c r="S58" i="20" s="1"/>
  <c r="Q74" i="20"/>
  <c r="S277" i="10"/>
  <c r="S46" i="9"/>
  <c r="S25" i="9" s="1"/>
  <c r="S100" i="10"/>
  <c r="S89" i="10"/>
  <c r="H64" i="9"/>
  <c r="R64" i="9"/>
  <c r="O76" i="10"/>
  <c r="O67" i="9" s="1"/>
  <c r="O64" i="9" s="1"/>
  <c r="K76" i="10"/>
  <c r="K67" i="9" s="1"/>
  <c r="K64" i="9" s="1"/>
  <c r="L76" i="10"/>
  <c r="L67" i="9" s="1"/>
  <c r="L64" i="9" s="1"/>
  <c r="M76" i="10"/>
  <c r="M67" i="9" s="1"/>
  <c r="M64" i="9" s="1"/>
  <c r="N76" i="10"/>
  <c r="N67" i="9" s="1"/>
  <c r="N64" i="9" s="1"/>
  <c r="P76" i="10"/>
  <c r="P67" i="9" s="1"/>
  <c r="P64" i="9" s="1"/>
  <c r="F76" i="10"/>
  <c r="F67" i="9" s="1"/>
  <c r="F64" i="9" s="1"/>
  <c r="G76" i="10"/>
  <c r="G67" i="9" s="1"/>
  <c r="G64" i="9" s="1"/>
  <c r="S75" i="10"/>
  <c r="S66" i="9" s="1"/>
  <c r="S63" i="9" s="1"/>
  <c r="I64" i="9"/>
  <c r="J76" i="10"/>
  <c r="J67" i="9" s="1"/>
  <c r="J64" i="9" s="1"/>
  <c r="Q75" i="10"/>
  <c r="Q66" i="9" s="1"/>
  <c r="Q63" i="9" s="1"/>
  <c r="R62" i="9"/>
  <c r="S70" i="10"/>
  <c r="S44" i="10"/>
  <c r="S73" i="10"/>
  <c r="S71" i="10"/>
  <c r="S59" i="10"/>
  <c r="S61" i="10"/>
  <c r="S99" i="10"/>
  <c r="S86" i="10"/>
  <c r="S92" i="10"/>
  <c r="Q101" i="10"/>
  <c r="Q53" i="10"/>
  <c r="X125" i="10"/>
  <c r="S98" i="10"/>
  <c r="S7" i="9"/>
  <c r="S6" i="9" s="1"/>
  <c r="S32" i="9"/>
  <c r="Q6" i="9"/>
  <c r="S33" i="9"/>
  <c r="S58" i="10"/>
  <c r="S56" i="10"/>
  <c r="S67" i="10"/>
  <c r="S65" i="10"/>
  <c r="S101" i="22" l="1"/>
  <c r="S55" i="22"/>
  <c r="S76" i="22" s="1"/>
  <c r="S101" i="21"/>
  <c r="S55" i="21"/>
  <c r="S76" i="21" s="1"/>
  <c r="S101" i="20"/>
  <c r="S55" i="20"/>
  <c r="S76" i="20" s="1"/>
  <c r="Q74" i="10"/>
  <c r="Q65" i="9" s="1"/>
  <c r="Q62" i="9" s="1"/>
  <c r="Q55" i="10"/>
  <c r="S53" i="10"/>
  <c r="S101" i="10"/>
  <c r="S74" i="10" l="1"/>
  <c r="S65" i="9" s="1"/>
  <c r="S62" i="9" s="1"/>
  <c r="Q76" i="10"/>
  <c r="Q67" i="9" s="1"/>
  <c r="Q64" i="9" s="1"/>
  <c r="S55" i="10"/>
  <c r="S76" i="10" l="1"/>
  <c r="S67" i="9" s="1"/>
  <c r="S64" i="9" s="1"/>
</calcChain>
</file>

<file path=xl/sharedStrings.xml><?xml version="1.0" encoding="utf-8"?>
<sst xmlns="http://schemas.openxmlformats.org/spreadsheetml/2006/main" count="3739" uniqueCount="163">
  <si>
    <t>과제</t>
  </si>
  <si>
    <t xml:space="preserve">  1-2. 연구개발 대상의 국내외 현황</t>
  </si>
  <si>
    <t>기술이전</t>
  </si>
  <si>
    <t>기고서채택</t>
  </si>
  <si>
    <t xml:space="preserve">  1-1. 최종목표 및 내용</t>
  </si>
  <si>
    <t>④</t>
  </si>
  <si>
    <t>연구개발 
과제2</t>
  </si>
  <si>
    <t>기술문서</t>
  </si>
  <si>
    <t xml:space="preserve">  4-1. 연구개발비 지원.부담계획</t>
  </si>
  <si>
    <t xml:space="preserve">  2-3. 연구개발과제의 연구 내용</t>
  </si>
  <si>
    <t>RFP 연구내용</t>
  </si>
  <si>
    <t>특허</t>
  </si>
  <si>
    <t>기술기여도 산정 근거</t>
  </si>
  <si>
    <t>5. 연구개발성과의 사업화 전략 및 계획</t>
  </si>
  <si>
    <t xml:space="preserve">  2-2. 연구개발과제의 단계별 목표</t>
  </si>
  <si>
    <t xml:space="preserve">  6-1. 안전조치 이행계획</t>
  </si>
  <si>
    <t>2-2-2. 연차별 사용계획</t>
  </si>
  <si>
    <t>2년차</t>
  </si>
  <si>
    <t>2-1. 연구개발비 지원.부담계획</t>
  </si>
  <si>
    <t>연구
수당 계상 기준 금액</t>
  </si>
  <si>
    <t>S/W등록</t>
  </si>
  <si>
    <t>1차년도 (2025년)</t>
  </si>
  <si>
    <t>상용화
(백만원)</t>
  </si>
  <si>
    <t>주관연구개발기관 연구책임자 국가연구개발사업 과제 현황</t>
  </si>
  <si>
    <t>현물</t>
  </si>
  <si>
    <t>소계</t>
  </si>
  <si>
    <t xml:space="preserve">  3-1. 연구개발과제의 추진전략.방법</t>
  </si>
  <si>
    <t xml:space="preserve">  1-1. 개요</t>
  </si>
  <si>
    <t>②</t>
  </si>
  <si>
    <t xml:space="preserve">    1-1-8. 참여연구자 및 연구지원인력</t>
  </si>
  <si>
    <t>연구
수당</t>
  </si>
  <si>
    <t xml:space="preserve">  2-4. 연구개발과제 수행일정 및 주요 결과물</t>
  </si>
  <si>
    <t>4. 연구개발성과이 활용방안 및 기대효과</t>
  </si>
  <si>
    <t>연구
활동비</t>
  </si>
  <si>
    <t>표준안채택</t>
  </si>
  <si>
    <t>연구개발
부담비</t>
  </si>
  <si>
    <t>2. 연구개발비 사용에 관한 계획</t>
  </si>
  <si>
    <t xml:space="preserve">  3-1. 총괄연구개발과제</t>
  </si>
  <si>
    <t xml:space="preserve">  3-1. 성과지표 및 목표치</t>
  </si>
  <si>
    <t>정부지원</t>
  </si>
  <si>
    <t>조정</t>
  </si>
  <si>
    <t xml:space="preserve">  1-2. 연구개발기관 연구개발 실적</t>
  </si>
  <si>
    <t>연구개발기관의 연구개발비 사용 신청서</t>
  </si>
  <si>
    <t>총계</t>
  </si>
  <si>
    <t>연구데이터 관리계획</t>
  </si>
  <si>
    <t xml:space="preserve">  1-4. 연구개발기관 일반 현황</t>
  </si>
  <si>
    <t>직접비</t>
  </si>
  <si>
    <t xml:space="preserve">  5-3. SW품질관리계획 및 공개SW활용방안</t>
  </si>
  <si>
    <t>2차년도 (2026년)</t>
  </si>
  <si>
    <t>4-1. 연구개발비 지원.부담계획</t>
  </si>
  <si>
    <t>2-2-1. 연차개발기관별 사용계획</t>
  </si>
  <si>
    <t>기고서제출</t>
  </si>
  <si>
    <t>학생인건비</t>
  </si>
  <si>
    <t>책임자</t>
  </si>
  <si>
    <t>붙임3. 기술준비도 목표</t>
  </si>
  <si>
    <t>⑤</t>
  </si>
  <si>
    <t xml:space="preserve">  2-2. 연구개발비 사용계획</t>
  </si>
  <si>
    <t xml:space="preserve">  5-1. 사업화 계획</t>
  </si>
  <si>
    <t>4-2. 연구개발비 사용계획</t>
  </si>
  <si>
    <t>지방자치단체</t>
  </si>
  <si>
    <t>2-2. 연구개발비 사용계획</t>
  </si>
  <si>
    <t>표지</t>
  </si>
  <si>
    <t>1년차</t>
  </si>
  <si>
    <t>5차년도 (2029년)</t>
  </si>
  <si>
    <t>번호</t>
  </si>
  <si>
    <t>국세지방세완납증명서/세금분납 계획서 (기업만)</t>
  </si>
  <si>
    <t>국제</t>
  </si>
  <si>
    <t>2. 연구개발과제의 목표 및 내용</t>
  </si>
  <si>
    <t>연차</t>
  </si>
  <si>
    <t>합계</t>
  </si>
  <si>
    <t>3. 연구개발과제의 추진전략.방법 및 추진체계</t>
  </si>
  <si>
    <t>표준화</t>
  </si>
  <si>
    <t xml:space="preserve">  1-3. 연구시설.장비 보유현황</t>
  </si>
  <si>
    <t xml:space="preserve">  1-1. 연구책임자 등 현황</t>
  </si>
  <si>
    <t>신청자격 적정성 및 자기진단서</t>
  </si>
  <si>
    <t>3. 평가기준 및 평가방법</t>
  </si>
  <si>
    <t>연구시설·장비비</t>
  </si>
  <si>
    <t>성과홍보</t>
  </si>
  <si>
    <t>현금</t>
  </si>
  <si>
    <t xml:space="preserve">  2-1. 총괄연구개발과제</t>
  </si>
  <si>
    <t>통합</t>
  </si>
  <si>
    <t>3년차</t>
  </si>
  <si>
    <t>연구개발기관 대표 참여의사 확인서 및 기관 정보활용 동의서</t>
  </si>
  <si>
    <t>일반</t>
  </si>
  <si>
    <t xml:space="preserve">  6-3. 기타 조치사항 이행계획</t>
  </si>
  <si>
    <t xml:space="preserve">  4-2. 연구개발비 사용계획</t>
  </si>
  <si>
    <t>담당 기관/부서</t>
  </si>
  <si>
    <t>기술료
(백만원)</t>
  </si>
  <si>
    <t>국제공동연구
개발비</t>
  </si>
  <si>
    <t xml:space="preserve">  4-2. 연구개발성과의 기대효과</t>
  </si>
  <si>
    <t>6. 연구개발 안전 및 보안조치 이행계획</t>
  </si>
  <si>
    <t xml:space="preserve">  6-2. 보안조치 이행계획</t>
  </si>
  <si>
    <t>출원</t>
  </si>
  <si>
    <t>ETRI</t>
  </si>
  <si>
    <t xml:space="preserve">  1-2. 단계별 목표 및 내용</t>
  </si>
  <si>
    <t>1. 연구개발기관 현황</t>
  </si>
  <si>
    <t>국가연구개발사업 동시수행과제수 준수 확인서</t>
  </si>
  <si>
    <t xml:space="preserve">  1-3. 연구개발 성과 및 기대효과</t>
  </si>
  <si>
    <t>4차년도 (2028년)</t>
  </si>
  <si>
    <t>2. 평가기준 및 평가방법</t>
  </si>
  <si>
    <t>1. 연구개발과제의 필요성</t>
  </si>
  <si>
    <t xml:space="preserve">    1-1-11. 신규 인력 채용 계획 및 활용 방안</t>
  </si>
  <si>
    <t>특례</t>
  </si>
  <si>
    <t xml:space="preserve">  3-2. 성능지표 및 측정방법</t>
  </si>
  <si>
    <t>최종 목표</t>
  </si>
  <si>
    <t>위탁연구
개발비</t>
  </si>
  <si>
    <t>기타( )</t>
  </si>
  <si>
    <t>연구
개발비 외 지원금</t>
  </si>
  <si>
    <t>-</t>
  </si>
  <si>
    <t xml:space="preserve">  2-1. 연구개발비 지원.부담계획</t>
  </si>
  <si>
    <r>
      <t>(기관역할</t>
    </r>
    <r>
      <rPr>
        <vertAlign val="superscript"/>
        <sz val="8"/>
        <color rgb="FF000000"/>
        <rFont val="돋움"/>
        <family val="2"/>
        <charset val="129"/>
      </rPr>
      <t>1｣</t>
    </r>
    <r>
      <rPr>
        <sz val="8"/>
        <color rgb="FF000000"/>
        <rFont val="돋움"/>
        <family val="2"/>
        <charset val="129"/>
      </rPr>
      <t>)</t>
    </r>
  </si>
  <si>
    <t>우대사항 증빙서류</t>
  </si>
  <si>
    <t>3. 연구개발기관 및 연구원 현황</t>
  </si>
  <si>
    <t>연구개발기관명</t>
  </si>
  <si>
    <t>회계감사보고서/재무제표 (기업만)</t>
  </si>
  <si>
    <t>붙임1. 국제공동연구 계획서</t>
  </si>
  <si>
    <t xml:space="preserve">    1-1-9. 신규채용 인력 세부내용</t>
  </si>
  <si>
    <t xml:space="preserve">  </t>
  </si>
  <si>
    <t>③</t>
  </si>
  <si>
    <t xml:space="preserve">    1-1-10. 여성 참여 인력 비율</t>
  </si>
  <si>
    <t>내용</t>
  </si>
  <si>
    <t>인건비</t>
  </si>
  <si>
    <t>참여연구자 개인정보 및 과제정보 수집이용제공 동의서</t>
  </si>
  <si>
    <t>그 외 기관 등의 지원금</t>
  </si>
  <si>
    <t>붙임2. 0000년 시설장비 심의요청서</t>
  </si>
  <si>
    <t>4. 연구개발비</t>
  </si>
  <si>
    <t xml:space="preserve">  2-3. 연구시설.장비 구축.운영계획</t>
  </si>
  <si>
    <t>국내</t>
  </si>
  <si>
    <t>요약문</t>
  </si>
  <si>
    <t>연구개발비</t>
  </si>
  <si>
    <t>연구개발 
과제1</t>
  </si>
  <si>
    <t>연차별 연구내용</t>
  </si>
  <si>
    <t>1. 연구개발 목표 및 내용</t>
  </si>
  <si>
    <t>합 계</t>
  </si>
  <si>
    <t>간접비</t>
  </si>
  <si>
    <t>⑥</t>
  </si>
  <si>
    <t>단계</t>
  </si>
  <si>
    <t>2-2-3. 연구개발기관별-연차별 사용계획</t>
  </si>
  <si>
    <t>총괄 
연구개발 
과제</t>
  </si>
  <si>
    <t>전체내용</t>
  </si>
  <si>
    <t xml:space="preserve">  2-1. 연구개발과제의 최종 목표</t>
  </si>
  <si>
    <t>①</t>
  </si>
  <si>
    <t>사업자등록증</t>
  </si>
  <si>
    <t>(단위: 천원)</t>
  </si>
  <si>
    <t>3차년도 (2027년)</t>
  </si>
  <si>
    <t xml:space="preserve">  3-2. 연구개발과제의 추진체계</t>
  </si>
  <si>
    <t>등록</t>
  </si>
  <si>
    <t>기관부담</t>
  </si>
  <si>
    <t>구분</t>
  </si>
  <si>
    <t>연구
재료비</t>
  </si>
  <si>
    <t xml:space="preserve">  4-1. 연구개발성과의 활용방안</t>
  </si>
  <si>
    <t>시제품</t>
  </si>
  <si>
    <t xml:space="preserve"> 최종목표 : </t>
    <phoneticPr fontId="12" type="noConversion"/>
  </si>
  <si>
    <t xml:space="preserve">[1단계] </t>
    <phoneticPr fontId="12" type="noConversion"/>
  </si>
  <si>
    <t xml:space="preserve">[2단계] </t>
    <phoneticPr fontId="12" type="noConversion"/>
  </si>
  <si>
    <t>기관명</t>
    <phoneticPr fontId="12" type="noConversion"/>
  </si>
  <si>
    <t>연구개발 
과제3</t>
    <phoneticPr fontId="12" type="noConversion"/>
  </si>
  <si>
    <t>연구개발 
과제4</t>
    <phoneticPr fontId="12" type="noConversion"/>
  </si>
  <si>
    <t xml:space="preserve">가. 공동연구개발기관명 : </t>
    <phoneticPr fontId="12" type="noConversion"/>
  </si>
  <si>
    <t xml:space="preserve">나. 공동연구개발기관명 : </t>
    <phoneticPr fontId="12" type="noConversion"/>
  </si>
  <si>
    <t xml:space="preserve">다. 공동연구개발기관명 : </t>
    <phoneticPr fontId="12" type="noConversion"/>
  </si>
  <si>
    <t xml:space="preserve">라. 공동연구개발기관명 : </t>
    <phoneticPr fontId="12" type="noConversion"/>
  </si>
  <si>
    <t xml:space="preserve">마. 공동연구개발기관명 : 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</si>
</sst>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"/>
    <numFmt numFmtId="177" formatCode="m&quot;월&quot;\ d&quot;일&quot;"/>
  </numFmts>
  <fonts count="13">
    <font>
      <sz val="12"/>
      <color rgb="FF000000"/>
      <name val="맑은 고딕"/>
    </font>
    <font>
      <sz val="11"/>
      <color rgb="FF000000"/>
      <name val="맑은 고딕"/>
      <family val="2"/>
      <charset val="129"/>
    </font>
    <font>
      <sz val="16"/>
      <color rgb="FF000000"/>
      <name val="맑은 고딕"/>
      <family val="2"/>
      <charset val="129"/>
    </font>
    <font>
      <b/>
      <sz val="16"/>
      <color rgb="FF000000"/>
      <name val="맑은 고딕"/>
      <family val="2"/>
      <charset val="129"/>
    </font>
    <font>
      <sz val="20"/>
      <color rgb="FF000000"/>
      <name val="맑은 고딕"/>
      <family val="2"/>
      <charset val="129"/>
    </font>
    <font>
      <b/>
      <sz val="11"/>
      <color rgb="FF000000"/>
      <name val="맑은 고딕"/>
      <family val="2"/>
      <charset val="129"/>
    </font>
    <font>
      <sz val="8"/>
      <color rgb="FF000000"/>
      <name val="돋움"/>
      <family val="2"/>
      <charset val="129"/>
    </font>
    <font>
      <sz val="11"/>
      <color rgb="FFF2F2F2"/>
      <name val="맑은 고딕"/>
      <family val="2"/>
      <charset val="129"/>
    </font>
    <font>
      <b/>
      <sz val="12"/>
      <color rgb="FF000000"/>
      <name val="맑은 고딕"/>
      <family val="2"/>
      <charset val="129"/>
    </font>
    <font>
      <sz val="8"/>
      <color rgb="FF000000"/>
      <name val="맑은 고딕"/>
      <family val="2"/>
      <charset val="129"/>
    </font>
    <font>
      <b/>
      <sz val="8"/>
      <color rgb="FF000000"/>
      <name val="돋움"/>
      <family val="2"/>
      <charset val="129"/>
    </font>
    <font>
      <vertAlign val="superscript"/>
      <sz val="8"/>
      <color rgb="FF000000"/>
      <name val="돋움"/>
      <family val="2"/>
      <charset val="129"/>
    </font>
    <font>
      <sz val="8"/>
      <name val="나눔고딕OTF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F2CC"/>
        <bgColor rgb="FFFFF2CC"/>
      </patternFill>
    </fill>
    <fill>
      <patternFill patternType="solid">
        <fgColor theme="0" tint="-0.49998474074526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/>
      <bottom/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/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1" fillId="0" borderId="0"/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3" applyFont="1"/>
    <xf numFmtId="0" fontId="1" fillId="0" borderId="0" xfId="3"/>
    <xf numFmtId="0" fontId="1" fillId="3" borderId="3" xfId="3" applyFill="1" applyBorder="1" applyAlignment="1">
      <alignment horizontal="center" vertical="center" wrapText="1"/>
    </xf>
    <xf numFmtId="0" fontId="1" fillId="3" borderId="4" xfId="3" applyFill="1" applyBorder="1" applyAlignment="1">
      <alignment horizontal="center" vertical="center" wrapText="1"/>
    </xf>
    <xf numFmtId="0" fontId="1" fillId="4" borderId="5" xfId="3" applyFill="1" applyBorder="1" applyAlignment="1">
      <alignment horizontal="center" vertical="center" wrapText="1"/>
    </xf>
    <xf numFmtId="0" fontId="1" fillId="4" borderId="6" xfId="3" applyFill="1" applyBorder="1" applyAlignment="1">
      <alignment horizontal="center" vertical="center" wrapText="1"/>
    </xf>
    <xf numFmtId="0" fontId="1" fillId="3" borderId="7" xfId="3" applyFill="1" applyBorder="1" applyAlignment="1">
      <alignment horizontal="center" vertical="center" wrapText="1"/>
    </xf>
    <xf numFmtId="0" fontId="1" fillId="4" borderId="8" xfId="3" applyFill="1" applyBorder="1" applyAlignment="1">
      <alignment horizontal="center" vertical="center" wrapText="1"/>
    </xf>
    <xf numFmtId="0" fontId="1" fillId="4" borderId="9" xfId="3" applyFill="1" applyBorder="1" applyAlignment="1">
      <alignment horizontal="center" vertical="center" wrapText="1"/>
    </xf>
    <xf numFmtId="0" fontId="1" fillId="0" borderId="0" xfId="4">
      <alignment vertical="center"/>
    </xf>
    <xf numFmtId="176" fontId="5" fillId="0" borderId="0" xfId="4" applyNumberFormat="1" applyFont="1">
      <alignment vertical="center"/>
    </xf>
    <xf numFmtId="0" fontId="6" fillId="3" borderId="10" xfId="4" applyFont="1" applyFill="1" applyBorder="1" applyAlignment="1">
      <alignment horizontal="center" vertical="center" wrapText="1"/>
    </xf>
    <xf numFmtId="0" fontId="6" fillId="2" borderId="10" xfId="4" applyFont="1" applyFill="1" applyBorder="1" applyAlignment="1">
      <alignment horizontal="center" vertical="center" wrapText="1"/>
    </xf>
    <xf numFmtId="3" fontId="6" fillId="0" borderId="10" xfId="4" applyNumberFormat="1" applyFont="1" applyBorder="1" applyAlignment="1">
      <alignment horizontal="center" vertical="center" wrapText="1"/>
    </xf>
    <xf numFmtId="0" fontId="6" fillId="0" borderId="10" xfId="4" applyFont="1" applyBorder="1" applyAlignment="1">
      <alignment horizontal="center" vertical="center" wrapText="1"/>
    </xf>
    <xf numFmtId="3" fontId="6" fillId="5" borderId="10" xfId="4" applyNumberFormat="1" applyFont="1" applyFill="1" applyBorder="1" applyAlignment="1">
      <alignment horizontal="center" vertical="center" wrapText="1"/>
    </xf>
    <xf numFmtId="0" fontId="1" fillId="5" borderId="5" xfId="3" applyFill="1" applyBorder="1" applyAlignment="1">
      <alignment horizontal="center" vertical="center" wrapText="1"/>
    </xf>
    <xf numFmtId="0" fontId="1" fillId="5" borderId="6" xfId="3" applyFill="1" applyBorder="1" applyAlignment="1">
      <alignment horizontal="center" vertical="center" wrapText="1"/>
    </xf>
    <xf numFmtId="0" fontId="1" fillId="0" borderId="0" xfId="3" applyAlignment="1">
      <alignment horizontal="center"/>
    </xf>
    <xf numFmtId="0" fontId="7" fillId="0" borderId="0" xfId="3" applyFon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6" fillId="4" borderId="10" xfId="4" applyNumberFormat="1" applyFont="1" applyFill="1" applyBorder="1" applyAlignment="1">
      <alignment horizontal="center" vertical="center" wrapText="1"/>
    </xf>
    <xf numFmtId="0" fontId="5" fillId="5" borderId="5" xfId="3" applyFont="1" applyFill="1" applyBorder="1" applyAlignment="1">
      <alignment horizontal="center" vertical="center" wrapText="1"/>
    </xf>
    <xf numFmtId="0" fontId="5" fillId="0" borderId="10" xfId="3" applyFont="1" applyBorder="1" applyAlignment="1">
      <alignment horizontal="center"/>
    </xf>
    <xf numFmtId="0" fontId="5" fillId="0" borderId="10" xfId="3" applyFont="1" applyBorder="1"/>
    <xf numFmtId="0" fontId="1" fillId="0" borderId="10" xfId="3" applyBorder="1"/>
    <xf numFmtId="0" fontId="1" fillId="0" borderId="10" xfId="3" applyBorder="1" applyAlignment="1">
      <alignment horizontal="center"/>
    </xf>
    <xf numFmtId="177" fontId="1" fillId="0" borderId="10" xfId="3" applyNumberFormat="1" applyBorder="1"/>
    <xf numFmtId="0" fontId="1" fillId="6" borderId="10" xfId="3" applyFill="1" applyBorder="1" applyAlignment="1">
      <alignment horizontal="center"/>
    </xf>
    <xf numFmtId="0" fontId="1" fillId="7" borderId="3" xfId="2" applyFill="1" applyBorder="1" applyAlignment="1">
      <alignment horizontal="center"/>
    </xf>
    <xf numFmtId="0" fontId="1" fillId="0" borderId="19" xfId="3" applyBorder="1"/>
    <xf numFmtId="0" fontId="6" fillId="0" borderId="19" xfId="4" applyFont="1" applyBorder="1" applyAlignment="1">
      <alignment horizontal="center" vertical="center" wrapText="1"/>
    </xf>
    <xf numFmtId="3" fontId="6" fillId="0" borderId="21" xfId="4" applyNumberFormat="1" applyFont="1" applyBorder="1" applyAlignment="1">
      <alignment horizontal="center" vertical="center" wrapText="1"/>
    </xf>
    <xf numFmtId="3" fontId="6" fillId="8" borderId="3" xfId="2" applyNumberFormat="1" applyFont="1" applyFill="1" applyBorder="1" applyAlignment="1">
      <alignment horizontal="center" vertical="center" wrapText="1"/>
    </xf>
    <xf numFmtId="3" fontId="6" fillId="0" borderId="3" xfId="2" applyNumberFormat="1" applyFont="1" applyBorder="1" applyAlignment="1">
      <alignment horizontal="center" vertical="center" wrapText="1"/>
    </xf>
    <xf numFmtId="0" fontId="1" fillId="7" borderId="5" xfId="2" applyFill="1" applyBorder="1" applyAlignment="1">
      <alignment horizontal="center"/>
    </xf>
    <xf numFmtId="0" fontId="1" fillId="0" borderId="19" xfId="3" applyBorder="1" applyAlignment="1">
      <alignment horizontal="center"/>
    </xf>
    <xf numFmtId="0" fontId="1" fillId="0" borderId="3" xfId="2" applyBorder="1" applyAlignment="1">
      <alignment horizontal="center"/>
    </xf>
    <xf numFmtId="0" fontId="1" fillId="0" borderId="15" xfId="3" applyBorder="1" applyAlignment="1">
      <alignment horizontal="center"/>
    </xf>
    <xf numFmtId="0" fontId="1" fillId="0" borderId="23" xfId="2" applyBorder="1" applyAlignment="1">
      <alignment horizontal="center"/>
    </xf>
    <xf numFmtId="0" fontId="1" fillId="0" borderId="24" xfId="3" applyBorder="1" applyAlignment="1">
      <alignment horizontal="center"/>
    </xf>
    <xf numFmtId="0" fontId="6" fillId="3" borderId="18" xfId="4" applyFont="1" applyFill="1" applyBorder="1" applyAlignment="1">
      <alignment horizontal="center" vertical="center" wrapText="1"/>
    </xf>
    <xf numFmtId="0" fontId="6" fillId="2" borderId="19" xfId="4" applyFont="1" applyFill="1" applyBorder="1" applyAlignment="1">
      <alignment horizontal="center" vertical="center" wrapText="1"/>
    </xf>
    <xf numFmtId="3" fontId="6" fillId="0" borderId="11" xfId="4" applyNumberFormat="1" applyFont="1" applyBorder="1" applyAlignment="1">
      <alignment horizontal="center" vertical="center" wrapText="1"/>
    </xf>
    <xf numFmtId="3" fontId="6" fillId="5" borderId="11" xfId="4" applyNumberFormat="1" applyFont="1" applyFill="1" applyBorder="1" applyAlignment="1">
      <alignment horizontal="center" vertical="center" wrapText="1"/>
    </xf>
    <xf numFmtId="0" fontId="1" fillId="0" borderId="25" xfId="2" applyBorder="1" applyAlignment="1">
      <alignment horizontal="center"/>
    </xf>
    <xf numFmtId="3" fontId="6" fillId="5" borderId="21" xfId="4" applyNumberFormat="1" applyFont="1" applyFill="1" applyBorder="1" applyAlignment="1">
      <alignment horizontal="center" vertical="center" wrapText="1"/>
    </xf>
    <xf numFmtId="3" fontId="6" fillId="5" borderId="16" xfId="4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3" fontId="6" fillId="0" borderId="18" xfId="4" applyNumberFormat="1" applyFont="1" applyBorder="1" applyAlignment="1">
      <alignment horizontal="center" vertical="center" wrapText="1"/>
    </xf>
    <xf numFmtId="0" fontId="1" fillId="0" borderId="5" xfId="3" applyBorder="1" applyAlignment="1">
      <alignment horizontal="center" vertical="center" wrapText="1"/>
    </xf>
    <xf numFmtId="0" fontId="1" fillId="0" borderId="6" xfId="3" applyBorder="1" applyAlignment="1">
      <alignment horizontal="center" vertical="center" wrapText="1"/>
    </xf>
    <xf numFmtId="3" fontId="6" fillId="5" borderId="18" xfId="4" applyNumberFormat="1" applyFont="1" applyFill="1" applyBorder="1" applyAlignment="1">
      <alignment horizontal="center" vertical="center" wrapText="1"/>
    </xf>
    <xf numFmtId="3" fontId="6" fillId="5" borderId="19" xfId="4" applyNumberFormat="1" applyFont="1" applyFill="1" applyBorder="1" applyAlignment="1">
      <alignment horizontal="center" vertical="center" wrapText="1"/>
    </xf>
    <xf numFmtId="3" fontId="6" fillId="5" borderId="26" xfId="4" applyNumberFormat="1" applyFont="1" applyFill="1" applyBorder="1" applyAlignment="1">
      <alignment horizontal="center" vertical="center" wrapText="1"/>
    </xf>
    <xf numFmtId="3" fontId="6" fillId="5" borderId="22" xfId="4" applyNumberFormat="1" applyFont="1" applyFill="1" applyBorder="1" applyAlignment="1">
      <alignment horizontal="center" vertical="center" wrapText="1"/>
    </xf>
    <xf numFmtId="3" fontId="6" fillId="8" borderId="27" xfId="2" applyNumberFormat="1" applyFont="1" applyFill="1" applyBorder="1" applyAlignment="1">
      <alignment horizontal="center" vertical="center" wrapText="1"/>
    </xf>
    <xf numFmtId="3" fontId="6" fillId="8" borderId="28" xfId="2" applyNumberFormat="1" applyFont="1" applyFill="1" applyBorder="1" applyAlignment="1">
      <alignment horizontal="center" vertical="center" wrapText="1"/>
    </xf>
    <xf numFmtId="3" fontId="6" fillId="5" borderId="24" xfId="4" applyNumberFormat="1" applyFont="1" applyFill="1" applyBorder="1" applyAlignment="1">
      <alignment horizontal="center" vertical="center" wrapText="1"/>
    </xf>
    <xf numFmtId="3" fontId="1" fillId="0" borderId="0" xfId="4" applyNumberFormat="1">
      <alignment vertical="center"/>
    </xf>
    <xf numFmtId="0" fontId="1" fillId="0" borderId="25" xfId="1" applyFont="1" applyFill="1" applyBorder="1" applyAlignment="1">
      <alignment horizontal="center"/>
    </xf>
    <xf numFmtId="3" fontId="10" fillId="8" borderId="3" xfId="2" applyNumberFormat="1" applyFont="1" applyFill="1" applyBorder="1" applyAlignment="1">
      <alignment horizontal="center" vertical="center" wrapText="1"/>
    </xf>
    <xf numFmtId="3" fontId="10" fillId="8" borderId="3" xfId="1" applyNumberFormat="1" applyFont="1" applyFill="1" applyBorder="1" applyAlignment="1">
      <alignment horizontal="center" vertical="center" wrapText="1"/>
    </xf>
    <xf numFmtId="3" fontId="6" fillId="3" borderId="10" xfId="4" applyNumberFormat="1" applyFont="1" applyFill="1" applyBorder="1" applyAlignment="1">
      <alignment horizontal="center" vertical="center" wrapText="1"/>
    </xf>
    <xf numFmtId="0" fontId="1" fillId="0" borderId="8" xfId="3" applyBorder="1" applyAlignment="1">
      <alignment horizontal="center" vertical="center" wrapText="1"/>
    </xf>
    <xf numFmtId="0" fontId="1" fillId="0" borderId="9" xfId="3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3" fillId="2" borderId="29" xfId="0" applyFont="1" applyFill="1" applyBorder="1" applyAlignment="1">
      <alignment horizontal="left" vertical="center" wrapText="1"/>
    </xf>
    <xf numFmtId="0" fontId="3" fillId="2" borderId="30" xfId="0" applyFont="1" applyFill="1" applyBorder="1" applyAlignment="1">
      <alignment horizontal="left" vertical="center" wrapText="1"/>
    </xf>
    <xf numFmtId="0" fontId="3" fillId="2" borderId="31" xfId="0" applyFont="1" applyFill="1" applyBorder="1" applyAlignment="1">
      <alignment horizontal="left" vertical="center" wrapText="1"/>
    </xf>
    <xf numFmtId="0" fontId="3" fillId="2" borderId="32" xfId="0" applyFont="1" applyFill="1" applyBorder="1" applyAlignment="1">
      <alignment horizontal="left" vertical="center" wrapText="1"/>
    </xf>
    <xf numFmtId="0" fontId="3" fillId="2" borderId="33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3" fillId="2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1" fillId="3" borderId="41" xfId="3" applyFill="1" applyBorder="1" applyAlignment="1">
      <alignment horizontal="center" vertical="center" wrapText="1"/>
    </xf>
    <xf numFmtId="0" fontId="1" fillId="3" borderId="42" xfId="3" applyFill="1" applyBorder="1" applyAlignment="1">
      <alignment horizontal="center" vertical="center" wrapText="1"/>
    </xf>
    <xf numFmtId="0" fontId="1" fillId="3" borderId="43" xfId="3" applyFill="1" applyBorder="1" applyAlignment="1">
      <alignment horizontal="center" vertical="center" wrapText="1"/>
    </xf>
    <xf numFmtId="0" fontId="1" fillId="3" borderId="44" xfId="3" applyFill="1" applyBorder="1" applyAlignment="1">
      <alignment horizontal="center" vertical="center" wrapText="1"/>
    </xf>
    <xf numFmtId="0" fontId="1" fillId="3" borderId="45" xfId="3" applyFill="1" applyBorder="1" applyAlignment="1">
      <alignment horizontal="center" vertical="center" wrapText="1"/>
    </xf>
    <xf numFmtId="0" fontId="1" fillId="3" borderId="46" xfId="3" applyFill="1" applyBorder="1" applyAlignment="1">
      <alignment horizontal="center" vertical="center" wrapText="1"/>
    </xf>
    <xf numFmtId="0" fontId="1" fillId="3" borderId="34" xfId="3" applyFill="1" applyBorder="1" applyAlignment="1">
      <alignment horizontal="center" vertical="center" wrapText="1"/>
    </xf>
    <xf numFmtId="0" fontId="1" fillId="3" borderId="35" xfId="3" applyFill="1" applyBorder="1" applyAlignment="1">
      <alignment horizontal="center" vertical="center" wrapText="1"/>
    </xf>
    <xf numFmtId="0" fontId="1" fillId="3" borderId="28" xfId="3" applyFill="1" applyBorder="1" applyAlignment="1">
      <alignment horizontal="center" vertical="center" wrapText="1"/>
    </xf>
    <xf numFmtId="0" fontId="1" fillId="3" borderId="36" xfId="3" applyFill="1" applyBorder="1" applyAlignment="1">
      <alignment horizontal="center" vertical="center" wrapText="1"/>
    </xf>
    <xf numFmtId="0" fontId="1" fillId="3" borderId="37" xfId="3" applyFill="1" applyBorder="1" applyAlignment="1">
      <alignment horizontal="center" vertical="center" wrapText="1"/>
    </xf>
    <xf numFmtId="0" fontId="1" fillId="3" borderId="38" xfId="3" applyFill="1" applyBorder="1" applyAlignment="1">
      <alignment horizontal="center" vertical="center" wrapText="1"/>
    </xf>
    <xf numFmtId="0" fontId="1" fillId="3" borderId="39" xfId="3" applyFill="1" applyBorder="1" applyAlignment="1">
      <alignment horizontal="center" vertical="center" wrapText="1"/>
    </xf>
    <xf numFmtId="0" fontId="1" fillId="3" borderId="23" xfId="3" applyFill="1" applyBorder="1" applyAlignment="1">
      <alignment horizontal="center" vertical="center" wrapText="1"/>
    </xf>
    <xf numFmtId="0" fontId="1" fillId="3" borderId="40" xfId="3" applyFill="1" applyBorder="1" applyAlignment="1">
      <alignment horizontal="center" vertical="center" wrapText="1"/>
    </xf>
    <xf numFmtId="0" fontId="5" fillId="0" borderId="0" xfId="3" applyFont="1" applyAlignment="1">
      <alignment horizontal="left" vertical="center" wrapText="1"/>
    </xf>
    <xf numFmtId="0" fontId="6" fillId="3" borderId="10" xfId="4" applyFont="1" applyFill="1" applyBorder="1" applyAlignment="1">
      <alignment horizontal="center" vertical="center" wrapText="1"/>
    </xf>
    <xf numFmtId="0" fontId="9" fillId="0" borderId="0" xfId="4" applyFont="1" applyAlignment="1">
      <alignment horizontal="center" vertical="center"/>
    </xf>
    <xf numFmtId="0" fontId="9" fillId="0" borderId="0" xfId="4" applyFont="1" applyAlignment="1">
      <alignment horizontal="center" vertical="center" wrapText="1"/>
    </xf>
    <xf numFmtId="0" fontId="6" fillId="3" borderId="18" xfId="4" applyFont="1" applyFill="1" applyBorder="1" applyAlignment="1">
      <alignment horizontal="center" vertical="center" wrapText="1"/>
    </xf>
    <xf numFmtId="0" fontId="6" fillId="3" borderId="11" xfId="4" applyFont="1" applyFill="1" applyBorder="1" applyAlignment="1">
      <alignment horizontal="center" vertical="center" wrapText="1"/>
    </xf>
    <xf numFmtId="0" fontId="6" fillId="3" borderId="20" xfId="4" applyFont="1" applyFill="1" applyBorder="1" applyAlignment="1">
      <alignment horizontal="center" vertical="center" wrapText="1"/>
    </xf>
    <xf numFmtId="0" fontId="9" fillId="0" borderId="10" xfId="4" applyFont="1" applyBorder="1" applyAlignment="1">
      <alignment horizontal="center" vertical="center" wrapText="1"/>
    </xf>
    <xf numFmtId="3" fontId="9" fillId="0" borderId="18" xfId="4" applyNumberFormat="1" applyFont="1" applyBorder="1" applyAlignment="1">
      <alignment horizontal="center" vertical="center" wrapText="1"/>
    </xf>
    <xf numFmtId="0" fontId="9" fillId="0" borderId="20" xfId="4" applyFont="1" applyBorder="1" applyAlignment="1">
      <alignment horizontal="center" vertical="center" wrapText="1"/>
    </xf>
    <xf numFmtId="0" fontId="9" fillId="0" borderId="11" xfId="4" applyFont="1" applyBorder="1" applyAlignment="1">
      <alignment horizontal="center" vertical="center" wrapText="1"/>
    </xf>
    <xf numFmtId="0" fontId="6" fillId="0" borderId="10" xfId="4" applyFont="1" applyBorder="1" applyAlignment="1">
      <alignment horizontal="center" vertical="center" wrapText="1"/>
    </xf>
    <xf numFmtId="3" fontId="9" fillId="0" borderId="10" xfId="4" applyNumberFormat="1" applyFont="1" applyBorder="1" applyAlignment="1">
      <alignment horizontal="center" vertical="center" wrapText="1"/>
    </xf>
    <xf numFmtId="0" fontId="1" fillId="0" borderId="0" xfId="4" applyAlignment="1">
      <alignment horizontal="left" vertical="center"/>
    </xf>
    <xf numFmtId="0" fontId="6" fillId="3" borderId="24" xfId="4" applyFont="1" applyFill="1" applyBorder="1" applyAlignment="1">
      <alignment horizontal="center" vertical="center" wrapText="1"/>
    </xf>
    <xf numFmtId="0" fontId="6" fillId="3" borderId="22" xfId="4" applyFont="1" applyFill="1" applyBorder="1" applyAlignment="1">
      <alignment horizontal="center" vertical="center" wrapText="1"/>
    </xf>
    <xf numFmtId="0" fontId="6" fillId="3" borderId="15" xfId="4" applyFont="1" applyFill="1" applyBorder="1" applyAlignment="1">
      <alignment horizontal="center" vertical="center" wrapText="1"/>
    </xf>
    <xf numFmtId="0" fontId="6" fillId="3" borderId="16" xfId="4" applyFont="1" applyFill="1" applyBorder="1" applyAlignment="1">
      <alignment horizontal="center" vertical="center" wrapText="1"/>
    </xf>
    <xf numFmtId="0" fontId="6" fillId="3" borderId="19" xfId="4" applyFont="1" applyFill="1" applyBorder="1" applyAlignment="1">
      <alignment horizontal="center" vertical="center" wrapText="1"/>
    </xf>
    <xf numFmtId="0" fontId="6" fillId="3" borderId="21" xfId="4" applyFont="1" applyFill="1" applyBorder="1" applyAlignment="1">
      <alignment horizontal="center" vertical="center" wrapText="1"/>
    </xf>
    <xf numFmtId="0" fontId="6" fillId="2" borderId="10" xfId="4" applyFont="1" applyFill="1" applyBorder="1" applyAlignment="1">
      <alignment horizontal="center" vertical="center" wrapText="1"/>
    </xf>
    <xf numFmtId="0" fontId="9" fillId="0" borderId="47" xfId="4" applyFont="1" applyBorder="1" applyAlignment="1">
      <alignment horizontal="center" vertical="center"/>
    </xf>
  </cellXfs>
  <cellStyles count="3">
    <cellStyle name="표준" xfId="0" builtinId="0"/>
    <cellStyle name="표준 2" xfId="3" xr:uid="{00000000-0005-0000-0000-000002000000}"/>
    <cellStyle name="표준 2 2" xfId="4" xr:uid="{00000000-0005-0000-0000-000003000000}"/>
  </cellStyles>
  <dxfs count="4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463"/>
      <tableStyleElement type="headerRow" dxfId="462"/>
      <tableStyleElement type="totalRow" dxfId="461"/>
      <tableStyleElement type="firstColumn" dxfId="460"/>
      <tableStyleElement type="lastColumn" dxfId="459"/>
      <tableStyleElement type="firstRowStripe" dxfId="458"/>
      <tableStyleElement type="firstColumnStripe" dxfId="457"/>
    </tableStyle>
    <tableStyle name="Light Style 1 - Accent 1" table="0" count="7" xr9:uid="{00000000-0011-0000-FFFF-FFFF01000000}">
      <tableStyleElement type="wholeTable" dxfId="456"/>
      <tableStyleElement type="headerRow" dxfId="455"/>
      <tableStyleElement type="totalRow" dxfId="454"/>
      <tableStyleElement type="firstColumn" dxfId="453"/>
      <tableStyleElement type="lastColumn" dxfId="452"/>
      <tableStyleElement type="firstRowStripe" dxfId="451"/>
      <tableStyleElement type="firstColumnStripe" dxfId="45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2:L70"/>
  <sheetViews>
    <sheetView view="pageBreakPreview" zoomScale="150" zoomScaleNormal="110" zoomScaleSheetLayoutView="110" workbookViewId="0"/>
  </sheetViews>
  <sheetFormatPr baseColWidth="10" defaultColWidth="7.5703125" defaultRowHeight="17"/>
  <cols>
    <col min="1" max="1" width="2.28515625" style="10" customWidth="1"/>
    <col min="2" max="2" width="4.7109375" style="27" bestFit="1" customWidth="1"/>
    <col min="3" max="3" width="48.85546875" style="10" bestFit="1" customWidth="1"/>
    <col min="4" max="5" width="4.85546875" style="10" bestFit="1" customWidth="1"/>
    <col min="6" max="6" width="7.28515625" style="10" bestFit="1" customWidth="1"/>
    <col min="7" max="7" width="4.85546875" style="10" bestFit="1" customWidth="1"/>
    <col min="8" max="9" width="9.5703125" style="10" bestFit="1" customWidth="1"/>
    <col min="10" max="10" width="5.7109375" style="10" bestFit="1" customWidth="1"/>
    <col min="11" max="11" width="2.28515625" style="10" customWidth="1"/>
    <col min="12" max="16384" width="7.5703125" style="10"/>
  </cols>
  <sheetData>
    <row r="2" spans="2:10">
      <c r="B2" s="33" t="s">
        <v>64</v>
      </c>
      <c r="C2" s="34" t="s">
        <v>120</v>
      </c>
      <c r="D2" s="33" t="s">
        <v>93</v>
      </c>
      <c r="E2" s="33"/>
      <c r="F2" s="33"/>
      <c r="G2" s="33"/>
      <c r="H2" s="33"/>
      <c r="I2" s="33"/>
      <c r="J2" s="33"/>
    </row>
    <row r="3" spans="2:10" s="28" customFormat="1">
      <c r="B3" s="2">
        <v>1</v>
      </c>
      <c r="C3" s="35" t="s">
        <v>61</v>
      </c>
      <c r="D3" s="36"/>
      <c r="E3" s="36"/>
      <c r="F3" s="36"/>
      <c r="G3" s="36"/>
      <c r="H3" s="36"/>
      <c r="I3" s="36"/>
      <c r="J3" s="36"/>
    </row>
    <row r="4" spans="2:10" s="28" customFormat="1">
      <c r="B4" s="2"/>
      <c r="C4" s="35" t="s">
        <v>128</v>
      </c>
      <c r="D4" s="36"/>
      <c r="E4" s="36"/>
      <c r="F4" s="36"/>
      <c r="G4" s="36"/>
      <c r="H4" s="36"/>
      <c r="I4" s="36"/>
      <c r="J4" s="36"/>
    </row>
    <row r="5" spans="2:10" s="28" customFormat="1">
      <c r="B5" s="2"/>
      <c r="C5" s="35" t="s">
        <v>104</v>
      </c>
      <c r="D5" s="36"/>
      <c r="E5" s="36"/>
      <c r="F5" s="36"/>
      <c r="G5" s="36"/>
      <c r="H5" s="36"/>
      <c r="I5" s="36"/>
      <c r="J5" s="36"/>
    </row>
    <row r="6" spans="2:10" s="28" customFormat="1">
      <c r="B6" s="2"/>
      <c r="C6" s="35" t="s">
        <v>139</v>
      </c>
      <c r="D6" s="36"/>
      <c r="E6" s="36"/>
      <c r="F6" s="36"/>
      <c r="G6" s="36"/>
      <c r="H6" s="36"/>
      <c r="I6" s="36"/>
      <c r="J6" s="36"/>
    </row>
    <row r="7" spans="2:10" s="28" customFormat="1">
      <c r="B7" s="2"/>
      <c r="C7" s="35" t="s">
        <v>100</v>
      </c>
      <c r="D7" s="36"/>
      <c r="E7" s="36"/>
      <c r="F7" s="36"/>
      <c r="G7" s="36"/>
      <c r="H7" s="36"/>
      <c r="I7" s="36"/>
      <c r="J7" s="36"/>
    </row>
    <row r="8" spans="2:10" s="28" customFormat="1">
      <c r="B8" s="2"/>
      <c r="C8" s="37" t="s">
        <v>27</v>
      </c>
      <c r="D8" s="36"/>
      <c r="E8" s="36"/>
      <c r="F8" s="36"/>
      <c r="G8" s="36"/>
      <c r="H8" s="36"/>
      <c r="I8" s="36"/>
      <c r="J8" s="36"/>
    </row>
    <row r="9" spans="2:10" s="28" customFormat="1">
      <c r="B9" s="2"/>
      <c r="C9" s="37" t="s">
        <v>1</v>
      </c>
      <c r="D9" s="36"/>
      <c r="E9" s="36"/>
      <c r="F9" s="36"/>
      <c r="G9" s="36"/>
      <c r="H9" s="36"/>
      <c r="I9" s="36"/>
      <c r="J9" s="36"/>
    </row>
    <row r="10" spans="2:10" s="28" customFormat="1">
      <c r="B10" s="2"/>
      <c r="C10" s="37" t="s">
        <v>67</v>
      </c>
      <c r="D10" s="36"/>
      <c r="E10" s="36"/>
      <c r="F10" s="36"/>
      <c r="G10" s="36"/>
      <c r="H10" s="36"/>
      <c r="I10" s="36"/>
      <c r="J10" s="36"/>
    </row>
    <row r="11" spans="2:10" s="28" customFormat="1">
      <c r="B11" s="2"/>
      <c r="C11" s="37" t="s">
        <v>140</v>
      </c>
      <c r="D11" s="36"/>
      <c r="E11" s="36"/>
      <c r="F11" s="36"/>
      <c r="G11" s="36"/>
      <c r="H11" s="36"/>
      <c r="I11" s="36"/>
      <c r="J11" s="36"/>
    </row>
    <row r="12" spans="2:10" s="28" customFormat="1">
      <c r="B12" s="2"/>
      <c r="C12" s="37" t="s">
        <v>14</v>
      </c>
      <c r="D12" s="36"/>
      <c r="E12" s="36"/>
      <c r="F12" s="36"/>
      <c r="G12" s="36"/>
      <c r="H12" s="36"/>
      <c r="I12" s="36"/>
      <c r="J12" s="36"/>
    </row>
    <row r="13" spans="2:10" s="28" customFormat="1">
      <c r="B13" s="2"/>
      <c r="C13" s="37" t="s">
        <v>9</v>
      </c>
      <c r="D13" s="36"/>
      <c r="E13" s="36"/>
      <c r="F13" s="36"/>
      <c r="G13" s="36"/>
      <c r="H13" s="36"/>
      <c r="I13" s="36"/>
      <c r="J13" s="36"/>
    </row>
    <row r="14" spans="2:10" s="28" customFormat="1">
      <c r="B14" s="2"/>
      <c r="C14" s="37" t="s">
        <v>31</v>
      </c>
      <c r="D14" s="36"/>
      <c r="E14" s="36"/>
      <c r="F14" s="36"/>
      <c r="G14" s="36"/>
      <c r="H14" s="36"/>
      <c r="I14" s="36"/>
      <c r="J14" s="36"/>
    </row>
    <row r="15" spans="2:10" s="28" customFormat="1">
      <c r="B15" s="2"/>
      <c r="C15" s="37" t="s">
        <v>70</v>
      </c>
      <c r="D15" s="36"/>
      <c r="E15" s="36"/>
      <c r="F15" s="36"/>
      <c r="G15" s="36"/>
      <c r="H15" s="36"/>
      <c r="I15" s="36"/>
      <c r="J15" s="36"/>
    </row>
    <row r="16" spans="2:10" s="28" customFormat="1">
      <c r="B16" s="2"/>
      <c r="C16" s="35" t="s">
        <v>26</v>
      </c>
      <c r="D16" s="36"/>
      <c r="E16" s="36"/>
      <c r="F16" s="36"/>
      <c r="G16" s="36"/>
      <c r="H16" s="36"/>
      <c r="I16" s="36"/>
      <c r="J16" s="36"/>
    </row>
    <row r="17" spans="2:12" s="28" customFormat="1">
      <c r="B17" s="2"/>
      <c r="C17" s="37" t="s">
        <v>145</v>
      </c>
      <c r="D17" s="36"/>
      <c r="E17" s="36"/>
      <c r="F17" s="36"/>
      <c r="G17" s="36"/>
      <c r="H17" s="36"/>
      <c r="I17" s="36"/>
      <c r="J17" s="36"/>
      <c r="L17" s="10"/>
    </row>
    <row r="18" spans="2:12" s="28" customFormat="1">
      <c r="B18" s="2"/>
      <c r="C18" s="35" t="s">
        <v>32</v>
      </c>
      <c r="D18" s="36"/>
      <c r="E18" s="36"/>
      <c r="F18" s="36"/>
      <c r="G18" s="36"/>
      <c r="H18" s="36"/>
      <c r="I18" s="36"/>
      <c r="J18" s="36"/>
    </row>
    <row r="19" spans="2:12" s="28" customFormat="1">
      <c r="B19" s="2"/>
      <c r="C19" s="35" t="s">
        <v>150</v>
      </c>
      <c r="D19" s="36"/>
      <c r="E19" s="36"/>
      <c r="F19" s="36"/>
      <c r="G19" s="36"/>
      <c r="H19" s="36"/>
      <c r="I19" s="36"/>
      <c r="J19" s="36"/>
    </row>
    <row r="20" spans="2:12" s="28" customFormat="1">
      <c r="B20" s="2"/>
      <c r="C20" s="35" t="s">
        <v>89</v>
      </c>
      <c r="D20" s="36"/>
      <c r="E20" s="36"/>
      <c r="F20" s="36"/>
      <c r="G20" s="36"/>
      <c r="H20" s="36"/>
      <c r="I20" s="36"/>
      <c r="J20" s="36"/>
    </row>
    <row r="21" spans="2:12" s="28" customFormat="1">
      <c r="B21" s="2"/>
      <c r="C21" s="35" t="s">
        <v>13</v>
      </c>
      <c r="D21" s="36"/>
      <c r="E21" s="36"/>
      <c r="F21" s="36"/>
      <c r="G21" s="36"/>
      <c r="H21" s="36"/>
      <c r="I21" s="36"/>
      <c r="J21" s="36"/>
    </row>
    <row r="22" spans="2:12" s="28" customFormat="1">
      <c r="B22" s="2"/>
      <c r="C22" s="35" t="s">
        <v>57</v>
      </c>
      <c r="D22" s="36"/>
      <c r="E22" s="36"/>
      <c r="F22" s="36"/>
      <c r="G22" s="36"/>
      <c r="H22" s="36"/>
      <c r="I22" s="36"/>
      <c r="J22" s="36"/>
    </row>
    <row r="23" spans="2:12" s="28" customFormat="1">
      <c r="B23" s="2"/>
      <c r="C23" s="40" t="s">
        <v>47</v>
      </c>
      <c r="D23" s="36"/>
      <c r="E23" s="36"/>
      <c r="F23" s="36"/>
      <c r="G23" s="36"/>
      <c r="H23" s="36"/>
      <c r="I23" s="36"/>
      <c r="J23" s="36"/>
    </row>
    <row r="24" spans="2:12" s="28" customFormat="1">
      <c r="B24" s="2"/>
      <c r="C24" s="35" t="s">
        <v>90</v>
      </c>
      <c r="D24" s="36"/>
      <c r="E24" s="36"/>
      <c r="F24" s="36"/>
      <c r="G24" s="36"/>
      <c r="H24" s="36"/>
      <c r="I24" s="36"/>
      <c r="J24" s="36"/>
    </row>
    <row r="25" spans="2:12" s="28" customFormat="1">
      <c r="B25" s="2"/>
      <c r="C25" s="35" t="s">
        <v>15</v>
      </c>
      <c r="D25" s="36"/>
      <c r="E25" s="36"/>
      <c r="F25" s="36"/>
      <c r="G25" s="36"/>
      <c r="H25" s="36"/>
      <c r="I25" s="36"/>
      <c r="J25" s="36"/>
    </row>
    <row r="26" spans="2:12" s="28" customFormat="1">
      <c r="B26" s="2"/>
      <c r="C26" s="35" t="s">
        <v>91</v>
      </c>
      <c r="D26" s="36"/>
      <c r="E26" s="36"/>
      <c r="F26" s="36"/>
      <c r="G26" s="36"/>
      <c r="H26" s="36"/>
      <c r="I26" s="36"/>
      <c r="J26" s="36"/>
    </row>
    <row r="27" spans="2:12" s="28" customFormat="1">
      <c r="B27" s="2"/>
      <c r="C27" s="40" t="s">
        <v>84</v>
      </c>
      <c r="D27" s="36"/>
      <c r="E27" s="36"/>
      <c r="F27" s="36"/>
      <c r="G27" s="36"/>
      <c r="H27" s="36"/>
      <c r="I27" s="36"/>
      <c r="J27" s="36"/>
    </row>
    <row r="28" spans="2:12" s="28" customFormat="1">
      <c r="B28" s="2"/>
      <c r="C28" s="35" t="s">
        <v>95</v>
      </c>
      <c r="D28" s="36"/>
      <c r="E28" s="36"/>
      <c r="F28" s="36"/>
      <c r="G28" s="36"/>
      <c r="H28" s="36"/>
      <c r="I28" s="36"/>
      <c r="J28" s="36"/>
    </row>
    <row r="29" spans="2:12" s="28" customFormat="1">
      <c r="B29" s="2"/>
      <c r="C29" s="35" t="s">
        <v>73</v>
      </c>
      <c r="D29" s="36"/>
      <c r="E29" s="36"/>
      <c r="F29" s="36"/>
      <c r="G29" s="36"/>
      <c r="H29" s="36"/>
      <c r="I29" s="36"/>
      <c r="J29" s="36"/>
    </row>
    <row r="30" spans="2:12" s="28" customFormat="1">
      <c r="B30" s="2"/>
      <c r="C30" s="35" t="s">
        <v>29</v>
      </c>
      <c r="D30" s="36"/>
      <c r="E30" s="36"/>
      <c r="F30" s="36"/>
      <c r="G30" s="36"/>
      <c r="H30" s="36"/>
      <c r="I30" s="36"/>
      <c r="J30" s="36"/>
    </row>
    <row r="31" spans="2:12" s="28" customFormat="1">
      <c r="B31" s="2"/>
      <c r="C31" s="35" t="s">
        <v>116</v>
      </c>
      <c r="D31" s="36"/>
      <c r="E31" s="36"/>
      <c r="F31" s="36"/>
      <c r="G31" s="36"/>
      <c r="H31" s="36"/>
      <c r="I31" s="36"/>
      <c r="J31" s="36"/>
    </row>
    <row r="32" spans="2:12" s="28" customFormat="1">
      <c r="B32" s="2"/>
      <c r="C32" s="37" t="s">
        <v>119</v>
      </c>
      <c r="D32" s="36"/>
      <c r="E32" s="36"/>
      <c r="F32" s="36"/>
      <c r="G32" s="36"/>
      <c r="H32" s="36"/>
      <c r="I32" s="36"/>
      <c r="J32" s="36"/>
    </row>
    <row r="33" spans="2:10" s="28" customFormat="1">
      <c r="B33" s="2"/>
      <c r="C33" s="35" t="s">
        <v>101</v>
      </c>
      <c r="D33" s="36"/>
      <c r="E33" s="36"/>
      <c r="F33" s="36"/>
      <c r="G33" s="36"/>
      <c r="H33" s="36"/>
      <c r="I33" s="36"/>
      <c r="J33" s="36"/>
    </row>
    <row r="34" spans="2:10" s="28" customFormat="1">
      <c r="B34" s="2"/>
      <c r="C34" s="35" t="s">
        <v>41</v>
      </c>
      <c r="D34" s="36"/>
      <c r="E34" s="36"/>
      <c r="F34" s="36"/>
      <c r="G34" s="36"/>
      <c r="H34" s="36"/>
      <c r="I34" s="36"/>
      <c r="J34" s="36"/>
    </row>
    <row r="35" spans="2:10" s="28" customFormat="1">
      <c r="B35" s="2"/>
      <c r="C35" s="35" t="s">
        <v>72</v>
      </c>
      <c r="D35" s="36"/>
      <c r="E35" s="36"/>
      <c r="F35" s="36"/>
      <c r="G35" s="36"/>
      <c r="H35" s="36"/>
      <c r="I35" s="36"/>
      <c r="J35" s="36"/>
    </row>
    <row r="36" spans="2:10" s="28" customFormat="1">
      <c r="B36" s="2"/>
      <c r="C36" s="35" t="s">
        <v>45</v>
      </c>
      <c r="D36" s="36"/>
      <c r="E36" s="36"/>
      <c r="F36" s="36"/>
      <c r="G36" s="36"/>
      <c r="H36" s="36"/>
      <c r="I36" s="36"/>
      <c r="J36" s="36"/>
    </row>
    <row r="37" spans="2:10" s="28" customFormat="1">
      <c r="B37" s="2"/>
      <c r="C37" s="35" t="s">
        <v>36</v>
      </c>
      <c r="D37" s="36"/>
      <c r="E37" s="36"/>
      <c r="F37" s="36"/>
      <c r="G37" s="36"/>
      <c r="H37" s="36"/>
      <c r="I37" s="36"/>
      <c r="J37" s="36"/>
    </row>
    <row r="38" spans="2:10" s="28" customFormat="1">
      <c r="B38" s="2"/>
      <c r="C38" s="35" t="s">
        <v>109</v>
      </c>
      <c r="D38" s="36"/>
      <c r="E38" s="36"/>
      <c r="F38" s="36"/>
      <c r="G38" s="36"/>
      <c r="H38" s="36"/>
      <c r="I38" s="36"/>
      <c r="J38" s="36"/>
    </row>
    <row r="39" spans="2:10" s="28" customFormat="1">
      <c r="B39" s="2"/>
      <c r="C39" s="35" t="s">
        <v>56</v>
      </c>
      <c r="D39" s="36"/>
      <c r="E39" s="36"/>
      <c r="F39" s="36"/>
      <c r="G39" s="36"/>
      <c r="H39" s="36"/>
      <c r="I39" s="36"/>
      <c r="J39" s="36"/>
    </row>
    <row r="40" spans="2:10" s="28" customFormat="1">
      <c r="B40" s="2"/>
      <c r="C40" s="35" t="s">
        <v>126</v>
      </c>
      <c r="D40" s="36"/>
      <c r="E40" s="36"/>
      <c r="F40" s="36"/>
      <c r="G40" s="36"/>
      <c r="H40" s="36"/>
      <c r="I40" s="36"/>
      <c r="J40" s="36"/>
    </row>
    <row r="41" spans="2:10" s="28" customFormat="1">
      <c r="B41" s="2"/>
      <c r="C41" s="35" t="s">
        <v>75</v>
      </c>
      <c r="D41" s="36"/>
      <c r="E41" s="36"/>
      <c r="F41" s="36"/>
      <c r="G41" s="36"/>
      <c r="H41" s="36"/>
      <c r="I41" s="36"/>
      <c r="J41" s="36"/>
    </row>
    <row r="42" spans="2:10" s="28" customFormat="1">
      <c r="B42" s="2"/>
      <c r="C42" s="40" t="s">
        <v>38</v>
      </c>
      <c r="D42" s="36"/>
      <c r="E42" s="36"/>
      <c r="F42" s="36"/>
      <c r="G42" s="36"/>
      <c r="H42" s="36"/>
      <c r="I42" s="36"/>
      <c r="J42" s="36"/>
    </row>
    <row r="43" spans="2:10" s="28" customFormat="1">
      <c r="B43" s="2"/>
      <c r="C43" s="40" t="s">
        <v>103</v>
      </c>
      <c r="D43" s="36"/>
      <c r="E43" s="36"/>
      <c r="F43" s="36"/>
      <c r="G43" s="36"/>
      <c r="H43" s="36"/>
      <c r="I43" s="36"/>
      <c r="J43" s="36"/>
    </row>
    <row r="44" spans="2:10" s="28" customFormat="1">
      <c r="B44" s="2"/>
      <c r="C44" s="35" t="s">
        <v>61</v>
      </c>
      <c r="D44" s="36"/>
      <c r="E44" s="36"/>
      <c r="F44" s="36"/>
      <c r="G44" s="36"/>
      <c r="H44" s="36"/>
      <c r="I44" s="36"/>
      <c r="J44" s="36"/>
    </row>
    <row r="45" spans="2:10" s="28" customFormat="1">
      <c r="B45" s="2"/>
      <c r="C45" s="40" t="s">
        <v>132</v>
      </c>
      <c r="D45" s="36"/>
      <c r="E45" s="36"/>
      <c r="F45" s="36"/>
      <c r="G45" s="36"/>
      <c r="H45" s="36"/>
      <c r="I45" s="36"/>
      <c r="J45" s="36"/>
    </row>
    <row r="46" spans="2:10" s="28" customFormat="1">
      <c r="B46" s="2"/>
      <c r="C46" s="40" t="s">
        <v>4</v>
      </c>
      <c r="D46" s="36"/>
      <c r="E46" s="36"/>
      <c r="F46" s="36"/>
      <c r="G46" s="36"/>
      <c r="H46" s="36"/>
      <c r="I46" s="36"/>
      <c r="J46" s="36"/>
    </row>
    <row r="47" spans="2:10" s="28" customFormat="1">
      <c r="B47" s="2"/>
      <c r="C47" s="40" t="s">
        <v>94</v>
      </c>
      <c r="D47" s="36"/>
      <c r="E47" s="36"/>
      <c r="F47" s="36"/>
      <c r="G47" s="36"/>
      <c r="H47" s="36"/>
      <c r="I47" s="36"/>
      <c r="J47" s="36"/>
    </row>
    <row r="48" spans="2:10" s="28" customFormat="1">
      <c r="B48" s="2"/>
      <c r="C48" s="40" t="s">
        <v>97</v>
      </c>
      <c r="D48" s="36"/>
      <c r="E48" s="36"/>
      <c r="F48" s="36"/>
      <c r="G48" s="36"/>
      <c r="H48" s="36"/>
      <c r="I48" s="36"/>
      <c r="J48" s="36"/>
    </row>
    <row r="49" spans="2:10" s="28" customFormat="1">
      <c r="B49" s="2"/>
      <c r="C49" s="40" t="s">
        <v>99</v>
      </c>
      <c r="D49" s="36"/>
      <c r="E49" s="36"/>
      <c r="F49" s="36"/>
      <c r="G49" s="36"/>
      <c r="H49" s="36"/>
      <c r="I49" s="36"/>
      <c r="J49" s="36"/>
    </row>
    <row r="50" spans="2:10" s="28" customFormat="1">
      <c r="B50" s="2"/>
      <c r="C50" s="40" t="s">
        <v>79</v>
      </c>
      <c r="D50" s="36"/>
      <c r="E50" s="36"/>
      <c r="F50" s="36"/>
      <c r="G50" s="36"/>
      <c r="H50" s="36"/>
      <c r="I50" s="36"/>
      <c r="J50" s="36"/>
    </row>
    <row r="51" spans="2:10" s="28" customFormat="1">
      <c r="B51" s="2"/>
      <c r="C51" s="40" t="s">
        <v>112</v>
      </c>
      <c r="D51" s="36"/>
      <c r="E51" s="36"/>
      <c r="F51" s="36"/>
      <c r="G51" s="36"/>
      <c r="H51" s="36"/>
      <c r="I51" s="36"/>
      <c r="J51" s="36"/>
    </row>
    <row r="52" spans="2:10" s="28" customFormat="1">
      <c r="B52" s="2"/>
      <c r="C52" s="40" t="s">
        <v>37</v>
      </c>
      <c r="D52" s="36"/>
      <c r="E52" s="36"/>
      <c r="F52" s="36"/>
      <c r="G52" s="36"/>
      <c r="H52" s="36"/>
      <c r="I52" s="36"/>
      <c r="J52" s="36"/>
    </row>
    <row r="53" spans="2:10" s="28" customFormat="1">
      <c r="B53" s="2"/>
      <c r="C53" s="40" t="s">
        <v>125</v>
      </c>
      <c r="D53" s="36"/>
      <c r="E53" s="36"/>
      <c r="F53" s="36"/>
      <c r="G53" s="36"/>
      <c r="H53" s="36"/>
      <c r="I53" s="36"/>
      <c r="J53" s="36"/>
    </row>
    <row r="54" spans="2:10" s="28" customFormat="1">
      <c r="B54" s="2"/>
      <c r="C54" s="40" t="s">
        <v>8</v>
      </c>
      <c r="D54" s="36"/>
      <c r="E54" s="36"/>
      <c r="F54" s="36"/>
      <c r="G54" s="36"/>
      <c r="H54" s="36"/>
      <c r="I54" s="36"/>
      <c r="J54" s="36"/>
    </row>
    <row r="55" spans="2:10" s="28" customFormat="1">
      <c r="B55" s="2"/>
      <c r="C55" s="40" t="s">
        <v>85</v>
      </c>
      <c r="D55" s="36"/>
      <c r="E55" s="36"/>
      <c r="F55" s="36"/>
      <c r="G55" s="36"/>
      <c r="H55" s="36"/>
      <c r="I55" s="36"/>
      <c r="J55" s="36"/>
    </row>
    <row r="56" spans="2:10" s="28" customFormat="1">
      <c r="B56" s="2"/>
      <c r="C56" s="35" t="s">
        <v>115</v>
      </c>
      <c r="D56" s="36"/>
      <c r="E56" s="36"/>
      <c r="F56" s="36"/>
      <c r="G56" s="36"/>
      <c r="H56" s="36"/>
      <c r="I56" s="36"/>
      <c r="J56" s="36"/>
    </row>
    <row r="57" spans="2:10" s="28" customFormat="1">
      <c r="B57" s="2"/>
      <c r="C57" s="35" t="s">
        <v>124</v>
      </c>
      <c r="D57" s="36"/>
      <c r="E57" s="36"/>
      <c r="F57" s="36"/>
      <c r="G57" s="36"/>
      <c r="H57" s="36"/>
      <c r="I57" s="36"/>
      <c r="J57" s="36"/>
    </row>
    <row r="58" spans="2:10" s="28" customFormat="1">
      <c r="B58" s="2"/>
      <c r="C58" s="35" t="s">
        <v>54</v>
      </c>
      <c r="D58" s="36"/>
      <c r="E58" s="36"/>
      <c r="F58" s="36"/>
      <c r="G58" s="36"/>
      <c r="H58" s="36"/>
      <c r="I58" s="36"/>
      <c r="J58" s="36"/>
    </row>
    <row r="59" spans="2:10">
      <c r="B59" s="36">
        <v>2</v>
      </c>
      <c r="C59" s="35" t="s">
        <v>74</v>
      </c>
      <c r="D59" s="50"/>
      <c r="E59" s="55"/>
      <c r="F59" s="55"/>
      <c r="G59" s="47"/>
      <c r="H59" s="47"/>
      <c r="I59" s="47"/>
      <c r="J59" s="47"/>
    </row>
    <row r="60" spans="2:10">
      <c r="B60" s="36">
        <v>3</v>
      </c>
      <c r="C60" s="40" t="s">
        <v>82</v>
      </c>
      <c r="D60" s="47"/>
      <c r="E60" s="70"/>
      <c r="F60" s="55"/>
      <c r="G60" s="47"/>
      <c r="H60" s="47"/>
      <c r="I60" s="47"/>
      <c r="J60" s="47"/>
    </row>
    <row r="61" spans="2:10">
      <c r="B61" s="36">
        <v>4</v>
      </c>
      <c r="C61" s="40" t="s">
        <v>122</v>
      </c>
      <c r="D61" s="47"/>
      <c r="E61" s="55"/>
      <c r="F61" s="55"/>
      <c r="G61" s="47"/>
      <c r="H61" s="47"/>
      <c r="I61" s="47"/>
      <c r="J61" s="47"/>
    </row>
    <row r="62" spans="2:10">
      <c r="B62" s="36">
        <v>5</v>
      </c>
      <c r="C62" s="35" t="s">
        <v>96</v>
      </c>
      <c r="D62" s="48"/>
      <c r="E62" s="55"/>
      <c r="F62" s="55"/>
      <c r="G62" s="47"/>
      <c r="H62" s="47"/>
      <c r="I62" s="47"/>
      <c r="J62" s="47"/>
    </row>
    <row r="63" spans="2:10">
      <c r="B63" s="36">
        <v>6</v>
      </c>
      <c r="C63" s="35" t="s">
        <v>23</v>
      </c>
      <c r="D63" s="50"/>
      <c r="E63" s="45"/>
      <c r="F63" s="45"/>
      <c r="G63" s="45"/>
      <c r="H63" s="45"/>
      <c r="I63" s="45"/>
      <c r="J63" s="45"/>
    </row>
    <row r="64" spans="2:10">
      <c r="B64" s="36">
        <v>7</v>
      </c>
      <c r="C64" s="40" t="s">
        <v>44</v>
      </c>
      <c r="D64" s="39"/>
      <c r="E64" s="39"/>
      <c r="F64" s="39"/>
      <c r="G64" s="39"/>
      <c r="H64" s="39"/>
      <c r="I64" s="39"/>
      <c r="J64" s="39"/>
    </row>
    <row r="65" spans="2:10">
      <c r="B65" s="36">
        <v>8</v>
      </c>
      <c r="C65" s="35" t="s">
        <v>12</v>
      </c>
      <c r="D65" s="39"/>
      <c r="E65" s="49"/>
      <c r="F65" s="49"/>
      <c r="G65" s="49"/>
      <c r="H65" s="49"/>
      <c r="I65" s="49"/>
      <c r="J65" s="49"/>
    </row>
    <row r="66" spans="2:10">
      <c r="B66" s="36">
        <v>9</v>
      </c>
      <c r="C66" s="40" t="s">
        <v>42</v>
      </c>
      <c r="D66" s="39"/>
      <c r="E66" s="49"/>
      <c r="F66" s="49"/>
      <c r="G66" s="49"/>
      <c r="H66" s="49"/>
      <c r="I66" s="49"/>
      <c r="J66" s="49"/>
    </row>
    <row r="67" spans="2:10">
      <c r="B67" s="36">
        <v>10</v>
      </c>
      <c r="C67" s="35" t="s">
        <v>111</v>
      </c>
      <c r="D67" s="48"/>
      <c r="E67" s="39"/>
      <c r="F67" s="39"/>
      <c r="G67" s="39"/>
      <c r="H67" s="39"/>
      <c r="I67" s="39"/>
      <c r="J67" s="39"/>
    </row>
    <row r="68" spans="2:10">
      <c r="B68" s="36">
        <v>11</v>
      </c>
      <c r="C68" s="35" t="s">
        <v>142</v>
      </c>
      <c r="D68" s="46"/>
      <c r="E68" s="55"/>
      <c r="F68" s="55"/>
      <c r="G68" s="47"/>
      <c r="H68" s="47"/>
      <c r="I68" s="47"/>
      <c r="J68" s="47"/>
    </row>
    <row r="69" spans="2:10">
      <c r="B69" s="36">
        <v>12</v>
      </c>
      <c r="C69" s="35" t="s">
        <v>65</v>
      </c>
      <c r="D69" s="38"/>
      <c r="E69" s="49"/>
      <c r="F69" s="55"/>
      <c r="G69" s="47"/>
      <c r="H69" s="47"/>
      <c r="I69" s="47"/>
      <c r="J69" s="49"/>
    </row>
    <row r="70" spans="2:10">
      <c r="B70" s="36">
        <v>13</v>
      </c>
      <c r="C70" s="35" t="s">
        <v>114</v>
      </c>
      <c r="D70" s="38"/>
      <c r="E70" s="49"/>
      <c r="F70" s="55"/>
      <c r="G70" s="47"/>
      <c r="H70" s="47"/>
      <c r="I70" s="47"/>
      <c r="J70" s="49"/>
    </row>
  </sheetData>
  <mergeCells count="1">
    <mergeCell ref="B3:B58"/>
  </mergeCells>
  <phoneticPr fontId="12" type="noConversion"/>
  <pageMargins left="0.25" right="0.25" top="0.75" bottom="0.75" header="0.30000001192092896" footer="0.30000001192092896"/>
  <pageSetup paperSize="9" scale="62"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I32"/>
  <sheetViews>
    <sheetView zoomScale="150" zoomScaleNormal="185" zoomScaleSheetLayoutView="185" workbookViewId="0">
      <selection activeCell="E23" sqref="E23"/>
    </sheetView>
  </sheetViews>
  <sheetFormatPr baseColWidth="10" defaultColWidth="11.5703125" defaultRowHeight="18"/>
  <cols>
    <col min="1" max="1" width="2.7109375" customWidth="1"/>
    <col min="2" max="2" width="3.42578125" bestFit="1" customWidth="1"/>
    <col min="3" max="3" width="2.7109375" customWidth="1"/>
    <col min="4" max="4" width="80.28515625" style="1" customWidth="1"/>
    <col min="5" max="5" width="18" bestFit="1" customWidth="1"/>
    <col min="6" max="6" width="14.5703125" bestFit="1" customWidth="1"/>
    <col min="7" max="7" width="11.140625" bestFit="1" customWidth="1"/>
    <col min="8" max="9" width="11.140625" customWidth="1"/>
    <col min="10" max="10" width="2.7109375" customWidth="1"/>
  </cols>
  <sheetData>
    <row r="2" spans="1:9" s="5" customFormat="1" ht="30">
      <c r="A2" s="8"/>
      <c r="B2" s="1" t="s">
        <v>152</v>
      </c>
      <c r="C2" s="77"/>
      <c r="D2" s="77"/>
      <c r="E2" s="77"/>
      <c r="F2" s="77"/>
      <c r="G2" s="77"/>
      <c r="H2" s="77"/>
      <c r="I2" s="78"/>
    </row>
    <row r="3" spans="1:9" s="5" customFormat="1" ht="30">
      <c r="A3" s="8"/>
      <c r="B3" s="79"/>
      <c r="C3" s="80"/>
      <c r="D3" s="80"/>
      <c r="E3" s="80"/>
      <c r="F3" s="80"/>
      <c r="G3" s="80"/>
      <c r="H3" s="80"/>
      <c r="I3" s="81"/>
    </row>
    <row r="4" spans="1:9" ht="19" thickBot="1"/>
    <row r="5" spans="1:9" ht="23">
      <c r="B5" s="85" t="s">
        <v>10</v>
      </c>
      <c r="C5" s="86"/>
      <c r="D5" s="86"/>
      <c r="E5" s="82" t="s">
        <v>86</v>
      </c>
      <c r="F5" s="82" t="s">
        <v>53</v>
      </c>
      <c r="G5" s="82" t="s">
        <v>131</v>
      </c>
      <c r="H5" s="82"/>
      <c r="I5" s="83"/>
    </row>
    <row r="6" spans="1:9" ht="23" customHeight="1" thickBot="1">
      <c r="B6" s="87"/>
      <c r="C6" s="88"/>
      <c r="D6" s="88"/>
      <c r="E6" s="84"/>
      <c r="F6" s="84"/>
      <c r="G6" s="6" t="s">
        <v>62</v>
      </c>
      <c r="H6" s="6" t="s">
        <v>17</v>
      </c>
      <c r="I6" s="7" t="s">
        <v>81</v>
      </c>
    </row>
    <row r="7" spans="1:9">
      <c r="B7" s="89" t="s">
        <v>153</v>
      </c>
      <c r="C7" s="90"/>
      <c r="D7" s="90"/>
      <c r="E7" s="29"/>
      <c r="F7" s="29"/>
      <c r="G7" s="29"/>
      <c r="H7" s="29"/>
      <c r="I7" s="29"/>
    </row>
    <row r="8" spans="1:9" ht="19">
      <c r="B8" s="3" t="s">
        <v>141</v>
      </c>
      <c r="C8" s="2"/>
      <c r="D8" s="2"/>
      <c r="E8" s="30"/>
      <c r="F8" s="29"/>
      <c r="G8" s="29"/>
      <c r="H8" s="29"/>
      <c r="I8" s="29"/>
    </row>
    <row r="9" spans="1:9">
      <c r="B9" s="2"/>
      <c r="C9" s="2" t="s">
        <v>108</v>
      </c>
      <c r="D9" s="4"/>
      <c r="E9" s="29"/>
      <c r="F9" s="29"/>
      <c r="G9" s="29"/>
      <c r="H9" s="29"/>
      <c r="I9" s="29"/>
    </row>
    <row r="10" spans="1:9">
      <c r="B10" s="2"/>
      <c r="C10" s="2" t="s">
        <v>108</v>
      </c>
      <c r="D10" s="4"/>
      <c r="E10" s="29"/>
      <c r="F10" s="29"/>
      <c r="G10" s="29"/>
      <c r="H10" s="29"/>
      <c r="I10" s="29"/>
    </row>
    <row r="11" spans="1:9">
      <c r="B11" s="2"/>
      <c r="C11" s="2" t="s">
        <v>108</v>
      </c>
      <c r="D11" s="4"/>
      <c r="E11" s="29"/>
      <c r="F11" s="29"/>
      <c r="G11" s="29"/>
      <c r="H11" s="29"/>
      <c r="I11" s="29"/>
    </row>
    <row r="12" spans="1:9">
      <c r="B12" s="2" t="s">
        <v>28</v>
      </c>
      <c r="C12" s="2"/>
      <c r="D12" s="2"/>
      <c r="E12" s="30"/>
      <c r="F12" s="29"/>
      <c r="G12" s="29"/>
      <c r="H12" s="29"/>
      <c r="I12" s="29"/>
    </row>
    <row r="13" spans="1:9">
      <c r="B13" s="2"/>
      <c r="C13" s="2" t="s">
        <v>108</v>
      </c>
      <c r="D13" s="3"/>
      <c r="E13" s="29"/>
      <c r="F13" s="29"/>
      <c r="G13" s="29"/>
      <c r="H13" s="29"/>
      <c r="I13" s="29"/>
    </row>
    <row r="14" spans="1:9">
      <c r="B14" s="2"/>
      <c r="C14" s="2" t="s">
        <v>108</v>
      </c>
      <c r="D14" s="3"/>
      <c r="E14" s="29"/>
      <c r="F14" s="29"/>
      <c r="G14" s="29"/>
      <c r="H14" s="29"/>
      <c r="I14" s="29"/>
    </row>
    <row r="15" spans="1:9">
      <c r="B15" s="2"/>
      <c r="C15" s="2" t="s">
        <v>108</v>
      </c>
      <c r="E15" s="29"/>
      <c r="F15" s="29"/>
      <c r="G15" s="29"/>
      <c r="H15" s="29"/>
      <c r="I15" s="29"/>
    </row>
    <row r="16" spans="1:9" ht="19" thickBot="1">
      <c r="B16" s="2" t="s">
        <v>118</v>
      </c>
      <c r="C16" s="2"/>
      <c r="D16" s="2"/>
      <c r="E16" s="30"/>
      <c r="F16" s="29"/>
      <c r="G16" s="29"/>
      <c r="H16" s="29"/>
      <c r="I16" s="29"/>
    </row>
    <row r="17" spans="2:9">
      <c r="B17" s="2"/>
      <c r="C17" s="2" t="s">
        <v>108</v>
      </c>
      <c r="D17" s="3"/>
      <c r="E17" s="29"/>
      <c r="F17" s="29"/>
      <c r="G17" s="29"/>
      <c r="H17" s="29"/>
      <c r="I17" s="29"/>
    </row>
    <row r="18" spans="2:9">
      <c r="B18" s="2"/>
      <c r="C18" s="2" t="s">
        <v>108</v>
      </c>
      <c r="D18" s="3"/>
      <c r="E18" s="29"/>
      <c r="F18" s="29"/>
      <c r="G18" s="29"/>
      <c r="H18" s="29"/>
      <c r="I18" s="29"/>
    </row>
    <row r="19" spans="2:9">
      <c r="B19" s="2"/>
      <c r="C19" s="2" t="s">
        <v>108</v>
      </c>
      <c r="E19" s="29"/>
      <c r="F19" s="29"/>
      <c r="G19" s="29"/>
      <c r="H19" s="29"/>
      <c r="I19" s="29"/>
    </row>
    <row r="20" spans="2:9">
      <c r="B20" s="89" t="s">
        <v>154</v>
      </c>
      <c r="C20" s="90"/>
      <c r="D20" s="90"/>
      <c r="E20" s="29"/>
      <c r="F20" s="29"/>
      <c r="G20" s="29"/>
      <c r="H20" s="29"/>
      <c r="I20" s="76"/>
    </row>
    <row r="21" spans="2:9">
      <c r="B21" s="2" t="s">
        <v>5</v>
      </c>
      <c r="C21" s="2"/>
      <c r="D21" s="2"/>
      <c r="E21" s="30"/>
      <c r="F21" s="29"/>
      <c r="G21" s="29"/>
      <c r="H21" s="29"/>
      <c r="I21" s="76"/>
    </row>
    <row r="22" spans="2:9">
      <c r="B22" s="2"/>
      <c r="C22" s="2" t="s">
        <v>108</v>
      </c>
      <c r="D22" s="3"/>
      <c r="E22" s="29"/>
      <c r="F22" s="29"/>
      <c r="G22" s="29"/>
      <c r="H22" s="29"/>
      <c r="I22" s="76"/>
    </row>
    <row r="23" spans="2:9">
      <c r="B23" s="2"/>
      <c r="C23" s="2" t="s">
        <v>108</v>
      </c>
      <c r="D23" s="3"/>
      <c r="E23" s="29"/>
      <c r="F23" s="29"/>
      <c r="G23" s="29"/>
      <c r="H23" s="29"/>
      <c r="I23" s="76"/>
    </row>
    <row r="24" spans="2:9">
      <c r="B24" s="2"/>
      <c r="C24" s="2" t="s">
        <v>108</v>
      </c>
      <c r="D24" s="3"/>
      <c r="E24" s="29"/>
      <c r="F24" s="29"/>
      <c r="G24" s="29"/>
      <c r="H24" s="29"/>
      <c r="I24" s="76"/>
    </row>
    <row r="25" spans="2:9" ht="19" thickBot="1">
      <c r="B25" s="2" t="s">
        <v>55</v>
      </c>
      <c r="C25" s="2"/>
      <c r="D25" s="2"/>
      <c r="E25" s="30"/>
      <c r="F25" s="29"/>
      <c r="G25" s="29"/>
      <c r="H25" s="29"/>
      <c r="I25" s="76"/>
    </row>
    <row r="26" spans="2:9">
      <c r="B26" s="2"/>
      <c r="C26" s="2" t="s">
        <v>108</v>
      </c>
      <c r="D26" s="3"/>
      <c r="E26" s="29"/>
      <c r="F26" s="29"/>
      <c r="G26" s="29"/>
      <c r="H26" s="29"/>
      <c r="I26" s="76"/>
    </row>
    <row r="27" spans="2:9">
      <c r="B27" s="2"/>
      <c r="C27" s="2" t="s">
        <v>108</v>
      </c>
      <c r="D27" s="3"/>
      <c r="E27" s="29"/>
      <c r="F27" s="29"/>
      <c r="G27" s="29"/>
      <c r="H27" s="29"/>
      <c r="I27" s="76"/>
    </row>
    <row r="28" spans="2:9">
      <c r="B28" s="2"/>
      <c r="C28" s="2" t="s">
        <v>108</v>
      </c>
      <c r="D28" s="3"/>
      <c r="E28" s="29"/>
      <c r="F28" s="29"/>
      <c r="G28" s="29"/>
      <c r="H28" s="29"/>
      <c r="I28" s="76"/>
    </row>
    <row r="29" spans="2:9" ht="19" thickBot="1">
      <c r="B29" s="2" t="s">
        <v>135</v>
      </c>
      <c r="C29" s="2"/>
      <c r="D29" s="2"/>
      <c r="E29" s="29"/>
      <c r="F29" s="29"/>
      <c r="G29" s="29"/>
      <c r="H29" s="29"/>
      <c r="I29" s="76"/>
    </row>
    <row r="30" spans="2:9">
      <c r="B30" s="2"/>
      <c r="C30" s="2" t="s">
        <v>108</v>
      </c>
      <c r="D30" s="3"/>
      <c r="E30" s="29"/>
      <c r="F30" s="29"/>
      <c r="G30" s="29"/>
      <c r="H30" s="29"/>
      <c r="I30" s="76"/>
    </row>
    <row r="31" spans="2:9">
      <c r="B31" s="2"/>
      <c r="C31" s="2" t="s">
        <v>108</v>
      </c>
      <c r="D31" s="3"/>
      <c r="E31" s="29"/>
      <c r="F31" s="29"/>
      <c r="G31" s="29"/>
      <c r="H31" s="29"/>
      <c r="I31" s="76"/>
    </row>
    <row r="32" spans="2:9">
      <c r="B32" s="2"/>
      <c r="C32" s="2" t="s">
        <v>108</v>
      </c>
      <c r="D32" s="3"/>
      <c r="E32" s="29"/>
      <c r="F32" s="29"/>
      <c r="G32" s="29"/>
      <c r="H32" s="29"/>
      <c r="I32" s="76"/>
    </row>
  </sheetData>
  <mergeCells count="13">
    <mergeCell ref="B2:I3"/>
    <mergeCell ref="C21:D21"/>
    <mergeCell ref="C25:D25"/>
    <mergeCell ref="C29:D29"/>
    <mergeCell ref="G5:I5"/>
    <mergeCell ref="F5:F6"/>
    <mergeCell ref="E5:E6"/>
    <mergeCell ref="B5:D6"/>
    <mergeCell ref="C8:D8"/>
    <mergeCell ref="B7:D7"/>
    <mergeCell ref="C12:D12"/>
    <mergeCell ref="C16:D16"/>
    <mergeCell ref="B20:D20"/>
  </mergeCells>
  <phoneticPr fontId="12" type="noConversion"/>
  <pageMargins left="0.69972223043441772" right="0.69972223043441772" top="0.75" bottom="0.75" header="0.30000001192092896" footer="0.30000001192092896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2:S11"/>
  <sheetViews>
    <sheetView zoomScale="150" zoomScaleNormal="150" zoomScaleSheetLayoutView="125" workbookViewId="0"/>
  </sheetViews>
  <sheetFormatPr baseColWidth="10" defaultColWidth="7.7109375" defaultRowHeight="17"/>
  <cols>
    <col min="1" max="1" width="2.28515625" style="10" customWidth="1"/>
    <col min="2" max="2" width="14.140625" style="10" bestFit="1" customWidth="1"/>
    <col min="3" max="6" width="4.42578125" style="10" bestFit="1" customWidth="1"/>
    <col min="7" max="12" width="9.42578125" style="10" bestFit="1" customWidth="1"/>
    <col min="13" max="13" width="7.7109375" style="10" bestFit="1" customWidth="1"/>
    <col min="14" max="15" width="7.140625" style="10" bestFit="1" customWidth="1"/>
    <col min="16" max="16" width="7.7109375" style="10" bestFit="1" customWidth="1"/>
    <col min="17" max="17" width="6.140625" style="10" bestFit="1" customWidth="1"/>
    <col min="18" max="18" width="7.42578125" style="10" bestFit="1" customWidth="1"/>
    <col min="19" max="19" width="7.7109375" style="10" bestFit="1" customWidth="1"/>
    <col min="20" max="20" width="2.28515625" style="10" customWidth="1"/>
    <col min="21" max="16384" width="7.7109375" style="10"/>
  </cols>
  <sheetData>
    <row r="2" spans="2:19">
      <c r="B2" s="9" t="s">
        <v>80</v>
      </c>
    </row>
    <row r="3" spans="2:19">
      <c r="B3" s="91" t="s">
        <v>148</v>
      </c>
      <c r="C3" s="94" t="s">
        <v>11</v>
      </c>
      <c r="D3" s="95"/>
      <c r="E3" s="95"/>
      <c r="F3" s="96"/>
      <c r="G3" s="94" t="s">
        <v>71</v>
      </c>
      <c r="H3" s="95"/>
      <c r="I3" s="95"/>
      <c r="J3" s="95"/>
      <c r="K3" s="95"/>
      <c r="L3" s="96"/>
      <c r="M3" s="97" t="s">
        <v>2</v>
      </c>
      <c r="N3" s="97" t="s">
        <v>22</v>
      </c>
      <c r="O3" s="97" t="s">
        <v>87</v>
      </c>
      <c r="P3" s="97" t="s">
        <v>77</v>
      </c>
      <c r="Q3" s="97" t="s">
        <v>151</v>
      </c>
      <c r="R3" s="97" t="s">
        <v>20</v>
      </c>
      <c r="S3" s="100" t="s">
        <v>7</v>
      </c>
    </row>
    <row r="4" spans="2:19">
      <c r="B4" s="92"/>
      <c r="C4" s="103" t="s">
        <v>66</v>
      </c>
      <c r="D4" s="104"/>
      <c r="E4" s="103" t="s">
        <v>127</v>
      </c>
      <c r="F4" s="104"/>
      <c r="G4" s="103" t="s">
        <v>66</v>
      </c>
      <c r="H4" s="105"/>
      <c r="I4" s="104"/>
      <c r="J4" s="103" t="s">
        <v>127</v>
      </c>
      <c r="K4" s="105"/>
      <c r="L4" s="104"/>
      <c r="M4" s="98"/>
      <c r="N4" s="98"/>
      <c r="O4" s="98"/>
      <c r="P4" s="98"/>
      <c r="Q4" s="98"/>
      <c r="R4" s="98"/>
      <c r="S4" s="101"/>
    </row>
    <row r="5" spans="2:19" ht="18">
      <c r="B5" s="93"/>
      <c r="C5" s="11" t="s">
        <v>92</v>
      </c>
      <c r="D5" s="11" t="s">
        <v>146</v>
      </c>
      <c r="E5" s="11" t="s">
        <v>92</v>
      </c>
      <c r="F5" s="11" t="s">
        <v>146</v>
      </c>
      <c r="G5" s="11" t="s">
        <v>51</v>
      </c>
      <c r="H5" s="11" t="s">
        <v>3</v>
      </c>
      <c r="I5" s="11" t="s">
        <v>34</v>
      </c>
      <c r="J5" s="11" t="s">
        <v>51</v>
      </c>
      <c r="K5" s="11" t="s">
        <v>3</v>
      </c>
      <c r="L5" s="11" t="s">
        <v>34</v>
      </c>
      <c r="M5" s="99"/>
      <c r="N5" s="99"/>
      <c r="O5" s="99"/>
      <c r="P5" s="99"/>
      <c r="Q5" s="99"/>
      <c r="R5" s="99"/>
      <c r="S5" s="102"/>
    </row>
    <row r="6" spans="2:19" ht="18">
      <c r="B6" s="12" t="s">
        <v>21</v>
      </c>
      <c r="C6" s="13">
        <f>'성과지표(1세부)'!C6+'성과지표(2세부)'!C6+'성과지표(3세부)'!C6+'성과지표(4세부)'!C6</f>
        <v>0</v>
      </c>
      <c r="D6" s="13">
        <f>'성과지표(1세부)'!D6+'성과지표(2세부)'!D6+'성과지표(3세부)'!D6+'성과지표(4세부)'!D6</f>
        <v>0</v>
      </c>
      <c r="E6" s="13">
        <f>'성과지표(1세부)'!E6+'성과지표(2세부)'!E6+'성과지표(3세부)'!E6+'성과지표(4세부)'!E6</f>
        <v>0</v>
      </c>
      <c r="F6" s="13">
        <f>'성과지표(1세부)'!F6+'성과지표(2세부)'!F6+'성과지표(3세부)'!F6+'성과지표(4세부)'!F6</f>
        <v>0</v>
      </c>
      <c r="G6" s="13">
        <f>'성과지표(1세부)'!G6+'성과지표(2세부)'!G6+'성과지표(3세부)'!G6+'성과지표(4세부)'!G6</f>
        <v>0</v>
      </c>
      <c r="H6" s="13">
        <f>'성과지표(1세부)'!H6+'성과지표(2세부)'!H6+'성과지표(3세부)'!H6+'성과지표(4세부)'!H6</f>
        <v>0</v>
      </c>
      <c r="I6" s="13">
        <f>'성과지표(1세부)'!I6+'성과지표(2세부)'!I6+'성과지표(3세부)'!I6+'성과지표(4세부)'!I6</f>
        <v>0</v>
      </c>
      <c r="J6" s="13">
        <f>'성과지표(1세부)'!J6+'성과지표(2세부)'!J6+'성과지표(3세부)'!J6+'성과지표(4세부)'!J6</f>
        <v>0</v>
      </c>
      <c r="K6" s="13">
        <f>'성과지표(1세부)'!K6+'성과지표(2세부)'!K6+'성과지표(3세부)'!K6+'성과지표(4세부)'!K6</f>
        <v>0</v>
      </c>
      <c r="L6" s="13">
        <f>'성과지표(1세부)'!L6+'성과지표(2세부)'!L6+'성과지표(3세부)'!L6+'성과지표(4세부)'!L6</f>
        <v>0</v>
      </c>
      <c r="M6" s="13">
        <f>'성과지표(1세부)'!M6+'성과지표(2세부)'!M6+'성과지표(3세부)'!M6+'성과지표(4세부)'!M6</f>
        <v>0</v>
      </c>
      <c r="N6" s="13">
        <f>'성과지표(1세부)'!N6+'성과지표(2세부)'!N6+'성과지표(3세부)'!N6+'성과지표(4세부)'!N6</f>
        <v>0</v>
      </c>
      <c r="O6" s="13">
        <f>'성과지표(1세부)'!O6+'성과지표(2세부)'!O6+'성과지표(3세부)'!O6+'성과지표(4세부)'!O6</f>
        <v>0</v>
      </c>
      <c r="P6" s="13">
        <f>'성과지표(1세부)'!P6+'성과지표(2세부)'!P6+'성과지표(3세부)'!P6+'성과지표(4세부)'!P6</f>
        <v>0</v>
      </c>
      <c r="Q6" s="13">
        <f>'성과지표(1세부)'!Q6+'성과지표(2세부)'!Q6+'성과지표(3세부)'!Q6+'성과지표(4세부)'!Q6</f>
        <v>0</v>
      </c>
      <c r="R6" s="13">
        <f>'성과지표(1세부)'!R6+'성과지표(2세부)'!R6+'성과지표(3세부)'!R6+'성과지표(4세부)'!R6</f>
        <v>0</v>
      </c>
      <c r="S6" s="14">
        <f>'성과지표(1세부)'!S6+'성과지표(2세부)'!S6+'성과지표(3세부)'!S6+'성과지표(4세부)'!S6</f>
        <v>0</v>
      </c>
    </row>
    <row r="7" spans="2:19" ht="18">
      <c r="B7" s="12" t="s">
        <v>48</v>
      </c>
      <c r="C7" s="13">
        <f>'성과지표(1세부)'!C7+'성과지표(2세부)'!C7+'성과지표(3세부)'!C7+'성과지표(4세부)'!C7</f>
        <v>0</v>
      </c>
      <c r="D7" s="13">
        <f>'성과지표(1세부)'!D7+'성과지표(2세부)'!D7+'성과지표(3세부)'!D7+'성과지표(4세부)'!D7</f>
        <v>0</v>
      </c>
      <c r="E7" s="13">
        <f>'성과지표(1세부)'!E7+'성과지표(2세부)'!E7+'성과지표(3세부)'!E7+'성과지표(4세부)'!E7</f>
        <v>0</v>
      </c>
      <c r="F7" s="13">
        <f>'성과지표(1세부)'!F7+'성과지표(2세부)'!F7+'성과지표(3세부)'!F7+'성과지표(4세부)'!F7</f>
        <v>0</v>
      </c>
      <c r="G7" s="13">
        <f>'성과지표(1세부)'!G7+'성과지표(2세부)'!G7+'성과지표(3세부)'!G7+'성과지표(4세부)'!G7</f>
        <v>0</v>
      </c>
      <c r="H7" s="13">
        <f>'성과지표(1세부)'!H7+'성과지표(2세부)'!H7+'성과지표(3세부)'!H7+'성과지표(4세부)'!H7</f>
        <v>0</v>
      </c>
      <c r="I7" s="13">
        <f>'성과지표(1세부)'!I7+'성과지표(2세부)'!I7+'성과지표(3세부)'!I7+'성과지표(4세부)'!I7</f>
        <v>0</v>
      </c>
      <c r="J7" s="13">
        <f>'성과지표(1세부)'!J7+'성과지표(2세부)'!J7+'성과지표(3세부)'!J7+'성과지표(4세부)'!J7</f>
        <v>0</v>
      </c>
      <c r="K7" s="13">
        <f>'성과지표(1세부)'!K7+'성과지표(2세부)'!K7+'성과지표(3세부)'!K7+'성과지표(4세부)'!K7</f>
        <v>0</v>
      </c>
      <c r="L7" s="13">
        <f>'성과지표(1세부)'!L7+'성과지표(2세부)'!L7+'성과지표(3세부)'!L7+'성과지표(4세부)'!L7</f>
        <v>0</v>
      </c>
      <c r="M7" s="13">
        <f>'성과지표(1세부)'!M7+'성과지표(2세부)'!M7+'성과지표(3세부)'!M7+'성과지표(4세부)'!M7</f>
        <v>0</v>
      </c>
      <c r="N7" s="13">
        <f>'성과지표(1세부)'!N7+'성과지표(2세부)'!N7+'성과지표(3세부)'!N7+'성과지표(4세부)'!N7</f>
        <v>0</v>
      </c>
      <c r="O7" s="13">
        <f>'성과지표(1세부)'!O7+'성과지표(2세부)'!O7+'성과지표(3세부)'!O7+'성과지표(4세부)'!O7</f>
        <v>0</v>
      </c>
      <c r="P7" s="13">
        <f>'성과지표(1세부)'!P7+'성과지표(2세부)'!P7+'성과지표(3세부)'!P7+'성과지표(4세부)'!P7</f>
        <v>0</v>
      </c>
      <c r="Q7" s="13">
        <f>'성과지표(1세부)'!Q7+'성과지표(2세부)'!Q7+'성과지표(3세부)'!Q7+'성과지표(4세부)'!Q7</f>
        <v>0</v>
      </c>
      <c r="R7" s="13">
        <f>'성과지표(1세부)'!R7+'성과지표(2세부)'!R7+'성과지표(3세부)'!R7+'성과지표(4세부)'!R7</f>
        <v>0</v>
      </c>
      <c r="S7" s="14">
        <f>'성과지표(1세부)'!S7+'성과지표(2세부)'!S7+'성과지표(3세부)'!S7+'성과지표(4세부)'!S7</f>
        <v>0</v>
      </c>
    </row>
    <row r="8" spans="2:19" ht="18">
      <c r="B8" s="12" t="s">
        <v>144</v>
      </c>
      <c r="C8" s="13">
        <f>'성과지표(1세부)'!C8+'성과지표(2세부)'!C8+'성과지표(3세부)'!C8+'성과지표(4세부)'!C8</f>
        <v>0</v>
      </c>
      <c r="D8" s="13">
        <f>'성과지표(1세부)'!D8+'성과지표(2세부)'!D8+'성과지표(3세부)'!D8+'성과지표(4세부)'!D8</f>
        <v>0</v>
      </c>
      <c r="E8" s="13">
        <f>'성과지표(1세부)'!E8+'성과지표(2세부)'!E8+'성과지표(3세부)'!E8+'성과지표(4세부)'!E8</f>
        <v>0</v>
      </c>
      <c r="F8" s="13">
        <f>'성과지표(1세부)'!F8+'성과지표(2세부)'!F8+'성과지표(3세부)'!F8+'성과지표(4세부)'!F8</f>
        <v>0</v>
      </c>
      <c r="G8" s="13">
        <f>'성과지표(1세부)'!G8+'성과지표(2세부)'!G8+'성과지표(3세부)'!G8+'성과지표(4세부)'!G8</f>
        <v>0</v>
      </c>
      <c r="H8" s="13">
        <f>'성과지표(1세부)'!H8+'성과지표(2세부)'!H8+'성과지표(3세부)'!H8+'성과지표(4세부)'!H8</f>
        <v>0</v>
      </c>
      <c r="I8" s="13">
        <f>'성과지표(1세부)'!I8+'성과지표(2세부)'!I8+'성과지표(3세부)'!I8+'성과지표(4세부)'!I8</f>
        <v>0</v>
      </c>
      <c r="J8" s="13">
        <f>'성과지표(1세부)'!J8+'성과지표(2세부)'!J8+'성과지표(3세부)'!J8+'성과지표(4세부)'!J8</f>
        <v>0</v>
      </c>
      <c r="K8" s="13">
        <f>'성과지표(1세부)'!K8+'성과지표(2세부)'!K8+'성과지표(3세부)'!K8+'성과지표(4세부)'!K8</f>
        <v>0</v>
      </c>
      <c r="L8" s="13">
        <f>'성과지표(1세부)'!L8+'성과지표(2세부)'!L8+'성과지표(3세부)'!L8+'성과지표(4세부)'!L8</f>
        <v>0</v>
      </c>
      <c r="M8" s="13">
        <f>'성과지표(1세부)'!M8+'성과지표(2세부)'!M8+'성과지표(3세부)'!M8+'성과지표(4세부)'!M8</f>
        <v>0</v>
      </c>
      <c r="N8" s="13">
        <f>'성과지표(1세부)'!N8+'성과지표(2세부)'!N8+'성과지표(3세부)'!N8+'성과지표(4세부)'!N8</f>
        <v>0</v>
      </c>
      <c r="O8" s="13">
        <f>'성과지표(1세부)'!O8+'성과지표(2세부)'!O8+'성과지표(3세부)'!O8+'성과지표(4세부)'!O8</f>
        <v>0</v>
      </c>
      <c r="P8" s="13">
        <f>'성과지표(1세부)'!P8+'성과지표(2세부)'!P8+'성과지표(3세부)'!P8+'성과지표(4세부)'!P8</f>
        <v>0</v>
      </c>
      <c r="Q8" s="13">
        <f>'성과지표(1세부)'!Q8+'성과지표(2세부)'!Q8+'성과지표(3세부)'!Q8+'성과지표(4세부)'!Q8</f>
        <v>0</v>
      </c>
      <c r="R8" s="13">
        <f>'성과지표(1세부)'!R8+'성과지표(2세부)'!R8+'성과지표(3세부)'!R8+'성과지표(4세부)'!R8</f>
        <v>0</v>
      </c>
      <c r="S8" s="14">
        <f>'성과지표(1세부)'!S8+'성과지표(2세부)'!S8+'성과지표(3세부)'!S8+'성과지표(4세부)'!S8</f>
        <v>0</v>
      </c>
    </row>
    <row r="9" spans="2:19" ht="18">
      <c r="B9" s="12" t="s">
        <v>98</v>
      </c>
      <c r="C9" s="13">
        <f>'성과지표(1세부)'!C9+'성과지표(2세부)'!C9+'성과지표(3세부)'!C9+'성과지표(4세부)'!C9</f>
        <v>0</v>
      </c>
      <c r="D9" s="13">
        <f>'성과지표(1세부)'!D9+'성과지표(2세부)'!D9+'성과지표(3세부)'!D9+'성과지표(4세부)'!D9</f>
        <v>0</v>
      </c>
      <c r="E9" s="13">
        <f>'성과지표(1세부)'!E9+'성과지표(2세부)'!E9+'성과지표(3세부)'!E9+'성과지표(4세부)'!E9</f>
        <v>0</v>
      </c>
      <c r="F9" s="13">
        <f>'성과지표(1세부)'!F9+'성과지표(2세부)'!F9+'성과지표(3세부)'!F9+'성과지표(4세부)'!F9</f>
        <v>0</v>
      </c>
      <c r="G9" s="13">
        <f>'성과지표(1세부)'!G9+'성과지표(2세부)'!G9+'성과지표(3세부)'!G9+'성과지표(4세부)'!G9</f>
        <v>0</v>
      </c>
      <c r="H9" s="13">
        <f>'성과지표(1세부)'!H9+'성과지표(2세부)'!H9+'성과지표(3세부)'!H9+'성과지표(4세부)'!H9</f>
        <v>0</v>
      </c>
      <c r="I9" s="13">
        <f>'성과지표(1세부)'!I9+'성과지표(2세부)'!I9+'성과지표(3세부)'!I9+'성과지표(4세부)'!I9</f>
        <v>0</v>
      </c>
      <c r="J9" s="13">
        <f>'성과지표(1세부)'!J9+'성과지표(2세부)'!J9+'성과지표(3세부)'!J9+'성과지표(4세부)'!J9</f>
        <v>0</v>
      </c>
      <c r="K9" s="13">
        <f>'성과지표(1세부)'!K9+'성과지표(2세부)'!K9+'성과지표(3세부)'!K9+'성과지표(4세부)'!K9</f>
        <v>0</v>
      </c>
      <c r="L9" s="13">
        <f>'성과지표(1세부)'!L9+'성과지표(2세부)'!L9+'성과지표(3세부)'!L9+'성과지표(4세부)'!L9</f>
        <v>0</v>
      </c>
      <c r="M9" s="13">
        <f>'성과지표(1세부)'!M9+'성과지표(2세부)'!M9+'성과지표(3세부)'!M9+'성과지표(4세부)'!M9</f>
        <v>0</v>
      </c>
      <c r="N9" s="13">
        <f>'성과지표(1세부)'!N9+'성과지표(2세부)'!N9+'성과지표(3세부)'!N9+'성과지표(4세부)'!N9</f>
        <v>0</v>
      </c>
      <c r="O9" s="13">
        <f>'성과지표(1세부)'!O9+'성과지표(2세부)'!O9+'성과지표(3세부)'!O9+'성과지표(4세부)'!O9</f>
        <v>0</v>
      </c>
      <c r="P9" s="13">
        <f>'성과지표(1세부)'!P9+'성과지표(2세부)'!P9+'성과지표(3세부)'!P9+'성과지표(4세부)'!P9</f>
        <v>0</v>
      </c>
      <c r="Q9" s="13">
        <f>'성과지표(1세부)'!Q9+'성과지표(2세부)'!Q9+'성과지표(3세부)'!Q9+'성과지표(4세부)'!Q9</f>
        <v>0</v>
      </c>
      <c r="R9" s="13">
        <f>'성과지표(1세부)'!R9+'성과지표(2세부)'!R9+'성과지표(3세부)'!R9+'성과지표(4세부)'!R9</f>
        <v>0</v>
      </c>
      <c r="S9" s="14">
        <f>'성과지표(1세부)'!S9+'성과지표(2세부)'!S9+'성과지표(3세부)'!S9+'성과지표(4세부)'!S9</f>
        <v>0</v>
      </c>
    </row>
    <row r="10" spans="2:19" ht="18">
      <c r="B10" s="12" t="s">
        <v>63</v>
      </c>
      <c r="C10" s="13">
        <f>'성과지표(1세부)'!C10+'성과지표(2세부)'!C10+'성과지표(3세부)'!C10+'성과지표(4세부)'!C10</f>
        <v>0</v>
      </c>
      <c r="D10" s="13">
        <f>'성과지표(1세부)'!D10+'성과지표(2세부)'!D10+'성과지표(3세부)'!D10+'성과지표(4세부)'!D10</f>
        <v>0</v>
      </c>
      <c r="E10" s="13">
        <f>'성과지표(1세부)'!E10+'성과지표(2세부)'!E10+'성과지표(3세부)'!E10+'성과지표(4세부)'!E10</f>
        <v>0</v>
      </c>
      <c r="F10" s="13">
        <f>'성과지표(1세부)'!F10+'성과지표(2세부)'!F10+'성과지표(3세부)'!F10+'성과지표(4세부)'!F10</f>
        <v>0</v>
      </c>
      <c r="G10" s="13">
        <f>'성과지표(1세부)'!G10+'성과지표(2세부)'!G10+'성과지표(3세부)'!G10+'성과지표(4세부)'!G10</f>
        <v>0</v>
      </c>
      <c r="H10" s="13">
        <f>'성과지표(1세부)'!H10+'성과지표(2세부)'!H10+'성과지표(3세부)'!H10+'성과지표(4세부)'!H10</f>
        <v>0</v>
      </c>
      <c r="I10" s="13">
        <f>'성과지표(1세부)'!I10+'성과지표(2세부)'!I10+'성과지표(3세부)'!I10+'성과지표(4세부)'!I10</f>
        <v>0</v>
      </c>
      <c r="J10" s="13">
        <f>'성과지표(1세부)'!J10+'성과지표(2세부)'!J10+'성과지표(3세부)'!J10+'성과지표(4세부)'!J10</f>
        <v>0</v>
      </c>
      <c r="K10" s="13">
        <f>'성과지표(1세부)'!K10+'성과지표(2세부)'!K10+'성과지표(3세부)'!K10+'성과지표(4세부)'!K10</f>
        <v>0</v>
      </c>
      <c r="L10" s="13">
        <f>'성과지표(1세부)'!L10+'성과지표(2세부)'!L10+'성과지표(3세부)'!L10+'성과지표(4세부)'!L10</f>
        <v>0</v>
      </c>
      <c r="M10" s="13">
        <f>'성과지표(1세부)'!M10+'성과지표(2세부)'!M10+'성과지표(3세부)'!M10+'성과지표(4세부)'!M10</f>
        <v>0</v>
      </c>
      <c r="N10" s="13">
        <f>'성과지표(1세부)'!N10+'성과지표(2세부)'!N10+'성과지표(3세부)'!N10+'성과지표(4세부)'!N10</f>
        <v>0</v>
      </c>
      <c r="O10" s="13">
        <f>'성과지표(1세부)'!O10+'성과지표(2세부)'!O10+'성과지표(3세부)'!O10+'성과지표(4세부)'!O10</f>
        <v>0</v>
      </c>
      <c r="P10" s="13">
        <f>'성과지표(1세부)'!P10+'성과지표(2세부)'!P10+'성과지표(3세부)'!P10+'성과지표(4세부)'!P10</f>
        <v>0</v>
      </c>
      <c r="Q10" s="13">
        <f>'성과지표(1세부)'!Q10+'성과지표(2세부)'!Q10+'성과지표(3세부)'!Q10+'성과지표(4세부)'!Q10</f>
        <v>0</v>
      </c>
      <c r="R10" s="13">
        <f>'성과지표(1세부)'!R10+'성과지표(2세부)'!R10+'성과지표(3세부)'!R10+'성과지표(4세부)'!R10</f>
        <v>0</v>
      </c>
      <c r="S10" s="14">
        <f>'성과지표(1세부)'!S10+'성과지표(2세부)'!S10+'성과지표(3세부)'!S10+'성과지표(4세부)'!S10</f>
        <v>0</v>
      </c>
    </row>
    <row r="11" spans="2:19" ht="18">
      <c r="B11" s="15" t="s">
        <v>69</v>
      </c>
      <c r="C11" s="16">
        <f>SUM(C6:C10)</f>
        <v>0</v>
      </c>
      <c r="D11" s="16">
        <f t="shared" ref="D11:S11" si="0">SUM(D6:D10)</f>
        <v>0</v>
      </c>
      <c r="E11" s="16">
        <f t="shared" si="0"/>
        <v>0</v>
      </c>
      <c r="F11" s="16">
        <f t="shared" si="0"/>
        <v>0</v>
      </c>
      <c r="G11" s="16">
        <f t="shared" si="0"/>
        <v>0</v>
      </c>
      <c r="H11" s="16">
        <f t="shared" si="0"/>
        <v>0</v>
      </c>
      <c r="I11" s="16">
        <f t="shared" si="0"/>
        <v>0</v>
      </c>
      <c r="J11" s="16">
        <f t="shared" si="0"/>
        <v>0</v>
      </c>
      <c r="K11" s="16">
        <f t="shared" si="0"/>
        <v>0</v>
      </c>
      <c r="L11" s="16">
        <f t="shared" si="0"/>
        <v>0</v>
      </c>
      <c r="M11" s="16">
        <f t="shared" si="0"/>
        <v>0</v>
      </c>
      <c r="N11" s="16">
        <f t="shared" si="0"/>
        <v>0</v>
      </c>
      <c r="O11" s="16">
        <f t="shared" si="0"/>
        <v>0</v>
      </c>
      <c r="P11" s="16">
        <f t="shared" si="0"/>
        <v>0</v>
      </c>
      <c r="Q11" s="16">
        <f t="shared" si="0"/>
        <v>0</v>
      </c>
      <c r="R11" s="16">
        <f t="shared" si="0"/>
        <v>0</v>
      </c>
      <c r="S11" s="17">
        <f t="shared" si="0"/>
        <v>0</v>
      </c>
    </row>
  </sheetData>
  <mergeCells count="14">
    <mergeCell ref="P3:P5"/>
    <mergeCell ref="Q3:Q5"/>
    <mergeCell ref="R3:R5"/>
    <mergeCell ref="S3:S5"/>
    <mergeCell ref="C4:D4"/>
    <mergeCell ref="E4:F4"/>
    <mergeCell ref="G4:I4"/>
    <mergeCell ref="J4:L4"/>
    <mergeCell ref="O3:O5"/>
    <mergeCell ref="B3:B5"/>
    <mergeCell ref="C3:F3"/>
    <mergeCell ref="G3:L3"/>
    <mergeCell ref="M3:M5"/>
    <mergeCell ref="N3:N5"/>
  </mergeCells>
  <phoneticPr fontId="12" type="noConversion"/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2:S99"/>
  <sheetViews>
    <sheetView zoomScale="150" zoomScaleNormal="150" zoomScaleSheetLayoutView="121" workbookViewId="0"/>
  </sheetViews>
  <sheetFormatPr baseColWidth="10" defaultColWidth="7.7109375" defaultRowHeight="17"/>
  <cols>
    <col min="1" max="1" width="2.28515625" style="10" customWidth="1"/>
    <col min="2" max="2" width="14.140625" style="10" bestFit="1" customWidth="1"/>
    <col min="3" max="6" width="4.42578125" style="10" bestFit="1" customWidth="1"/>
    <col min="7" max="12" width="9.42578125" style="10" bestFit="1" customWidth="1"/>
    <col min="13" max="13" width="7.7109375" style="10" bestFit="1" customWidth="1"/>
    <col min="14" max="15" width="7.140625" style="10" bestFit="1" customWidth="1"/>
    <col min="16" max="16" width="7.7109375" style="10" bestFit="1" customWidth="1"/>
    <col min="17" max="17" width="6.140625" style="10" bestFit="1" customWidth="1"/>
    <col min="18" max="18" width="7.42578125" style="10" bestFit="1" customWidth="1"/>
    <col min="19" max="19" width="7.7109375" style="10" bestFit="1" customWidth="1"/>
    <col min="20" max="20" width="2.28515625" style="10" customWidth="1"/>
    <col min="21" max="16384" width="7.7109375" style="10"/>
  </cols>
  <sheetData>
    <row r="2" spans="2:19" ht="18" thickBot="1">
      <c r="B2" s="9" t="s">
        <v>80</v>
      </c>
    </row>
    <row r="3" spans="2:19">
      <c r="B3" s="91" t="s">
        <v>148</v>
      </c>
      <c r="C3" s="94" t="s">
        <v>11</v>
      </c>
      <c r="D3" s="95"/>
      <c r="E3" s="95"/>
      <c r="F3" s="96"/>
      <c r="G3" s="94" t="s">
        <v>71</v>
      </c>
      <c r="H3" s="95"/>
      <c r="I3" s="95"/>
      <c r="J3" s="95"/>
      <c r="K3" s="95"/>
      <c r="L3" s="96"/>
      <c r="M3" s="97" t="s">
        <v>2</v>
      </c>
      <c r="N3" s="97" t="s">
        <v>22</v>
      </c>
      <c r="O3" s="97" t="s">
        <v>87</v>
      </c>
      <c r="P3" s="97" t="s">
        <v>77</v>
      </c>
      <c r="Q3" s="97" t="s">
        <v>151</v>
      </c>
      <c r="R3" s="97" t="s">
        <v>20</v>
      </c>
      <c r="S3" s="100" t="s">
        <v>7</v>
      </c>
    </row>
    <row r="4" spans="2:19">
      <c r="B4" s="92"/>
      <c r="C4" s="103" t="s">
        <v>66</v>
      </c>
      <c r="D4" s="104"/>
      <c r="E4" s="103" t="s">
        <v>127</v>
      </c>
      <c r="F4" s="104"/>
      <c r="G4" s="103" t="s">
        <v>66</v>
      </c>
      <c r="H4" s="105"/>
      <c r="I4" s="104"/>
      <c r="J4" s="103" t="s">
        <v>127</v>
      </c>
      <c r="K4" s="105"/>
      <c r="L4" s="104"/>
      <c r="M4" s="98"/>
      <c r="N4" s="98"/>
      <c r="O4" s="98"/>
      <c r="P4" s="98"/>
      <c r="Q4" s="98"/>
      <c r="R4" s="98"/>
      <c r="S4" s="101"/>
    </row>
    <row r="5" spans="2:19" ht="18">
      <c r="B5" s="93"/>
      <c r="C5" s="11" t="s">
        <v>92</v>
      </c>
      <c r="D5" s="11" t="s">
        <v>146</v>
      </c>
      <c r="E5" s="11" t="s">
        <v>92</v>
      </c>
      <c r="F5" s="11" t="s">
        <v>146</v>
      </c>
      <c r="G5" s="11" t="s">
        <v>51</v>
      </c>
      <c r="H5" s="11" t="s">
        <v>3</v>
      </c>
      <c r="I5" s="11" t="s">
        <v>34</v>
      </c>
      <c r="J5" s="11" t="s">
        <v>51</v>
      </c>
      <c r="K5" s="11" t="s">
        <v>3</v>
      </c>
      <c r="L5" s="11" t="s">
        <v>34</v>
      </c>
      <c r="M5" s="99"/>
      <c r="N5" s="99"/>
      <c r="O5" s="99"/>
      <c r="P5" s="99"/>
      <c r="Q5" s="99"/>
      <c r="R5" s="99"/>
      <c r="S5" s="102"/>
    </row>
    <row r="6" spans="2:19" ht="18">
      <c r="B6" s="12" t="s">
        <v>21</v>
      </c>
      <c r="C6" s="60">
        <f t="shared" ref="C6:S6" si="0">C28+C39+C50+C61+C72+C83+C94+C17</f>
        <v>0</v>
      </c>
      <c r="D6" s="60">
        <f t="shared" si="0"/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1">
        <f t="shared" si="0"/>
        <v>0</v>
      </c>
    </row>
    <row r="7" spans="2:19" ht="18">
      <c r="B7" s="12" t="s">
        <v>48</v>
      </c>
      <c r="C7" s="60">
        <f t="shared" ref="C7:S7" si="1">C29+C40+C51+C62+C73+C84+C95+C18</f>
        <v>0</v>
      </c>
      <c r="D7" s="60">
        <f t="shared" si="1"/>
        <v>0</v>
      </c>
      <c r="E7" s="60">
        <f t="shared" si="1"/>
        <v>0</v>
      </c>
      <c r="F7" s="60">
        <f t="shared" si="1"/>
        <v>0</v>
      </c>
      <c r="G7" s="60">
        <f t="shared" si="1"/>
        <v>0</v>
      </c>
      <c r="H7" s="60">
        <f t="shared" si="1"/>
        <v>0</v>
      </c>
      <c r="I7" s="60">
        <f t="shared" si="1"/>
        <v>0</v>
      </c>
      <c r="J7" s="60">
        <f t="shared" si="1"/>
        <v>0</v>
      </c>
      <c r="K7" s="60">
        <f t="shared" si="1"/>
        <v>0</v>
      </c>
      <c r="L7" s="60">
        <f t="shared" si="1"/>
        <v>0</v>
      </c>
      <c r="M7" s="60">
        <f t="shared" si="1"/>
        <v>0</v>
      </c>
      <c r="N7" s="60">
        <f t="shared" si="1"/>
        <v>0</v>
      </c>
      <c r="O7" s="60">
        <f t="shared" si="1"/>
        <v>0</v>
      </c>
      <c r="P7" s="60">
        <f t="shared" si="1"/>
        <v>0</v>
      </c>
      <c r="Q7" s="60">
        <f t="shared" si="1"/>
        <v>0</v>
      </c>
      <c r="R7" s="60">
        <f t="shared" si="1"/>
        <v>0</v>
      </c>
      <c r="S7" s="61">
        <f t="shared" si="1"/>
        <v>0</v>
      </c>
    </row>
    <row r="8" spans="2:19" ht="18">
      <c r="B8" s="12" t="s">
        <v>144</v>
      </c>
      <c r="C8" s="60">
        <f t="shared" ref="C8:S8" si="2">C30+C41+C52+C63+C74+C85+C96+C19</f>
        <v>0</v>
      </c>
      <c r="D8" s="60">
        <f t="shared" si="2"/>
        <v>0</v>
      </c>
      <c r="E8" s="60">
        <f t="shared" si="2"/>
        <v>0</v>
      </c>
      <c r="F8" s="60">
        <f t="shared" si="2"/>
        <v>0</v>
      </c>
      <c r="G8" s="60">
        <f t="shared" si="2"/>
        <v>0</v>
      </c>
      <c r="H8" s="60">
        <f t="shared" si="2"/>
        <v>0</v>
      </c>
      <c r="I8" s="60">
        <f t="shared" si="2"/>
        <v>0</v>
      </c>
      <c r="J8" s="60">
        <f t="shared" si="2"/>
        <v>0</v>
      </c>
      <c r="K8" s="60">
        <f t="shared" si="2"/>
        <v>0</v>
      </c>
      <c r="L8" s="60">
        <f t="shared" si="2"/>
        <v>0</v>
      </c>
      <c r="M8" s="60">
        <f t="shared" si="2"/>
        <v>0</v>
      </c>
      <c r="N8" s="60">
        <f t="shared" si="2"/>
        <v>0</v>
      </c>
      <c r="O8" s="60">
        <f t="shared" si="2"/>
        <v>0</v>
      </c>
      <c r="P8" s="60">
        <f t="shared" si="2"/>
        <v>0</v>
      </c>
      <c r="Q8" s="60">
        <f t="shared" si="2"/>
        <v>0</v>
      </c>
      <c r="R8" s="60">
        <f t="shared" si="2"/>
        <v>0</v>
      </c>
      <c r="S8" s="61">
        <f t="shared" si="2"/>
        <v>0</v>
      </c>
    </row>
    <row r="9" spans="2:19" ht="18">
      <c r="B9" s="12" t="s">
        <v>98</v>
      </c>
      <c r="C9" s="60">
        <f t="shared" ref="C9:S9" si="3">C31+C42+C53+C64+C75+C86+C97+C20</f>
        <v>0</v>
      </c>
      <c r="D9" s="60">
        <f t="shared" si="3"/>
        <v>0</v>
      </c>
      <c r="E9" s="60">
        <f t="shared" si="3"/>
        <v>0</v>
      </c>
      <c r="F9" s="60">
        <f t="shared" si="3"/>
        <v>0</v>
      </c>
      <c r="G9" s="60">
        <f t="shared" si="3"/>
        <v>0</v>
      </c>
      <c r="H9" s="60">
        <f t="shared" si="3"/>
        <v>0</v>
      </c>
      <c r="I9" s="60">
        <f t="shared" si="3"/>
        <v>0</v>
      </c>
      <c r="J9" s="60">
        <f t="shared" si="3"/>
        <v>0</v>
      </c>
      <c r="K9" s="60">
        <f t="shared" si="3"/>
        <v>0</v>
      </c>
      <c r="L9" s="60">
        <f t="shared" si="3"/>
        <v>0</v>
      </c>
      <c r="M9" s="60">
        <f t="shared" si="3"/>
        <v>0</v>
      </c>
      <c r="N9" s="60">
        <f t="shared" si="3"/>
        <v>0</v>
      </c>
      <c r="O9" s="60">
        <f t="shared" si="3"/>
        <v>0</v>
      </c>
      <c r="P9" s="60">
        <f t="shared" si="3"/>
        <v>0</v>
      </c>
      <c r="Q9" s="60">
        <f t="shared" si="3"/>
        <v>0</v>
      </c>
      <c r="R9" s="60">
        <f t="shared" si="3"/>
        <v>0</v>
      </c>
      <c r="S9" s="61">
        <f t="shared" si="3"/>
        <v>0</v>
      </c>
    </row>
    <row r="10" spans="2:19" ht="18">
      <c r="B10" s="12" t="s">
        <v>63</v>
      </c>
      <c r="C10" s="60">
        <f t="shared" ref="C10:S10" si="4">C32+C43+C54+C65+C76+C87+C98+C21</f>
        <v>0</v>
      </c>
      <c r="D10" s="60">
        <f t="shared" si="4"/>
        <v>0</v>
      </c>
      <c r="E10" s="60">
        <f t="shared" si="4"/>
        <v>0</v>
      </c>
      <c r="F10" s="60">
        <f t="shared" si="4"/>
        <v>0</v>
      </c>
      <c r="G10" s="60">
        <f t="shared" si="4"/>
        <v>0</v>
      </c>
      <c r="H10" s="60">
        <f t="shared" si="4"/>
        <v>0</v>
      </c>
      <c r="I10" s="60">
        <f t="shared" si="4"/>
        <v>0</v>
      </c>
      <c r="J10" s="60">
        <f t="shared" si="4"/>
        <v>0</v>
      </c>
      <c r="K10" s="60">
        <f t="shared" si="4"/>
        <v>0</v>
      </c>
      <c r="L10" s="60">
        <f t="shared" si="4"/>
        <v>0</v>
      </c>
      <c r="M10" s="60">
        <f t="shared" si="4"/>
        <v>0</v>
      </c>
      <c r="N10" s="60">
        <f t="shared" si="4"/>
        <v>0</v>
      </c>
      <c r="O10" s="60">
        <f t="shared" si="4"/>
        <v>0</v>
      </c>
      <c r="P10" s="60">
        <f t="shared" si="4"/>
        <v>0</v>
      </c>
      <c r="Q10" s="60">
        <f t="shared" si="4"/>
        <v>0</v>
      </c>
      <c r="R10" s="60">
        <f t="shared" si="4"/>
        <v>0</v>
      </c>
      <c r="S10" s="61">
        <f t="shared" si="4"/>
        <v>0</v>
      </c>
    </row>
    <row r="11" spans="2:19" ht="19" thickBot="1">
      <c r="B11" s="15" t="s">
        <v>69</v>
      </c>
      <c r="C11" s="74">
        <f t="shared" ref="C11:S11" si="5">C33+C44+C55+C66+C77+C88+C99+C22</f>
        <v>0</v>
      </c>
      <c r="D11" s="74">
        <f t="shared" si="5"/>
        <v>0</v>
      </c>
      <c r="E11" s="74">
        <f t="shared" si="5"/>
        <v>0</v>
      </c>
      <c r="F11" s="74">
        <f t="shared" si="5"/>
        <v>0</v>
      </c>
      <c r="G11" s="74">
        <f t="shared" si="5"/>
        <v>0</v>
      </c>
      <c r="H11" s="74">
        <f t="shared" si="5"/>
        <v>0</v>
      </c>
      <c r="I11" s="74">
        <f t="shared" si="5"/>
        <v>0</v>
      </c>
      <c r="J11" s="74">
        <f t="shared" si="5"/>
        <v>0</v>
      </c>
      <c r="K11" s="74">
        <f t="shared" si="5"/>
        <v>0</v>
      </c>
      <c r="L11" s="74">
        <f t="shared" si="5"/>
        <v>0</v>
      </c>
      <c r="M11" s="74">
        <f t="shared" si="5"/>
        <v>0</v>
      </c>
      <c r="N11" s="74">
        <f t="shared" si="5"/>
        <v>0</v>
      </c>
      <c r="O11" s="74">
        <f t="shared" si="5"/>
        <v>0</v>
      </c>
      <c r="P11" s="74">
        <f t="shared" si="5"/>
        <v>0</v>
      </c>
      <c r="Q11" s="74">
        <f t="shared" si="5"/>
        <v>0</v>
      </c>
      <c r="R11" s="74">
        <f t="shared" si="5"/>
        <v>0</v>
      </c>
      <c r="S11" s="75">
        <f t="shared" si="5"/>
        <v>0</v>
      </c>
    </row>
    <row r="13" spans="2:19">
      <c r="B13" s="106" t="s">
        <v>40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</row>
    <row r="14" spans="2:19">
      <c r="B14" s="91" t="s">
        <v>148</v>
      </c>
      <c r="C14" s="94" t="s">
        <v>11</v>
      </c>
      <c r="D14" s="95"/>
      <c r="E14" s="95"/>
      <c r="F14" s="96"/>
      <c r="G14" s="94" t="s">
        <v>71</v>
      </c>
      <c r="H14" s="95"/>
      <c r="I14" s="95"/>
      <c r="J14" s="95"/>
      <c r="K14" s="95"/>
      <c r="L14" s="96"/>
      <c r="M14" s="97" t="s">
        <v>2</v>
      </c>
      <c r="N14" s="97" t="s">
        <v>22</v>
      </c>
      <c r="O14" s="97" t="s">
        <v>87</v>
      </c>
      <c r="P14" s="97" t="s">
        <v>77</v>
      </c>
      <c r="Q14" s="97" t="s">
        <v>151</v>
      </c>
      <c r="R14" s="97" t="s">
        <v>20</v>
      </c>
      <c r="S14" s="100" t="s">
        <v>7</v>
      </c>
    </row>
    <row r="15" spans="2:19">
      <c r="B15" s="92"/>
      <c r="C15" s="103" t="s">
        <v>66</v>
      </c>
      <c r="D15" s="104"/>
      <c r="E15" s="103" t="s">
        <v>127</v>
      </c>
      <c r="F15" s="104"/>
      <c r="G15" s="103" t="s">
        <v>66</v>
      </c>
      <c r="H15" s="105"/>
      <c r="I15" s="104"/>
      <c r="J15" s="103" t="s">
        <v>127</v>
      </c>
      <c r="K15" s="105"/>
      <c r="L15" s="104"/>
      <c r="M15" s="98"/>
      <c r="N15" s="98"/>
      <c r="O15" s="98"/>
      <c r="P15" s="98"/>
      <c r="Q15" s="98"/>
      <c r="R15" s="98"/>
      <c r="S15" s="101"/>
    </row>
    <row r="16" spans="2:19" ht="18">
      <c r="B16" s="93"/>
      <c r="C16" s="11" t="s">
        <v>92</v>
      </c>
      <c r="D16" s="11" t="s">
        <v>146</v>
      </c>
      <c r="E16" s="11" t="s">
        <v>92</v>
      </c>
      <c r="F16" s="11" t="s">
        <v>146</v>
      </c>
      <c r="G16" s="11" t="s">
        <v>51</v>
      </c>
      <c r="H16" s="11" t="s">
        <v>3</v>
      </c>
      <c r="I16" s="11" t="s">
        <v>34</v>
      </c>
      <c r="J16" s="11" t="s">
        <v>51</v>
      </c>
      <c r="K16" s="11" t="s">
        <v>3</v>
      </c>
      <c r="L16" s="11" t="s">
        <v>34</v>
      </c>
      <c r="M16" s="99"/>
      <c r="N16" s="99"/>
      <c r="O16" s="99"/>
      <c r="P16" s="99"/>
      <c r="Q16" s="99"/>
      <c r="R16" s="99"/>
      <c r="S16" s="102"/>
    </row>
    <row r="17" spans="2:19" ht="18">
      <c r="B17" s="12" t="s">
        <v>21</v>
      </c>
      <c r="C17" s="32"/>
      <c r="D17" s="32"/>
      <c r="E17" s="32"/>
      <c r="F17" s="32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32"/>
      <c r="S17" s="58"/>
    </row>
    <row r="18" spans="2:19" ht="18">
      <c r="B18" s="12" t="s">
        <v>48</v>
      </c>
      <c r="C18" s="32"/>
      <c r="D18" s="32"/>
      <c r="E18" s="32"/>
      <c r="F18" s="32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32"/>
      <c r="S18" s="58"/>
    </row>
    <row r="19" spans="2:19" ht="18">
      <c r="B19" s="12" t="s">
        <v>144</v>
      </c>
      <c r="C19" s="32"/>
      <c r="D19" s="32"/>
      <c r="E19" s="32"/>
      <c r="F19" s="32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32"/>
      <c r="S19" s="58"/>
    </row>
    <row r="20" spans="2:19" ht="18">
      <c r="B20" s="12" t="s">
        <v>98</v>
      </c>
      <c r="C20" s="32"/>
      <c r="D20" s="32"/>
      <c r="E20" s="32"/>
      <c r="F20" s="32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32"/>
      <c r="S20" s="58"/>
    </row>
    <row r="21" spans="2:19" ht="18">
      <c r="B21" s="12" t="s">
        <v>63</v>
      </c>
      <c r="C21" s="32"/>
      <c r="D21" s="32"/>
      <c r="E21" s="32"/>
      <c r="F21" s="3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32"/>
      <c r="S21" s="58"/>
    </row>
    <row r="22" spans="2:19" ht="19" thickBot="1">
      <c r="B22" s="15" t="s">
        <v>69</v>
      </c>
      <c r="C22" s="16">
        <f t="shared" ref="C22:S22" si="6">SUM(C17:C21)</f>
        <v>0</v>
      </c>
      <c r="D22" s="16">
        <f t="shared" si="6"/>
        <v>0</v>
      </c>
      <c r="E22" s="16">
        <f t="shared" si="6"/>
        <v>0</v>
      </c>
      <c r="F22" s="16">
        <f t="shared" si="6"/>
        <v>0</v>
      </c>
      <c r="G22" s="16">
        <f t="shared" si="6"/>
        <v>0</v>
      </c>
      <c r="H22" s="16">
        <f t="shared" si="6"/>
        <v>0</v>
      </c>
      <c r="I22" s="16">
        <f t="shared" si="6"/>
        <v>0</v>
      </c>
      <c r="J22" s="16">
        <f t="shared" si="6"/>
        <v>0</v>
      </c>
      <c r="K22" s="16">
        <f t="shared" si="6"/>
        <v>0</v>
      </c>
      <c r="L22" s="16">
        <f t="shared" si="6"/>
        <v>0</v>
      </c>
      <c r="M22" s="16">
        <f t="shared" si="6"/>
        <v>0</v>
      </c>
      <c r="N22" s="16">
        <f t="shared" si="6"/>
        <v>0</v>
      </c>
      <c r="O22" s="16">
        <f t="shared" si="6"/>
        <v>0</v>
      </c>
      <c r="P22" s="16">
        <f t="shared" si="6"/>
        <v>0</v>
      </c>
      <c r="Q22" s="16">
        <f t="shared" si="6"/>
        <v>0</v>
      </c>
      <c r="R22" s="16">
        <f t="shared" si="6"/>
        <v>0</v>
      </c>
      <c r="S22" s="17">
        <f t="shared" si="6"/>
        <v>0</v>
      </c>
    </row>
    <row r="24" spans="2:19">
      <c r="B24" s="106" t="s">
        <v>155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</row>
    <row r="25" spans="2:19">
      <c r="B25" s="91" t="s">
        <v>148</v>
      </c>
      <c r="C25" s="94" t="s">
        <v>11</v>
      </c>
      <c r="D25" s="95"/>
      <c r="E25" s="95"/>
      <c r="F25" s="96"/>
      <c r="G25" s="94" t="s">
        <v>71</v>
      </c>
      <c r="H25" s="95"/>
      <c r="I25" s="95"/>
      <c r="J25" s="95"/>
      <c r="K25" s="95"/>
      <c r="L25" s="96"/>
      <c r="M25" s="97" t="s">
        <v>2</v>
      </c>
      <c r="N25" s="97" t="s">
        <v>22</v>
      </c>
      <c r="O25" s="97" t="s">
        <v>87</v>
      </c>
      <c r="P25" s="97" t="s">
        <v>77</v>
      </c>
      <c r="Q25" s="97" t="s">
        <v>151</v>
      </c>
      <c r="R25" s="97" t="s">
        <v>20</v>
      </c>
      <c r="S25" s="100" t="s">
        <v>7</v>
      </c>
    </row>
    <row r="26" spans="2:19">
      <c r="B26" s="92"/>
      <c r="C26" s="103" t="s">
        <v>66</v>
      </c>
      <c r="D26" s="104"/>
      <c r="E26" s="103" t="s">
        <v>127</v>
      </c>
      <c r="F26" s="104"/>
      <c r="G26" s="103" t="s">
        <v>66</v>
      </c>
      <c r="H26" s="105"/>
      <c r="I26" s="104"/>
      <c r="J26" s="103" t="s">
        <v>127</v>
      </c>
      <c r="K26" s="105"/>
      <c r="L26" s="104"/>
      <c r="M26" s="98"/>
      <c r="N26" s="98"/>
      <c r="O26" s="98"/>
      <c r="P26" s="98"/>
      <c r="Q26" s="98"/>
      <c r="R26" s="98"/>
      <c r="S26" s="101"/>
    </row>
    <row r="27" spans="2:19" ht="18">
      <c r="B27" s="93"/>
      <c r="C27" s="11" t="s">
        <v>92</v>
      </c>
      <c r="D27" s="11" t="s">
        <v>146</v>
      </c>
      <c r="E27" s="11" t="s">
        <v>92</v>
      </c>
      <c r="F27" s="11" t="s">
        <v>146</v>
      </c>
      <c r="G27" s="11" t="s">
        <v>51</v>
      </c>
      <c r="H27" s="11" t="s">
        <v>3</v>
      </c>
      <c r="I27" s="11" t="s">
        <v>34</v>
      </c>
      <c r="J27" s="11" t="s">
        <v>51</v>
      </c>
      <c r="K27" s="11" t="s">
        <v>3</v>
      </c>
      <c r="L27" s="11" t="s">
        <v>34</v>
      </c>
      <c r="M27" s="99"/>
      <c r="N27" s="99"/>
      <c r="O27" s="99"/>
      <c r="P27" s="99"/>
      <c r="Q27" s="99"/>
      <c r="R27" s="99"/>
      <c r="S27" s="102"/>
    </row>
    <row r="28" spans="2:19" ht="18">
      <c r="B28" s="12" t="s">
        <v>21</v>
      </c>
      <c r="C28" s="32"/>
      <c r="D28" s="32"/>
      <c r="E28" s="32"/>
      <c r="F28" s="32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32"/>
      <c r="S28" s="58"/>
    </row>
    <row r="29" spans="2:19" ht="18">
      <c r="B29" s="12" t="s">
        <v>48</v>
      </c>
      <c r="C29" s="32"/>
      <c r="D29" s="32"/>
      <c r="E29" s="32"/>
      <c r="F29" s="32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32"/>
      <c r="S29" s="58"/>
    </row>
    <row r="30" spans="2:19" ht="18">
      <c r="B30" s="12" t="s">
        <v>144</v>
      </c>
      <c r="C30" s="32"/>
      <c r="D30" s="32"/>
      <c r="E30" s="32"/>
      <c r="F30" s="32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32"/>
      <c r="S30" s="58"/>
    </row>
    <row r="31" spans="2:19" ht="18">
      <c r="B31" s="12" t="s">
        <v>98</v>
      </c>
      <c r="C31" s="32"/>
      <c r="D31" s="32"/>
      <c r="E31" s="32"/>
      <c r="F31" s="32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32"/>
      <c r="S31" s="58"/>
    </row>
    <row r="32" spans="2:19" ht="18">
      <c r="B32" s="12" t="s">
        <v>63</v>
      </c>
      <c r="C32" s="32"/>
      <c r="D32" s="32"/>
      <c r="E32" s="32"/>
      <c r="F32" s="32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32"/>
      <c r="S32" s="58"/>
    </row>
    <row r="33" spans="2:19" ht="19" thickBot="1">
      <c r="B33" s="15" t="s">
        <v>69</v>
      </c>
      <c r="C33" s="16">
        <f t="shared" ref="C33:S33" si="7">SUM(C28:C32)</f>
        <v>0</v>
      </c>
      <c r="D33" s="16">
        <f t="shared" si="7"/>
        <v>0</v>
      </c>
      <c r="E33" s="16">
        <f t="shared" si="7"/>
        <v>0</v>
      </c>
      <c r="F33" s="16">
        <f t="shared" si="7"/>
        <v>0</v>
      </c>
      <c r="G33" s="16">
        <f t="shared" si="7"/>
        <v>0</v>
      </c>
      <c r="H33" s="16">
        <f t="shared" si="7"/>
        <v>0</v>
      </c>
      <c r="I33" s="16">
        <f t="shared" si="7"/>
        <v>0</v>
      </c>
      <c r="J33" s="16">
        <f t="shared" si="7"/>
        <v>0</v>
      </c>
      <c r="K33" s="16">
        <f t="shared" si="7"/>
        <v>0</v>
      </c>
      <c r="L33" s="16">
        <f t="shared" si="7"/>
        <v>0</v>
      </c>
      <c r="M33" s="16">
        <f t="shared" si="7"/>
        <v>0</v>
      </c>
      <c r="N33" s="16">
        <f t="shared" si="7"/>
        <v>0</v>
      </c>
      <c r="O33" s="16">
        <f t="shared" si="7"/>
        <v>0</v>
      </c>
      <c r="P33" s="16">
        <f t="shared" si="7"/>
        <v>0</v>
      </c>
      <c r="Q33" s="16">
        <f t="shared" si="7"/>
        <v>0</v>
      </c>
      <c r="R33" s="16">
        <f t="shared" si="7"/>
        <v>0</v>
      </c>
      <c r="S33" s="17">
        <f t="shared" si="7"/>
        <v>0</v>
      </c>
    </row>
    <row r="35" spans="2:19" ht="17" customHeight="1" thickBot="1">
      <c r="B35" s="106" t="s">
        <v>155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</row>
    <row r="36" spans="2:19">
      <c r="B36" s="91" t="s">
        <v>148</v>
      </c>
      <c r="C36" s="94" t="s">
        <v>11</v>
      </c>
      <c r="D36" s="95"/>
      <c r="E36" s="95"/>
      <c r="F36" s="96"/>
      <c r="G36" s="94" t="s">
        <v>71</v>
      </c>
      <c r="H36" s="95"/>
      <c r="I36" s="95"/>
      <c r="J36" s="95"/>
      <c r="K36" s="95"/>
      <c r="L36" s="96"/>
      <c r="M36" s="97" t="s">
        <v>2</v>
      </c>
      <c r="N36" s="97" t="s">
        <v>22</v>
      </c>
      <c r="O36" s="97" t="s">
        <v>87</v>
      </c>
      <c r="P36" s="97" t="s">
        <v>77</v>
      </c>
      <c r="Q36" s="97" t="s">
        <v>151</v>
      </c>
      <c r="R36" s="97" t="s">
        <v>20</v>
      </c>
      <c r="S36" s="100" t="s">
        <v>7</v>
      </c>
    </row>
    <row r="37" spans="2:19">
      <c r="B37" s="92"/>
      <c r="C37" s="103" t="s">
        <v>66</v>
      </c>
      <c r="D37" s="104"/>
      <c r="E37" s="103" t="s">
        <v>127</v>
      </c>
      <c r="F37" s="104"/>
      <c r="G37" s="103" t="s">
        <v>66</v>
      </c>
      <c r="H37" s="105"/>
      <c r="I37" s="104"/>
      <c r="J37" s="103" t="s">
        <v>127</v>
      </c>
      <c r="K37" s="105"/>
      <c r="L37" s="104"/>
      <c r="M37" s="98"/>
      <c r="N37" s="98"/>
      <c r="O37" s="98"/>
      <c r="P37" s="98"/>
      <c r="Q37" s="98"/>
      <c r="R37" s="98"/>
      <c r="S37" s="101"/>
    </row>
    <row r="38" spans="2:19" ht="18">
      <c r="B38" s="93"/>
      <c r="C38" s="11" t="s">
        <v>92</v>
      </c>
      <c r="D38" s="11" t="s">
        <v>146</v>
      </c>
      <c r="E38" s="11" t="s">
        <v>92</v>
      </c>
      <c r="F38" s="11" t="s">
        <v>146</v>
      </c>
      <c r="G38" s="11" t="s">
        <v>51</v>
      </c>
      <c r="H38" s="11" t="s">
        <v>3</v>
      </c>
      <c r="I38" s="11" t="s">
        <v>34</v>
      </c>
      <c r="J38" s="11" t="s">
        <v>51</v>
      </c>
      <c r="K38" s="11" t="s">
        <v>3</v>
      </c>
      <c r="L38" s="11" t="s">
        <v>34</v>
      </c>
      <c r="M38" s="99"/>
      <c r="N38" s="99"/>
      <c r="O38" s="99"/>
      <c r="P38" s="99"/>
      <c r="Q38" s="99"/>
      <c r="R38" s="99"/>
      <c r="S38" s="102"/>
    </row>
    <row r="39" spans="2:19" ht="18">
      <c r="B39" s="12" t="s">
        <v>21</v>
      </c>
      <c r="C39" s="32"/>
      <c r="D39" s="32"/>
      <c r="E39" s="32"/>
      <c r="F39" s="32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32"/>
      <c r="S39" s="58"/>
    </row>
    <row r="40" spans="2:19" ht="18">
      <c r="B40" s="12" t="s">
        <v>48</v>
      </c>
      <c r="C40" s="32"/>
      <c r="D40" s="32"/>
      <c r="E40" s="32"/>
      <c r="F40" s="32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32"/>
      <c r="S40" s="58"/>
    </row>
    <row r="41" spans="2:19" ht="18">
      <c r="B41" s="12" t="s">
        <v>144</v>
      </c>
      <c r="C41" s="32"/>
      <c r="D41" s="32"/>
      <c r="E41" s="32"/>
      <c r="F41" s="32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32"/>
      <c r="S41" s="58"/>
    </row>
    <row r="42" spans="2:19" ht="18">
      <c r="B42" s="12" t="s">
        <v>98</v>
      </c>
      <c r="C42" s="32"/>
      <c r="D42" s="32"/>
      <c r="E42" s="32"/>
      <c r="F42" s="32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32"/>
      <c r="S42" s="58"/>
    </row>
    <row r="43" spans="2:19" ht="18">
      <c r="B43" s="12" t="s">
        <v>63</v>
      </c>
      <c r="C43" s="32"/>
      <c r="D43" s="32"/>
      <c r="E43" s="32"/>
      <c r="F43" s="32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32"/>
      <c r="S43" s="58"/>
    </row>
    <row r="44" spans="2:19" ht="19" thickBot="1">
      <c r="B44" s="15" t="s">
        <v>69</v>
      </c>
      <c r="C44" s="16">
        <f t="shared" ref="C44:S44" si="8">SUM(C39:C43)</f>
        <v>0</v>
      </c>
      <c r="D44" s="16">
        <f t="shared" si="8"/>
        <v>0</v>
      </c>
      <c r="E44" s="16">
        <f t="shared" si="8"/>
        <v>0</v>
      </c>
      <c r="F44" s="16">
        <f t="shared" si="8"/>
        <v>0</v>
      </c>
      <c r="G44" s="16">
        <f t="shared" si="8"/>
        <v>0</v>
      </c>
      <c r="H44" s="16">
        <f t="shared" si="8"/>
        <v>0</v>
      </c>
      <c r="I44" s="16">
        <f t="shared" si="8"/>
        <v>0</v>
      </c>
      <c r="J44" s="16">
        <f t="shared" si="8"/>
        <v>0</v>
      </c>
      <c r="K44" s="16">
        <f t="shared" si="8"/>
        <v>0</v>
      </c>
      <c r="L44" s="16">
        <f t="shared" si="8"/>
        <v>0</v>
      </c>
      <c r="M44" s="16">
        <f t="shared" si="8"/>
        <v>0</v>
      </c>
      <c r="N44" s="16">
        <f t="shared" si="8"/>
        <v>0</v>
      </c>
      <c r="O44" s="16">
        <f t="shared" si="8"/>
        <v>0</v>
      </c>
      <c r="P44" s="16">
        <f t="shared" si="8"/>
        <v>0</v>
      </c>
      <c r="Q44" s="16">
        <f t="shared" si="8"/>
        <v>0</v>
      </c>
      <c r="R44" s="16">
        <f t="shared" si="8"/>
        <v>0</v>
      </c>
      <c r="S44" s="17">
        <f t="shared" si="8"/>
        <v>0</v>
      </c>
    </row>
    <row r="46" spans="2:19" ht="17" customHeight="1" thickBot="1">
      <c r="B46" s="106" t="s">
        <v>155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</row>
    <row r="47" spans="2:19">
      <c r="B47" s="91" t="s">
        <v>148</v>
      </c>
      <c r="C47" s="94" t="s">
        <v>11</v>
      </c>
      <c r="D47" s="95"/>
      <c r="E47" s="95"/>
      <c r="F47" s="96"/>
      <c r="G47" s="94" t="s">
        <v>71</v>
      </c>
      <c r="H47" s="95"/>
      <c r="I47" s="95"/>
      <c r="J47" s="95"/>
      <c r="K47" s="95"/>
      <c r="L47" s="96"/>
      <c r="M47" s="97" t="s">
        <v>2</v>
      </c>
      <c r="N47" s="97" t="s">
        <v>22</v>
      </c>
      <c r="O47" s="97" t="s">
        <v>87</v>
      </c>
      <c r="P47" s="97" t="s">
        <v>77</v>
      </c>
      <c r="Q47" s="97" t="s">
        <v>151</v>
      </c>
      <c r="R47" s="97" t="s">
        <v>20</v>
      </c>
      <c r="S47" s="100" t="s">
        <v>7</v>
      </c>
    </row>
    <row r="48" spans="2:19">
      <c r="B48" s="92"/>
      <c r="C48" s="103" t="s">
        <v>66</v>
      </c>
      <c r="D48" s="104"/>
      <c r="E48" s="103" t="s">
        <v>127</v>
      </c>
      <c r="F48" s="104"/>
      <c r="G48" s="103" t="s">
        <v>66</v>
      </c>
      <c r="H48" s="105"/>
      <c r="I48" s="104"/>
      <c r="J48" s="103" t="s">
        <v>127</v>
      </c>
      <c r="K48" s="105"/>
      <c r="L48" s="104"/>
      <c r="M48" s="98"/>
      <c r="N48" s="98"/>
      <c r="O48" s="98"/>
      <c r="P48" s="98"/>
      <c r="Q48" s="98"/>
      <c r="R48" s="98"/>
      <c r="S48" s="101"/>
    </row>
    <row r="49" spans="2:19" ht="18">
      <c r="B49" s="93"/>
      <c r="C49" s="11" t="s">
        <v>92</v>
      </c>
      <c r="D49" s="11" t="s">
        <v>146</v>
      </c>
      <c r="E49" s="11" t="s">
        <v>92</v>
      </c>
      <c r="F49" s="11" t="s">
        <v>146</v>
      </c>
      <c r="G49" s="11" t="s">
        <v>51</v>
      </c>
      <c r="H49" s="11" t="s">
        <v>3</v>
      </c>
      <c r="I49" s="11" t="s">
        <v>34</v>
      </c>
      <c r="J49" s="11" t="s">
        <v>51</v>
      </c>
      <c r="K49" s="11" t="s">
        <v>3</v>
      </c>
      <c r="L49" s="11" t="s">
        <v>34</v>
      </c>
      <c r="M49" s="99"/>
      <c r="N49" s="99"/>
      <c r="O49" s="99"/>
      <c r="P49" s="99"/>
      <c r="Q49" s="99"/>
      <c r="R49" s="99"/>
      <c r="S49" s="102"/>
    </row>
    <row r="50" spans="2:19" ht="18">
      <c r="B50" s="12" t="s">
        <v>21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58"/>
    </row>
    <row r="51" spans="2:19" ht="18">
      <c r="B51" s="12" t="s">
        <v>48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58"/>
    </row>
    <row r="52" spans="2:19" ht="18">
      <c r="B52" s="12" t="s">
        <v>144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58"/>
    </row>
    <row r="53" spans="2:19" ht="18">
      <c r="B53" s="12" t="s">
        <v>98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58"/>
    </row>
    <row r="54" spans="2:19" ht="18">
      <c r="B54" s="12" t="s">
        <v>63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58"/>
    </row>
    <row r="55" spans="2:19" ht="19" thickBot="1">
      <c r="B55" s="15" t="s">
        <v>69</v>
      </c>
      <c r="C55" s="16">
        <f t="shared" ref="C55:S55" si="9">SUM(C50:C54)</f>
        <v>0</v>
      </c>
      <c r="D55" s="16">
        <f t="shared" si="9"/>
        <v>0</v>
      </c>
      <c r="E55" s="16">
        <f t="shared" si="9"/>
        <v>0</v>
      </c>
      <c r="F55" s="16">
        <f t="shared" si="9"/>
        <v>0</v>
      </c>
      <c r="G55" s="16">
        <f t="shared" si="9"/>
        <v>0</v>
      </c>
      <c r="H55" s="16">
        <f t="shared" si="9"/>
        <v>0</v>
      </c>
      <c r="I55" s="16">
        <f t="shared" si="9"/>
        <v>0</v>
      </c>
      <c r="J55" s="16">
        <f t="shared" si="9"/>
        <v>0</v>
      </c>
      <c r="K55" s="16">
        <f t="shared" si="9"/>
        <v>0</v>
      </c>
      <c r="L55" s="16">
        <f t="shared" si="9"/>
        <v>0</v>
      </c>
      <c r="M55" s="16">
        <f t="shared" si="9"/>
        <v>0</v>
      </c>
      <c r="N55" s="16">
        <f t="shared" si="9"/>
        <v>0</v>
      </c>
      <c r="O55" s="16">
        <f t="shared" si="9"/>
        <v>0</v>
      </c>
      <c r="P55" s="16">
        <f t="shared" si="9"/>
        <v>0</v>
      </c>
      <c r="Q55" s="16">
        <f t="shared" si="9"/>
        <v>0</v>
      </c>
      <c r="R55" s="16">
        <f t="shared" si="9"/>
        <v>0</v>
      </c>
      <c r="S55" s="17">
        <f t="shared" si="9"/>
        <v>0</v>
      </c>
    </row>
    <row r="57" spans="2:19" ht="17" customHeight="1" thickBot="1">
      <c r="B57" s="106" t="s">
        <v>155</v>
      </c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</row>
    <row r="58" spans="2:19">
      <c r="B58" s="91" t="s">
        <v>148</v>
      </c>
      <c r="C58" s="94" t="s">
        <v>11</v>
      </c>
      <c r="D58" s="95"/>
      <c r="E58" s="95"/>
      <c r="F58" s="96"/>
      <c r="G58" s="94" t="s">
        <v>71</v>
      </c>
      <c r="H58" s="95"/>
      <c r="I58" s="95"/>
      <c r="J58" s="95"/>
      <c r="K58" s="95"/>
      <c r="L58" s="96"/>
      <c r="M58" s="97" t="s">
        <v>2</v>
      </c>
      <c r="N58" s="97" t="s">
        <v>22</v>
      </c>
      <c r="O58" s="97" t="s">
        <v>87</v>
      </c>
      <c r="P58" s="97" t="s">
        <v>77</v>
      </c>
      <c r="Q58" s="97" t="s">
        <v>151</v>
      </c>
      <c r="R58" s="97" t="s">
        <v>20</v>
      </c>
      <c r="S58" s="100" t="s">
        <v>7</v>
      </c>
    </row>
    <row r="59" spans="2:19">
      <c r="B59" s="92"/>
      <c r="C59" s="103" t="s">
        <v>66</v>
      </c>
      <c r="D59" s="104"/>
      <c r="E59" s="103" t="s">
        <v>127</v>
      </c>
      <c r="F59" s="104"/>
      <c r="G59" s="103" t="s">
        <v>66</v>
      </c>
      <c r="H59" s="105"/>
      <c r="I59" s="104"/>
      <c r="J59" s="103" t="s">
        <v>127</v>
      </c>
      <c r="K59" s="105"/>
      <c r="L59" s="104"/>
      <c r="M59" s="98"/>
      <c r="N59" s="98"/>
      <c r="O59" s="98"/>
      <c r="P59" s="98"/>
      <c r="Q59" s="98"/>
      <c r="R59" s="98"/>
      <c r="S59" s="101"/>
    </row>
    <row r="60" spans="2:19" ht="18">
      <c r="B60" s="93"/>
      <c r="C60" s="11" t="s">
        <v>92</v>
      </c>
      <c r="D60" s="11" t="s">
        <v>146</v>
      </c>
      <c r="E60" s="11" t="s">
        <v>92</v>
      </c>
      <c r="F60" s="11" t="s">
        <v>146</v>
      </c>
      <c r="G60" s="11" t="s">
        <v>51</v>
      </c>
      <c r="H60" s="11" t="s">
        <v>3</v>
      </c>
      <c r="I60" s="11" t="s">
        <v>34</v>
      </c>
      <c r="J60" s="11" t="s">
        <v>51</v>
      </c>
      <c r="K60" s="11" t="s">
        <v>3</v>
      </c>
      <c r="L60" s="11" t="s">
        <v>34</v>
      </c>
      <c r="M60" s="99"/>
      <c r="N60" s="99"/>
      <c r="O60" s="99"/>
      <c r="P60" s="99"/>
      <c r="Q60" s="99"/>
      <c r="R60" s="99"/>
      <c r="S60" s="102"/>
    </row>
    <row r="61" spans="2:19" ht="18">
      <c r="B61" s="12" t="s">
        <v>21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58"/>
    </row>
    <row r="62" spans="2:19" ht="18">
      <c r="B62" s="12" t="s">
        <v>48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58"/>
    </row>
    <row r="63" spans="2:19" ht="18">
      <c r="B63" s="12" t="s">
        <v>144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58"/>
    </row>
    <row r="64" spans="2:19" ht="18">
      <c r="B64" s="12" t="s">
        <v>98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58"/>
    </row>
    <row r="65" spans="2:19" ht="18">
      <c r="B65" s="12" t="s">
        <v>63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58"/>
    </row>
    <row r="66" spans="2:19" ht="19" thickBot="1">
      <c r="B66" s="15" t="s">
        <v>69</v>
      </c>
      <c r="C66" s="16">
        <f t="shared" ref="C66:S66" si="10">SUM(C61:C65)</f>
        <v>0</v>
      </c>
      <c r="D66" s="16">
        <f t="shared" si="10"/>
        <v>0</v>
      </c>
      <c r="E66" s="16">
        <f t="shared" si="10"/>
        <v>0</v>
      </c>
      <c r="F66" s="16">
        <f t="shared" si="10"/>
        <v>0</v>
      </c>
      <c r="G66" s="16">
        <f t="shared" si="10"/>
        <v>0</v>
      </c>
      <c r="H66" s="16">
        <f t="shared" si="10"/>
        <v>0</v>
      </c>
      <c r="I66" s="16">
        <f t="shared" si="10"/>
        <v>0</v>
      </c>
      <c r="J66" s="16">
        <f t="shared" si="10"/>
        <v>0</v>
      </c>
      <c r="K66" s="16">
        <f t="shared" si="10"/>
        <v>0</v>
      </c>
      <c r="L66" s="16">
        <f t="shared" si="10"/>
        <v>0</v>
      </c>
      <c r="M66" s="16">
        <f t="shared" si="10"/>
        <v>0</v>
      </c>
      <c r="N66" s="16">
        <f t="shared" si="10"/>
        <v>0</v>
      </c>
      <c r="O66" s="16">
        <f t="shared" si="10"/>
        <v>0</v>
      </c>
      <c r="P66" s="16">
        <f t="shared" si="10"/>
        <v>0</v>
      </c>
      <c r="Q66" s="16">
        <f t="shared" si="10"/>
        <v>0</v>
      </c>
      <c r="R66" s="16">
        <f t="shared" si="10"/>
        <v>0</v>
      </c>
      <c r="S66" s="17">
        <f t="shared" si="10"/>
        <v>0</v>
      </c>
    </row>
    <row r="68" spans="2:19" ht="17" customHeight="1" thickBot="1">
      <c r="B68" s="106" t="s">
        <v>155</v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</row>
    <row r="69" spans="2:19">
      <c r="B69" s="91" t="s">
        <v>148</v>
      </c>
      <c r="C69" s="94" t="s">
        <v>11</v>
      </c>
      <c r="D69" s="95"/>
      <c r="E69" s="95"/>
      <c r="F69" s="96"/>
      <c r="G69" s="94" t="s">
        <v>71</v>
      </c>
      <c r="H69" s="95"/>
      <c r="I69" s="95"/>
      <c r="J69" s="95"/>
      <c r="K69" s="95"/>
      <c r="L69" s="96"/>
      <c r="M69" s="97" t="s">
        <v>2</v>
      </c>
      <c r="N69" s="97" t="s">
        <v>22</v>
      </c>
      <c r="O69" s="97" t="s">
        <v>87</v>
      </c>
      <c r="P69" s="97" t="s">
        <v>77</v>
      </c>
      <c r="Q69" s="97" t="s">
        <v>151</v>
      </c>
      <c r="R69" s="97" t="s">
        <v>20</v>
      </c>
      <c r="S69" s="100" t="s">
        <v>7</v>
      </c>
    </row>
    <row r="70" spans="2:19">
      <c r="B70" s="92"/>
      <c r="C70" s="103" t="s">
        <v>66</v>
      </c>
      <c r="D70" s="104"/>
      <c r="E70" s="103" t="s">
        <v>127</v>
      </c>
      <c r="F70" s="104"/>
      <c r="G70" s="103" t="s">
        <v>66</v>
      </c>
      <c r="H70" s="105"/>
      <c r="I70" s="104"/>
      <c r="J70" s="103" t="s">
        <v>127</v>
      </c>
      <c r="K70" s="105"/>
      <c r="L70" s="104"/>
      <c r="M70" s="98"/>
      <c r="N70" s="98"/>
      <c r="O70" s="98"/>
      <c r="P70" s="98"/>
      <c r="Q70" s="98"/>
      <c r="R70" s="98"/>
      <c r="S70" s="101"/>
    </row>
    <row r="71" spans="2:19" ht="18">
      <c r="B71" s="93"/>
      <c r="C71" s="11" t="s">
        <v>92</v>
      </c>
      <c r="D71" s="11" t="s">
        <v>146</v>
      </c>
      <c r="E71" s="11" t="s">
        <v>92</v>
      </c>
      <c r="F71" s="11" t="s">
        <v>146</v>
      </c>
      <c r="G71" s="11" t="s">
        <v>51</v>
      </c>
      <c r="H71" s="11" t="s">
        <v>3</v>
      </c>
      <c r="I71" s="11" t="s">
        <v>34</v>
      </c>
      <c r="J71" s="11" t="s">
        <v>51</v>
      </c>
      <c r="K71" s="11" t="s">
        <v>3</v>
      </c>
      <c r="L71" s="11" t="s">
        <v>34</v>
      </c>
      <c r="M71" s="99"/>
      <c r="N71" s="99"/>
      <c r="O71" s="99"/>
      <c r="P71" s="99"/>
      <c r="Q71" s="99"/>
      <c r="R71" s="99"/>
      <c r="S71" s="102"/>
    </row>
    <row r="72" spans="2:19" ht="18">
      <c r="B72" s="12" t="s">
        <v>21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58"/>
    </row>
    <row r="73" spans="2:19" ht="18">
      <c r="B73" s="12" t="s">
        <v>48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58"/>
    </row>
    <row r="74" spans="2:19" ht="18">
      <c r="B74" s="12" t="s">
        <v>144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58"/>
    </row>
    <row r="75" spans="2:19" ht="18">
      <c r="B75" s="12" t="s">
        <v>98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58"/>
    </row>
    <row r="76" spans="2:19" ht="18">
      <c r="B76" s="12" t="s">
        <v>63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58"/>
    </row>
    <row r="77" spans="2:19" ht="19" thickBot="1">
      <c r="B77" s="15" t="s">
        <v>69</v>
      </c>
      <c r="C77" s="16">
        <f t="shared" ref="C77:S77" si="11">SUM(C72:C76)</f>
        <v>0</v>
      </c>
      <c r="D77" s="16">
        <f t="shared" si="11"/>
        <v>0</v>
      </c>
      <c r="E77" s="16">
        <f t="shared" si="11"/>
        <v>0</v>
      </c>
      <c r="F77" s="16">
        <f t="shared" si="11"/>
        <v>0</v>
      </c>
      <c r="G77" s="16">
        <f t="shared" si="11"/>
        <v>0</v>
      </c>
      <c r="H77" s="16">
        <f t="shared" si="11"/>
        <v>0</v>
      </c>
      <c r="I77" s="16">
        <f t="shared" si="11"/>
        <v>0</v>
      </c>
      <c r="J77" s="16">
        <f t="shared" si="11"/>
        <v>0</v>
      </c>
      <c r="K77" s="16">
        <f t="shared" si="11"/>
        <v>0</v>
      </c>
      <c r="L77" s="16">
        <f t="shared" si="11"/>
        <v>0</v>
      </c>
      <c r="M77" s="16">
        <f t="shared" si="11"/>
        <v>0</v>
      </c>
      <c r="N77" s="16">
        <f t="shared" si="11"/>
        <v>0</v>
      </c>
      <c r="O77" s="16">
        <f t="shared" si="11"/>
        <v>0</v>
      </c>
      <c r="P77" s="16">
        <f t="shared" si="11"/>
        <v>0</v>
      </c>
      <c r="Q77" s="16">
        <f t="shared" si="11"/>
        <v>0</v>
      </c>
      <c r="R77" s="16">
        <f t="shared" si="11"/>
        <v>0</v>
      </c>
      <c r="S77" s="17">
        <f t="shared" si="11"/>
        <v>0</v>
      </c>
    </row>
    <row r="79" spans="2:19" ht="17" customHeight="1" thickBot="1">
      <c r="B79" s="106" t="s">
        <v>155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</row>
    <row r="80" spans="2:19">
      <c r="B80" s="91" t="s">
        <v>148</v>
      </c>
      <c r="C80" s="94" t="s">
        <v>11</v>
      </c>
      <c r="D80" s="95"/>
      <c r="E80" s="95"/>
      <c r="F80" s="96"/>
      <c r="G80" s="94" t="s">
        <v>71</v>
      </c>
      <c r="H80" s="95"/>
      <c r="I80" s="95"/>
      <c r="J80" s="95"/>
      <c r="K80" s="95"/>
      <c r="L80" s="96"/>
      <c r="M80" s="97" t="s">
        <v>2</v>
      </c>
      <c r="N80" s="97" t="s">
        <v>22</v>
      </c>
      <c r="O80" s="97" t="s">
        <v>87</v>
      </c>
      <c r="P80" s="97" t="s">
        <v>77</v>
      </c>
      <c r="Q80" s="97" t="s">
        <v>151</v>
      </c>
      <c r="R80" s="97" t="s">
        <v>20</v>
      </c>
      <c r="S80" s="100" t="s">
        <v>7</v>
      </c>
    </row>
    <row r="81" spans="2:19">
      <c r="B81" s="92"/>
      <c r="C81" s="103" t="s">
        <v>66</v>
      </c>
      <c r="D81" s="104"/>
      <c r="E81" s="103" t="s">
        <v>127</v>
      </c>
      <c r="F81" s="104"/>
      <c r="G81" s="103" t="s">
        <v>66</v>
      </c>
      <c r="H81" s="105"/>
      <c r="I81" s="104"/>
      <c r="J81" s="103" t="s">
        <v>127</v>
      </c>
      <c r="K81" s="105"/>
      <c r="L81" s="104"/>
      <c r="M81" s="98"/>
      <c r="N81" s="98"/>
      <c r="O81" s="98"/>
      <c r="P81" s="98"/>
      <c r="Q81" s="98"/>
      <c r="R81" s="98"/>
      <c r="S81" s="101"/>
    </row>
    <row r="82" spans="2:19" ht="18">
      <c r="B82" s="93"/>
      <c r="C82" s="11" t="s">
        <v>92</v>
      </c>
      <c r="D82" s="11" t="s">
        <v>146</v>
      </c>
      <c r="E82" s="11" t="s">
        <v>92</v>
      </c>
      <c r="F82" s="11" t="s">
        <v>146</v>
      </c>
      <c r="G82" s="11" t="s">
        <v>51</v>
      </c>
      <c r="H82" s="11" t="s">
        <v>3</v>
      </c>
      <c r="I82" s="11" t="s">
        <v>34</v>
      </c>
      <c r="J82" s="11" t="s">
        <v>51</v>
      </c>
      <c r="K82" s="11" t="s">
        <v>3</v>
      </c>
      <c r="L82" s="11" t="s">
        <v>34</v>
      </c>
      <c r="M82" s="99"/>
      <c r="N82" s="99"/>
      <c r="O82" s="99"/>
      <c r="P82" s="99"/>
      <c r="Q82" s="99"/>
      <c r="R82" s="99"/>
      <c r="S82" s="102"/>
    </row>
    <row r="83" spans="2:19" ht="18">
      <c r="B83" s="12" t="s">
        <v>21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58"/>
    </row>
    <row r="84" spans="2:19" ht="18">
      <c r="B84" s="12" t="s">
        <v>48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58"/>
    </row>
    <row r="85" spans="2:19" ht="18">
      <c r="B85" s="12" t="s">
        <v>144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58"/>
    </row>
    <row r="86" spans="2:19" ht="18">
      <c r="B86" s="12" t="s">
        <v>98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58"/>
    </row>
    <row r="87" spans="2:19" ht="18">
      <c r="B87" s="12" t="s">
        <v>63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58"/>
    </row>
    <row r="88" spans="2:19" ht="19" thickBot="1">
      <c r="B88" s="15" t="s">
        <v>69</v>
      </c>
      <c r="C88" s="16">
        <f t="shared" ref="C88:S88" si="12">SUM(C83:C87)</f>
        <v>0</v>
      </c>
      <c r="D88" s="16">
        <f t="shared" si="12"/>
        <v>0</v>
      </c>
      <c r="E88" s="16">
        <f t="shared" si="12"/>
        <v>0</v>
      </c>
      <c r="F88" s="16">
        <f t="shared" si="12"/>
        <v>0</v>
      </c>
      <c r="G88" s="16">
        <f t="shared" si="12"/>
        <v>0</v>
      </c>
      <c r="H88" s="16">
        <f t="shared" si="12"/>
        <v>0</v>
      </c>
      <c r="I88" s="16">
        <f t="shared" si="12"/>
        <v>0</v>
      </c>
      <c r="J88" s="16">
        <f t="shared" si="12"/>
        <v>0</v>
      </c>
      <c r="K88" s="16">
        <f t="shared" si="12"/>
        <v>0</v>
      </c>
      <c r="L88" s="16">
        <f t="shared" si="12"/>
        <v>0</v>
      </c>
      <c r="M88" s="16">
        <f t="shared" si="12"/>
        <v>0</v>
      </c>
      <c r="N88" s="16">
        <f t="shared" si="12"/>
        <v>0</v>
      </c>
      <c r="O88" s="16">
        <f t="shared" si="12"/>
        <v>0</v>
      </c>
      <c r="P88" s="16">
        <f t="shared" si="12"/>
        <v>0</v>
      </c>
      <c r="Q88" s="16">
        <f t="shared" si="12"/>
        <v>0</v>
      </c>
      <c r="R88" s="16">
        <f t="shared" si="12"/>
        <v>0</v>
      </c>
      <c r="S88" s="17">
        <f t="shared" si="12"/>
        <v>0</v>
      </c>
    </row>
    <row r="90" spans="2:19" ht="17" customHeight="1" thickBot="1">
      <c r="B90" s="106" t="s">
        <v>155</v>
      </c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</row>
    <row r="91" spans="2:19">
      <c r="B91" s="91" t="s">
        <v>148</v>
      </c>
      <c r="C91" s="94" t="s">
        <v>11</v>
      </c>
      <c r="D91" s="95"/>
      <c r="E91" s="95"/>
      <c r="F91" s="96"/>
      <c r="G91" s="94" t="s">
        <v>71</v>
      </c>
      <c r="H91" s="95"/>
      <c r="I91" s="95"/>
      <c r="J91" s="95"/>
      <c r="K91" s="95"/>
      <c r="L91" s="96"/>
      <c r="M91" s="97" t="s">
        <v>2</v>
      </c>
      <c r="N91" s="97" t="s">
        <v>22</v>
      </c>
      <c r="O91" s="97" t="s">
        <v>87</v>
      </c>
      <c r="P91" s="97" t="s">
        <v>77</v>
      </c>
      <c r="Q91" s="97" t="s">
        <v>151</v>
      </c>
      <c r="R91" s="97" t="s">
        <v>20</v>
      </c>
      <c r="S91" s="100" t="s">
        <v>7</v>
      </c>
    </row>
    <row r="92" spans="2:19">
      <c r="B92" s="92"/>
      <c r="C92" s="103" t="s">
        <v>66</v>
      </c>
      <c r="D92" s="104"/>
      <c r="E92" s="103" t="s">
        <v>127</v>
      </c>
      <c r="F92" s="104"/>
      <c r="G92" s="103" t="s">
        <v>66</v>
      </c>
      <c r="H92" s="105"/>
      <c r="I92" s="104"/>
      <c r="J92" s="103" t="s">
        <v>127</v>
      </c>
      <c r="K92" s="105"/>
      <c r="L92" s="104"/>
      <c r="M92" s="98"/>
      <c r="N92" s="98"/>
      <c r="O92" s="98"/>
      <c r="P92" s="98"/>
      <c r="Q92" s="98"/>
      <c r="R92" s="98"/>
      <c r="S92" s="101"/>
    </row>
    <row r="93" spans="2:19" ht="18">
      <c r="B93" s="93"/>
      <c r="C93" s="11" t="s">
        <v>92</v>
      </c>
      <c r="D93" s="11" t="s">
        <v>146</v>
      </c>
      <c r="E93" s="11" t="s">
        <v>92</v>
      </c>
      <c r="F93" s="11" t="s">
        <v>146</v>
      </c>
      <c r="G93" s="11" t="s">
        <v>51</v>
      </c>
      <c r="H93" s="11" t="s">
        <v>3</v>
      </c>
      <c r="I93" s="11" t="s">
        <v>34</v>
      </c>
      <c r="J93" s="11" t="s">
        <v>51</v>
      </c>
      <c r="K93" s="11" t="s">
        <v>3</v>
      </c>
      <c r="L93" s="11" t="s">
        <v>34</v>
      </c>
      <c r="M93" s="99"/>
      <c r="N93" s="99"/>
      <c r="O93" s="99"/>
      <c r="P93" s="99"/>
      <c r="Q93" s="99"/>
      <c r="R93" s="99"/>
      <c r="S93" s="102"/>
    </row>
    <row r="94" spans="2:19" ht="18">
      <c r="B94" s="12" t="s">
        <v>21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6"/>
    </row>
    <row r="95" spans="2:19" ht="18">
      <c r="B95" s="12" t="s">
        <v>48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6"/>
    </row>
    <row r="96" spans="2:19" ht="18">
      <c r="B96" s="12" t="s">
        <v>144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6"/>
    </row>
    <row r="97" spans="2:19" ht="18">
      <c r="B97" s="12" t="s">
        <v>98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6"/>
    </row>
    <row r="98" spans="2:19" ht="18">
      <c r="B98" s="12" t="s">
        <v>63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6"/>
    </row>
    <row r="99" spans="2:19" ht="19" thickBot="1">
      <c r="B99" s="15" t="s">
        <v>69</v>
      </c>
      <c r="C99" s="16">
        <f t="shared" ref="C99:S99" si="13">SUM(C94:C98)</f>
        <v>0</v>
      </c>
      <c r="D99" s="16">
        <f t="shared" si="13"/>
        <v>0</v>
      </c>
      <c r="E99" s="16">
        <f t="shared" si="13"/>
        <v>0</v>
      </c>
      <c r="F99" s="16">
        <f t="shared" si="13"/>
        <v>0</v>
      </c>
      <c r="G99" s="16">
        <f t="shared" si="13"/>
        <v>0</v>
      </c>
      <c r="H99" s="16">
        <f t="shared" si="13"/>
        <v>0</v>
      </c>
      <c r="I99" s="16">
        <f t="shared" si="13"/>
        <v>0</v>
      </c>
      <c r="J99" s="16">
        <f t="shared" si="13"/>
        <v>0</v>
      </c>
      <c r="K99" s="16">
        <f t="shared" si="13"/>
        <v>0</v>
      </c>
      <c r="L99" s="16">
        <f t="shared" si="13"/>
        <v>0</v>
      </c>
      <c r="M99" s="16">
        <f t="shared" si="13"/>
        <v>0</v>
      </c>
      <c r="N99" s="16">
        <f t="shared" si="13"/>
        <v>0</v>
      </c>
      <c r="O99" s="16">
        <f t="shared" si="13"/>
        <v>0</v>
      </c>
      <c r="P99" s="16">
        <f t="shared" si="13"/>
        <v>0</v>
      </c>
      <c r="Q99" s="16">
        <f t="shared" si="13"/>
        <v>0</v>
      </c>
      <c r="R99" s="16">
        <f t="shared" si="13"/>
        <v>0</v>
      </c>
      <c r="S99" s="17">
        <f t="shared" si="13"/>
        <v>0</v>
      </c>
    </row>
  </sheetData>
  <mergeCells count="134">
    <mergeCell ref="P3:P5"/>
    <mergeCell ref="Q3:Q5"/>
    <mergeCell ref="R3:R5"/>
    <mergeCell ref="S3:S5"/>
    <mergeCell ref="C4:D4"/>
    <mergeCell ref="E4:F4"/>
    <mergeCell ref="G4:I4"/>
    <mergeCell ref="J4:L4"/>
    <mergeCell ref="B3:B5"/>
    <mergeCell ref="C3:F3"/>
    <mergeCell ref="G3:L3"/>
    <mergeCell ref="M3:M5"/>
    <mergeCell ref="N3:N5"/>
    <mergeCell ref="O3:O5"/>
    <mergeCell ref="S25:S27"/>
    <mergeCell ref="C26:D26"/>
    <mergeCell ref="E26:F26"/>
    <mergeCell ref="G26:I26"/>
    <mergeCell ref="J26:L26"/>
    <mergeCell ref="B35:S35"/>
    <mergeCell ref="B24:S24"/>
    <mergeCell ref="B25:B27"/>
    <mergeCell ref="C25:F25"/>
    <mergeCell ref="G25:L25"/>
    <mergeCell ref="M25:M27"/>
    <mergeCell ref="N25:N27"/>
    <mergeCell ref="O25:O27"/>
    <mergeCell ref="P25:P27"/>
    <mergeCell ref="Q25:Q27"/>
    <mergeCell ref="R25:R27"/>
    <mergeCell ref="P36:P38"/>
    <mergeCell ref="Q36:Q38"/>
    <mergeCell ref="R36:R38"/>
    <mergeCell ref="S36:S38"/>
    <mergeCell ref="C37:D37"/>
    <mergeCell ref="E37:F37"/>
    <mergeCell ref="G37:I37"/>
    <mergeCell ref="J37:L37"/>
    <mergeCell ref="B36:B38"/>
    <mergeCell ref="C36:F36"/>
    <mergeCell ref="G36:L36"/>
    <mergeCell ref="M36:M38"/>
    <mergeCell ref="N36:N38"/>
    <mergeCell ref="O36:O38"/>
    <mergeCell ref="S47:S49"/>
    <mergeCell ref="C48:D48"/>
    <mergeCell ref="E48:F48"/>
    <mergeCell ref="G48:I48"/>
    <mergeCell ref="J48:L48"/>
    <mergeCell ref="B57:S57"/>
    <mergeCell ref="B46:S46"/>
    <mergeCell ref="B47:B49"/>
    <mergeCell ref="C47:F47"/>
    <mergeCell ref="G47:L47"/>
    <mergeCell ref="M47:M49"/>
    <mergeCell ref="N47:N49"/>
    <mergeCell ref="O47:O49"/>
    <mergeCell ref="P47:P49"/>
    <mergeCell ref="Q47:Q49"/>
    <mergeCell ref="R47:R49"/>
    <mergeCell ref="P58:P60"/>
    <mergeCell ref="Q58:Q60"/>
    <mergeCell ref="R58:R60"/>
    <mergeCell ref="S58:S60"/>
    <mergeCell ref="C59:D59"/>
    <mergeCell ref="E59:F59"/>
    <mergeCell ref="G59:I59"/>
    <mergeCell ref="J59:L59"/>
    <mergeCell ref="B58:B60"/>
    <mergeCell ref="C58:F58"/>
    <mergeCell ref="G58:L58"/>
    <mergeCell ref="M58:M60"/>
    <mergeCell ref="N58:N60"/>
    <mergeCell ref="O58:O60"/>
    <mergeCell ref="S69:S71"/>
    <mergeCell ref="C70:D70"/>
    <mergeCell ref="E70:F70"/>
    <mergeCell ref="G70:I70"/>
    <mergeCell ref="J70:L70"/>
    <mergeCell ref="B79:S79"/>
    <mergeCell ref="B68:S68"/>
    <mergeCell ref="B69:B71"/>
    <mergeCell ref="C69:F69"/>
    <mergeCell ref="G69:L69"/>
    <mergeCell ref="M69:M71"/>
    <mergeCell ref="N69:N71"/>
    <mergeCell ref="O69:O71"/>
    <mergeCell ref="P69:P71"/>
    <mergeCell ref="Q69:Q71"/>
    <mergeCell ref="R69:R71"/>
    <mergeCell ref="P80:P82"/>
    <mergeCell ref="Q80:Q82"/>
    <mergeCell ref="R80:R82"/>
    <mergeCell ref="S80:S82"/>
    <mergeCell ref="C81:D81"/>
    <mergeCell ref="E81:F81"/>
    <mergeCell ref="G81:I81"/>
    <mergeCell ref="J81:L81"/>
    <mergeCell ref="B80:B82"/>
    <mergeCell ref="C80:F80"/>
    <mergeCell ref="G80:L80"/>
    <mergeCell ref="M80:M82"/>
    <mergeCell ref="N80:N82"/>
    <mergeCell ref="O80:O82"/>
    <mergeCell ref="S91:S93"/>
    <mergeCell ref="C92:D92"/>
    <mergeCell ref="E92:F92"/>
    <mergeCell ref="G92:I92"/>
    <mergeCell ref="J92:L92"/>
    <mergeCell ref="B90:S90"/>
    <mergeCell ref="B91:B93"/>
    <mergeCell ref="C91:F91"/>
    <mergeCell ref="G91:L91"/>
    <mergeCell ref="M91:M93"/>
    <mergeCell ref="N91:N93"/>
    <mergeCell ref="O91:O93"/>
    <mergeCell ref="P91:P93"/>
    <mergeCell ref="Q91:Q93"/>
    <mergeCell ref="R91:R93"/>
    <mergeCell ref="B13:S13"/>
    <mergeCell ref="B14:B16"/>
    <mergeCell ref="C14:F14"/>
    <mergeCell ref="G14:L14"/>
    <mergeCell ref="M14:M16"/>
    <mergeCell ref="N14:N16"/>
    <mergeCell ref="O14:O16"/>
    <mergeCell ref="P14:P16"/>
    <mergeCell ref="Q14:Q16"/>
    <mergeCell ref="R14:R16"/>
    <mergeCell ref="S14:S16"/>
    <mergeCell ref="C15:D15"/>
    <mergeCell ref="E15:F15"/>
    <mergeCell ref="G15:I15"/>
    <mergeCell ref="J15:L15"/>
  </mergeCells>
  <phoneticPr fontId="12" type="noConversion"/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90A7-C452-D245-B7AC-C608C4382DC7}">
  <dimension ref="B2:S99"/>
  <sheetViews>
    <sheetView zoomScale="150" zoomScaleNormal="150" zoomScaleSheetLayoutView="121" workbookViewId="0"/>
  </sheetViews>
  <sheetFormatPr baseColWidth="10" defaultColWidth="7.7109375" defaultRowHeight="17"/>
  <cols>
    <col min="1" max="1" width="2.28515625" style="10" customWidth="1"/>
    <col min="2" max="2" width="14.140625" style="10" bestFit="1" customWidth="1"/>
    <col min="3" max="6" width="4.42578125" style="10" bestFit="1" customWidth="1"/>
    <col min="7" max="12" width="9.42578125" style="10" bestFit="1" customWidth="1"/>
    <col min="13" max="13" width="7.7109375" style="10" bestFit="1" customWidth="1"/>
    <col min="14" max="15" width="7.140625" style="10" bestFit="1" customWidth="1"/>
    <col min="16" max="16" width="7.7109375" style="10" bestFit="1" customWidth="1"/>
    <col min="17" max="17" width="6.140625" style="10" bestFit="1" customWidth="1"/>
    <col min="18" max="18" width="7.42578125" style="10" bestFit="1" customWidth="1"/>
    <col min="19" max="19" width="7.7109375" style="10" bestFit="1" customWidth="1"/>
    <col min="20" max="20" width="2.28515625" style="10" customWidth="1"/>
    <col min="21" max="16384" width="7.7109375" style="10"/>
  </cols>
  <sheetData>
    <row r="2" spans="2:19" ht="18" thickBot="1">
      <c r="B2" s="9" t="s">
        <v>80</v>
      </c>
    </row>
    <row r="3" spans="2:19">
      <c r="B3" s="91" t="s">
        <v>148</v>
      </c>
      <c r="C3" s="94" t="s">
        <v>11</v>
      </c>
      <c r="D3" s="95"/>
      <c r="E3" s="95"/>
      <c r="F3" s="96"/>
      <c r="G3" s="94" t="s">
        <v>71</v>
      </c>
      <c r="H3" s="95"/>
      <c r="I3" s="95"/>
      <c r="J3" s="95"/>
      <c r="K3" s="95"/>
      <c r="L3" s="96"/>
      <c r="M3" s="97" t="s">
        <v>2</v>
      </c>
      <c r="N3" s="97" t="s">
        <v>22</v>
      </c>
      <c r="O3" s="97" t="s">
        <v>87</v>
      </c>
      <c r="P3" s="97" t="s">
        <v>77</v>
      </c>
      <c r="Q3" s="97" t="s">
        <v>151</v>
      </c>
      <c r="R3" s="97" t="s">
        <v>20</v>
      </c>
      <c r="S3" s="100" t="s">
        <v>7</v>
      </c>
    </row>
    <row r="4" spans="2:19">
      <c r="B4" s="92"/>
      <c r="C4" s="103" t="s">
        <v>66</v>
      </c>
      <c r="D4" s="104"/>
      <c r="E4" s="103" t="s">
        <v>127</v>
      </c>
      <c r="F4" s="104"/>
      <c r="G4" s="103" t="s">
        <v>66</v>
      </c>
      <c r="H4" s="105"/>
      <c r="I4" s="104"/>
      <c r="J4" s="103" t="s">
        <v>127</v>
      </c>
      <c r="K4" s="105"/>
      <c r="L4" s="104"/>
      <c r="M4" s="98"/>
      <c r="N4" s="98"/>
      <c r="O4" s="98"/>
      <c r="P4" s="98"/>
      <c r="Q4" s="98"/>
      <c r="R4" s="98"/>
      <c r="S4" s="101"/>
    </row>
    <row r="5" spans="2:19" ht="18">
      <c r="B5" s="93"/>
      <c r="C5" s="11" t="s">
        <v>92</v>
      </c>
      <c r="D5" s="11" t="s">
        <v>146</v>
      </c>
      <c r="E5" s="11" t="s">
        <v>92</v>
      </c>
      <c r="F5" s="11" t="s">
        <v>146</v>
      </c>
      <c r="G5" s="11" t="s">
        <v>51</v>
      </c>
      <c r="H5" s="11" t="s">
        <v>3</v>
      </c>
      <c r="I5" s="11" t="s">
        <v>34</v>
      </c>
      <c r="J5" s="11" t="s">
        <v>51</v>
      </c>
      <c r="K5" s="11" t="s">
        <v>3</v>
      </c>
      <c r="L5" s="11" t="s">
        <v>34</v>
      </c>
      <c r="M5" s="99"/>
      <c r="N5" s="99"/>
      <c r="O5" s="99"/>
      <c r="P5" s="99"/>
      <c r="Q5" s="99"/>
      <c r="R5" s="99"/>
      <c r="S5" s="102"/>
    </row>
    <row r="6" spans="2:19" ht="18">
      <c r="B6" s="12" t="s">
        <v>21</v>
      </c>
      <c r="C6" s="60">
        <f t="shared" ref="C6:S6" si="0">C28+C39+C50+C61+C72+C83+C94+C17</f>
        <v>0</v>
      </c>
      <c r="D6" s="60">
        <f t="shared" si="0"/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1">
        <f t="shared" si="0"/>
        <v>0</v>
      </c>
    </row>
    <row r="7" spans="2:19" ht="18">
      <c r="B7" s="12" t="s">
        <v>48</v>
      </c>
      <c r="C7" s="60">
        <f t="shared" ref="C7:S7" si="1">C29+C40+C51+C62+C73+C84+C95+C18</f>
        <v>0</v>
      </c>
      <c r="D7" s="60">
        <f t="shared" si="1"/>
        <v>0</v>
      </c>
      <c r="E7" s="60">
        <f t="shared" si="1"/>
        <v>0</v>
      </c>
      <c r="F7" s="60">
        <f t="shared" si="1"/>
        <v>0</v>
      </c>
      <c r="G7" s="60">
        <f t="shared" si="1"/>
        <v>0</v>
      </c>
      <c r="H7" s="60">
        <f t="shared" si="1"/>
        <v>0</v>
      </c>
      <c r="I7" s="60">
        <f t="shared" si="1"/>
        <v>0</v>
      </c>
      <c r="J7" s="60">
        <f t="shared" si="1"/>
        <v>0</v>
      </c>
      <c r="K7" s="60">
        <f t="shared" si="1"/>
        <v>0</v>
      </c>
      <c r="L7" s="60">
        <f t="shared" si="1"/>
        <v>0</v>
      </c>
      <c r="M7" s="60">
        <f t="shared" si="1"/>
        <v>0</v>
      </c>
      <c r="N7" s="60">
        <f t="shared" si="1"/>
        <v>0</v>
      </c>
      <c r="O7" s="60">
        <f t="shared" si="1"/>
        <v>0</v>
      </c>
      <c r="P7" s="60">
        <f t="shared" si="1"/>
        <v>0</v>
      </c>
      <c r="Q7" s="60">
        <f t="shared" si="1"/>
        <v>0</v>
      </c>
      <c r="R7" s="60">
        <f t="shared" si="1"/>
        <v>0</v>
      </c>
      <c r="S7" s="61">
        <f t="shared" si="1"/>
        <v>0</v>
      </c>
    </row>
    <row r="8" spans="2:19" ht="18">
      <c r="B8" s="12" t="s">
        <v>144</v>
      </c>
      <c r="C8" s="60">
        <f t="shared" ref="C8:S8" si="2">C30+C41+C52+C63+C74+C85+C96+C19</f>
        <v>0</v>
      </c>
      <c r="D8" s="60">
        <f t="shared" si="2"/>
        <v>0</v>
      </c>
      <c r="E8" s="60">
        <f t="shared" si="2"/>
        <v>0</v>
      </c>
      <c r="F8" s="60">
        <f t="shared" si="2"/>
        <v>0</v>
      </c>
      <c r="G8" s="60">
        <f t="shared" si="2"/>
        <v>0</v>
      </c>
      <c r="H8" s="60">
        <f t="shared" si="2"/>
        <v>0</v>
      </c>
      <c r="I8" s="60">
        <f t="shared" si="2"/>
        <v>0</v>
      </c>
      <c r="J8" s="60">
        <f t="shared" si="2"/>
        <v>0</v>
      </c>
      <c r="K8" s="60">
        <f t="shared" si="2"/>
        <v>0</v>
      </c>
      <c r="L8" s="60">
        <f t="shared" si="2"/>
        <v>0</v>
      </c>
      <c r="M8" s="60">
        <f t="shared" si="2"/>
        <v>0</v>
      </c>
      <c r="N8" s="60">
        <f t="shared" si="2"/>
        <v>0</v>
      </c>
      <c r="O8" s="60">
        <f t="shared" si="2"/>
        <v>0</v>
      </c>
      <c r="P8" s="60">
        <f t="shared" si="2"/>
        <v>0</v>
      </c>
      <c r="Q8" s="60">
        <f t="shared" si="2"/>
        <v>0</v>
      </c>
      <c r="R8" s="60">
        <f t="shared" si="2"/>
        <v>0</v>
      </c>
      <c r="S8" s="61">
        <f t="shared" si="2"/>
        <v>0</v>
      </c>
    </row>
    <row r="9" spans="2:19" ht="18">
      <c r="B9" s="12" t="s">
        <v>98</v>
      </c>
      <c r="C9" s="60">
        <f t="shared" ref="C9:S9" si="3">C31+C42+C53+C64+C75+C86+C97+C20</f>
        <v>0</v>
      </c>
      <c r="D9" s="60">
        <f t="shared" si="3"/>
        <v>0</v>
      </c>
      <c r="E9" s="60">
        <f t="shared" si="3"/>
        <v>0</v>
      </c>
      <c r="F9" s="60">
        <f t="shared" si="3"/>
        <v>0</v>
      </c>
      <c r="G9" s="60">
        <f t="shared" si="3"/>
        <v>0</v>
      </c>
      <c r="H9" s="60">
        <f t="shared" si="3"/>
        <v>0</v>
      </c>
      <c r="I9" s="60">
        <f t="shared" si="3"/>
        <v>0</v>
      </c>
      <c r="J9" s="60">
        <f t="shared" si="3"/>
        <v>0</v>
      </c>
      <c r="K9" s="60">
        <f t="shared" si="3"/>
        <v>0</v>
      </c>
      <c r="L9" s="60">
        <f t="shared" si="3"/>
        <v>0</v>
      </c>
      <c r="M9" s="60">
        <f t="shared" si="3"/>
        <v>0</v>
      </c>
      <c r="N9" s="60">
        <f t="shared" si="3"/>
        <v>0</v>
      </c>
      <c r="O9" s="60">
        <f t="shared" si="3"/>
        <v>0</v>
      </c>
      <c r="P9" s="60">
        <f t="shared" si="3"/>
        <v>0</v>
      </c>
      <c r="Q9" s="60">
        <f t="shared" si="3"/>
        <v>0</v>
      </c>
      <c r="R9" s="60">
        <f t="shared" si="3"/>
        <v>0</v>
      </c>
      <c r="S9" s="61">
        <f t="shared" si="3"/>
        <v>0</v>
      </c>
    </row>
    <row r="10" spans="2:19" ht="18">
      <c r="B10" s="12" t="s">
        <v>63</v>
      </c>
      <c r="C10" s="60">
        <f t="shared" ref="C10:S10" si="4">C32+C43+C54+C65+C76+C87+C98+C21</f>
        <v>0</v>
      </c>
      <c r="D10" s="60">
        <f t="shared" si="4"/>
        <v>0</v>
      </c>
      <c r="E10" s="60">
        <f t="shared" si="4"/>
        <v>0</v>
      </c>
      <c r="F10" s="60">
        <f t="shared" si="4"/>
        <v>0</v>
      </c>
      <c r="G10" s="60">
        <f t="shared" si="4"/>
        <v>0</v>
      </c>
      <c r="H10" s="60">
        <f t="shared" si="4"/>
        <v>0</v>
      </c>
      <c r="I10" s="60">
        <f t="shared" si="4"/>
        <v>0</v>
      </c>
      <c r="J10" s="60">
        <f t="shared" si="4"/>
        <v>0</v>
      </c>
      <c r="K10" s="60">
        <f t="shared" si="4"/>
        <v>0</v>
      </c>
      <c r="L10" s="60">
        <f t="shared" si="4"/>
        <v>0</v>
      </c>
      <c r="M10" s="60">
        <f t="shared" si="4"/>
        <v>0</v>
      </c>
      <c r="N10" s="60">
        <f t="shared" si="4"/>
        <v>0</v>
      </c>
      <c r="O10" s="60">
        <f t="shared" si="4"/>
        <v>0</v>
      </c>
      <c r="P10" s="60">
        <f t="shared" si="4"/>
        <v>0</v>
      </c>
      <c r="Q10" s="60">
        <f t="shared" si="4"/>
        <v>0</v>
      </c>
      <c r="R10" s="60">
        <f t="shared" si="4"/>
        <v>0</v>
      </c>
      <c r="S10" s="61">
        <f t="shared" si="4"/>
        <v>0</v>
      </c>
    </row>
    <row r="11" spans="2:19" ht="19" thickBot="1">
      <c r="B11" s="15" t="s">
        <v>69</v>
      </c>
      <c r="C11" s="74">
        <f t="shared" ref="C11:S11" si="5">C33+C44+C55+C66+C77+C88+C99+C22</f>
        <v>0</v>
      </c>
      <c r="D11" s="74">
        <f t="shared" si="5"/>
        <v>0</v>
      </c>
      <c r="E11" s="74">
        <f t="shared" si="5"/>
        <v>0</v>
      </c>
      <c r="F11" s="74">
        <f t="shared" si="5"/>
        <v>0</v>
      </c>
      <c r="G11" s="74">
        <f t="shared" si="5"/>
        <v>0</v>
      </c>
      <c r="H11" s="74">
        <f t="shared" si="5"/>
        <v>0</v>
      </c>
      <c r="I11" s="74">
        <f t="shared" si="5"/>
        <v>0</v>
      </c>
      <c r="J11" s="74">
        <f t="shared" si="5"/>
        <v>0</v>
      </c>
      <c r="K11" s="74">
        <f t="shared" si="5"/>
        <v>0</v>
      </c>
      <c r="L11" s="74">
        <f t="shared" si="5"/>
        <v>0</v>
      </c>
      <c r="M11" s="74">
        <f t="shared" si="5"/>
        <v>0</v>
      </c>
      <c r="N11" s="74">
        <f t="shared" si="5"/>
        <v>0</v>
      </c>
      <c r="O11" s="74">
        <f t="shared" si="5"/>
        <v>0</v>
      </c>
      <c r="P11" s="74">
        <f t="shared" si="5"/>
        <v>0</v>
      </c>
      <c r="Q11" s="74">
        <f t="shared" si="5"/>
        <v>0</v>
      </c>
      <c r="R11" s="74">
        <f t="shared" si="5"/>
        <v>0</v>
      </c>
      <c r="S11" s="75">
        <f t="shared" si="5"/>
        <v>0</v>
      </c>
    </row>
    <row r="13" spans="2:19" ht="18" thickBot="1">
      <c r="B13" s="106" t="s">
        <v>40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</row>
    <row r="14" spans="2:19">
      <c r="B14" s="91" t="s">
        <v>148</v>
      </c>
      <c r="C14" s="94" t="s">
        <v>11</v>
      </c>
      <c r="D14" s="95"/>
      <c r="E14" s="95"/>
      <c r="F14" s="96"/>
      <c r="G14" s="94" t="s">
        <v>71</v>
      </c>
      <c r="H14" s="95"/>
      <c r="I14" s="95"/>
      <c r="J14" s="95"/>
      <c r="K14" s="95"/>
      <c r="L14" s="96"/>
      <c r="M14" s="97" t="s">
        <v>2</v>
      </c>
      <c r="N14" s="97" t="s">
        <v>22</v>
      </c>
      <c r="O14" s="97" t="s">
        <v>87</v>
      </c>
      <c r="P14" s="97" t="s">
        <v>77</v>
      </c>
      <c r="Q14" s="97" t="s">
        <v>151</v>
      </c>
      <c r="R14" s="97" t="s">
        <v>20</v>
      </c>
      <c r="S14" s="100" t="s">
        <v>7</v>
      </c>
    </row>
    <row r="15" spans="2:19">
      <c r="B15" s="92"/>
      <c r="C15" s="103" t="s">
        <v>66</v>
      </c>
      <c r="D15" s="104"/>
      <c r="E15" s="103" t="s">
        <v>127</v>
      </c>
      <c r="F15" s="104"/>
      <c r="G15" s="103" t="s">
        <v>66</v>
      </c>
      <c r="H15" s="105"/>
      <c r="I15" s="104"/>
      <c r="J15" s="103" t="s">
        <v>127</v>
      </c>
      <c r="K15" s="105"/>
      <c r="L15" s="104"/>
      <c r="M15" s="98"/>
      <c r="N15" s="98"/>
      <c r="O15" s="98"/>
      <c r="P15" s="98"/>
      <c r="Q15" s="98"/>
      <c r="R15" s="98"/>
      <c r="S15" s="101"/>
    </row>
    <row r="16" spans="2:19" ht="18">
      <c r="B16" s="93"/>
      <c r="C16" s="11" t="s">
        <v>92</v>
      </c>
      <c r="D16" s="11" t="s">
        <v>146</v>
      </c>
      <c r="E16" s="11" t="s">
        <v>92</v>
      </c>
      <c r="F16" s="11" t="s">
        <v>146</v>
      </c>
      <c r="G16" s="11" t="s">
        <v>51</v>
      </c>
      <c r="H16" s="11" t="s">
        <v>3</v>
      </c>
      <c r="I16" s="11" t="s">
        <v>34</v>
      </c>
      <c r="J16" s="11" t="s">
        <v>51</v>
      </c>
      <c r="K16" s="11" t="s">
        <v>3</v>
      </c>
      <c r="L16" s="11" t="s">
        <v>34</v>
      </c>
      <c r="M16" s="99"/>
      <c r="N16" s="99"/>
      <c r="O16" s="99"/>
      <c r="P16" s="99"/>
      <c r="Q16" s="99"/>
      <c r="R16" s="99"/>
      <c r="S16" s="102"/>
    </row>
    <row r="17" spans="2:19" ht="18">
      <c r="B17" s="12" t="s">
        <v>21</v>
      </c>
      <c r="C17" s="32"/>
      <c r="D17" s="32"/>
      <c r="E17" s="32"/>
      <c r="F17" s="32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32"/>
      <c r="S17" s="58"/>
    </row>
    <row r="18" spans="2:19" ht="18">
      <c r="B18" s="12" t="s">
        <v>48</v>
      </c>
      <c r="C18" s="32"/>
      <c r="D18" s="32"/>
      <c r="E18" s="32"/>
      <c r="F18" s="32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32"/>
      <c r="S18" s="58"/>
    </row>
    <row r="19" spans="2:19" ht="18">
      <c r="B19" s="12" t="s">
        <v>144</v>
      </c>
      <c r="C19" s="32"/>
      <c r="D19" s="32"/>
      <c r="E19" s="32"/>
      <c r="F19" s="32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32"/>
      <c r="S19" s="58"/>
    </row>
    <row r="20" spans="2:19" ht="18">
      <c r="B20" s="12" t="s">
        <v>98</v>
      </c>
      <c r="C20" s="32"/>
      <c r="D20" s="32"/>
      <c r="E20" s="32"/>
      <c r="F20" s="32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32"/>
      <c r="S20" s="58"/>
    </row>
    <row r="21" spans="2:19" ht="18">
      <c r="B21" s="12" t="s">
        <v>63</v>
      </c>
      <c r="C21" s="32"/>
      <c r="D21" s="32"/>
      <c r="E21" s="32"/>
      <c r="F21" s="3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32"/>
      <c r="S21" s="58"/>
    </row>
    <row r="22" spans="2:19" ht="19" thickBot="1">
      <c r="B22" s="15" t="s">
        <v>69</v>
      </c>
      <c r="C22" s="16">
        <f t="shared" ref="C22:S22" si="6">SUM(C17:C21)</f>
        <v>0</v>
      </c>
      <c r="D22" s="16">
        <f t="shared" si="6"/>
        <v>0</v>
      </c>
      <c r="E22" s="16">
        <f t="shared" si="6"/>
        <v>0</v>
      </c>
      <c r="F22" s="16">
        <f t="shared" si="6"/>
        <v>0</v>
      </c>
      <c r="G22" s="16">
        <f t="shared" si="6"/>
        <v>0</v>
      </c>
      <c r="H22" s="16">
        <f t="shared" si="6"/>
        <v>0</v>
      </c>
      <c r="I22" s="16">
        <f t="shared" si="6"/>
        <v>0</v>
      </c>
      <c r="J22" s="16">
        <f t="shared" si="6"/>
        <v>0</v>
      </c>
      <c r="K22" s="16">
        <f t="shared" si="6"/>
        <v>0</v>
      </c>
      <c r="L22" s="16">
        <f t="shared" si="6"/>
        <v>0</v>
      </c>
      <c r="M22" s="16">
        <f t="shared" si="6"/>
        <v>0</v>
      </c>
      <c r="N22" s="16">
        <f t="shared" si="6"/>
        <v>0</v>
      </c>
      <c r="O22" s="16">
        <f t="shared" si="6"/>
        <v>0</v>
      </c>
      <c r="P22" s="16">
        <f t="shared" si="6"/>
        <v>0</v>
      </c>
      <c r="Q22" s="16">
        <f t="shared" si="6"/>
        <v>0</v>
      </c>
      <c r="R22" s="16">
        <f t="shared" si="6"/>
        <v>0</v>
      </c>
      <c r="S22" s="17">
        <f t="shared" si="6"/>
        <v>0</v>
      </c>
    </row>
    <row r="24" spans="2:19" ht="18" thickBot="1">
      <c r="B24" s="106" t="s">
        <v>155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</row>
    <row r="25" spans="2:19">
      <c r="B25" s="91" t="s">
        <v>148</v>
      </c>
      <c r="C25" s="94" t="s">
        <v>11</v>
      </c>
      <c r="D25" s="95"/>
      <c r="E25" s="95"/>
      <c r="F25" s="96"/>
      <c r="G25" s="94" t="s">
        <v>71</v>
      </c>
      <c r="H25" s="95"/>
      <c r="I25" s="95"/>
      <c r="J25" s="95"/>
      <c r="K25" s="95"/>
      <c r="L25" s="96"/>
      <c r="M25" s="97" t="s">
        <v>2</v>
      </c>
      <c r="N25" s="97" t="s">
        <v>22</v>
      </c>
      <c r="O25" s="97" t="s">
        <v>87</v>
      </c>
      <c r="P25" s="97" t="s">
        <v>77</v>
      </c>
      <c r="Q25" s="97" t="s">
        <v>151</v>
      </c>
      <c r="R25" s="97" t="s">
        <v>20</v>
      </c>
      <c r="S25" s="100" t="s">
        <v>7</v>
      </c>
    </row>
    <row r="26" spans="2:19">
      <c r="B26" s="92"/>
      <c r="C26" s="103" t="s">
        <v>66</v>
      </c>
      <c r="D26" s="104"/>
      <c r="E26" s="103" t="s">
        <v>127</v>
      </c>
      <c r="F26" s="104"/>
      <c r="G26" s="103" t="s">
        <v>66</v>
      </c>
      <c r="H26" s="105"/>
      <c r="I26" s="104"/>
      <c r="J26" s="103" t="s">
        <v>127</v>
      </c>
      <c r="K26" s="105"/>
      <c r="L26" s="104"/>
      <c r="M26" s="98"/>
      <c r="N26" s="98"/>
      <c r="O26" s="98"/>
      <c r="P26" s="98"/>
      <c r="Q26" s="98"/>
      <c r="R26" s="98"/>
      <c r="S26" s="101"/>
    </row>
    <row r="27" spans="2:19" ht="18">
      <c r="B27" s="93"/>
      <c r="C27" s="11" t="s">
        <v>92</v>
      </c>
      <c r="D27" s="11" t="s">
        <v>146</v>
      </c>
      <c r="E27" s="11" t="s">
        <v>92</v>
      </c>
      <c r="F27" s="11" t="s">
        <v>146</v>
      </c>
      <c r="G27" s="11" t="s">
        <v>51</v>
      </c>
      <c r="H27" s="11" t="s">
        <v>3</v>
      </c>
      <c r="I27" s="11" t="s">
        <v>34</v>
      </c>
      <c r="J27" s="11" t="s">
        <v>51</v>
      </c>
      <c r="K27" s="11" t="s">
        <v>3</v>
      </c>
      <c r="L27" s="11" t="s">
        <v>34</v>
      </c>
      <c r="M27" s="99"/>
      <c r="N27" s="99"/>
      <c r="O27" s="99"/>
      <c r="P27" s="99"/>
      <c r="Q27" s="99"/>
      <c r="R27" s="99"/>
      <c r="S27" s="102"/>
    </row>
    <row r="28" spans="2:19" ht="18">
      <c r="B28" s="12" t="s">
        <v>21</v>
      </c>
      <c r="C28" s="32"/>
      <c r="D28" s="32"/>
      <c r="E28" s="32"/>
      <c r="F28" s="32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32"/>
      <c r="S28" s="58"/>
    </row>
    <row r="29" spans="2:19" ht="18">
      <c r="B29" s="12" t="s">
        <v>48</v>
      </c>
      <c r="C29" s="32"/>
      <c r="D29" s="32"/>
      <c r="E29" s="32"/>
      <c r="F29" s="32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32"/>
      <c r="S29" s="58"/>
    </row>
    <row r="30" spans="2:19" ht="18">
      <c r="B30" s="12" t="s">
        <v>144</v>
      </c>
      <c r="C30" s="32"/>
      <c r="D30" s="32"/>
      <c r="E30" s="32"/>
      <c r="F30" s="32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32"/>
      <c r="S30" s="58"/>
    </row>
    <row r="31" spans="2:19" ht="18">
      <c r="B31" s="12" t="s">
        <v>98</v>
      </c>
      <c r="C31" s="32"/>
      <c r="D31" s="32"/>
      <c r="E31" s="32"/>
      <c r="F31" s="32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32"/>
      <c r="S31" s="58"/>
    </row>
    <row r="32" spans="2:19" ht="18">
      <c r="B32" s="12" t="s">
        <v>63</v>
      </c>
      <c r="C32" s="32"/>
      <c r="D32" s="32"/>
      <c r="E32" s="32"/>
      <c r="F32" s="32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32"/>
      <c r="S32" s="58"/>
    </row>
    <row r="33" spans="2:19" ht="19" thickBot="1">
      <c r="B33" s="15" t="s">
        <v>69</v>
      </c>
      <c r="C33" s="16">
        <f t="shared" ref="C33:S33" si="7">SUM(C28:C32)</f>
        <v>0</v>
      </c>
      <c r="D33" s="16">
        <f t="shared" si="7"/>
        <v>0</v>
      </c>
      <c r="E33" s="16">
        <f t="shared" si="7"/>
        <v>0</v>
      </c>
      <c r="F33" s="16">
        <f t="shared" si="7"/>
        <v>0</v>
      </c>
      <c r="G33" s="16">
        <f t="shared" si="7"/>
        <v>0</v>
      </c>
      <c r="H33" s="16">
        <f t="shared" si="7"/>
        <v>0</v>
      </c>
      <c r="I33" s="16">
        <f t="shared" si="7"/>
        <v>0</v>
      </c>
      <c r="J33" s="16">
        <f t="shared" si="7"/>
        <v>0</v>
      </c>
      <c r="K33" s="16">
        <f t="shared" si="7"/>
        <v>0</v>
      </c>
      <c r="L33" s="16">
        <f t="shared" si="7"/>
        <v>0</v>
      </c>
      <c r="M33" s="16">
        <f t="shared" si="7"/>
        <v>0</v>
      </c>
      <c r="N33" s="16">
        <f t="shared" si="7"/>
        <v>0</v>
      </c>
      <c r="O33" s="16">
        <f t="shared" si="7"/>
        <v>0</v>
      </c>
      <c r="P33" s="16">
        <f t="shared" si="7"/>
        <v>0</v>
      </c>
      <c r="Q33" s="16">
        <f t="shared" si="7"/>
        <v>0</v>
      </c>
      <c r="R33" s="16">
        <f t="shared" si="7"/>
        <v>0</v>
      </c>
      <c r="S33" s="17">
        <f t="shared" si="7"/>
        <v>0</v>
      </c>
    </row>
    <row r="35" spans="2:19" ht="17" customHeight="1" thickBot="1">
      <c r="B35" s="106" t="s">
        <v>155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</row>
    <row r="36" spans="2:19">
      <c r="B36" s="91" t="s">
        <v>148</v>
      </c>
      <c r="C36" s="94" t="s">
        <v>11</v>
      </c>
      <c r="D36" s="95"/>
      <c r="E36" s="95"/>
      <c r="F36" s="96"/>
      <c r="G36" s="94" t="s">
        <v>71</v>
      </c>
      <c r="H36" s="95"/>
      <c r="I36" s="95"/>
      <c r="J36" s="95"/>
      <c r="K36" s="95"/>
      <c r="L36" s="96"/>
      <c r="M36" s="97" t="s">
        <v>2</v>
      </c>
      <c r="N36" s="97" t="s">
        <v>22</v>
      </c>
      <c r="O36" s="97" t="s">
        <v>87</v>
      </c>
      <c r="P36" s="97" t="s">
        <v>77</v>
      </c>
      <c r="Q36" s="97" t="s">
        <v>151</v>
      </c>
      <c r="R36" s="97" t="s">
        <v>20</v>
      </c>
      <c r="S36" s="100" t="s">
        <v>7</v>
      </c>
    </row>
    <row r="37" spans="2:19">
      <c r="B37" s="92"/>
      <c r="C37" s="103" t="s">
        <v>66</v>
      </c>
      <c r="D37" s="104"/>
      <c r="E37" s="103" t="s">
        <v>127</v>
      </c>
      <c r="F37" s="104"/>
      <c r="G37" s="103" t="s">
        <v>66</v>
      </c>
      <c r="H37" s="105"/>
      <c r="I37" s="104"/>
      <c r="J37" s="103" t="s">
        <v>127</v>
      </c>
      <c r="K37" s="105"/>
      <c r="L37" s="104"/>
      <c r="M37" s="98"/>
      <c r="N37" s="98"/>
      <c r="O37" s="98"/>
      <c r="P37" s="98"/>
      <c r="Q37" s="98"/>
      <c r="R37" s="98"/>
      <c r="S37" s="101"/>
    </row>
    <row r="38" spans="2:19" ht="18">
      <c r="B38" s="93"/>
      <c r="C38" s="11" t="s">
        <v>92</v>
      </c>
      <c r="D38" s="11" t="s">
        <v>146</v>
      </c>
      <c r="E38" s="11" t="s">
        <v>92</v>
      </c>
      <c r="F38" s="11" t="s">
        <v>146</v>
      </c>
      <c r="G38" s="11" t="s">
        <v>51</v>
      </c>
      <c r="H38" s="11" t="s">
        <v>3</v>
      </c>
      <c r="I38" s="11" t="s">
        <v>34</v>
      </c>
      <c r="J38" s="11" t="s">
        <v>51</v>
      </c>
      <c r="K38" s="11" t="s">
        <v>3</v>
      </c>
      <c r="L38" s="11" t="s">
        <v>34</v>
      </c>
      <c r="M38" s="99"/>
      <c r="N38" s="99"/>
      <c r="O38" s="99"/>
      <c r="P38" s="99"/>
      <c r="Q38" s="99"/>
      <c r="R38" s="99"/>
      <c r="S38" s="102"/>
    </row>
    <row r="39" spans="2:19" ht="18">
      <c r="B39" s="12" t="s">
        <v>21</v>
      </c>
      <c r="C39" s="32"/>
      <c r="D39" s="32"/>
      <c r="E39" s="32"/>
      <c r="F39" s="32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32"/>
      <c r="S39" s="58"/>
    </row>
    <row r="40" spans="2:19" ht="18">
      <c r="B40" s="12" t="s">
        <v>48</v>
      </c>
      <c r="C40" s="32"/>
      <c r="D40" s="32"/>
      <c r="E40" s="32"/>
      <c r="F40" s="32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32"/>
      <c r="S40" s="58"/>
    </row>
    <row r="41" spans="2:19" ht="18">
      <c r="B41" s="12" t="s">
        <v>144</v>
      </c>
      <c r="C41" s="32"/>
      <c r="D41" s="32"/>
      <c r="E41" s="32"/>
      <c r="F41" s="32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32"/>
      <c r="S41" s="58"/>
    </row>
    <row r="42" spans="2:19" ht="18">
      <c r="B42" s="12" t="s">
        <v>98</v>
      </c>
      <c r="C42" s="32"/>
      <c r="D42" s="32"/>
      <c r="E42" s="32"/>
      <c r="F42" s="32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32"/>
      <c r="S42" s="58"/>
    </row>
    <row r="43" spans="2:19" ht="18">
      <c r="B43" s="12" t="s">
        <v>63</v>
      </c>
      <c r="C43" s="32"/>
      <c r="D43" s="32"/>
      <c r="E43" s="32"/>
      <c r="F43" s="32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32"/>
      <c r="S43" s="58"/>
    </row>
    <row r="44" spans="2:19" ht="19" thickBot="1">
      <c r="B44" s="15" t="s">
        <v>69</v>
      </c>
      <c r="C44" s="16">
        <f t="shared" ref="C44:S44" si="8">SUM(C39:C43)</f>
        <v>0</v>
      </c>
      <c r="D44" s="16">
        <f t="shared" si="8"/>
        <v>0</v>
      </c>
      <c r="E44" s="16">
        <f t="shared" si="8"/>
        <v>0</v>
      </c>
      <c r="F44" s="16">
        <f t="shared" si="8"/>
        <v>0</v>
      </c>
      <c r="G44" s="16">
        <f t="shared" si="8"/>
        <v>0</v>
      </c>
      <c r="H44" s="16">
        <f t="shared" si="8"/>
        <v>0</v>
      </c>
      <c r="I44" s="16">
        <f t="shared" si="8"/>
        <v>0</v>
      </c>
      <c r="J44" s="16">
        <f t="shared" si="8"/>
        <v>0</v>
      </c>
      <c r="K44" s="16">
        <f t="shared" si="8"/>
        <v>0</v>
      </c>
      <c r="L44" s="16">
        <f t="shared" si="8"/>
        <v>0</v>
      </c>
      <c r="M44" s="16">
        <f t="shared" si="8"/>
        <v>0</v>
      </c>
      <c r="N44" s="16">
        <f t="shared" si="8"/>
        <v>0</v>
      </c>
      <c r="O44" s="16">
        <f t="shared" si="8"/>
        <v>0</v>
      </c>
      <c r="P44" s="16">
        <f t="shared" si="8"/>
        <v>0</v>
      </c>
      <c r="Q44" s="16">
        <f t="shared" si="8"/>
        <v>0</v>
      </c>
      <c r="R44" s="16">
        <f t="shared" si="8"/>
        <v>0</v>
      </c>
      <c r="S44" s="17">
        <f t="shared" si="8"/>
        <v>0</v>
      </c>
    </row>
    <row r="46" spans="2:19" ht="17" customHeight="1" thickBot="1">
      <c r="B46" s="106" t="s">
        <v>155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</row>
    <row r="47" spans="2:19">
      <c r="B47" s="91" t="s">
        <v>148</v>
      </c>
      <c r="C47" s="94" t="s">
        <v>11</v>
      </c>
      <c r="D47" s="95"/>
      <c r="E47" s="95"/>
      <c r="F47" s="96"/>
      <c r="G47" s="94" t="s">
        <v>71</v>
      </c>
      <c r="H47" s="95"/>
      <c r="I47" s="95"/>
      <c r="J47" s="95"/>
      <c r="K47" s="95"/>
      <c r="L47" s="96"/>
      <c r="M47" s="97" t="s">
        <v>2</v>
      </c>
      <c r="N47" s="97" t="s">
        <v>22</v>
      </c>
      <c r="O47" s="97" t="s">
        <v>87</v>
      </c>
      <c r="P47" s="97" t="s">
        <v>77</v>
      </c>
      <c r="Q47" s="97" t="s">
        <v>151</v>
      </c>
      <c r="R47" s="97" t="s">
        <v>20</v>
      </c>
      <c r="S47" s="100" t="s">
        <v>7</v>
      </c>
    </row>
    <row r="48" spans="2:19">
      <c r="B48" s="92"/>
      <c r="C48" s="103" t="s">
        <v>66</v>
      </c>
      <c r="D48" s="104"/>
      <c r="E48" s="103" t="s">
        <v>127</v>
      </c>
      <c r="F48" s="104"/>
      <c r="G48" s="103" t="s">
        <v>66</v>
      </c>
      <c r="H48" s="105"/>
      <c r="I48" s="104"/>
      <c r="J48" s="103" t="s">
        <v>127</v>
      </c>
      <c r="K48" s="105"/>
      <c r="L48" s="104"/>
      <c r="M48" s="98"/>
      <c r="N48" s="98"/>
      <c r="O48" s="98"/>
      <c r="P48" s="98"/>
      <c r="Q48" s="98"/>
      <c r="R48" s="98"/>
      <c r="S48" s="101"/>
    </row>
    <row r="49" spans="2:19" ht="18">
      <c r="B49" s="93"/>
      <c r="C49" s="11" t="s">
        <v>92</v>
      </c>
      <c r="D49" s="11" t="s">
        <v>146</v>
      </c>
      <c r="E49" s="11" t="s">
        <v>92</v>
      </c>
      <c r="F49" s="11" t="s">
        <v>146</v>
      </c>
      <c r="G49" s="11" t="s">
        <v>51</v>
      </c>
      <c r="H49" s="11" t="s">
        <v>3</v>
      </c>
      <c r="I49" s="11" t="s">
        <v>34</v>
      </c>
      <c r="J49" s="11" t="s">
        <v>51</v>
      </c>
      <c r="K49" s="11" t="s">
        <v>3</v>
      </c>
      <c r="L49" s="11" t="s">
        <v>34</v>
      </c>
      <c r="M49" s="99"/>
      <c r="N49" s="99"/>
      <c r="O49" s="99"/>
      <c r="P49" s="99"/>
      <c r="Q49" s="99"/>
      <c r="R49" s="99"/>
      <c r="S49" s="102"/>
    </row>
    <row r="50" spans="2:19" ht="18">
      <c r="B50" s="12" t="s">
        <v>21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58"/>
    </row>
    <row r="51" spans="2:19" ht="18">
      <c r="B51" s="12" t="s">
        <v>48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58"/>
    </row>
    <row r="52" spans="2:19" ht="18">
      <c r="B52" s="12" t="s">
        <v>144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58"/>
    </row>
    <row r="53" spans="2:19" ht="18">
      <c r="B53" s="12" t="s">
        <v>98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58"/>
    </row>
    <row r="54" spans="2:19" ht="18">
      <c r="B54" s="12" t="s">
        <v>63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58"/>
    </row>
    <row r="55" spans="2:19" ht="19" thickBot="1">
      <c r="B55" s="15" t="s">
        <v>69</v>
      </c>
      <c r="C55" s="16">
        <f t="shared" ref="C55:S55" si="9">SUM(C50:C54)</f>
        <v>0</v>
      </c>
      <c r="D55" s="16">
        <f t="shared" si="9"/>
        <v>0</v>
      </c>
      <c r="E55" s="16">
        <f t="shared" si="9"/>
        <v>0</v>
      </c>
      <c r="F55" s="16">
        <f t="shared" si="9"/>
        <v>0</v>
      </c>
      <c r="G55" s="16">
        <f t="shared" si="9"/>
        <v>0</v>
      </c>
      <c r="H55" s="16">
        <f t="shared" si="9"/>
        <v>0</v>
      </c>
      <c r="I55" s="16">
        <f t="shared" si="9"/>
        <v>0</v>
      </c>
      <c r="J55" s="16">
        <f t="shared" si="9"/>
        <v>0</v>
      </c>
      <c r="K55" s="16">
        <f t="shared" si="9"/>
        <v>0</v>
      </c>
      <c r="L55" s="16">
        <f t="shared" si="9"/>
        <v>0</v>
      </c>
      <c r="M55" s="16">
        <f t="shared" si="9"/>
        <v>0</v>
      </c>
      <c r="N55" s="16">
        <f t="shared" si="9"/>
        <v>0</v>
      </c>
      <c r="O55" s="16">
        <f t="shared" si="9"/>
        <v>0</v>
      </c>
      <c r="P55" s="16">
        <f t="shared" si="9"/>
        <v>0</v>
      </c>
      <c r="Q55" s="16">
        <f t="shared" si="9"/>
        <v>0</v>
      </c>
      <c r="R55" s="16">
        <f t="shared" si="9"/>
        <v>0</v>
      </c>
      <c r="S55" s="17">
        <f t="shared" si="9"/>
        <v>0</v>
      </c>
    </row>
    <row r="57" spans="2:19" ht="17" customHeight="1" thickBot="1">
      <c r="B57" s="106" t="s">
        <v>155</v>
      </c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</row>
    <row r="58" spans="2:19">
      <c r="B58" s="91" t="s">
        <v>148</v>
      </c>
      <c r="C58" s="94" t="s">
        <v>11</v>
      </c>
      <c r="D58" s="95"/>
      <c r="E58" s="95"/>
      <c r="F58" s="96"/>
      <c r="G58" s="94" t="s">
        <v>71</v>
      </c>
      <c r="H58" s="95"/>
      <c r="I58" s="95"/>
      <c r="J58" s="95"/>
      <c r="K58" s="95"/>
      <c r="L58" s="96"/>
      <c r="M58" s="97" t="s">
        <v>2</v>
      </c>
      <c r="N58" s="97" t="s">
        <v>22</v>
      </c>
      <c r="O58" s="97" t="s">
        <v>87</v>
      </c>
      <c r="P58" s="97" t="s">
        <v>77</v>
      </c>
      <c r="Q58" s="97" t="s">
        <v>151</v>
      </c>
      <c r="R58" s="97" t="s">
        <v>20</v>
      </c>
      <c r="S58" s="100" t="s">
        <v>7</v>
      </c>
    </row>
    <row r="59" spans="2:19">
      <c r="B59" s="92"/>
      <c r="C59" s="103" t="s">
        <v>66</v>
      </c>
      <c r="D59" s="104"/>
      <c r="E59" s="103" t="s">
        <v>127</v>
      </c>
      <c r="F59" s="104"/>
      <c r="G59" s="103" t="s">
        <v>66</v>
      </c>
      <c r="H59" s="105"/>
      <c r="I59" s="104"/>
      <c r="J59" s="103" t="s">
        <v>127</v>
      </c>
      <c r="K59" s="105"/>
      <c r="L59" s="104"/>
      <c r="M59" s="98"/>
      <c r="N59" s="98"/>
      <c r="O59" s="98"/>
      <c r="P59" s="98"/>
      <c r="Q59" s="98"/>
      <c r="R59" s="98"/>
      <c r="S59" s="101"/>
    </row>
    <row r="60" spans="2:19" ht="18">
      <c r="B60" s="93"/>
      <c r="C60" s="11" t="s">
        <v>92</v>
      </c>
      <c r="D60" s="11" t="s">
        <v>146</v>
      </c>
      <c r="E60" s="11" t="s">
        <v>92</v>
      </c>
      <c r="F60" s="11" t="s">
        <v>146</v>
      </c>
      <c r="G60" s="11" t="s">
        <v>51</v>
      </c>
      <c r="H60" s="11" t="s">
        <v>3</v>
      </c>
      <c r="I60" s="11" t="s">
        <v>34</v>
      </c>
      <c r="J60" s="11" t="s">
        <v>51</v>
      </c>
      <c r="K60" s="11" t="s">
        <v>3</v>
      </c>
      <c r="L60" s="11" t="s">
        <v>34</v>
      </c>
      <c r="M60" s="99"/>
      <c r="N60" s="99"/>
      <c r="O60" s="99"/>
      <c r="P60" s="99"/>
      <c r="Q60" s="99"/>
      <c r="R60" s="99"/>
      <c r="S60" s="102"/>
    </row>
    <row r="61" spans="2:19" ht="18">
      <c r="B61" s="12" t="s">
        <v>21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58"/>
    </row>
    <row r="62" spans="2:19" ht="18">
      <c r="B62" s="12" t="s">
        <v>48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58"/>
    </row>
    <row r="63" spans="2:19" ht="18">
      <c r="B63" s="12" t="s">
        <v>144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58"/>
    </row>
    <row r="64" spans="2:19" ht="18">
      <c r="B64" s="12" t="s">
        <v>98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58"/>
    </row>
    <row r="65" spans="2:19" ht="18">
      <c r="B65" s="12" t="s">
        <v>63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58"/>
    </row>
    <row r="66" spans="2:19" ht="19" thickBot="1">
      <c r="B66" s="15" t="s">
        <v>69</v>
      </c>
      <c r="C66" s="16">
        <f t="shared" ref="C66:S66" si="10">SUM(C61:C65)</f>
        <v>0</v>
      </c>
      <c r="D66" s="16">
        <f t="shared" si="10"/>
        <v>0</v>
      </c>
      <c r="E66" s="16">
        <f t="shared" si="10"/>
        <v>0</v>
      </c>
      <c r="F66" s="16">
        <f t="shared" si="10"/>
        <v>0</v>
      </c>
      <c r="G66" s="16">
        <f t="shared" si="10"/>
        <v>0</v>
      </c>
      <c r="H66" s="16">
        <f t="shared" si="10"/>
        <v>0</v>
      </c>
      <c r="I66" s="16">
        <f t="shared" si="10"/>
        <v>0</v>
      </c>
      <c r="J66" s="16">
        <f t="shared" si="10"/>
        <v>0</v>
      </c>
      <c r="K66" s="16">
        <f t="shared" si="10"/>
        <v>0</v>
      </c>
      <c r="L66" s="16">
        <f t="shared" si="10"/>
        <v>0</v>
      </c>
      <c r="M66" s="16">
        <f t="shared" si="10"/>
        <v>0</v>
      </c>
      <c r="N66" s="16">
        <f t="shared" si="10"/>
        <v>0</v>
      </c>
      <c r="O66" s="16">
        <f t="shared" si="10"/>
        <v>0</v>
      </c>
      <c r="P66" s="16">
        <f t="shared" si="10"/>
        <v>0</v>
      </c>
      <c r="Q66" s="16">
        <f t="shared" si="10"/>
        <v>0</v>
      </c>
      <c r="R66" s="16">
        <f t="shared" si="10"/>
        <v>0</v>
      </c>
      <c r="S66" s="17">
        <f t="shared" si="10"/>
        <v>0</v>
      </c>
    </row>
    <row r="68" spans="2:19" ht="17" customHeight="1" thickBot="1">
      <c r="B68" s="106" t="s">
        <v>155</v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</row>
    <row r="69" spans="2:19">
      <c r="B69" s="91" t="s">
        <v>148</v>
      </c>
      <c r="C69" s="94" t="s">
        <v>11</v>
      </c>
      <c r="D69" s="95"/>
      <c r="E69" s="95"/>
      <c r="F69" s="96"/>
      <c r="G69" s="94" t="s">
        <v>71</v>
      </c>
      <c r="H69" s="95"/>
      <c r="I69" s="95"/>
      <c r="J69" s="95"/>
      <c r="K69" s="95"/>
      <c r="L69" s="96"/>
      <c r="M69" s="97" t="s">
        <v>2</v>
      </c>
      <c r="N69" s="97" t="s">
        <v>22</v>
      </c>
      <c r="O69" s="97" t="s">
        <v>87</v>
      </c>
      <c r="P69" s="97" t="s">
        <v>77</v>
      </c>
      <c r="Q69" s="97" t="s">
        <v>151</v>
      </c>
      <c r="R69" s="97" t="s">
        <v>20</v>
      </c>
      <c r="S69" s="100" t="s">
        <v>7</v>
      </c>
    </row>
    <row r="70" spans="2:19">
      <c r="B70" s="92"/>
      <c r="C70" s="103" t="s">
        <v>66</v>
      </c>
      <c r="D70" s="104"/>
      <c r="E70" s="103" t="s">
        <v>127</v>
      </c>
      <c r="F70" s="104"/>
      <c r="G70" s="103" t="s">
        <v>66</v>
      </c>
      <c r="H70" s="105"/>
      <c r="I70" s="104"/>
      <c r="J70" s="103" t="s">
        <v>127</v>
      </c>
      <c r="K70" s="105"/>
      <c r="L70" s="104"/>
      <c r="M70" s="98"/>
      <c r="N70" s="98"/>
      <c r="O70" s="98"/>
      <c r="P70" s="98"/>
      <c r="Q70" s="98"/>
      <c r="R70" s="98"/>
      <c r="S70" s="101"/>
    </row>
    <row r="71" spans="2:19" ht="18">
      <c r="B71" s="93"/>
      <c r="C71" s="11" t="s">
        <v>92</v>
      </c>
      <c r="D71" s="11" t="s">
        <v>146</v>
      </c>
      <c r="E71" s="11" t="s">
        <v>92</v>
      </c>
      <c r="F71" s="11" t="s">
        <v>146</v>
      </c>
      <c r="G71" s="11" t="s">
        <v>51</v>
      </c>
      <c r="H71" s="11" t="s">
        <v>3</v>
      </c>
      <c r="I71" s="11" t="s">
        <v>34</v>
      </c>
      <c r="J71" s="11" t="s">
        <v>51</v>
      </c>
      <c r="K71" s="11" t="s">
        <v>3</v>
      </c>
      <c r="L71" s="11" t="s">
        <v>34</v>
      </c>
      <c r="M71" s="99"/>
      <c r="N71" s="99"/>
      <c r="O71" s="99"/>
      <c r="P71" s="99"/>
      <c r="Q71" s="99"/>
      <c r="R71" s="99"/>
      <c r="S71" s="102"/>
    </row>
    <row r="72" spans="2:19" ht="18">
      <c r="B72" s="12" t="s">
        <v>21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58"/>
    </row>
    <row r="73" spans="2:19" ht="18">
      <c r="B73" s="12" t="s">
        <v>48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58"/>
    </row>
    <row r="74" spans="2:19" ht="18">
      <c r="B74" s="12" t="s">
        <v>144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58"/>
    </row>
    <row r="75" spans="2:19" ht="18">
      <c r="B75" s="12" t="s">
        <v>98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58"/>
    </row>
    <row r="76" spans="2:19" ht="18">
      <c r="B76" s="12" t="s">
        <v>63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58"/>
    </row>
    <row r="77" spans="2:19" ht="19" thickBot="1">
      <c r="B77" s="15" t="s">
        <v>69</v>
      </c>
      <c r="C77" s="16">
        <f t="shared" ref="C77:S77" si="11">SUM(C72:C76)</f>
        <v>0</v>
      </c>
      <c r="D77" s="16">
        <f t="shared" si="11"/>
        <v>0</v>
      </c>
      <c r="E77" s="16">
        <f t="shared" si="11"/>
        <v>0</v>
      </c>
      <c r="F77" s="16">
        <f t="shared" si="11"/>
        <v>0</v>
      </c>
      <c r="G77" s="16">
        <f t="shared" si="11"/>
        <v>0</v>
      </c>
      <c r="H77" s="16">
        <f t="shared" si="11"/>
        <v>0</v>
      </c>
      <c r="I77" s="16">
        <f t="shared" si="11"/>
        <v>0</v>
      </c>
      <c r="J77" s="16">
        <f t="shared" si="11"/>
        <v>0</v>
      </c>
      <c r="K77" s="16">
        <f t="shared" si="11"/>
        <v>0</v>
      </c>
      <c r="L77" s="16">
        <f t="shared" si="11"/>
        <v>0</v>
      </c>
      <c r="M77" s="16">
        <f t="shared" si="11"/>
        <v>0</v>
      </c>
      <c r="N77" s="16">
        <f t="shared" si="11"/>
        <v>0</v>
      </c>
      <c r="O77" s="16">
        <f t="shared" si="11"/>
        <v>0</v>
      </c>
      <c r="P77" s="16">
        <f t="shared" si="11"/>
        <v>0</v>
      </c>
      <c r="Q77" s="16">
        <f t="shared" si="11"/>
        <v>0</v>
      </c>
      <c r="R77" s="16">
        <f t="shared" si="11"/>
        <v>0</v>
      </c>
      <c r="S77" s="17">
        <f t="shared" si="11"/>
        <v>0</v>
      </c>
    </row>
    <row r="79" spans="2:19" ht="17" customHeight="1" thickBot="1">
      <c r="B79" s="106" t="s">
        <v>155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</row>
    <row r="80" spans="2:19">
      <c r="B80" s="91" t="s">
        <v>148</v>
      </c>
      <c r="C80" s="94" t="s">
        <v>11</v>
      </c>
      <c r="D80" s="95"/>
      <c r="E80" s="95"/>
      <c r="F80" s="96"/>
      <c r="G80" s="94" t="s">
        <v>71</v>
      </c>
      <c r="H80" s="95"/>
      <c r="I80" s="95"/>
      <c r="J80" s="95"/>
      <c r="K80" s="95"/>
      <c r="L80" s="96"/>
      <c r="M80" s="97" t="s">
        <v>2</v>
      </c>
      <c r="N80" s="97" t="s">
        <v>22</v>
      </c>
      <c r="O80" s="97" t="s">
        <v>87</v>
      </c>
      <c r="P80" s="97" t="s">
        <v>77</v>
      </c>
      <c r="Q80" s="97" t="s">
        <v>151</v>
      </c>
      <c r="R80" s="97" t="s">
        <v>20</v>
      </c>
      <c r="S80" s="100" t="s">
        <v>7</v>
      </c>
    </row>
    <row r="81" spans="2:19">
      <c r="B81" s="92"/>
      <c r="C81" s="103" t="s">
        <v>66</v>
      </c>
      <c r="D81" s="104"/>
      <c r="E81" s="103" t="s">
        <v>127</v>
      </c>
      <c r="F81" s="104"/>
      <c r="G81" s="103" t="s">
        <v>66</v>
      </c>
      <c r="H81" s="105"/>
      <c r="I81" s="104"/>
      <c r="J81" s="103" t="s">
        <v>127</v>
      </c>
      <c r="K81" s="105"/>
      <c r="L81" s="104"/>
      <c r="M81" s="98"/>
      <c r="N81" s="98"/>
      <c r="O81" s="98"/>
      <c r="P81" s="98"/>
      <c r="Q81" s="98"/>
      <c r="R81" s="98"/>
      <c r="S81" s="101"/>
    </row>
    <row r="82" spans="2:19" ht="18">
      <c r="B82" s="93"/>
      <c r="C82" s="11" t="s">
        <v>92</v>
      </c>
      <c r="D82" s="11" t="s">
        <v>146</v>
      </c>
      <c r="E82" s="11" t="s">
        <v>92</v>
      </c>
      <c r="F82" s="11" t="s">
        <v>146</v>
      </c>
      <c r="G82" s="11" t="s">
        <v>51</v>
      </c>
      <c r="H82" s="11" t="s">
        <v>3</v>
      </c>
      <c r="I82" s="11" t="s">
        <v>34</v>
      </c>
      <c r="J82" s="11" t="s">
        <v>51</v>
      </c>
      <c r="K82" s="11" t="s">
        <v>3</v>
      </c>
      <c r="L82" s="11" t="s">
        <v>34</v>
      </c>
      <c r="M82" s="99"/>
      <c r="N82" s="99"/>
      <c r="O82" s="99"/>
      <c r="P82" s="99"/>
      <c r="Q82" s="99"/>
      <c r="R82" s="99"/>
      <c r="S82" s="102"/>
    </row>
    <row r="83" spans="2:19" ht="18">
      <c r="B83" s="12" t="s">
        <v>21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58"/>
    </row>
    <row r="84" spans="2:19" ht="18">
      <c r="B84" s="12" t="s">
        <v>48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58"/>
    </row>
    <row r="85" spans="2:19" ht="18">
      <c r="B85" s="12" t="s">
        <v>144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58"/>
    </row>
    <row r="86" spans="2:19" ht="18">
      <c r="B86" s="12" t="s">
        <v>98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58"/>
    </row>
    <row r="87" spans="2:19" ht="18">
      <c r="B87" s="12" t="s">
        <v>63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58"/>
    </row>
    <row r="88" spans="2:19" ht="19" thickBot="1">
      <c r="B88" s="15" t="s">
        <v>69</v>
      </c>
      <c r="C88" s="16">
        <f t="shared" ref="C88:S88" si="12">SUM(C83:C87)</f>
        <v>0</v>
      </c>
      <c r="D88" s="16">
        <f t="shared" si="12"/>
        <v>0</v>
      </c>
      <c r="E88" s="16">
        <f t="shared" si="12"/>
        <v>0</v>
      </c>
      <c r="F88" s="16">
        <f t="shared" si="12"/>
        <v>0</v>
      </c>
      <c r="G88" s="16">
        <f t="shared" si="12"/>
        <v>0</v>
      </c>
      <c r="H88" s="16">
        <f t="shared" si="12"/>
        <v>0</v>
      </c>
      <c r="I88" s="16">
        <f t="shared" si="12"/>
        <v>0</v>
      </c>
      <c r="J88" s="16">
        <f t="shared" si="12"/>
        <v>0</v>
      </c>
      <c r="K88" s="16">
        <f t="shared" si="12"/>
        <v>0</v>
      </c>
      <c r="L88" s="16">
        <f t="shared" si="12"/>
        <v>0</v>
      </c>
      <c r="M88" s="16">
        <f t="shared" si="12"/>
        <v>0</v>
      </c>
      <c r="N88" s="16">
        <f t="shared" si="12"/>
        <v>0</v>
      </c>
      <c r="O88" s="16">
        <f t="shared" si="12"/>
        <v>0</v>
      </c>
      <c r="P88" s="16">
        <f t="shared" si="12"/>
        <v>0</v>
      </c>
      <c r="Q88" s="16">
        <f t="shared" si="12"/>
        <v>0</v>
      </c>
      <c r="R88" s="16">
        <f t="shared" si="12"/>
        <v>0</v>
      </c>
      <c r="S88" s="17">
        <f t="shared" si="12"/>
        <v>0</v>
      </c>
    </row>
    <row r="90" spans="2:19" ht="17" customHeight="1" thickBot="1">
      <c r="B90" s="106" t="s">
        <v>155</v>
      </c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</row>
    <row r="91" spans="2:19">
      <c r="B91" s="91" t="s">
        <v>148</v>
      </c>
      <c r="C91" s="94" t="s">
        <v>11</v>
      </c>
      <c r="D91" s="95"/>
      <c r="E91" s="95"/>
      <c r="F91" s="96"/>
      <c r="G91" s="94" t="s">
        <v>71</v>
      </c>
      <c r="H91" s="95"/>
      <c r="I91" s="95"/>
      <c r="J91" s="95"/>
      <c r="K91" s="95"/>
      <c r="L91" s="96"/>
      <c r="M91" s="97" t="s">
        <v>2</v>
      </c>
      <c r="N91" s="97" t="s">
        <v>22</v>
      </c>
      <c r="O91" s="97" t="s">
        <v>87</v>
      </c>
      <c r="P91" s="97" t="s">
        <v>77</v>
      </c>
      <c r="Q91" s="97" t="s">
        <v>151</v>
      </c>
      <c r="R91" s="97" t="s">
        <v>20</v>
      </c>
      <c r="S91" s="100" t="s">
        <v>7</v>
      </c>
    </row>
    <row r="92" spans="2:19">
      <c r="B92" s="92"/>
      <c r="C92" s="103" t="s">
        <v>66</v>
      </c>
      <c r="D92" s="104"/>
      <c r="E92" s="103" t="s">
        <v>127</v>
      </c>
      <c r="F92" s="104"/>
      <c r="G92" s="103" t="s">
        <v>66</v>
      </c>
      <c r="H92" s="105"/>
      <c r="I92" s="104"/>
      <c r="J92" s="103" t="s">
        <v>127</v>
      </c>
      <c r="K92" s="105"/>
      <c r="L92" s="104"/>
      <c r="M92" s="98"/>
      <c r="N92" s="98"/>
      <c r="O92" s="98"/>
      <c r="P92" s="98"/>
      <c r="Q92" s="98"/>
      <c r="R92" s="98"/>
      <c r="S92" s="101"/>
    </row>
    <row r="93" spans="2:19" ht="18">
      <c r="B93" s="93"/>
      <c r="C93" s="11" t="s">
        <v>92</v>
      </c>
      <c r="D93" s="11" t="s">
        <v>146</v>
      </c>
      <c r="E93" s="11" t="s">
        <v>92</v>
      </c>
      <c r="F93" s="11" t="s">
        <v>146</v>
      </c>
      <c r="G93" s="11" t="s">
        <v>51</v>
      </c>
      <c r="H93" s="11" t="s">
        <v>3</v>
      </c>
      <c r="I93" s="11" t="s">
        <v>34</v>
      </c>
      <c r="J93" s="11" t="s">
        <v>51</v>
      </c>
      <c r="K93" s="11" t="s">
        <v>3</v>
      </c>
      <c r="L93" s="11" t="s">
        <v>34</v>
      </c>
      <c r="M93" s="99"/>
      <c r="N93" s="99"/>
      <c r="O93" s="99"/>
      <c r="P93" s="99"/>
      <c r="Q93" s="99"/>
      <c r="R93" s="99"/>
      <c r="S93" s="102"/>
    </row>
    <row r="94" spans="2:19" ht="18">
      <c r="B94" s="12" t="s">
        <v>21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6"/>
    </row>
    <row r="95" spans="2:19" ht="18">
      <c r="B95" s="12" t="s">
        <v>48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6"/>
    </row>
    <row r="96" spans="2:19" ht="18">
      <c r="B96" s="12" t="s">
        <v>144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6"/>
    </row>
    <row r="97" spans="2:19" ht="18">
      <c r="B97" s="12" t="s">
        <v>98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6"/>
    </row>
    <row r="98" spans="2:19" ht="18">
      <c r="B98" s="12" t="s">
        <v>63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6"/>
    </row>
    <row r="99" spans="2:19" ht="19" thickBot="1">
      <c r="B99" s="15" t="s">
        <v>69</v>
      </c>
      <c r="C99" s="16">
        <f t="shared" ref="C99:S99" si="13">SUM(C94:C98)</f>
        <v>0</v>
      </c>
      <c r="D99" s="16">
        <f t="shared" si="13"/>
        <v>0</v>
      </c>
      <c r="E99" s="16">
        <f t="shared" si="13"/>
        <v>0</v>
      </c>
      <c r="F99" s="16">
        <f t="shared" si="13"/>
        <v>0</v>
      </c>
      <c r="G99" s="16">
        <f t="shared" si="13"/>
        <v>0</v>
      </c>
      <c r="H99" s="16">
        <f t="shared" si="13"/>
        <v>0</v>
      </c>
      <c r="I99" s="16">
        <f t="shared" si="13"/>
        <v>0</v>
      </c>
      <c r="J99" s="16">
        <f t="shared" si="13"/>
        <v>0</v>
      </c>
      <c r="K99" s="16">
        <f t="shared" si="13"/>
        <v>0</v>
      </c>
      <c r="L99" s="16">
        <f t="shared" si="13"/>
        <v>0</v>
      </c>
      <c r="M99" s="16">
        <f t="shared" si="13"/>
        <v>0</v>
      </c>
      <c r="N99" s="16">
        <f t="shared" si="13"/>
        <v>0</v>
      </c>
      <c r="O99" s="16">
        <f t="shared" si="13"/>
        <v>0</v>
      </c>
      <c r="P99" s="16">
        <f t="shared" si="13"/>
        <v>0</v>
      </c>
      <c r="Q99" s="16">
        <f t="shared" si="13"/>
        <v>0</v>
      </c>
      <c r="R99" s="16">
        <f t="shared" si="13"/>
        <v>0</v>
      </c>
      <c r="S99" s="17">
        <f t="shared" si="13"/>
        <v>0</v>
      </c>
    </row>
  </sheetData>
  <mergeCells count="134">
    <mergeCell ref="P91:P93"/>
    <mergeCell ref="Q91:Q93"/>
    <mergeCell ref="R91:R93"/>
    <mergeCell ref="S91:S93"/>
    <mergeCell ref="C92:D92"/>
    <mergeCell ref="E92:F92"/>
    <mergeCell ref="G92:I92"/>
    <mergeCell ref="J92:L92"/>
    <mergeCell ref="B91:B93"/>
    <mergeCell ref="C91:F91"/>
    <mergeCell ref="G91:L91"/>
    <mergeCell ref="M91:M93"/>
    <mergeCell ref="N91:N93"/>
    <mergeCell ref="O91:O93"/>
    <mergeCell ref="S80:S82"/>
    <mergeCell ref="C81:D81"/>
    <mergeCell ref="E81:F81"/>
    <mergeCell ref="G81:I81"/>
    <mergeCell ref="J81:L81"/>
    <mergeCell ref="B90:S90"/>
    <mergeCell ref="B79:S79"/>
    <mergeCell ref="B80:B82"/>
    <mergeCell ref="C80:F80"/>
    <mergeCell ref="G80:L80"/>
    <mergeCell ref="M80:M82"/>
    <mergeCell ref="N80:N82"/>
    <mergeCell ref="O80:O82"/>
    <mergeCell ref="P80:P82"/>
    <mergeCell ref="Q80:Q82"/>
    <mergeCell ref="R80:R82"/>
    <mergeCell ref="P69:P71"/>
    <mergeCell ref="Q69:Q71"/>
    <mergeCell ref="R69:R71"/>
    <mergeCell ref="S69:S71"/>
    <mergeCell ref="C70:D70"/>
    <mergeCell ref="E70:F70"/>
    <mergeCell ref="G70:I70"/>
    <mergeCell ref="J70:L70"/>
    <mergeCell ref="B69:B71"/>
    <mergeCell ref="C69:F69"/>
    <mergeCell ref="G69:L69"/>
    <mergeCell ref="M69:M71"/>
    <mergeCell ref="N69:N71"/>
    <mergeCell ref="O69:O71"/>
    <mergeCell ref="S58:S60"/>
    <mergeCell ref="C59:D59"/>
    <mergeCell ref="E59:F59"/>
    <mergeCell ref="G59:I59"/>
    <mergeCell ref="J59:L59"/>
    <mergeCell ref="B68:S68"/>
    <mergeCell ref="B57:S57"/>
    <mergeCell ref="B58:B60"/>
    <mergeCell ref="C58:F58"/>
    <mergeCell ref="G58:L58"/>
    <mergeCell ref="M58:M60"/>
    <mergeCell ref="N58:N60"/>
    <mergeCell ref="O58:O60"/>
    <mergeCell ref="P58:P60"/>
    <mergeCell ref="Q58:Q60"/>
    <mergeCell ref="R58:R60"/>
    <mergeCell ref="P47:P49"/>
    <mergeCell ref="Q47:Q49"/>
    <mergeCell ref="R47:R49"/>
    <mergeCell ref="S47:S49"/>
    <mergeCell ref="C48:D48"/>
    <mergeCell ref="E48:F48"/>
    <mergeCell ref="G48:I48"/>
    <mergeCell ref="J48:L48"/>
    <mergeCell ref="B47:B49"/>
    <mergeCell ref="C47:F47"/>
    <mergeCell ref="G47:L47"/>
    <mergeCell ref="M47:M49"/>
    <mergeCell ref="N47:N49"/>
    <mergeCell ref="O47:O49"/>
    <mergeCell ref="S36:S38"/>
    <mergeCell ref="C37:D37"/>
    <mergeCell ref="E37:F37"/>
    <mergeCell ref="G37:I37"/>
    <mergeCell ref="J37:L37"/>
    <mergeCell ref="B46:S46"/>
    <mergeCell ref="B35:S35"/>
    <mergeCell ref="B36:B38"/>
    <mergeCell ref="C36:F36"/>
    <mergeCell ref="G36:L36"/>
    <mergeCell ref="M36:M38"/>
    <mergeCell ref="N36:N38"/>
    <mergeCell ref="O36:O38"/>
    <mergeCell ref="P36:P38"/>
    <mergeCell ref="Q36:Q38"/>
    <mergeCell ref="R36:R38"/>
    <mergeCell ref="P25:P27"/>
    <mergeCell ref="Q25:Q27"/>
    <mergeCell ref="R25:R27"/>
    <mergeCell ref="S25:S27"/>
    <mergeCell ref="C26:D26"/>
    <mergeCell ref="E26:F26"/>
    <mergeCell ref="G26:I26"/>
    <mergeCell ref="J26:L26"/>
    <mergeCell ref="B25:B27"/>
    <mergeCell ref="C25:F25"/>
    <mergeCell ref="G25:L25"/>
    <mergeCell ref="M25:M27"/>
    <mergeCell ref="N25:N27"/>
    <mergeCell ref="O25:O27"/>
    <mergeCell ref="S14:S16"/>
    <mergeCell ref="C15:D15"/>
    <mergeCell ref="E15:F15"/>
    <mergeCell ref="G15:I15"/>
    <mergeCell ref="J15:L15"/>
    <mergeCell ref="B24:S24"/>
    <mergeCell ref="B13:S13"/>
    <mergeCell ref="B14:B16"/>
    <mergeCell ref="C14:F14"/>
    <mergeCell ref="G14:L14"/>
    <mergeCell ref="M14:M16"/>
    <mergeCell ref="N14:N16"/>
    <mergeCell ref="O14:O16"/>
    <mergeCell ref="P14:P16"/>
    <mergeCell ref="Q14:Q16"/>
    <mergeCell ref="R14:R16"/>
    <mergeCell ref="P3:P5"/>
    <mergeCell ref="Q3:Q5"/>
    <mergeCell ref="R3:R5"/>
    <mergeCell ref="S3:S5"/>
    <mergeCell ref="C4:D4"/>
    <mergeCell ref="E4:F4"/>
    <mergeCell ref="G4:I4"/>
    <mergeCell ref="J4:L4"/>
    <mergeCell ref="B3:B5"/>
    <mergeCell ref="C3:F3"/>
    <mergeCell ref="G3:L3"/>
    <mergeCell ref="M3:M5"/>
    <mergeCell ref="N3:N5"/>
    <mergeCell ref="O3:O5"/>
  </mergeCells>
  <phoneticPr fontId="12" type="noConversion"/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003B-02C0-EC4B-A768-4E2EE7944882}">
  <dimension ref="B2:S99"/>
  <sheetViews>
    <sheetView zoomScale="150" zoomScaleNormal="150" zoomScaleSheetLayoutView="121" workbookViewId="0"/>
  </sheetViews>
  <sheetFormatPr baseColWidth="10" defaultColWidth="7.7109375" defaultRowHeight="17"/>
  <cols>
    <col min="1" max="1" width="2.28515625" style="10" customWidth="1"/>
    <col min="2" max="2" width="14.140625" style="10" bestFit="1" customWidth="1"/>
    <col min="3" max="6" width="4.42578125" style="10" bestFit="1" customWidth="1"/>
    <col min="7" max="12" width="9.42578125" style="10" bestFit="1" customWidth="1"/>
    <col min="13" max="13" width="7.7109375" style="10" bestFit="1" customWidth="1"/>
    <col min="14" max="15" width="7.140625" style="10" bestFit="1" customWidth="1"/>
    <col min="16" max="16" width="7.7109375" style="10" bestFit="1" customWidth="1"/>
    <col min="17" max="17" width="6.140625" style="10" bestFit="1" customWidth="1"/>
    <col min="18" max="18" width="7.42578125" style="10" bestFit="1" customWidth="1"/>
    <col min="19" max="19" width="7.7109375" style="10" bestFit="1" customWidth="1"/>
    <col min="20" max="20" width="2.28515625" style="10" customWidth="1"/>
    <col min="21" max="16384" width="7.7109375" style="10"/>
  </cols>
  <sheetData>
    <row r="2" spans="2:19" ht="18" thickBot="1">
      <c r="B2" s="9" t="s">
        <v>80</v>
      </c>
    </row>
    <row r="3" spans="2:19">
      <c r="B3" s="91" t="s">
        <v>148</v>
      </c>
      <c r="C3" s="94" t="s">
        <v>11</v>
      </c>
      <c r="D3" s="95"/>
      <c r="E3" s="95"/>
      <c r="F3" s="96"/>
      <c r="G3" s="94" t="s">
        <v>71</v>
      </c>
      <c r="H3" s="95"/>
      <c r="I3" s="95"/>
      <c r="J3" s="95"/>
      <c r="K3" s="95"/>
      <c r="L3" s="96"/>
      <c r="M3" s="97" t="s">
        <v>2</v>
      </c>
      <c r="N3" s="97" t="s">
        <v>22</v>
      </c>
      <c r="O3" s="97" t="s">
        <v>87</v>
      </c>
      <c r="P3" s="97" t="s">
        <v>77</v>
      </c>
      <c r="Q3" s="97" t="s">
        <v>151</v>
      </c>
      <c r="R3" s="97" t="s">
        <v>20</v>
      </c>
      <c r="S3" s="100" t="s">
        <v>7</v>
      </c>
    </row>
    <row r="4" spans="2:19">
      <c r="B4" s="92"/>
      <c r="C4" s="103" t="s">
        <v>66</v>
      </c>
      <c r="D4" s="104"/>
      <c r="E4" s="103" t="s">
        <v>127</v>
      </c>
      <c r="F4" s="104"/>
      <c r="G4" s="103" t="s">
        <v>66</v>
      </c>
      <c r="H4" s="105"/>
      <c r="I4" s="104"/>
      <c r="J4" s="103" t="s">
        <v>127</v>
      </c>
      <c r="K4" s="105"/>
      <c r="L4" s="104"/>
      <c r="M4" s="98"/>
      <c r="N4" s="98"/>
      <c r="O4" s="98"/>
      <c r="P4" s="98"/>
      <c r="Q4" s="98"/>
      <c r="R4" s="98"/>
      <c r="S4" s="101"/>
    </row>
    <row r="5" spans="2:19" ht="18">
      <c r="B5" s="93"/>
      <c r="C5" s="11" t="s">
        <v>92</v>
      </c>
      <c r="D5" s="11" t="s">
        <v>146</v>
      </c>
      <c r="E5" s="11" t="s">
        <v>92</v>
      </c>
      <c r="F5" s="11" t="s">
        <v>146</v>
      </c>
      <c r="G5" s="11" t="s">
        <v>51</v>
      </c>
      <c r="H5" s="11" t="s">
        <v>3</v>
      </c>
      <c r="I5" s="11" t="s">
        <v>34</v>
      </c>
      <c r="J5" s="11" t="s">
        <v>51</v>
      </c>
      <c r="K5" s="11" t="s">
        <v>3</v>
      </c>
      <c r="L5" s="11" t="s">
        <v>34</v>
      </c>
      <c r="M5" s="99"/>
      <c r="N5" s="99"/>
      <c r="O5" s="99"/>
      <c r="P5" s="99"/>
      <c r="Q5" s="99"/>
      <c r="R5" s="99"/>
      <c r="S5" s="102"/>
    </row>
    <row r="6" spans="2:19" ht="18">
      <c r="B6" s="12" t="s">
        <v>21</v>
      </c>
      <c r="C6" s="60">
        <f t="shared" ref="C6:S6" si="0">C28+C39+C50+C61+C72+C83+C94+C17</f>
        <v>0</v>
      </c>
      <c r="D6" s="60">
        <f t="shared" si="0"/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1">
        <f t="shared" si="0"/>
        <v>0</v>
      </c>
    </row>
    <row r="7" spans="2:19" ht="18">
      <c r="B7" s="12" t="s">
        <v>48</v>
      </c>
      <c r="C7" s="60">
        <f t="shared" ref="C7:S7" si="1">C29+C40+C51+C62+C73+C84+C95+C18</f>
        <v>0</v>
      </c>
      <c r="D7" s="60">
        <f t="shared" si="1"/>
        <v>0</v>
      </c>
      <c r="E7" s="60">
        <f t="shared" si="1"/>
        <v>0</v>
      </c>
      <c r="F7" s="60">
        <f t="shared" si="1"/>
        <v>0</v>
      </c>
      <c r="G7" s="60">
        <f t="shared" si="1"/>
        <v>0</v>
      </c>
      <c r="H7" s="60">
        <f t="shared" si="1"/>
        <v>0</v>
      </c>
      <c r="I7" s="60">
        <f t="shared" si="1"/>
        <v>0</v>
      </c>
      <c r="J7" s="60">
        <f t="shared" si="1"/>
        <v>0</v>
      </c>
      <c r="K7" s="60">
        <f t="shared" si="1"/>
        <v>0</v>
      </c>
      <c r="L7" s="60">
        <f t="shared" si="1"/>
        <v>0</v>
      </c>
      <c r="M7" s="60">
        <f t="shared" si="1"/>
        <v>0</v>
      </c>
      <c r="N7" s="60">
        <f t="shared" si="1"/>
        <v>0</v>
      </c>
      <c r="O7" s="60">
        <f t="shared" si="1"/>
        <v>0</v>
      </c>
      <c r="P7" s="60">
        <f t="shared" si="1"/>
        <v>0</v>
      </c>
      <c r="Q7" s="60">
        <f t="shared" si="1"/>
        <v>0</v>
      </c>
      <c r="R7" s="60">
        <f t="shared" si="1"/>
        <v>0</v>
      </c>
      <c r="S7" s="61">
        <f t="shared" si="1"/>
        <v>0</v>
      </c>
    </row>
    <row r="8" spans="2:19" ht="18">
      <c r="B8" s="12" t="s">
        <v>144</v>
      </c>
      <c r="C8" s="60">
        <f t="shared" ref="C8:S8" si="2">C30+C41+C52+C63+C74+C85+C96+C19</f>
        <v>0</v>
      </c>
      <c r="D8" s="60">
        <f t="shared" si="2"/>
        <v>0</v>
      </c>
      <c r="E8" s="60">
        <f t="shared" si="2"/>
        <v>0</v>
      </c>
      <c r="F8" s="60">
        <f t="shared" si="2"/>
        <v>0</v>
      </c>
      <c r="G8" s="60">
        <f t="shared" si="2"/>
        <v>0</v>
      </c>
      <c r="H8" s="60">
        <f t="shared" si="2"/>
        <v>0</v>
      </c>
      <c r="I8" s="60">
        <f t="shared" si="2"/>
        <v>0</v>
      </c>
      <c r="J8" s="60">
        <f t="shared" si="2"/>
        <v>0</v>
      </c>
      <c r="K8" s="60">
        <f t="shared" si="2"/>
        <v>0</v>
      </c>
      <c r="L8" s="60">
        <f t="shared" si="2"/>
        <v>0</v>
      </c>
      <c r="M8" s="60">
        <f t="shared" si="2"/>
        <v>0</v>
      </c>
      <c r="N8" s="60">
        <f t="shared" si="2"/>
        <v>0</v>
      </c>
      <c r="O8" s="60">
        <f t="shared" si="2"/>
        <v>0</v>
      </c>
      <c r="P8" s="60">
        <f t="shared" si="2"/>
        <v>0</v>
      </c>
      <c r="Q8" s="60">
        <f t="shared" si="2"/>
        <v>0</v>
      </c>
      <c r="R8" s="60">
        <f t="shared" si="2"/>
        <v>0</v>
      </c>
      <c r="S8" s="61">
        <f t="shared" si="2"/>
        <v>0</v>
      </c>
    </row>
    <row r="9" spans="2:19" ht="18">
      <c r="B9" s="12" t="s">
        <v>98</v>
      </c>
      <c r="C9" s="60">
        <f t="shared" ref="C9:S9" si="3">C31+C42+C53+C64+C75+C86+C97+C20</f>
        <v>0</v>
      </c>
      <c r="D9" s="60">
        <f t="shared" si="3"/>
        <v>0</v>
      </c>
      <c r="E9" s="60">
        <f t="shared" si="3"/>
        <v>0</v>
      </c>
      <c r="F9" s="60">
        <f t="shared" si="3"/>
        <v>0</v>
      </c>
      <c r="G9" s="60">
        <f t="shared" si="3"/>
        <v>0</v>
      </c>
      <c r="H9" s="60">
        <f t="shared" si="3"/>
        <v>0</v>
      </c>
      <c r="I9" s="60">
        <f t="shared" si="3"/>
        <v>0</v>
      </c>
      <c r="J9" s="60">
        <f t="shared" si="3"/>
        <v>0</v>
      </c>
      <c r="K9" s="60">
        <f t="shared" si="3"/>
        <v>0</v>
      </c>
      <c r="L9" s="60">
        <f t="shared" si="3"/>
        <v>0</v>
      </c>
      <c r="M9" s="60">
        <f t="shared" si="3"/>
        <v>0</v>
      </c>
      <c r="N9" s="60">
        <f t="shared" si="3"/>
        <v>0</v>
      </c>
      <c r="O9" s="60">
        <f t="shared" si="3"/>
        <v>0</v>
      </c>
      <c r="P9" s="60">
        <f t="shared" si="3"/>
        <v>0</v>
      </c>
      <c r="Q9" s="60">
        <f t="shared" si="3"/>
        <v>0</v>
      </c>
      <c r="R9" s="60">
        <f t="shared" si="3"/>
        <v>0</v>
      </c>
      <c r="S9" s="61">
        <f t="shared" si="3"/>
        <v>0</v>
      </c>
    </row>
    <row r="10" spans="2:19" ht="18">
      <c r="B10" s="12" t="s">
        <v>63</v>
      </c>
      <c r="C10" s="60">
        <f t="shared" ref="C10:S10" si="4">C32+C43+C54+C65+C76+C87+C98+C21</f>
        <v>0</v>
      </c>
      <c r="D10" s="60">
        <f t="shared" si="4"/>
        <v>0</v>
      </c>
      <c r="E10" s="60">
        <f t="shared" si="4"/>
        <v>0</v>
      </c>
      <c r="F10" s="60">
        <f t="shared" si="4"/>
        <v>0</v>
      </c>
      <c r="G10" s="60">
        <f t="shared" si="4"/>
        <v>0</v>
      </c>
      <c r="H10" s="60">
        <f t="shared" si="4"/>
        <v>0</v>
      </c>
      <c r="I10" s="60">
        <f t="shared" si="4"/>
        <v>0</v>
      </c>
      <c r="J10" s="60">
        <f t="shared" si="4"/>
        <v>0</v>
      </c>
      <c r="K10" s="60">
        <f t="shared" si="4"/>
        <v>0</v>
      </c>
      <c r="L10" s="60">
        <f t="shared" si="4"/>
        <v>0</v>
      </c>
      <c r="M10" s="60">
        <f t="shared" si="4"/>
        <v>0</v>
      </c>
      <c r="N10" s="60">
        <f t="shared" si="4"/>
        <v>0</v>
      </c>
      <c r="O10" s="60">
        <f t="shared" si="4"/>
        <v>0</v>
      </c>
      <c r="P10" s="60">
        <f t="shared" si="4"/>
        <v>0</v>
      </c>
      <c r="Q10" s="60">
        <f t="shared" si="4"/>
        <v>0</v>
      </c>
      <c r="R10" s="60">
        <f t="shared" si="4"/>
        <v>0</v>
      </c>
      <c r="S10" s="61">
        <f t="shared" si="4"/>
        <v>0</v>
      </c>
    </row>
    <row r="11" spans="2:19" ht="19" thickBot="1">
      <c r="B11" s="15" t="s">
        <v>69</v>
      </c>
      <c r="C11" s="74">
        <f t="shared" ref="C11:S11" si="5">C33+C44+C55+C66+C77+C88+C99+C22</f>
        <v>0</v>
      </c>
      <c r="D11" s="74">
        <f t="shared" si="5"/>
        <v>0</v>
      </c>
      <c r="E11" s="74">
        <f t="shared" si="5"/>
        <v>0</v>
      </c>
      <c r="F11" s="74">
        <f t="shared" si="5"/>
        <v>0</v>
      </c>
      <c r="G11" s="74">
        <f t="shared" si="5"/>
        <v>0</v>
      </c>
      <c r="H11" s="74">
        <f t="shared" si="5"/>
        <v>0</v>
      </c>
      <c r="I11" s="74">
        <f t="shared" si="5"/>
        <v>0</v>
      </c>
      <c r="J11" s="74">
        <f t="shared" si="5"/>
        <v>0</v>
      </c>
      <c r="K11" s="74">
        <f t="shared" si="5"/>
        <v>0</v>
      </c>
      <c r="L11" s="74">
        <f t="shared" si="5"/>
        <v>0</v>
      </c>
      <c r="M11" s="74">
        <f t="shared" si="5"/>
        <v>0</v>
      </c>
      <c r="N11" s="74">
        <f t="shared" si="5"/>
        <v>0</v>
      </c>
      <c r="O11" s="74">
        <f t="shared" si="5"/>
        <v>0</v>
      </c>
      <c r="P11" s="74">
        <f t="shared" si="5"/>
        <v>0</v>
      </c>
      <c r="Q11" s="74">
        <f t="shared" si="5"/>
        <v>0</v>
      </c>
      <c r="R11" s="74">
        <f t="shared" si="5"/>
        <v>0</v>
      </c>
      <c r="S11" s="75">
        <f t="shared" si="5"/>
        <v>0</v>
      </c>
    </row>
    <row r="13" spans="2:19" ht="18" thickBot="1">
      <c r="B13" s="106" t="s">
        <v>40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</row>
    <row r="14" spans="2:19">
      <c r="B14" s="91" t="s">
        <v>148</v>
      </c>
      <c r="C14" s="94" t="s">
        <v>11</v>
      </c>
      <c r="D14" s="95"/>
      <c r="E14" s="95"/>
      <c r="F14" s="96"/>
      <c r="G14" s="94" t="s">
        <v>71</v>
      </c>
      <c r="H14" s="95"/>
      <c r="I14" s="95"/>
      <c r="J14" s="95"/>
      <c r="K14" s="95"/>
      <c r="L14" s="96"/>
      <c r="M14" s="97" t="s">
        <v>2</v>
      </c>
      <c r="N14" s="97" t="s">
        <v>22</v>
      </c>
      <c r="O14" s="97" t="s">
        <v>87</v>
      </c>
      <c r="P14" s="97" t="s">
        <v>77</v>
      </c>
      <c r="Q14" s="97" t="s">
        <v>151</v>
      </c>
      <c r="R14" s="97" t="s">
        <v>20</v>
      </c>
      <c r="S14" s="100" t="s">
        <v>7</v>
      </c>
    </row>
    <row r="15" spans="2:19">
      <c r="B15" s="92"/>
      <c r="C15" s="103" t="s">
        <v>66</v>
      </c>
      <c r="D15" s="104"/>
      <c r="E15" s="103" t="s">
        <v>127</v>
      </c>
      <c r="F15" s="104"/>
      <c r="G15" s="103" t="s">
        <v>66</v>
      </c>
      <c r="H15" s="105"/>
      <c r="I15" s="104"/>
      <c r="J15" s="103" t="s">
        <v>127</v>
      </c>
      <c r="K15" s="105"/>
      <c r="L15" s="104"/>
      <c r="M15" s="98"/>
      <c r="N15" s="98"/>
      <c r="O15" s="98"/>
      <c r="P15" s="98"/>
      <c r="Q15" s="98"/>
      <c r="R15" s="98"/>
      <c r="S15" s="101"/>
    </row>
    <row r="16" spans="2:19" ht="18">
      <c r="B16" s="93"/>
      <c r="C16" s="11" t="s">
        <v>92</v>
      </c>
      <c r="D16" s="11" t="s">
        <v>146</v>
      </c>
      <c r="E16" s="11" t="s">
        <v>92</v>
      </c>
      <c r="F16" s="11" t="s">
        <v>146</v>
      </c>
      <c r="G16" s="11" t="s">
        <v>51</v>
      </c>
      <c r="H16" s="11" t="s">
        <v>3</v>
      </c>
      <c r="I16" s="11" t="s">
        <v>34</v>
      </c>
      <c r="J16" s="11" t="s">
        <v>51</v>
      </c>
      <c r="K16" s="11" t="s">
        <v>3</v>
      </c>
      <c r="L16" s="11" t="s">
        <v>34</v>
      </c>
      <c r="M16" s="99"/>
      <c r="N16" s="99"/>
      <c r="O16" s="99"/>
      <c r="P16" s="99"/>
      <c r="Q16" s="99"/>
      <c r="R16" s="99"/>
      <c r="S16" s="102"/>
    </row>
    <row r="17" spans="2:19" ht="18">
      <c r="B17" s="12" t="s">
        <v>21</v>
      </c>
      <c r="C17" s="32"/>
      <c r="D17" s="32"/>
      <c r="E17" s="32"/>
      <c r="F17" s="32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32"/>
      <c r="S17" s="58"/>
    </row>
    <row r="18" spans="2:19" ht="18">
      <c r="B18" s="12" t="s">
        <v>48</v>
      </c>
      <c r="C18" s="32"/>
      <c r="D18" s="32"/>
      <c r="E18" s="32"/>
      <c r="F18" s="32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32"/>
      <c r="S18" s="58"/>
    </row>
    <row r="19" spans="2:19" ht="18">
      <c r="B19" s="12" t="s">
        <v>144</v>
      </c>
      <c r="C19" s="32"/>
      <c r="D19" s="32"/>
      <c r="E19" s="32"/>
      <c r="F19" s="32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32"/>
      <c r="S19" s="58"/>
    </row>
    <row r="20" spans="2:19" ht="18">
      <c r="B20" s="12" t="s">
        <v>98</v>
      </c>
      <c r="C20" s="32"/>
      <c r="D20" s="32"/>
      <c r="E20" s="32"/>
      <c r="F20" s="32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32"/>
      <c r="S20" s="58"/>
    </row>
    <row r="21" spans="2:19" ht="18">
      <c r="B21" s="12" t="s">
        <v>63</v>
      </c>
      <c r="C21" s="32"/>
      <c r="D21" s="32"/>
      <c r="E21" s="32"/>
      <c r="F21" s="3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32"/>
      <c r="S21" s="58"/>
    </row>
    <row r="22" spans="2:19" ht="19" thickBot="1">
      <c r="B22" s="15" t="s">
        <v>69</v>
      </c>
      <c r="C22" s="16">
        <f t="shared" ref="C22:S22" si="6">SUM(C17:C21)</f>
        <v>0</v>
      </c>
      <c r="D22" s="16">
        <f t="shared" si="6"/>
        <v>0</v>
      </c>
      <c r="E22" s="16">
        <f t="shared" si="6"/>
        <v>0</v>
      </c>
      <c r="F22" s="16">
        <f t="shared" si="6"/>
        <v>0</v>
      </c>
      <c r="G22" s="16">
        <f t="shared" si="6"/>
        <v>0</v>
      </c>
      <c r="H22" s="16">
        <f t="shared" si="6"/>
        <v>0</v>
      </c>
      <c r="I22" s="16">
        <f t="shared" si="6"/>
        <v>0</v>
      </c>
      <c r="J22" s="16">
        <f t="shared" si="6"/>
        <v>0</v>
      </c>
      <c r="K22" s="16">
        <f t="shared" si="6"/>
        <v>0</v>
      </c>
      <c r="L22" s="16">
        <f t="shared" si="6"/>
        <v>0</v>
      </c>
      <c r="M22" s="16">
        <f t="shared" si="6"/>
        <v>0</v>
      </c>
      <c r="N22" s="16">
        <f t="shared" si="6"/>
        <v>0</v>
      </c>
      <c r="O22" s="16">
        <f t="shared" si="6"/>
        <v>0</v>
      </c>
      <c r="P22" s="16">
        <f t="shared" si="6"/>
        <v>0</v>
      </c>
      <c r="Q22" s="16">
        <f t="shared" si="6"/>
        <v>0</v>
      </c>
      <c r="R22" s="16">
        <f t="shared" si="6"/>
        <v>0</v>
      </c>
      <c r="S22" s="17">
        <f t="shared" si="6"/>
        <v>0</v>
      </c>
    </row>
    <row r="24" spans="2:19" ht="18" thickBot="1">
      <c r="B24" s="106" t="s">
        <v>155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</row>
    <row r="25" spans="2:19">
      <c r="B25" s="91" t="s">
        <v>148</v>
      </c>
      <c r="C25" s="94" t="s">
        <v>11</v>
      </c>
      <c r="D25" s="95"/>
      <c r="E25" s="95"/>
      <c r="F25" s="96"/>
      <c r="G25" s="94" t="s">
        <v>71</v>
      </c>
      <c r="H25" s="95"/>
      <c r="I25" s="95"/>
      <c r="J25" s="95"/>
      <c r="K25" s="95"/>
      <c r="L25" s="96"/>
      <c r="M25" s="97" t="s">
        <v>2</v>
      </c>
      <c r="N25" s="97" t="s">
        <v>22</v>
      </c>
      <c r="O25" s="97" t="s">
        <v>87</v>
      </c>
      <c r="P25" s="97" t="s">
        <v>77</v>
      </c>
      <c r="Q25" s="97" t="s">
        <v>151</v>
      </c>
      <c r="R25" s="97" t="s">
        <v>20</v>
      </c>
      <c r="S25" s="100" t="s">
        <v>7</v>
      </c>
    </row>
    <row r="26" spans="2:19">
      <c r="B26" s="92"/>
      <c r="C26" s="103" t="s">
        <v>66</v>
      </c>
      <c r="D26" s="104"/>
      <c r="E26" s="103" t="s">
        <v>127</v>
      </c>
      <c r="F26" s="104"/>
      <c r="G26" s="103" t="s">
        <v>66</v>
      </c>
      <c r="H26" s="105"/>
      <c r="I26" s="104"/>
      <c r="J26" s="103" t="s">
        <v>127</v>
      </c>
      <c r="K26" s="105"/>
      <c r="L26" s="104"/>
      <c r="M26" s="98"/>
      <c r="N26" s="98"/>
      <c r="O26" s="98"/>
      <c r="P26" s="98"/>
      <c r="Q26" s="98"/>
      <c r="R26" s="98"/>
      <c r="S26" s="101"/>
    </row>
    <row r="27" spans="2:19" ht="18">
      <c r="B27" s="93"/>
      <c r="C27" s="11" t="s">
        <v>92</v>
      </c>
      <c r="D27" s="11" t="s">
        <v>146</v>
      </c>
      <c r="E27" s="11" t="s">
        <v>92</v>
      </c>
      <c r="F27" s="11" t="s">
        <v>146</v>
      </c>
      <c r="G27" s="11" t="s">
        <v>51</v>
      </c>
      <c r="H27" s="11" t="s">
        <v>3</v>
      </c>
      <c r="I27" s="11" t="s">
        <v>34</v>
      </c>
      <c r="J27" s="11" t="s">
        <v>51</v>
      </c>
      <c r="K27" s="11" t="s">
        <v>3</v>
      </c>
      <c r="L27" s="11" t="s">
        <v>34</v>
      </c>
      <c r="M27" s="99"/>
      <c r="N27" s="99"/>
      <c r="O27" s="99"/>
      <c r="P27" s="99"/>
      <c r="Q27" s="99"/>
      <c r="R27" s="99"/>
      <c r="S27" s="102"/>
    </row>
    <row r="28" spans="2:19" ht="18">
      <c r="B28" s="12" t="s">
        <v>21</v>
      </c>
      <c r="C28" s="32"/>
      <c r="D28" s="32"/>
      <c r="E28" s="32"/>
      <c r="F28" s="32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32"/>
      <c r="S28" s="58"/>
    </row>
    <row r="29" spans="2:19" ht="18">
      <c r="B29" s="12" t="s">
        <v>48</v>
      </c>
      <c r="C29" s="32"/>
      <c r="D29" s="32"/>
      <c r="E29" s="32"/>
      <c r="F29" s="32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32"/>
      <c r="S29" s="58"/>
    </row>
    <row r="30" spans="2:19" ht="18">
      <c r="B30" s="12" t="s">
        <v>144</v>
      </c>
      <c r="C30" s="32"/>
      <c r="D30" s="32"/>
      <c r="E30" s="32"/>
      <c r="F30" s="32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32"/>
      <c r="S30" s="58"/>
    </row>
    <row r="31" spans="2:19" ht="18">
      <c r="B31" s="12" t="s">
        <v>98</v>
      </c>
      <c r="C31" s="32"/>
      <c r="D31" s="32"/>
      <c r="E31" s="32"/>
      <c r="F31" s="32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32"/>
      <c r="S31" s="58"/>
    </row>
    <row r="32" spans="2:19" ht="18">
      <c r="B32" s="12" t="s">
        <v>63</v>
      </c>
      <c r="C32" s="32"/>
      <c r="D32" s="32"/>
      <c r="E32" s="32"/>
      <c r="F32" s="32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32"/>
      <c r="S32" s="58"/>
    </row>
    <row r="33" spans="2:19" ht="19" thickBot="1">
      <c r="B33" s="15" t="s">
        <v>69</v>
      </c>
      <c r="C33" s="16">
        <f t="shared" ref="C33:S33" si="7">SUM(C28:C32)</f>
        <v>0</v>
      </c>
      <c r="D33" s="16">
        <f t="shared" si="7"/>
        <v>0</v>
      </c>
      <c r="E33" s="16">
        <f t="shared" si="7"/>
        <v>0</v>
      </c>
      <c r="F33" s="16">
        <f t="shared" si="7"/>
        <v>0</v>
      </c>
      <c r="G33" s="16">
        <f t="shared" si="7"/>
        <v>0</v>
      </c>
      <c r="H33" s="16">
        <f t="shared" si="7"/>
        <v>0</v>
      </c>
      <c r="I33" s="16">
        <f t="shared" si="7"/>
        <v>0</v>
      </c>
      <c r="J33" s="16">
        <f t="shared" si="7"/>
        <v>0</v>
      </c>
      <c r="K33" s="16">
        <f t="shared" si="7"/>
        <v>0</v>
      </c>
      <c r="L33" s="16">
        <f t="shared" si="7"/>
        <v>0</v>
      </c>
      <c r="M33" s="16">
        <f t="shared" si="7"/>
        <v>0</v>
      </c>
      <c r="N33" s="16">
        <f t="shared" si="7"/>
        <v>0</v>
      </c>
      <c r="O33" s="16">
        <f t="shared" si="7"/>
        <v>0</v>
      </c>
      <c r="P33" s="16">
        <f t="shared" si="7"/>
        <v>0</v>
      </c>
      <c r="Q33" s="16">
        <f t="shared" si="7"/>
        <v>0</v>
      </c>
      <c r="R33" s="16">
        <f t="shared" si="7"/>
        <v>0</v>
      </c>
      <c r="S33" s="17">
        <f t="shared" si="7"/>
        <v>0</v>
      </c>
    </row>
    <row r="35" spans="2:19" ht="17" customHeight="1" thickBot="1">
      <c r="B35" s="106" t="s">
        <v>155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</row>
    <row r="36" spans="2:19">
      <c r="B36" s="91" t="s">
        <v>148</v>
      </c>
      <c r="C36" s="94" t="s">
        <v>11</v>
      </c>
      <c r="D36" s="95"/>
      <c r="E36" s="95"/>
      <c r="F36" s="96"/>
      <c r="G36" s="94" t="s">
        <v>71</v>
      </c>
      <c r="H36" s="95"/>
      <c r="I36" s="95"/>
      <c r="J36" s="95"/>
      <c r="K36" s="95"/>
      <c r="L36" s="96"/>
      <c r="M36" s="97" t="s">
        <v>2</v>
      </c>
      <c r="N36" s="97" t="s">
        <v>22</v>
      </c>
      <c r="O36" s="97" t="s">
        <v>87</v>
      </c>
      <c r="P36" s="97" t="s">
        <v>77</v>
      </c>
      <c r="Q36" s="97" t="s">
        <v>151</v>
      </c>
      <c r="R36" s="97" t="s">
        <v>20</v>
      </c>
      <c r="S36" s="100" t="s">
        <v>7</v>
      </c>
    </row>
    <row r="37" spans="2:19">
      <c r="B37" s="92"/>
      <c r="C37" s="103" t="s">
        <v>66</v>
      </c>
      <c r="D37" s="104"/>
      <c r="E37" s="103" t="s">
        <v>127</v>
      </c>
      <c r="F37" s="104"/>
      <c r="G37" s="103" t="s">
        <v>66</v>
      </c>
      <c r="H37" s="105"/>
      <c r="I37" s="104"/>
      <c r="J37" s="103" t="s">
        <v>127</v>
      </c>
      <c r="K37" s="105"/>
      <c r="L37" s="104"/>
      <c r="M37" s="98"/>
      <c r="N37" s="98"/>
      <c r="O37" s="98"/>
      <c r="P37" s="98"/>
      <c r="Q37" s="98"/>
      <c r="R37" s="98"/>
      <c r="S37" s="101"/>
    </row>
    <row r="38" spans="2:19" ht="18">
      <c r="B38" s="93"/>
      <c r="C38" s="11" t="s">
        <v>92</v>
      </c>
      <c r="D38" s="11" t="s">
        <v>146</v>
      </c>
      <c r="E38" s="11" t="s">
        <v>92</v>
      </c>
      <c r="F38" s="11" t="s">
        <v>146</v>
      </c>
      <c r="G38" s="11" t="s">
        <v>51</v>
      </c>
      <c r="H38" s="11" t="s">
        <v>3</v>
      </c>
      <c r="I38" s="11" t="s">
        <v>34</v>
      </c>
      <c r="J38" s="11" t="s">
        <v>51</v>
      </c>
      <c r="K38" s="11" t="s">
        <v>3</v>
      </c>
      <c r="L38" s="11" t="s">
        <v>34</v>
      </c>
      <c r="M38" s="99"/>
      <c r="N38" s="99"/>
      <c r="O38" s="99"/>
      <c r="P38" s="99"/>
      <c r="Q38" s="99"/>
      <c r="R38" s="99"/>
      <c r="S38" s="102"/>
    </row>
    <row r="39" spans="2:19" ht="18">
      <c r="B39" s="12" t="s">
        <v>21</v>
      </c>
      <c r="C39" s="32"/>
      <c r="D39" s="32"/>
      <c r="E39" s="32"/>
      <c r="F39" s="32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32"/>
      <c r="S39" s="58"/>
    </row>
    <row r="40" spans="2:19" ht="18">
      <c r="B40" s="12" t="s">
        <v>48</v>
      </c>
      <c r="C40" s="32"/>
      <c r="D40" s="32"/>
      <c r="E40" s="32"/>
      <c r="F40" s="32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32"/>
      <c r="S40" s="58"/>
    </row>
    <row r="41" spans="2:19" ht="18">
      <c r="B41" s="12" t="s">
        <v>144</v>
      </c>
      <c r="C41" s="32"/>
      <c r="D41" s="32"/>
      <c r="E41" s="32"/>
      <c r="F41" s="32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32"/>
      <c r="S41" s="58"/>
    </row>
    <row r="42" spans="2:19" ht="18">
      <c r="B42" s="12" t="s">
        <v>98</v>
      </c>
      <c r="C42" s="32"/>
      <c r="D42" s="32"/>
      <c r="E42" s="32"/>
      <c r="F42" s="32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32"/>
      <c r="S42" s="58"/>
    </row>
    <row r="43" spans="2:19" ht="18">
      <c r="B43" s="12" t="s">
        <v>63</v>
      </c>
      <c r="C43" s="32"/>
      <c r="D43" s="32"/>
      <c r="E43" s="32"/>
      <c r="F43" s="32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32"/>
      <c r="S43" s="58"/>
    </row>
    <row r="44" spans="2:19" ht="19" thickBot="1">
      <c r="B44" s="15" t="s">
        <v>69</v>
      </c>
      <c r="C44" s="16">
        <f t="shared" ref="C44:S44" si="8">SUM(C39:C43)</f>
        <v>0</v>
      </c>
      <c r="D44" s="16">
        <f t="shared" si="8"/>
        <v>0</v>
      </c>
      <c r="E44" s="16">
        <f t="shared" si="8"/>
        <v>0</v>
      </c>
      <c r="F44" s="16">
        <f t="shared" si="8"/>
        <v>0</v>
      </c>
      <c r="G44" s="16">
        <f t="shared" si="8"/>
        <v>0</v>
      </c>
      <c r="H44" s="16">
        <f t="shared" si="8"/>
        <v>0</v>
      </c>
      <c r="I44" s="16">
        <f t="shared" si="8"/>
        <v>0</v>
      </c>
      <c r="J44" s="16">
        <f t="shared" si="8"/>
        <v>0</v>
      </c>
      <c r="K44" s="16">
        <f t="shared" si="8"/>
        <v>0</v>
      </c>
      <c r="L44" s="16">
        <f t="shared" si="8"/>
        <v>0</v>
      </c>
      <c r="M44" s="16">
        <f t="shared" si="8"/>
        <v>0</v>
      </c>
      <c r="N44" s="16">
        <f t="shared" si="8"/>
        <v>0</v>
      </c>
      <c r="O44" s="16">
        <f t="shared" si="8"/>
        <v>0</v>
      </c>
      <c r="P44" s="16">
        <f t="shared" si="8"/>
        <v>0</v>
      </c>
      <c r="Q44" s="16">
        <f t="shared" si="8"/>
        <v>0</v>
      </c>
      <c r="R44" s="16">
        <f t="shared" si="8"/>
        <v>0</v>
      </c>
      <c r="S44" s="17">
        <f t="shared" si="8"/>
        <v>0</v>
      </c>
    </row>
    <row r="46" spans="2:19" ht="17" customHeight="1" thickBot="1">
      <c r="B46" s="106" t="s">
        <v>155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</row>
    <row r="47" spans="2:19">
      <c r="B47" s="91" t="s">
        <v>148</v>
      </c>
      <c r="C47" s="94" t="s">
        <v>11</v>
      </c>
      <c r="D47" s="95"/>
      <c r="E47" s="95"/>
      <c r="F47" s="96"/>
      <c r="G47" s="94" t="s">
        <v>71</v>
      </c>
      <c r="H47" s="95"/>
      <c r="I47" s="95"/>
      <c r="J47" s="95"/>
      <c r="K47" s="95"/>
      <c r="L47" s="96"/>
      <c r="M47" s="97" t="s">
        <v>2</v>
      </c>
      <c r="N47" s="97" t="s">
        <v>22</v>
      </c>
      <c r="O47" s="97" t="s">
        <v>87</v>
      </c>
      <c r="P47" s="97" t="s">
        <v>77</v>
      </c>
      <c r="Q47" s="97" t="s">
        <v>151</v>
      </c>
      <c r="R47" s="97" t="s">
        <v>20</v>
      </c>
      <c r="S47" s="100" t="s">
        <v>7</v>
      </c>
    </row>
    <row r="48" spans="2:19">
      <c r="B48" s="92"/>
      <c r="C48" s="103" t="s">
        <v>66</v>
      </c>
      <c r="D48" s="104"/>
      <c r="E48" s="103" t="s">
        <v>127</v>
      </c>
      <c r="F48" s="104"/>
      <c r="G48" s="103" t="s">
        <v>66</v>
      </c>
      <c r="H48" s="105"/>
      <c r="I48" s="104"/>
      <c r="J48" s="103" t="s">
        <v>127</v>
      </c>
      <c r="K48" s="105"/>
      <c r="L48" s="104"/>
      <c r="M48" s="98"/>
      <c r="N48" s="98"/>
      <c r="O48" s="98"/>
      <c r="P48" s="98"/>
      <c r="Q48" s="98"/>
      <c r="R48" s="98"/>
      <c r="S48" s="101"/>
    </row>
    <row r="49" spans="2:19" ht="18">
      <c r="B49" s="93"/>
      <c r="C49" s="11" t="s">
        <v>92</v>
      </c>
      <c r="D49" s="11" t="s">
        <v>146</v>
      </c>
      <c r="E49" s="11" t="s">
        <v>92</v>
      </c>
      <c r="F49" s="11" t="s">
        <v>146</v>
      </c>
      <c r="G49" s="11" t="s">
        <v>51</v>
      </c>
      <c r="H49" s="11" t="s">
        <v>3</v>
      </c>
      <c r="I49" s="11" t="s">
        <v>34</v>
      </c>
      <c r="J49" s="11" t="s">
        <v>51</v>
      </c>
      <c r="K49" s="11" t="s">
        <v>3</v>
      </c>
      <c r="L49" s="11" t="s">
        <v>34</v>
      </c>
      <c r="M49" s="99"/>
      <c r="N49" s="99"/>
      <c r="O49" s="99"/>
      <c r="P49" s="99"/>
      <c r="Q49" s="99"/>
      <c r="R49" s="99"/>
      <c r="S49" s="102"/>
    </row>
    <row r="50" spans="2:19" ht="18">
      <c r="B50" s="12" t="s">
        <v>21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58"/>
    </row>
    <row r="51" spans="2:19" ht="18">
      <c r="B51" s="12" t="s">
        <v>48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58"/>
    </row>
    <row r="52" spans="2:19" ht="18">
      <c r="B52" s="12" t="s">
        <v>144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58"/>
    </row>
    <row r="53" spans="2:19" ht="18">
      <c r="B53" s="12" t="s">
        <v>98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58"/>
    </row>
    <row r="54" spans="2:19" ht="18">
      <c r="B54" s="12" t="s">
        <v>63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58"/>
    </row>
    <row r="55" spans="2:19" ht="19" thickBot="1">
      <c r="B55" s="15" t="s">
        <v>69</v>
      </c>
      <c r="C55" s="16">
        <f t="shared" ref="C55:S55" si="9">SUM(C50:C54)</f>
        <v>0</v>
      </c>
      <c r="D55" s="16">
        <f t="shared" si="9"/>
        <v>0</v>
      </c>
      <c r="E55" s="16">
        <f t="shared" si="9"/>
        <v>0</v>
      </c>
      <c r="F55" s="16">
        <f t="shared" si="9"/>
        <v>0</v>
      </c>
      <c r="G55" s="16">
        <f t="shared" si="9"/>
        <v>0</v>
      </c>
      <c r="H55" s="16">
        <f t="shared" si="9"/>
        <v>0</v>
      </c>
      <c r="I55" s="16">
        <f t="shared" si="9"/>
        <v>0</v>
      </c>
      <c r="J55" s="16">
        <f t="shared" si="9"/>
        <v>0</v>
      </c>
      <c r="K55" s="16">
        <f t="shared" si="9"/>
        <v>0</v>
      </c>
      <c r="L55" s="16">
        <f t="shared" si="9"/>
        <v>0</v>
      </c>
      <c r="M55" s="16">
        <f t="shared" si="9"/>
        <v>0</v>
      </c>
      <c r="N55" s="16">
        <f t="shared" si="9"/>
        <v>0</v>
      </c>
      <c r="O55" s="16">
        <f t="shared" si="9"/>
        <v>0</v>
      </c>
      <c r="P55" s="16">
        <f t="shared" si="9"/>
        <v>0</v>
      </c>
      <c r="Q55" s="16">
        <f t="shared" si="9"/>
        <v>0</v>
      </c>
      <c r="R55" s="16">
        <f t="shared" si="9"/>
        <v>0</v>
      </c>
      <c r="S55" s="17">
        <f t="shared" si="9"/>
        <v>0</v>
      </c>
    </row>
    <row r="57" spans="2:19" ht="17" customHeight="1" thickBot="1">
      <c r="B57" s="106" t="s">
        <v>155</v>
      </c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</row>
    <row r="58" spans="2:19">
      <c r="B58" s="91" t="s">
        <v>148</v>
      </c>
      <c r="C58" s="94" t="s">
        <v>11</v>
      </c>
      <c r="D58" s="95"/>
      <c r="E58" s="95"/>
      <c r="F58" s="96"/>
      <c r="G58" s="94" t="s">
        <v>71</v>
      </c>
      <c r="H58" s="95"/>
      <c r="I58" s="95"/>
      <c r="J58" s="95"/>
      <c r="K58" s="95"/>
      <c r="L58" s="96"/>
      <c r="M58" s="97" t="s">
        <v>2</v>
      </c>
      <c r="N58" s="97" t="s">
        <v>22</v>
      </c>
      <c r="O58" s="97" t="s">
        <v>87</v>
      </c>
      <c r="P58" s="97" t="s">
        <v>77</v>
      </c>
      <c r="Q58" s="97" t="s">
        <v>151</v>
      </c>
      <c r="R58" s="97" t="s">
        <v>20</v>
      </c>
      <c r="S58" s="100" t="s">
        <v>7</v>
      </c>
    </row>
    <row r="59" spans="2:19">
      <c r="B59" s="92"/>
      <c r="C59" s="103" t="s">
        <v>66</v>
      </c>
      <c r="D59" s="104"/>
      <c r="E59" s="103" t="s">
        <v>127</v>
      </c>
      <c r="F59" s="104"/>
      <c r="G59" s="103" t="s">
        <v>66</v>
      </c>
      <c r="H59" s="105"/>
      <c r="I59" s="104"/>
      <c r="J59" s="103" t="s">
        <v>127</v>
      </c>
      <c r="K59" s="105"/>
      <c r="L59" s="104"/>
      <c r="M59" s="98"/>
      <c r="N59" s="98"/>
      <c r="O59" s="98"/>
      <c r="P59" s="98"/>
      <c r="Q59" s="98"/>
      <c r="R59" s="98"/>
      <c r="S59" s="101"/>
    </row>
    <row r="60" spans="2:19" ht="18">
      <c r="B60" s="93"/>
      <c r="C60" s="11" t="s">
        <v>92</v>
      </c>
      <c r="D60" s="11" t="s">
        <v>146</v>
      </c>
      <c r="E60" s="11" t="s">
        <v>92</v>
      </c>
      <c r="F60" s="11" t="s">
        <v>146</v>
      </c>
      <c r="G60" s="11" t="s">
        <v>51</v>
      </c>
      <c r="H60" s="11" t="s">
        <v>3</v>
      </c>
      <c r="I60" s="11" t="s">
        <v>34</v>
      </c>
      <c r="J60" s="11" t="s">
        <v>51</v>
      </c>
      <c r="K60" s="11" t="s">
        <v>3</v>
      </c>
      <c r="L60" s="11" t="s">
        <v>34</v>
      </c>
      <c r="M60" s="99"/>
      <c r="N60" s="99"/>
      <c r="O60" s="99"/>
      <c r="P60" s="99"/>
      <c r="Q60" s="99"/>
      <c r="R60" s="99"/>
      <c r="S60" s="102"/>
    </row>
    <row r="61" spans="2:19" ht="18">
      <c r="B61" s="12" t="s">
        <v>21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58"/>
    </row>
    <row r="62" spans="2:19" ht="18">
      <c r="B62" s="12" t="s">
        <v>48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58"/>
    </row>
    <row r="63" spans="2:19" ht="18">
      <c r="B63" s="12" t="s">
        <v>144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58"/>
    </row>
    <row r="64" spans="2:19" ht="18">
      <c r="B64" s="12" t="s">
        <v>98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58"/>
    </row>
    <row r="65" spans="2:19" ht="18">
      <c r="B65" s="12" t="s">
        <v>63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58"/>
    </row>
    <row r="66" spans="2:19" ht="19" thickBot="1">
      <c r="B66" s="15" t="s">
        <v>69</v>
      </c>
      <c r="C66" s="16">
        <f t="shared" ref="C66:S66" si="10">SUM(C61:C65)</f>
        <v>0</v>
      </c>
      <c r="D66" s="16">
        <f t="shared" si="10"/>
        <v>0</v>
      </c>
      <c r="E66" s="16">
        <f t="shared" si="10"/>
        <v>0</v>
      </c>
      <c r="F66" s="16">
        <f t="shared" si="10"/>
        <v>0</v>
      </c>
      <c r="G66" s="16">
        <f t="shared" si="10"/>
        <v>0</v>
      </c>
      <c r="H66" s="16">
        <f t="shared" si="10"/>
        <v>0</v>
      </c>
      <c r="I66" s="16">
        <f t="shared" si="10"/>
        <v>0</v>
      </c>
      <c r="J66" s="16">
        <f t="shared" si="10"/>
        <v>0</v>
      </c>
      <c r="K66" s="16">
        <f t="shared" si="10"/>
        <v>0</v>
      </c>
      <c r="L66" s="16">
        <f t="shared" si="10"/>
        <v>0</v>
      </c>
      <c r="M66" s="16">
        <f t="shared" si="10"/>
        <v>0</v>
      </c>
      <c r="N66" s="16">
        <f t="shared" si="10"/>
        <v>0</v>
      </c>
      <c r="O66" s="16">
        <f t="shared" si="10"/>
        <v>0</v>
      </c>
      <c r="P66" s="16">
        <f t="shared" si="10"/>
        <v>0</v>
      </c>
      <c r="Q66" s="16">
        <f t="shared" si="10"/>
        <v>0</v>
      </c>
      <c r="R66" s="16">
        <f t="shared" si="10"/>
        <v>0</v>
      </c>
      <c r="S66" s="17">
        <f t="shared" si="10"/>
        <v>0</v>
      </c>
    </row>
    <row r="68" spans="2:19" ht="17" customHeight="1" thickBot="1">
      <c r="B68" s="106" t="s">
        <v>155</v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</row>
    <row r="69" spans="2:19">
      <c r="B69" s="91" t="s">
        <v>148</v>
      </c>
      <c r="C69" s="94" t="s">
        <v>11</v>
      </c>
      <c r="D69" s="95"/>
      <c r="E69" s="95"/>
      <c r="F69" s="96"/>
      <c r="G69" s="94" t="s">
        <v>71</v>
      </c>
      <c r="H69" s="95"/>
      <c r="I69" s="95"/>
      <c r="J69" s="95"/>
      <c r="K69" s="95"/>
      <c r="L69" s="96"/>
      <c r="M69" s="97" t="s">
        <v>2</v>
      </c>
      <c r="N69" s="97" t="s">
        <v>22</v>
      </c>
      <c r="O69" s="97" t="s">
        <v>87</v>
      </c>
      <c r="P69" s="97" t="s">
        <v>77</v>
      </c>
      <c r="Q69" s="97" t="s">
        <v>151</v>
      </c>
      <c r="R69" s="97" t="s">
        <v>20</v>
      </c>
      <c r="S69" s="100" t="s">
        <v>7</v>
      </c>
    </row>
    <row r="70" spans="2:19">
      <c r="B70" s="92"/>
      <c r="C70" s="103" t="s">
        <v>66</v>
      </c>
      <c r="D70" s="104"/>
      <c r="E70" s="103" t="s">
        <v>127</v>
      </c>
      <c r="F70" s="104"/>
      <c r="G70" s="103" t="s">
        <v>66</v>
      </c>
      <c r="H70" s="105"/>
      <c r="I70" s="104"/>
      <c r="J70" s="103" t="s">
        <v>127</v>
      </c>
      <c r="K70" s="105"/>
      <c r="L70" s="104"/>
      <c r="M70" s="98"/>
      <c r="N70" s="98"/>
      <c r="O70" s="98"/>
      <c r="P70" s="98"/>
      <c r="Q70" s="98"/>
      <c r="R70" s="98"/>
      <c r="S70" s="101"/>
    </row>
    <row r="71" spans="2:19" ht="18">
      <c r="B71" s="93"/>
      <c r="C71" s="11" t="s">
        <v>92</v>
      </c>
      <c r="D71" s="11" t="s">
        <v>146</v>
      </c>
      <c r="E71" s="11" t="s">
        <v>92</v>
      </c>
      <c r="F71" s="11" t="s">
        <v>146</v>
      </c>
      <c r="G71" s="11" t="s">
        <v>51</v>
      </c>
      <c r="H71" s="11" t="s">
        <v>3</v>
      </c>
      <c r="I71" s="11" t="s">
        <v>34</v>
      </c>
      <c r="J71" s="11" t="s">
        <v>51</v>
      </c>
      <c r="K71" s="11" t="s">
        <v>3</v>
      </c>
      <c r="L71" s="11" t="s">
        <v>34</v>
      </c>
      <c r="M71" s="99"/>
      <c r="N71" s="99"/>
      <c r="O71" s="99"/>
      <c r="P71" s="99"/>
      <c r="Q71" s="99"/>
      <c r="R71" s="99"/>
      <c r="S71" s="102"/>
    </row>
    <row r="72" spans="2:19" ht="18">
      <c r="B72" s="12" t="s">
        <v>21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58"/>
    </row>
    <row r="73" spans="2:19" ht="18">
      <c r="B73" s="12" t="s">
        <v>48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58"/>
    </row>
    <row r="74" spans="2:19" ht="18">
      <c r="B74" s="12" t="s">
        <v>144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58"/>
    </row>
    <row r="75" spans="2:19" ht="18">
      <c r="B75" s="12" t="s">
        <v>98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58"/>
    </row>
    <row r="76" spans="2:19" ht="18">
      <c r="B76" s="12" t="s">
        <v>63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58"/>
    </row>
    <row r="77" spans="2:19" ht="19" thickBot="1">
      <c r="B77" s="15" t="s">
        <v>69</v>
      </c>
      <c r="C77" s="16">
        <f t="shared" ref="C77:S77" si="11">SUM(C72:C76)</f>
        <v>0</v>
      </c>
      <c r="D77" s="16">
        <f t="shared" si="11"/>
        <v>0</v>
      </c>
      <c r="E77" s="16">
        <f t="shared" si="11"/>
        <v>0</v>
      </c>
      <c r="F77" s="16">
        <f t="shared" si="11"/>
        <v>0</v>
      </c>
      <c r="G77" s="16">
        <f t="shared" si="11"/>
        <v>0</v>
      </c>
      <c r="H77" s="16">
        <f t="shared" si="11"/>
        <v>0</v>
      </c>
      <c r="I77" s="16">
        <f t="shared" si="11"/>
        <v>0</v>
      </c>
      <c r="J77" s="16">
        <f t="shared" si="11"/>
        <v>0</v>
      </c>
      <c r="K77" s="16">
        <f t="shared" si="11"/>
        <v>0</v>
      </c>
      <c r="L77" s="16">
        <f t="shared" si="11"/>
        <v>0</v>
      </c>
      <c r="M77" s="16">
        <f t="shared" si="11"/>
        <v>0</v>
      </c>
      <c r="N77" s="16">
        <f t="shared" si="11"/>
        <v>0</v>
      </c>
      <c r="O77" s="16">
        <f t="shared" si="11"/>
        <v>0</v>
      </c>
      <c r="P77" s="16">
        <f t="shared" si="11"/>
        <v>0</v>
      </c>
      <c r="Q77" s="16">
        <f t="shared" si="11"/>
        <v>0</v>
      </c>
      <c r="R77" s="16">
        <f t="shared" si="11"/>
        <v>0</v>
      </c>
      <c r="S77" s="17">
        <f t="shared" si="11"/>
        <v>0</v>
      </c>
    </row>
    <row r="79" spans="2:19" ht="17" customHeight="1" thickBot="1">
      <c r="B79" s="106" t="s">
        <v>155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</row>
    <row r="80" spans="2:19">
      <c r="B80" s="91" t="s">
        <v>148</v>
      </c>
      <c r="C80" s="94" t="s">
        <v>11</v>
      </c>
      <c r="D80" s="95"/>
      <c r="E80" s="95"/>
      <c r="F80" s="96"/>
      <c r="G80" s="94" t="s">
        <v>71</v>
      </c>
      <c r="H80" s="95"/>
      <c r="I80" s="95"/>
      <c r="J80" s="95"/>
      <c r="K80" s="95"/>
      <c r="L80" s="96"/>
      <c r="M80" s="97" t="s">
        <v>2</v>
      </c>
      <c r="N80" s="97" t="s">
        <v>22</v>
      </c>
      <c r="O80" s="97" t="s">
        <v>87</v>
      </c>
      <c r="P80" s="97" t="s">
        <v>77</v>
      </c>
      <c r="Q80" s="97" t="s">
        <v>151</v>
      </c>
      <c r="R80" s="97" t="s">
        <v>20</v>
      </c>
      <c r="S80" s="100" t="s">
        <v>7</v>
      </c>
    </row>
    <row r="81" spans="2:19">
      <c r="B81" s="92"/>
      <c r="C81" s="103" t="s">
        <v>66</v>
      </c>
      <c r="D81" s="104"/>
      <c r="E81" s="103" t="s">
        <v>127</v>
      </c>
      <c r="F81" s="104"/>
      <c r="G81" s="103" t="s">
        <v>66</v>
      </c>
      <c r="H81" s="105"/>
      <c r="I81" s="104"/>
      <c r="J81" s="103" t="s">
        <v>127</v>
      </c>
      <c r="K81" s="105"/>
      <c r="L81" s="104"/>
      <c r="M81" s="98"/>
      <c r="N81" s="98"/>
      <c r="O81" s="98"/>
      <c r="P81" s="98"/>
      <c r="Q81" s="98"/>
      <c r="R81" s="98"/>
      <c r="S81" s="101"/>
    </row>
    <row r="82" spans="2:19" ht="18">
      <c r="B82" s="93"/>
      <c r="C82" s="11" t="s">
        <v>92</v>
      </c>
      <c r="D82" s="11" t="s">
        <v>146</v>
      </c>
      <c r="E82" s="11" t="s">
        <v>92</v>
      </c>
      <c r="F82" s="11" t="s">
        <v>146</v>
      </c>
      <c r="G82" s="11" t="s">
        <v>51</v>
      </c>
      <c r="H82" s="11" t="s">
        <v>3</v>
      </c>
      <c r="I82" s="11" t="s">
        <v>34</v>
      </c>
      <c r="J82" s="11" t="s">
        <v>51</v>
      </c>
      <c r="K82" s="11" t="s">
        <v>3</v>
      </c>
      <c r="L82" s="11" t="s">
        <v>34</v>
      </c>
      <c r="M82" s="99"/>
      <c r="N82" s="99"/>
      <c r="O82" s="99"/>
      <c r="P82" s="99"/>
      <c r="Q82" s="99"/>
      <c r="R82" s="99"/>
      <c r="S82" s="102"/>
    </row>
    <row r="83" spans="2:19" ht="18">
      <c r="B83" s="12" t="s">
        <v>21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58"/>
    </row>
    <row r="84" spans="2:19" ht="18">
      <c r="B84" s="12" t="s">
        <v>48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58"/>
    </row>
    <row r="85" spans="2:19" ht="18">
      <c r="B85" s="12" t="s">
        <v>144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58"/>
    </row>
    <row r="86" spans="2:19" ht="18">
      <c r="B86" s="12" t="s">
        <v>98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58"/>
    </row>
    <row r="87" spans="2:19" ht="18">
      <c r="B87" s="12" t="s">
        <v>63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58"/>
    </row>
    <row r="88" spans="2:19" ht="19" thickBot="1">
      <c r="B88" s="15" t="s">
        <v>69</v>
      </c>
      <c r="C88" s="16">
        <f t="shared" ref="C88:S88" si="12">SUM(C83:C87)</f>
        <v>0</v>
      </c>
      <c r="D88" s="16">
        <f t="shared" si="12"/>
        <v>0</v>
      </c>
      <c r="E88" s="16">
        <f t="shared" si="12"/>
        <v>0</v>
      </c>
      <c r="F88" s="16">
        <f t="shared" si="12"/>
        <v>0</v>
      </c>
      <c r="G88" s="16">
        <f t="shared" si="12"/>
        <v>0</v>
      </c>
      <c r="H88" s="16">
        <f t="shared" si="12"/>
        <v>0</v>
      </c>
      <c r="I88" s="16">
        <f t="shared" si="12"/>
        <v>0</v>
      </c>
      <c r="J88" s="16">
        <f t="shared" si="12"/>
        <v>0</v>
      </c>
      <c r="K88" s="16">
        <f t="shared" si="12"/>
        <v>0</v>
      </c>
      <c r="L88" s="16">
        <f t="shared" si="12"/>
        <v>0</v>
      </c>
      <c r="M88" s="16">
        <f t="shared" si="12"/>
        <v>0</v>
      </c>
      <c r="N88" s="16">
        <f t="shared" si="12"/>
        <v>0</v>
      </c>
      <c r="O88" s="16">
        <f t="shared" si="12"/>
        <v>0</v>
      </c>
      <c r="P88" s="16">
        <f t="shared" si="12"/>
        <v>0</v>
      </c>
      <c r="Q88" s="16">
        <f t="shared" si="12"/>
        <v>0</v>
      </c>
      <c r="R88" s="16">
        <f t="shared" si="12"/>
        <v>0</v>
      </c>
      <c r="S88" s="17">
        <f t="shared" si="12"/>
        <v>0</v>
      </c>
    </row>
    <row r="90" spans="2:19" ht="17" customHeight="1" thickBot="1">
      <c r="B90" s="106" t="s">
        <v>155</v>
      </c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</row>
    <row r="91" spans="2:19">
      <c r="B91" s="91" t="s">
        <v>148</v>
      </c>
      <c r="C91" s="94" t="s">
        <v>11</v>
      </c>
      <c r="D91" s="95"/>
      <c r="E91" s="95"/>
      <c r="F91" s="96"/>
      <c r="G91" s="94" t="s">
        <v>71</v>
      </c>
      <c r="H91" s="95"/>
      <c r="I91" s="95"/>
      <c r="J91" s="95"/>
      <c r="K91" s="95"/>
      <c r="L91" s="96"/>
      <c r="M91" s="97" t="s">
        <v>2</v>
      </c>
      <c r="N91" s="97" t="s">
        <v>22</v>
      </c>
      <c r="O91" s="97" t="s">
        <v>87</v>
      </c>
      <c r="P91" s="97" t="s">
        <v>77</v>
      </c>
      <c r="Q91" s="97" t="s">
        <v>151</v>
      </c>
      <c r="R91" s="97" t="s">
        <v>20</v>
      </c>
      <c r="S91" s="100" t="s">
        <v>7</v>
      </c>
    </row>
    <row r="92" spans="2:19">
      <c r="B92" s="92"/>
      <c r="C92" s="103" t="s">
        <v>66</v>
      </c>
      <c r="D92" s="104"/>
      <c r="E92" s="103" t="s">
        <v>127</v>
      </c>
      <c r="F92" s="104"/>
      <c r="G92" s="103" t="s">
        <v>66</v>
      </c>
      <c r="H92" s="105"/>
      <c r="I92" s="104"/>
      <c r="J92" s="103" t="s">
        <v>127</v>
      </c>
      <c r="K92" s="105"/>
      <c r="L92" s="104"/>
      <c r="M92" s="98"/>
      <c r="N92" s="98"/>
      <c r="O92" s="98"/>
      <c r="P92" s="98"/>
      <c r="Q92" s="98"/>
      <c r="R92" s="98"/>
      <c r="S92" s="101"/>
    </row>
    <row r="93" spans="2:19" ht="18">
      <c r="B93" s="93"/>
      <c r="C93" s="11" t="s">
        <v>92</v>
      </c>
      <c r="D93" s="11" t="s">
        <v>146</v>
      </c>
      <c r="E93" s="11" t="s">
        <v>92</v>
      </c>
      <c r="F93" s="11" t="s">
        <v>146</v>
      </c>
      <c r="G93" s="11" t="s">
        <v>51</v>
      </c>
      <c r="H93" s="11" t="s">
        <v>3</v>
      </c>
      <c r="I93" s="11" t="s">
        <v>34</v>
      </c>
      <c r="J93" s="11" t="s">
        <v>51</v>
      </c>
      <c r="K93" s="11" t="s">
        <v>3</v>
      </c>
      <c r="L93" s="11" t="s">
        <v>34</v>
      </c>
      <c r="M93" s="99"/>
      <c r="N93" s="99"/>
      <c r="O93" s="99"/>
      <c r="P93" s="99"/>
      <c r="Q93" s="99"/>
      <c r="R93" s="99"/>
      <c r="S93" s="102"/>
    </row>
    <row r="94" spans="2:19" ht="18">
      <c r="B94" s="12" t="s">
        <v>21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6"/>
    </row>
    <row r="95" spans="2:19" ht="18">
      <c r="B95" s="12" t="s">
        <v>48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6"/>
    </row>
    <row r="96" spans="2:19" ht="18">
      <c r="B96" s="12" t="s">
        <v>144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6"/>
    </row>
    <row r="97" spans="2:19" ht="18">
      <c r="B97" s="12" t="s">
        <v>98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6"/>
    </row>
    <row r="98" spans="2:19" ht="18">
      <c r="B98" s="12" t="s">
        <v>63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6"/>
    </row>
    <row r="99" spans="2:19" ht="19" thickBot="1">
      <c r="B99" s="15" t="s">
        <v>69</v>
      </c>
      <c r="C99" s="16">
        <f t="shared" ref="C99:S99" si="13">SUM(C94:C98)</f>
        <v>0</v>
      </c>
      <c r="D99" s="16">
        <f t="shared" si="13"/>
        <v>0</v>
      </c>
      <c r="E99" s="16">
        <f t="shared" si="13"/>
        <v>0</v>
      </c>
      <c r="F99" s="16">
        <f t="shared" si="13"/>
        <v>0</v>
      </c>
      <c r="G99" s="16">
        <f t="shared" si="13"/>
        <v>0</v>
      </c>
      <c r="H99" s="16">
        <f t="shared" si="13"/>
        <v>0</v>
      </c>
      <c r="I99" s="16">
        <f t="shared" si="13"/>
        <v>0</v>
      </c>
      <c r="J99" s="16">
        <f t="shared" si="13"/>
        <v>0</v>
      </c>
      <c r="K99" s="16">
        <f t="shared" si="13"/>
        <v>0</v>
      </c>
      <c r="L99" s="16">
        <f t="shared" si="13"/>
        <v>0</v>
      </c>
      <c r="M99" s="16">
        <f t="shared" si="13"/>
        <v>0</v>
      </c>
      <c r="N99" s="16">
        <f t="shared" si="13"/>
        <v>0</v>
      </c>
      <c r="O99" s="16">
        <f t="shared" si="13"/>
        <v>0</v>
      </c>
      <c r="P99" s="16">
        <f t="shared" si="13"/>
        <v>0</v>
      </c>
      <c r="Q99" s="16">
        <f t="shared" si="13"/>
        <v>0</v>
      </c>
      <c r="R99" s="16">
        <f t="shared" si="13"/>
        <v>0</v>
      </c>
      <c r="S99" s="17">
        <f t="shared" si="13"/>
        <v>0</v>
      </c>
    </row>
  </sheetData>
  <mergeCells count="134">
    <mergeCell ref="P91:P93"/>
    <mergeCell ref="Q91:Q93"/>
    <mergeCell ref="R91:R93"/>
    <mergeCell ref="S91:S93"/>
    <mergeCell ref="C92:D92"/>
    <mergeCell ref="E92:F92"/>
    <mergeCell ref="G92:I92"/>
    <mergeCell ref="J92:L92"/>
    <mergeCell ref="B91:B93"/>
    <mergeCell ref="C91:F91"/>
    <mergeCell ref="G91:L91"/>
    <mergeCell ref="M91:M93"/>
    <mergeCell ref="N91:N93"/>
    <mergeCell ref="O91:O93"/>
    <mergeCell ref="S80:S82"/>
    <mergeCell ref="C81:D81"/>
    <mergeCell ref="E81:F81"/>
    <mergeCell ref="G81:I81"/>
    <mergeCell ref="J81:L81"/>
    <mergeCell ref="B90:S90"/>
    <mergeCell ref="B79:S79"/>
    <mergeCell ref="B80:B82"/>
    <mergeCell ref="C80:F80"/>
    <mergeCell ref="G80:L80"/>
    <mergeCell ref="M80:M82"/>
    <mergeCell ref="N80:N82"/>
    <mergeCell ref="O80:O82"/>
    <mergeCell ref="P80:P82"/>
    <mergeCell ref="Q80:Q82"/>
    <mergeCell ref="R80:R82"/>
    <mergeCell ref="P69:P71"/>
    <mergeCell ref="Q69:Q71"/>
    <mergeCell ref="R69:R71"/>
    <mergeCell ref="S69:S71"/>
    <mergeCell ref="C70:D70"/>
    <mergeCell ref="E70:F70"/>
    <mergeCell ref="G70:I70"/>
    <mergeCell ref="J70:L70"/>
    <mergeCell ref="B69:B71"/>
    <mergeCell ref="C69:F69"/>
    <mergeCell ref="G69:L69"/>
    <mergeCell ref="M69:M71"/>
    <mergeCell ref="N69:N71"/>
    <mergeCell ref="O69:O71"/>
    <mergeCell ref="S58:S60"/>
    <mergeCell ref="C59:D59"/>
    <mergeCell ref="E59:F59"/>
    <mergeCell ref="G59:I59"/>
    <mergeCell ref="J59:L59"/>
    <mergeCell ref="B68:S68"/>
    <mergeCell ref="B57:S57"/>
    <mergeCell ref="B58:B60"/>
    <mergeCell ref="C58:F58"/>
    <mergeCell ref="G58:L58"/>
    <mergeCell ref="M58:M60"/>
    <mergeCell ref="N58:N60"/>
    <mergeCell ref="O58:O60"/>
    <mergeCell ref="P58:P60"/>
    <mergeCell ref="Q58:Q60"/>
    <mergeCell ref="R58:R60"/>
    <mergeCell ref="P47:P49"/>
    <mergeCell ref="Q47:Q49"/>
    <mergeCell ref="R47:R49"/>
    <mergeCell ref="S47:S49"/>
    <mergeCell ref="C48:D48"/>
    <mergeCell ref="E48:F48"/>
    <mergeCell ref="G48:I48"/>
    <mergeCell ref="J48:L48"/>
    <mergeCell ref="B47:B49"/>
    <mergeCell ref="C47:F47"/>
    <mergeCell ref="G47:L47"/>
    <mergeCell ref="M47:M49"/>
    <mergeCell ref="N47:N49"/>
    <mergeCell ref="O47:O49"/>
    <mergeCell ref="S36:S38"/>
    <mergeCell ref="C37:D37"/>
    <mergeCell ref="E37:F37"/>
    <mergeCell ref="G37:I37"/>
    <mergeCell ref="J37:L37"/>
    <mergeCell ref="B46:S46"/>
    <mergeCell ref="B35:S35"/>
    <mergeCell ref="B36:B38"/>
    <mergeCell ref="C36:F36"/>
    <mergeCell ref="G36:L36"/>
    <mergeCell ref="M36:M38"/>
    <mergeCell ref="N36:N38"/>
    <mergeCell ref="O36:O38"/>
    <mergeCell ref="P36:P38"/>
    <mergeCell ref="Q36:Q38"/>
    <mergeCell ref="R36:R38"/>
    <mergeCell ref="P25:P27"/>
    <mergeCell ref="Q25:Q27"/>
    <mergeCell ref="R25:R27"/>
    <mergeCell ref="S25:S27"/>
    <mergeCell ref="C26:D26"/>
    <mergeCell ref="E26:F26"/>
    <mergeCell ref="G26:I26"/>
    <mergeCell ref="J26:L26"/>
    <mergeCell ref="B25:B27"/>
    <mergeCell ref="C25:F25"/>
    <mergeCell ref="G25:L25"/>
    <mergeCell ref="M25:M27"/>
    <mergeCell ref="N25:N27"/>
    <mergeCell ref="O25:O27"/>
    <mergeCell ref="S14:S16"/>
    <mergeCell ref="C15:D15"/>
    <mergeCell ref="E15:F15"/>
    <mergeCell ref="G15:I15"/>
    <mergeCell ref="J15:L15"/>
    <mergeCell ref="B24:S24"/>
    <mergeCell ref="B13:S13"/>
    <mergeCell ref="B14:B16"/>
    <mergeCell ref="C14:F14"/>
    <mergeCell ref="G14:L14"/>
    <mergeCell ref="M14:M16"/>
    <mergeCell ref="N14:N16"/>
    <mergeCell ref="O14:O16"/>
    <mergeCell ref="P14:P16"/>
    <mergeCell ref="Q14:Q16"/>
    <mergeCell ref="R14:R16"/>
    <mergeCell ref="P3:P5"/>
    <mergeCell ref="Q3:Q5"/>
    <mergeCell ref="R3:R5"/>
    <mergeCell ref="S3:S5"/>
    <mergeCell ref="C4:D4"/>
    <mergeCell ref="E4:F4"/>
    <mergeCell ref="G4:I4"/>
    <mergeCell ref="J4:L4"/>
    <mergeCell ref="B3:B5"/>
    <mergeCell ref="C3:F3"/>
    <mergeCell ref="G3:L3"/>
    <mergeCell ref="M3:M5"/>
    <mergeCell ref="N3:N5"/>
    <mergeCell ref="O3:O5"/>
  </mergeCells>
  <phoneticPr fontId="12" type="noConversion"/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1D96-B83C-7B44-B23C-CD74194C5211}">
  <dimension ref="B2:S99"/>
  <sheetViews>
    <sheetView zoomScale="150" zoomScaleNormal="150" zoomScaleSheetLayoutView="121" workbookViewId="0"/>
  </sheetViews>
  <sheetFormatPr baseColWidth="10" defaultColWidth="7.7109375" defaultRowHeight="17"/>
  <cols>
    <col min="1" max="1" width="2.28515625" style="10" customWidth="1"/>
    <col min="2" max="2" width="14.140625" style="10" bestFit="1" customWidth="1"/>
    <col min="3" max="6" width="4.42578125" style="10" bestFit="1" customWidth="1"/>
    <col min="7" max="12" width="9.42578125" style="10" bestFit="1" customWidth="1"/>
    <col min="13" max="13" width="7.7109375" style="10" bestFit="1" customWidth="1"/>
    <col min="14" max="15" width="7.140625" style="10" bestFit="1" customWidth="1"/>
    <col min="16" max="16" width="7.7109375" style="10" bestFit="1" customWidth="1"/>
    <col min="17" max="17" width="6.140625" style="10" bestFit="1" customWidth="1"/>
    <col min="18" max="18" width="7.42578125" style="10" bestFit="1" customWidth="1"/>
    <col min="19" max="19" width="7.7109375" style="10" bestFit="1" customWidth="1"/>
    <col min="20" max="20" width="2.28515625" style="10" customWidth="1"/>
    <col min="21" max="16384" width="7.7109375" style="10"/>
  </cols>
  <sheetData>
    <row r="2" spans="2:19" ht="18" thickBot="1">
      <c r="B2" s="9" t="s">
        <v>80</v>
      </c>
    </row>
    <row r="3" spans="2:19">
      <c r="B3" s="91" t="s">
        <v>148</v>
      </c>
      <c r="C3" s="94" t="s">
        <v>11</v>
      </c>
      <c r="D3" s="95"/>
      <c r="E3" s="95"/>
      <c r="F3" s="96"/>
      <c r="G3" s="94" t="s">
        <v>71</v>
      </c>
      <c r="H3" s="95"/>
      <c r="I3" s="95"/>
      <c r="J3" s="95"/>
      <c r="K3" s="95"/>
      <c r="L3" s="96"/>
      <c r="M3" s="97" t="s">
        <v>2</v>
      </c>
      <c r="N3" s="97" t="s">
        <v>22</v>
      </c>
      <c r="O3" s="97" t="s">
        <v>87</v>
      </c>
      <c r="P3" s="97" t="s">
        <v>77</v>
      </c>
      <c r="Q3" s="97" t="s">
        <v>151</v>
      </c>
      <c r="R3" s="97" t="s">
        <v>20</v>
      </c>
      <c r="S3" s="100" t="s">
        <v>7</v>
      </c>
    </row>
    <row r="4" spans="2:19">
      <c r="B4" s="92"/>
      <c r="C4" s="103" t="s">
        <v>66</v>
      </c>
      <c r="D4" s="104"/>
      <c r="E4" s="103" t="s">
        <v>127</v>
      </c>
      <c r="F4" s="104"/>
      <c r="G4" s="103" t="s">
        <v>66</v>
      </c>
      <c r="H4" s="105"/>
      <c r="I4" s="104"/>
      <c r="J4" s="103" t="s">
        <v>127</v>
      </c>
      <c r="K4" s="105"/>
      <c r="L4" s="104"/>
      <c r="M4" s="98"/>
      <c r="N4" s="98"/>
      <c r="O4" s="98"/>
      <c r="P4" s="98"/>
      <c r="Q4" s="98"/>
      <c r="R4" s="98"/>
      <c r="S4" s="101"/>
    </row>
    <row r="5" spans="2:19" ht="18">
      <c r="B5" s="93"/>
      <c r="C5" s="11" t="s">
        <v>92</v>
      </c>
      <c r="D5" s="11" t="s">
        <v>146</v>
      </c>
      <c r="E5" s="11" t="s">
        <v>92</v>
      </c>
      <c r="F5" s="11" t="s">
        <v>146</v>
      </c>
      <c r="G5" s="11" t="s">
        <v>51</v>
      </c>
      <c r="H5" s="11" t="s">
        <v>3</v>
      </c>
      <c r="I5" s="11" t="s">
        <v>34</v>
      </c>
      <c r="J5" s="11" t="s">
        <v>51</v>
      </c>
      <c r="K5" s="11" t="s">
        <v>3</v>
      </c>
      <c r="L5" s="11" t="s">
        <v>34</v>
      </c>
      <c r="M5" s="99"/>
      <c r="N5" s="99"/>
      <c r="O5" s="99"/>
      <c r="P5" s="99"/>
      <c r="Q5" s="99"/>
      <c r="R5" s="99"/>
      <c r="S5" s="102"/>
    </row>
    <row r="6" spans="2:19" ht="18">
      <c r="B6" s="12" t="s">
        <v>21</v>
      </c>
      <c r="C6" s="60">
        <f t="shared" ref="C6:S6" si="0">C28+C39+C50+C61+C72+C83+C94+C17</f>
        <v>0</v>
      </c>
      <c r="D6" s="60">
        <f t="shared" si="0"/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1">
        <f t="shared" si="0"/>
        <v>0</v>
      </c>
    </row>
    <row r="7" spans="2:19" ht="18">
      <c r="B7" s="12" t="s">
        <v>48</v>
      </c>
      <c r="C7" s="60">
        <f t="shared" ref="C7:S7" si="1">C29+C40+C51+C62+C73+C84+C95+C18</f>
        <v>0</v>
      </c>
      <c r="D7" s="60">
        <f t="shared" si="1"/>
        <v>0</v>
      </c>
      <c r="E7" s="60">
        <f t="shared" si="1"/>
        <v>0</v>
      </c>
      <c r="F7" s="60">
        <f t="shared" si="1"/>
        <v>0</v>
      </c>
      <c r="G7" s="60">
        <f t="shared" si="1"/>
        <v>0</v>
      </c>
      <c r="H7" s="60">
        <f t="shared" si="1"/>
        <v>0</v>
      </c>
      <c r="I7" s="60">
        <f t="shared" si="1"/>
        <v>0</v>
      </c>
      <c r="J7" s="60">
        <f t="shared" si="1"/>
        <v>0</v>
      </c>
      <c r="K7" s="60">
        <f t="shared" si="1"/>
        <v>0</v>
      </c>
      <c r="L7" s="60">
        <f t="shared" si="1"/>
        <v>0</v>
      </c>
      <c r="M7" s="60">
        <f t="shared" si="1"/>
        <v>0</v>
      </c>
      <c r="N7" s="60">
        <f t="shared" si="1"/>
        <v>0</v>
      </c>
      <c r="O7" s="60">
        <f t="shared" si="1"/>
        <v>0</v>
      </c>
      <c r="P7" s="60">
        <f t="shared" si="1"/>
        <v>0</v>
      </c>
      <c r="Q7" s="60">
        <f t="shared" si="1"/>
        <v>0</v>
      </c>
      <c r="R7" s="60">
        <f t="shared" si="1"/>
        <v>0</v>
      </c>
      <c r="S7" s="61">
        <f t="shared" si="1"/>
        <v>0</v>
      </c>
    </row>
    <row r="8" spans="2:19" ht="18">
      <c r="B8" s="12" t="s">
        <v>144</v>
      </c>
      <c r="C8" s="60">
        <f t="shared" ref="C8:S8" si="2">C30+C41+C52+C63+C74+C85+C96+C19</f>
        <v>0</v>
      </c>
      <c r="D8" s="60">
        <f t="shared" si="2"/>
        <v>0</v>
      </c>
      <c r="E8" s="60">
        <f t="shared" si="2"/>
        <v>0</v>
      </c>
      <c r="F8" s="60">
        <f t="shared" si="2"/>
        <v>0</v>
      </c>
      <c r="G8" s="60">
        <f t="shared" si="2"/>
        <v>0</v>
      </c>
      <c r="H8" s="60">
        <f t="shared" si="2"/>
        <v>0</v>
      </c>
      <c r="I8" s="60">
        <f t="shared" si="2"/>
        <v>0</v>
      </c>
      <c r="J8" s="60">
        <f t="shared" si="2"/>
        <v>0</v>
      </c>
      <c r="K8" s="60">
        <f t="shared" si="2"/>
        <v>0</v>
      </c>
      <c r="L8" s="60">
        <f t="shared" si="2"/>
        <v>0</v>
      </c>
      <c r="M8" s="60">
        <f t="shared" si="2"/>
        <v>0</v>
      </c>
      <c r="N8" s="60">
        <f t="shared" si="2"/>
        <v>0</v>
      </c>
      <c r="O8" s="60">
        <f t="shared" si="2"/>
        <v>0</v>
      </c>
      <c r="P8" s="60">
        <f t="shared" si="2"/>
        <v>0</v>
      </c>
      <c r="Q8" s="60">
        <f t="shared" si="2"/>
        <v>0</v>
      </c>
      <c r="R8" s="60">
        <f t="shared" si="2"/>
        <v>0</v>
      </c>
      <c r="S8" s="61">
        <f t="shared" si="2"/>
        <v>0</v>
      </c>
    </row>
    <row r="9" spans="2:19" ht="18">
      <c r="B9" s="12" t="s">
        <v>98</v>
      </c>
      <c r="C9" s="60">
        <f t="shared" ref="C9:S9" si="3">C31+C42+C53+C64+C75+C86+C97+C20</f>
        <v>0</v>
      </c>
      <c r="D9" s="60">
        <f t="shared" si="3"/>
        <v>0</v>
      </c>
      <c r="E9" s="60">
        <f t="shared" si="3"/>
        <v>0</v>
      </c>
      <c r="F9" s="60">
        <f t="shared" si="3"/>
        <v>0</v>
      </c>
      <c r="G9" s="60">
        <f t="shared" si="3"/>
        <v>0</v>
      </c>
      <c r="H9" s="60">
        <f t="shared" si="3"/>
        <v>0</v>
      </c>
      <c r="I9" s="60">
        <f t="shared" si="3"/>
        <v>0</v>
      </c>
      <c r="J9" s="60">
        <f t="shared" si="3"/>
        <v>0</v>
      </c>
      <c r="K9" s="60">
        <f t="shared" si="3"/>
        <v>0</v>
      </c>
      <c r="L9" s="60">
        <f t="shared" si="3"/>
        <v>0</v>
      </c>
      <c r="M9" s="60">
        <f t="shared" si="3"/>
        <v>0</v>
      </c>
      <c r="N9" s="60">
        <f t="shared" si="3"/>
        <v>0</v>
      </c>
      <c r="O9" s="60">
        <f t="shared" si="3"/>
        <v>0</v>
      </c>
      <c r="P9" s="60">
        <f t="shared" si="3"/>
        <v>0</v>
      </c>
      <c r="Q9" s="60">
        <f t="shared" si="3"/>
        <v>0</v>
      </c>
      <c r="R9" s="60">
        <f t="shared" si="3"/>
        <v>0</v>
      </c>
      <c r="S9" s="61">
        <f t="shared" si="3"/>
        <v>0</v>
      </c>
    </row>
    <row r="10" spans="2:19" ht="18">
      <c r="B10" s="12" t="s">
        <v>63</v>
      </c>
      <c r="C10" s="60">
        <f t="shared" ref="C10:S10" si="4">C32+C43+C54+C65+C76+C87+C98+C21</f>
        <v>0</v>
      </c>
      <c r="D10" s="60">
        <f t="shared" si="4"/>
        <v>0</v>
      </c>
      <c r="E10" s="60">
        <f t="shared" si="4"/>
        <v>0</v>
      </c>
      <c r="F10" s="60">
        <f t="shared" si="4"/>
        <v>0</v>
      </c>
      <c r="G10" s="60">
        <f t="shared" si="4"/>
        <v>0</v>
      </c>
      <c r="H10" s="60">
        <f t="shared" si="4"/>
        <v>0</v>
      </c>
      <c r="I10" s="60">
        <f t="shared" si="4"/>
        <v>0</v>
      </c>
      <c r="J10" s="60">
        <f t="shared" si="4"/>
        <v>0</v>
      </c>
      <c r="K10" s="60">
        <f t="shared" si="4"/>
        <v>0</v>
      </c>
      <c r="L10" s="60">
        <f t="shared" si="4"/>
        <v>0</v>
      </c>
      <c r="M10" s="60">
        <f t="shared" si="4"/>
        <v>0</v>
      </c>
      <c r="N10" s="60">
        <f t="shared" si="4"/>
        <v>0</v>
      </c>
      <c r="O10" s="60">
        <f t="shared" si="4"/>
        <v>0</v>
      </c>
      <c r="P10" s="60">
        <f t="shared" si="4"/>
        <v>0</v>
      </c>
      <c r="Q10" s="60">
        <f t="shared" si="4"/>
        <v>0</v>
      </c>
      <c r="R10" s="60">
        <f t="shared" si="4"/>
        <v>0</v>
      </c>
      <c r="S10" s="61">
        <f t="shared" si="4"/>
        <v>0</v>
      </c>
    </row>
    <row r="11" spans="2:19" ht="19" thickBot="1">
      <c r="B11" s="15" t="s">
        <v>69</v>
      </c>
      <c r="C11" s="74">
        <f t="shared" ref="C11:S11" si="5">C33+C44+C55+C66+C77+C88+C99+C22</f>
        <v>0</v>
      </c>
      <c r="D11" s="74">
        <f t="shared" si="5"/>
        <v>0</v>
      </c>
      <c r="E11" s="74">
        <f t="shared" si="5"/>
        <v>0</v>
      </c>
      <c r="F11" s="74">
        <f t="shared" si="5"/>
        <v>0</v>
      </c>
      <c r="G11" s="74">
        <f t="shared" si="5"/>
        <v>0</v>
      </c>
      <c r="H11" s="74">
        <f t="shared" si="5"/>
        <v>0</v>
      </c>
      <c r="I11" s="74">
        <f t="shared" si="5"/>
        <v>0</v>
      </c>
      <c r="J11" s="74">
        <f t="shared" si="5"/>
        <v>0</v>
      </c>
      <c r="K11" s="74">
        <f t="shared" si="5"/>
        <v>0</v>
      </c>
      <c r="L11" s="74">
        <f t="shared" si="5"/>
        <v>0</v>
      </c>
      <c r="M11" s="74">
        <f t="shared" si="5"/>
        <v>0</v>
      </c>
      <c r="N11" s="74">
        <f t="shared" si="5"/>
        <v>0</v>
      </c>
      <c r="O11" s="74">
        <f t="shared" si="5"/>
        <v>0</v>
      </c>
      <c r="P11" s="74">
        <f t="shared" si="5"/>
        <v>0</v>
      </c>
      <c r="Q11" s="74">
        <f t="shared" si="5"/>
        <v>0</v>
      </c>
      <c r="R11" s="74">
        <f t="shared" si="5"/>
        <v>0</v>
      </c>
      <c r="S11" s="75">
        <f t="shared" si="5"/>
        <v>0</v>
      </c>
    </row>
    <row r="13" spans="2:19" ht="18" thickBot="1">
      <c r="B13" s="106" t="s">
        <v>40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</row>
    <row r="14" spans="2:19">
      <c r="B14" s="91" t="s">
        <v>148</v>
      </c>
      <c r="C14" s="94" t="s">
        <v>11</v>
      </c>
      <c r="D14" s="95"/>
      <c r="E14" s="95"/>
      <c r="F14" s="96"/>
      <c r="G14" s="94" t="s">
        <v>71</v>
      </c>
      <c r="H14" s="95"/>
      <c r="I14" s="95"/>
      <c r="J14" s="95"/>
      <c r="K14" s="95"/>
      <c r="L14" s="96"/>
      <c r="M14" s="97" t="s">
        <v>2</v>
      </c>
      <c r="N14" s="97" t="s">
        <v>22</v>
      </c>
      <c r="O14" s="97" t="s">
        <v>87</v>
      </c>
      <c r="P14" s="97" t="s">
        <v>77</v>
      </c>
      <c r="Q14" s="97" t="s">
        <v>151</v>
      </c>
      <c r="R14" s="97" t="s">
        <v>20</v>
      </c>
      <c r="S14" s="100" t="s">
        <v>7</v>
      </c>
    </row>
    <row r="15" spans="2:19">
      <c r="B15" s="92"/>
      <c r="C15" s="103" t="s">
        <v>66</v>
      </c>
      <c r="D15" s="104"/>
      <c r="E15" s="103" t="s">
        <v>127</v>
      </c>
      <c r="F15" s="104"/>
      <c r="G15" s="103" t="s">
        <v>66</v>
      </c>
      <c r="H15" s="105"/>
      <c r="I15" s="104"/>
      <c r="J15" s="103" t="s">
        <v>127</v>
      </c>
      <c r="K15" s="105"/>
      <c r="L15" s="104"/>
      <c r="M15" s="98"/>
      <c r="N15" s="98"/>
      <c r="O15" s="98"/>
      <c r="P15" s="98"/>
      <c r="Q15" s="98"/>
      <c r="R15" s="98"/>
      <c r="S15" s="101"/>
    </row>
    <row r="16" spans="2:19" ht="18">
      <c r="B16" s="93"/>
      <c r="C16" s="11" t="s">
        <v>92</v>
      </c>
      <c r="D16" s="11" t="s">
        <v>146</v>
      </c>
      <c r="E16" s="11" t="s">
        <v>92</v>
      </c>
      <c r="F16" s="11" t="s">
        <v>146</v>
      </c>
      <c r="G16" s="11" t="s">
        <v>51</v>
      </c>
      <c r="H16" s="11" t="s">
        <v>3</v>
      </c>
      <c r="I16" s="11" t="s">
        <v>34</v>
      </c>
      <c r="J16" s="11" t="s">
        <v>51</v>
      </c>
      <c r="K16" s="11" t="s">
        <v>3</v>
      </c>
      <c r="L16" s="11" t="s">
        <v>34</v>
      </c>
      <c r="M16" s="99"/>
      <c r="N16" s="99"/>
      <c r="O16" s="99"/>
      <c r="P16" s="99"/>
      <c r="Q16" s="99"/>
      <c r="R16" s="99"/>
      <c r="S16" s="102"/>
    </row>
    <row r="17" spans="2:19" ht="18">
      <c r="B17" s="12" t="s">
        <v>21</v>
      </c>
      <c r="C17" s="32"/>
      <c r="D17" s="32"/>
      <c r="E17" s="32"/>
      <c r="F17" s="32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32"/>
      <c r="S17" s="58"/>
    </row>
    <row r="18" spans="2:19" ht="18">
      <c r="B18" s="12" t="s">
        <v>48</v>
      </c>
      <c r="C18" s="32"/>
      <c r="D18" s="32"/>
      <c r="E18" s="32"/>
      <c r="F18" s="32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32"/>
      <c r="S18" s="58"/>
    </row>
    <row r="19" spans="2:19" ht="18">
      <c r="B19" s="12" t="s">
        <v>144</v>
      </c>
      <c r="C19" s="32"/>
      <c r="D19" s="32"/>
      <c r="E19" s="32"/>
      <c r="F19" s="32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32"/>
      <c r="S19" s="58"/>
    </row>
    <row r="20" spans="2:19" ht="18">
      <c r="B20" s="12" t="s">
        <v>98</v>
      </c>
      <c r="C20" s="32"/>
      <c r="D20" s="32"/>
      <c r="E20" s="32"/>
      <c r="F20" s="32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32"/>
      <c r="S20" s="58"/>
    </row>
    <row r="21" spans="2:19" ht="18">
      <c r="B21" s="12" t="s">
        <v>63</v>
      </c>
      <c r="C21" s="32"/>
      <c r="D21" s="32"/>
      <c r="E21" s="32"/>
      <c r="F21" s="3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32"/>
      <c r="S21" s="58"/>
    </row>
    <row r="22" spans="2:19" ht="19" thickBot="1">
      <c r="B22" s="15" t="s">
        <v>69</v>
      </c>
      <c r="C22" s="16">
        <f t="shared" ref="C22:S22" si="6">SUM(C17:C21)</f>
        <v>0</v>
      </c>
      <c r="D22" s="16">
        <f t="shared" si="6"/>
        <v>0</v>
      </c>
      <c r="E22" s="16">
        <f t="shared" si="6"/>
        <v>0</v>
      </c>
      <c r="F22" s="16">
        <f t="shared" si="6"/>
        <v>0</v>
      </c>
      <c r="G22" s="16">
        <f t="shared" si="6"/>
        <v>0</v>
      </c>
      <c r="H22" s="16">
        <f t="shared" si="6"/>
        <v>0</v>
      </c>
      <c r="I22" s="16">
        <f t="shared" si="6"/>
        <v>0</v>
      </c>
      <c r="J22" s="16">
        <f t="shared" si="6"/>
        <v>0</v>
      </c>
      <c r="K22" s="16">
        <f t="shared" si="6"/>
        <v>0</v>
      </c>
      <c r="L22" s="16">
        <f t="shared" si="6"/>
        <v>0</v>
      </c>
      <c r="M22" s="16">
        <f t="shared" si="6"/>
        <v>0</v>
      </c>
      <c r="N22" s="16">
        <f t="shared" si="6"/>
        <v>0</v>
      </c>
      <c r="O22" s="16">
        <f t="shared" si="6"/>
        <v>0</v>
      </c>
      <c r="P22" s="16">
        <f t="shared" si="6"/>
        <v>0</v>
      </c>
      <c r="Q22" s="16">
        <f t="shared" si="6"/>
        <v>0</v>
      </c>
      <c r="R22" s="16">
        <f t="shared" si="6"/>
        <v>0</v>
      </c>
      <c r="S22" s="17">
        <f t="shared" si="6"/>
        <v>0</v>
      </c>
    </row>
    <row r="24" spans="2:19" ht="18" thickBot="1">
      <c r="B24" s="106" t="s">
        <v>155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</row>
    <row r="25" spans="2:19">
      <c r="B25" s="91" t="s">
        <v>148</v>
      </c>
      <c r="C25" s="94" t="s">
        <v>11</v>
      </c>
      <c r="D25" s="95"/>
      <c r="E25" s="95"/>
      <c r="F25" s="96"/>
      <c r="G25" s="94" t="s">
        <v>71</v>
      </c>
      <c r="H25" s="95"/>
      <c r="I25" s="95"/>
      <c r="J25" s="95"/>
      <c r="K25" s="95"/>
      <c r="L25" s="96"/>
      <c r="M25" s="97" t="s">
        <v>2</v>
      </c>
      <c r="N25" s="97" t="s">
        <v>22</v>
      </c>
      <c r="O25" s="97" t="s">
        <v>87</v>
      </c>
      <c r="P25" s="97" t="s">
        <v>77</v>
      </c>
      <c r="Q25" s="97" t="s">
        <v>151</v>
      </c>
      <c r="R25" s="97" t="s">
        <v>20</v>
      </c>
      <c r="S25" s="100" t="s">
        <v>7</v>
      </c>
    </row>
    <row r="26" spans="2:19">
      <c r="B26" s="92"/>
      <c r="C26" s="103" t="s">
        <v>66</v>
      </c>
      <c r="D26" s="104"/>
      <c r="E26" s="103" t="s">
        <v>127</v>
      </c>
      <c r="F26" s="104"/>
      <c r="G26" s="103" t="s">
        <v>66</v>
      </c>
      <c r="H26" s="105"/>
      <c r="I26" s="104"/>
      <c r="J26" s="103" t="s">
        <v>127</v>
      </c>
      <c r="K26" s="105"/>
      <c r="L26" s="104"/>
      <c r="M26" s="98"/>
      <c r="N26" s="98"/>
      <c r="O26" s="98"/>
      <c r="P26" s="98"/>
      <c r="Q26" s="98"/>
      <c r="R26" s="98"/>
      <c r="S26" s="101"/>
    </row>
    <row r="27" spans="2:19" ht="18">
      <c r="B27" s="93"/>
      <c r="C27" s="11" t="s">
        <v>92</v>
      </c>
      <c r="D27" s="11" t="s">
        <v>146</v>
      </c>
      <c r="E27" s="11" t="s">
        <v>92</v>
      </c>
      <c r="F27" s="11" t="s">
        <v>146</v>
      </c>
      <c r="G27" s="11" t="s">
        <v>51</v>
      </c>
      <c r="H27" s="11" t="s">
        <v>3</v>
      </c>
      <c r="I27" s="11" t="s">
        <v>34</v>
      </c>
      <c r="J27" s="11" t="s">
        <v>51</v>
      </c>
      <c r="K27" s="11" t="s">
        <v>3</v>
      </c>
      <c r="L27" s="11" t="s">
        <v>34</v>
      </c>
      <c r="M27" s="99"/>
      <c r="N27" s="99"/>
      <c r="O27" s="99"/>
      <c r="P27" s="99"/>
      <c r="Q27" s="99"/>
      <c r="R27" s="99"/>
      <c r="S27" s="102"/>
    </row>
    <row r="28" spans="2:19" ht="18">
      <c r="B28" s="12" t="s">
        <v>21</v>
      </c>
      <c r="C28" s="32"/>
      <c r="D28" s="32"/>
      <c r="E28" s="32"/>
      <c r="F28" s="32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32"/>
      <c r="S28" s="58"/>
    </row>
    <row r="29" spans="2:19" ht="18">
      <c r="B29" s="12" t="s">
        <v>48</v>
      </c>
      <c r="C29" s="32"/>
      <c r="D29" s="32"/>
      <c r="E29" s="32"/>
      <c r="F29" s="32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32"/>
      <c r="S29" s="58"/>
    </row>
    <row r="30" spans="2:19" ht="18">
      <c r="B30" s="12" t="s">
        <v>144</v>
      </c>
      <c r="C30" s="32"/>
      <c r="D30" s="32"/>
      <c r="E30" s="32"/>
      <c r="F30" s="32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32"/>
      <c r="S30" s="58"/>
    </row>
    <row r="31" spans="2:19" ht="18">
      <c r="B31" s="12" t="s">
        <v>98</v>
      </c>
      <c r="C31" s="32"/>
      <c r="D31" s="32"/>
      <c r="E31" s="32"/>
      <c r="F31" s="32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32"/>
      <c r="S31" s="58"/>
    </row>
    <row r="32" spans="2:19" ht="18">
      <c r="B32" s="12" t="s">
        <v>63</v>
      </c>
      <c r="C32" s="32"/>
      <c r="D32" s="32"/>
      <c r="E32" s="32"/>
      <c r="F32" s="32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32"/>
      <c r="S32" s="58"/>
    </row>
    <row r="33" spans="2:19" ht="19" thickBot="1">
      <c r="B33" s="15" t="s">
        <v>69</v>
      </c>
      <c r="C33" s="16">
        <f t="shared" ref="C33:S33" si="7">SUM(C28:C32)</f>
        <v>0</v>
      </c>
      <c r="D33" s="16">
        <f t="shared" si="7"/>
        <v>0</v>
      </c>
      <c r="E33" s="16">
        <f t="shared" si="7"/>
        <v>0</v>
      </c>
      <c r="F33" s="16">
        <f t="shared" si="7"/>
        <v>0</v>
      </c>
      <c r="G33" s="16">
        <f t="shared" si="7"/>
        <v>0</v>
      </c>
      <c r="H33" s="16">
        <f t="shared" si="7"/>
        <v>0</v>
      </c>
      <c r="I33" s="16">
        <f t="shared" si="7"/>
        <v>0</v>
      </c>
      <c r="J33" s="16">
        <f t="shared" si="7"/>
        <v>0</v>
      </c>
      <c r="K33" s="16">
        <f t="shared" si="7"/>
        <v>0</v>
      </c>
      <c r="L33" s="16">
        <f t="shared" si="7"/>
        <v>0</v>
      </c>
      <c r="M33" s="16">
        <f t="shared" si="7"/>
        <v>0</v>
      </c>
      <c r="N33" s="16">
        <f t="shared" si="7"/>
        <v>0</v>
      </c>
      <c r="O33" s="16">
        <f t="shared" si="7"/>
        <v>0</v>
      </c>
      <c r="P33" s="16">
        <f t="shared" si="7"/>
        <v>0</v>
      </c>
      <c r="Q33" s="16">
        <f t="shared" si="7"/>
        <v>0</v>
      </c>
      <c r="R33" s="16">
        <f t="shared" si="7"/>
        <v>0</v>
      </c>
      <c r="S33" s="17">
        <f t="shared" si="7"/>
        <v>0</v>
      </c>
    </row>
    <row r="35" spans="2:19" ht="17" customHeight="1" thickBot="1">
      <c r="B35" s="106" t="s">
        <v>155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</row>
    <row r="36" spans="2:19">
      <c r="B36" s="91" t="s">
        <v>148</v>
      </c>
      <c r="C36" s="94" t="s">
        <v>11</v>
      </c>
      <c r="D36" s="95"/>
      <c r="E36" s="95"/>
      <c r="F36" s="96"/>
      <c r="G36" s="94" t="s">
        <v>71</v>
      </c>
      <c r="H36" s="95"/>
      <c r="I36" s="95"/>
      <c r="J36" s="95"/>
      <c r="K36" s="95"/>
      <c r="L36" s="96"/>
      <c r="M36" s="97" t="s">
        <v>2</v>
      </c>
      <c r="N36" s="97" t="s">
        <v>22</v>
      </c>
      <c r="O36" s="97" t="s">
        <v>87</v>
      </c>
      <c r="P36" s="97" t="s">
        <v>77</v>
      </c>
      <c r="Q36" s="97" t="s">
        <v>151</v>
      </c>
      <c r="R36" s="97" t="s">
        <v>20</v>
      </c>
      <c r="S36" s="100" t="s">
        <v>7</v>
      </c>
    </row>
    <row r="37" spans="2:19">
      <c r="B37" s="92"/>
      <c r="C37" s="103" t="s">
        <v>66</v>
      </c>
      <c r="D37" s="104"/>
      <c r="E37" s="103" t="s">
        <v>127</v>
      </c>
      <c r="F37" s="104"/>
      <c r="G37" s="103" t="s">
        <v>66</v>
      </c>
      <c r="H37" s="105"/>
      <c r="I37" s="104"/>
      <c r="J37" s="103" t="s">
        <v>127</v>
      </c>
      <c r="K37" s="105"/>
      <c r="L37" s="104"/>
      <c r="M37" s="98"/>
      <c r="N37" s="98"/>
      <c r="O37" s="98"/>
      <c r="P37" s="98"/>
      <c r="Q37" s="98"/>
      <c r="R37" s="98"/>
      <c r="S37" s="101"/>
    </row>
    <row r="38" spans="2:19" ht="18">
      <c r="B38" s="93"/>
      <c r="C38" s="11" t="s">
        <v>92</v>
      </c>
      <c r="D38" s="11" t="s">
        <v>146</v>
      </c>
      <c r="E38" s="11" t="s">
        <v>92</v>
      </c>
      <c r="F38" s="11" t="s">
        <v>146</v>
      </c>
      <c r="G38" s="11" t="s">
        <v>51</v>
      </c>
      <c r="H38" s="11" t="s">
        <v>3</v>
      </c>
      <c r="I38" s="11" t="s">
        <v>34</v>
      </c>
      <c r="J38" s="11" t="s">
        <v>51</v>
      </c>
      <c r="K38" s="11" t="s">
        <v>3</v>
      </c>
      <c r="L38" s="11" t="s">
        <v>34</v>
      </c>
      <c r="M38" s="99"/>
      <c r="N38" s="99"/>
      <c r="O38" s="99"/>
      <c r="P38" s="99"/>
      <c r="Q38" s="99"/>
      <c r="R38" s="99"/>
      <c r="S38" s="102"/>
    </row>
    <row r="39" spans="2:19" ht="18">
      <c r="B39" s="12" t="s">
        <v>21</v>
      </c>
      <c r="C39" s="32"/>
      <c r="D39" s="32"/>
      <c r="E39" s="32"/>
      <c r="F39" s="32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32"/>
      <c r="S39" s="58"/>
    </row>
    <row r="40" spans="2:19" ht="18">
      <c r="B40" s="12" t="s">
        <v>48</v>
      </c>
      <c r="C40" s="32"/>
      <c r="D40" s="32"/>
      <c r="E40" s="32"/>
      <c r="F40" s="32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32"/>
      <c r="S40" s="58"/>
    </row>
    <row r="41" spans="2:19" ht="18">
      <c r="B41" s="12" t="s">
        <v>144</v>
      </c>
      <c r="C41" s="32"/>
      <c r="D41" s="32"/>
      <c r="E41" s="32"/>
      <c r="F41" s="32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32"/>
      <c r="S41" s="58"/>
    </row>
    <row r="42" spans="2:19" ht="18">
      <c r="B42" s="12" t="s">
        <v>98</v>
      </c>
      <c r="C42" s="32"/>
      <c r="D42" s="32"/>
      <c r="E42" s="32"/>
      <c r="F42" s="32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32"/>
      <c r="S42" s="58"/>
    </row>
    <row r="43" spans="2:19" ht="18">
      <c r="B43" s="12" t="s">
        <v>63</v>
      </c>
      <c r="C43" s="32"/>
      <c r="D43" s="32"/>
      <c r="E43" s="32"/>
      <c r="F43" s="32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32"/>
      <c r="S43" s="58"/>
    </row>
    <row r="44" spans="2:19" ht="19" thickBot="1">
      <c r="B44" s="15" t="s">
        <v>69</v>
      </c>
      <c r="C44" s="16">
        <f t="shared" ref="C44:S44" si="8">SUM(C39:C43)</f>
        <v>0</v>
      </c>
      <c r="D44" s="16">
        <f t="shared" si="8"/>
        <v>0</v>
      </c>
      <c r="E44" s="16">
        <f t="shared" si="8"/>
        <v>0</v>
      </c>
      <c r="F44" s="16">
        <f t="shared" si="8"/>
        <v>0</v>
      </c>
      <c r="G44" s="16">
        <f t="shared" si="8"/>
        <v>0</v>
      </c>
      <c r="H44" s="16">
        <f t="shared" si="8"/>
        <v>0</v>
      </c>
      <c r="I44" s="16">
        <f t="shared" si="8"/>
        <v>0</v>
      </c>
      <c r="J44" s="16">
        <f t="shared" si="8"/>
        <v>0</v>
      </c>
      <c r="K44" s="16">
        <f t="shared" si="8"/>
        <v>0</v>
      </c>
      <c r="L44" s="16">
        <f t="shared" si="8"/>
        <v>0</v>
      </c>
      <c r="M44" s="16">
        <f t="shared" si="8"/>
        <v>0</v>
      </c>
      <c r="N44" s="16">
        <f t="shared" si="8"/>
        <v>0</v>
      </c>
      <c r="O44" s="16">
        <f t="shared" si="8"/>
        <v>0</v>
      </c>
      <c r="P44" s="16">
        <f t="shared" si="8"/>
        <v>0</v>
      </c>
      <c r="Q44" s="16">
        <f t="shared" si="8"/>
        <v>0</v>
      </c>
      <c r="R44" s="16">
        <f t="shared" si="8"/>
        <v>0</v>
      </c>
      <c r="S44" s="17">
        <f t="shared" si="8"/>
        <v>0</v>
      </c>
    </row>
    <row r="46" spans="2:19" ht="17" customHeight="1" thickBot="1">
      <c r="B46" s="106" t="s">
        <v>155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</row>
    <row r="47" spans="2:19">
      <c r="B47" s="91" t="s">
        <v>148</v>
      </c>
      <c r="C47" s="94" t="s">
        <v>11</v>
      </c>
      <c r="D47" s="95"/>
      <c r="E47" s="95"/>
      <c r="F47" s="96"/>
      <c r="G47" s="94" t="s">
        <v>71</v>
      </c>
      <c r="H47" s="95"/>
      <c r="I47" s="95"/>
      <c r="J47" s="95"/>
      <c r="K47" s="95"/>
      <c r="L47" s="96"/>
      <c r="M47" s="97" t="s">
        <v>2</v>
      </c>
      <c r="N47" s="97" t="s">
        <v>22</v>
      </c>
      <c r="O47" s="97" t="s">
        <v>87</v>
      </c>
      <c r="P47" s="97" t="s">
        <v>77</v>
      </c>
      <c r="Q47" s="97" t="s">
        <v>151</v>
      </c>
      <c r="R47" s="97" t="s">
        <v>20</v>
      </c>
      <c r="S47" s="100" t="s">
        <v>7</v>
      </c>
    </row>
    <row r="48" spans="2:19">
      <c r="B48" s="92"/>
      <c r="C48" s="103" t="s">
        <v>66</v>
      </c>
      <c r="D48" s="104"/>
      <c r="E48" s="103" t="s">
        <v>127</v>
      </c>
      <c r="F48" s="104"/>
      <c r="G48" s="103" t="s">
        <v>66</v>
      </c>
      <c r="H48" s="105"/>
      <c r="I48" s="104"/>
      <c r="J48" s="103" t="s">
        <v>127</v>
      </c>
      <c r="K48" s="105"/>
      <c r="L48" s="104"/>
      <c r="M48" s="98"/>
      <c r="N48" s="98"/>
      <c r="O48" s="98"/>
      <c r="P48" s="98"/>
      <c r="Q48" s="98"/>
      <c r="R48" s="98"/>
      <c r="S48" s="101"/>
    </row>
    <row r="49" spans="2:19" ht="18">
      <c r="B49" s="93"/>
      <c r="C49" s="11" t="s">
        <v>92</v>
      </c>
      <c r="D49" s="11" t="s">
        <v>146</v>
      </c>
      <c r="E49" s="11" t="s">
        <v>92</v>
      </c>
      <c r="F49" s="11" t="s">
        <v>146</v>
      </c>
      <c r="G49" s="11" t="s">
        <v>51</v>
      </c>
      <c r="H49" s="11" t="s">
        <v>3</v>
      </c>
      <c r="I49" s="11" t="s">
        <v>34</v>
      </c>
      <c r="J49" s="11" t="s">
        <v>51</v>
      </c>
      <c r="K49" s="11" t="s">
        <v>3</v>
      </c>
      <c r="L49" s="11" t="s">
        <v>34</v>
      </c>
      <c r="M49" s="99"/>
      <c r="N49" s="99"/>
      <c r="O49" s="99"/>
      <c r="P49" s="99"/>
      <c r="Q49" s="99"/>
      <c r="R49" s="99"/>
      <c r="S49" s="102"/>
    </row>
    <row r="50" spans="2:19" ht="18">
      <c r="B50" s="12" t="s">
        <v>21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58"/>
    </row>
    <row r="51" spans="2:19" ht="18">
      <c r="B51" s="12" t="s">
        <v>48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58"/>
    </row>
    <row r="52" spans="2:19" ht="18">
      <c r="B52" s="12" t="s">
        <v>144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58"/>
    </row>
    <row r="53" spans="2:19" ht="18">
      <c r="B53" s="12" t="s">
        <v>98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58"/>
    </row>
    <row r="54" spans="2:19" ht="18">
      <c r="B54" s="12" t="s">
        <v>63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58"/>
    </row>
    <row r="55" spans="2:19" ht="19" thickBot="1">
      <c r="B55" s="15" t="s">
        <v>69</v>
      </c>
      <c r="C55" s="16">
        <f t="shared" ref="C55:S55" si="9">SUM(C50:C54)</f>
        <v>0</v>
      </c>
      <c r="D55" s="16">
        <f t="shared" si="9"/>
        <v>0</v>
      </c>
      <c r="E55" s="16">
        <f t="shared" si="9"/>
        <v>0</v>
      </c>
      <c r="F55" s="16">
        <f t="shared" si="9"/>
        <v>0</v>
      </c>
      <c r="G55" s="16">
        <f t="shared" si="9"/>
        <v>0</v>
      </c>
      <c r="H55" s="16">
        <f t="shared" si="9"/>
        <v>0</v>
      </c>
      <c r="I55" s="16">
        <f t="shared" si="9"/>
        <v>0</v>
      </c>
      <c r="J55" s="16">
        <f t="shared" si="9"/>
        <v>0</v>
      </c>
      <c r="K55" s="16">
        <f t="shared" si="9"/>
        <v>0</v>
      </c>
      <c r="L55" s="16">
        <f t="shared" si="9"/>
        <v>0</v>
      </c>
      <c r="M55" s="16">
        <f t="shared" si="9"/>
        <v>0</v>
      </c>
      <c r="N55" s="16">
        <f t="shared" si="9"/>
        <v>0</v>
      </c>
      <c r="O55" s="16">
        <f t="shared" si="9"/>
        <v>0</v>
      </c>
      <c r="P55" s="16">
        <f t="shared" si="9"/>
        <v>0</v>
      </c>
      <c r="Q55" s="16">
        <f t="shared" si="9"/>
        <v>0</v>
      </c>
      <c r="R55" s="16">
        <f t="shared" si="9"/>
        <v>0</v>
      </c>
      <c r="S55" s="17">
        <f t="shared" si="9"/>
        <v>0</v>
      </c>
    </row>
    <row r="57" spans="2:19" ht="17" customHeight="1" thickBot="1">
      <c r="B57" s="106" t="s">
        <v>155</v>
      </c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</row>
    <row r="58" spans="2:19">
      <c r="B58" s="91" t="s">
        <v>148</v>
      </c>
      <c r="C58" s="94" t="s">
        <v>11</v>
      </c>
      <c r="D58" s="95"/>
      <c r="E58" s="95"/>
      <c r="F58" s="96"/>
      <c r="G58" s="94" t="s">
        <v>71</v>
      </c>
      <c r="H58" s="95"/>
      <c r="I58" s="95"/>
      <c r="J58" s="95"/>
      <c r="K58" s="95"/>
      <c r="L58" s="96"/>
      <c r="M58" s="97" t="s">
        <v>2</v>
      </c>
      <c r="N58" s="97" t="s">
        <v>22</v>
      </c>
      <c r="O58" s="97" t="s">
        <v>87</v>
      </c>
      <c r="P58" s="97" t="s">
        <v>77</v>
      </c>
      <c r="Q58" s="97" t="s">
        <v>151</v>
      </c>
      <c r="R58" s="97" t="s">
        <v>20</v>
      </c>
      <c r="S58" s="100" t="s">
        <v>7</v>
      </c>
    </row>
    <row r="59" spans="2:19">
      <c r="B59" s="92"/>
      <c r="C59" s="103" t="s">
        <v>66</v>
      </c>
      <c r="D59" s="104"/>
      <c r="E59" s="103" t="s">
        <v>127</v>
      </c>
      <c r="F59" s="104"/>
      <c r="G59" s="103" t="s">
        <v>66</v>
      </c>
      <c r="H59" s="105"/>
      <c r="I59" s="104"/>
      <c r="J59" s="103" t="s">
        <v>127</v>
      </c>
      <c r="K59" s="105"/>
      <c r="L59" s="104"/>
      <c r="M59" s="98"/>
      <c r="N59" s="98"/>
      <c r="O59" s="98"/>
      <c r="P59" s="98"/>
      <c r="Q59" s="98"/>
      <c r="R59" s="98"/>
      <c r="S59" s="101"/>
    </row>
    <row r="60" spans="2:19" ht="18">
      <c r="B60" s="93"/>
      <c r="C60" s="11" t="s">
        <v>92</v>
      </c>
      <c r="D60" s="11" t="s">
        <v>146</v>
      </c>
      <c r="E60" s="11" t="s">
        <v>92</v>
      </c>
      <c r="F60" s="11" t="s">
        <v>146</v>
      </c>
      <c r="G60" s="11" t="s">
        <v>51</v>
      </c>
      <c r="H60" s="11" t="s">
        <v>3</v>
      </c>
      <c r="I60" s="11" t="s">
        <v>34</v>
      </c>
      <c r="J60" s="11" t="s">
        <v>51</v>
      </c>
      <c r="K60" s="11" t="s">
        <v>3</v>
      </c>
      <c r="L60" s="11" t="s">
        <v>34</v>
      </c>
      <c r="M60" s="99"/>
      <c r="N60" s="99"/>
      <c r="O60" s="99"/>
      <c r="P60" s="99"/>
      <c r="Q60" s="99"/>
      <c r="R60" s="99"/>
      <c r="S60" s="102"/>
    </row>
    <row r="61" spans="2:19" ht="18">
      <c r="B61" s="12" t="s">
        <v>21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58"/>
    </row>
    <row r="62" spans="2:19" ht="18">
      <c r="B62" s="12" t="s">
        <v>48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58"/>
    </row>
    <row r="63" spans="2:19" ht="18">
      <c r="B63" s="12" t="s">
        <v>144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58"/>
    </row>
    <row r="64" spans="2:19" ht="18">
      <c r="B64" s="12" t="s">
        <v>98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58"/>
    </row>
    <row r="65" spans="2:19" ht="18">
      <c r="B65" s="12" t="s">
        <v>63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58"/>
    </row>
    <row r="66" spans="2:19" ht="19" thickBot="1">
      <c r="B66" s="15" t="s">
        <v>69</v>
      </c>
      <c r="C66" s="16">
        <f t="shared" ref="C66:S66" si="10">SUM(C61:C65)</f>
        <v>0</v>
      </c>
      <c r="D66" s="16">
        <f t="shared" si="10"/>
        <v>0</v>
      </c>
      <c r="E66" s="16">
        <f t="shared" si="10"/>
        <v>0</v>
      </c>
      <c r="F66" s="16">
        <f t="shared" si="10"/>
        <v>0</v>
      </c>
      <c r="G66" s="16">
        <f t="shared" si="10"/>
        <v>0</v>
      </c>
      <c r="H66" s="16">
        <f t="shared" si="10"/>
        <v>0</v>
      </c>
      <c r="I66" s="16">
        <f t="shared" si="10"/>
        <v>0</v>
      </c>
      <c r="J66" s="16">
        <f t="shared" si="10"/>
        <v>0</v>
      </c>
      <c r="K66" s="16">
        <f t="shared" si="10"/>
        <v>0</v>
      </c>
      <c r="L66" s="16">
        <f t="shared" si="10"/>
        <v>0</v>
      </c>
      <c r="M66" s="16">
        <f t="shared" si="10"/>
        <v>0</v>
      </c>
      <c r="N66" s="16">
        <f t="shared" si="10"/>
        <v>0</v>
      </c>
      <c r="O66" s="16">
        <f t="shared" si="10"/>
        <v>0</v>
      </c>
      <c r="P66" s="16">
        <f t="shared" si="10"/>
        <v>0</v>
      </c>
      <c r="Q66" s="16">
        <f t="shared" si="10"/>
        <v>0</v>
      </c>
      <c r="R66" s="16">
        <f t="shared" si="10"/>
        <v>0</v>
      </c>
      <c r="S66" s="17">
        <f t="shared" si="10"/>
        <v>0</v>
      </c>
    </row>
    <row r="68" spans="2:19" ht="17" customHeight="1" thickBot="1">
      <c r="B68" s="106" t="s">
        <v>155</v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</row>
    <row r="69" spans="2:19">
      <c r="B69" s="91" t="s">
        <v>148</v>
      </c>
      <c r="C69" s="94" t="s">
        <v>11</v>
      </c>
      <c r="D69" s="95"/>
      <c r="E69" s="95"/>
      <c r="F69" s="96"/>
      <c r="G69" s="94" t="s">
        <v>71</v>
      </c>
      <c r="H69" s="95"/>
      <c r="I69" s="95"/>
      <c r="J69" s="95"/>
      <c r="K69" s="95"/>
      <c r="L69" s="96"/>
      <c r="M69" s="97" t="s">
        <v>2</v>
      </c>
      <c r="N69" s="97" t="s">
        <v>22</v>
      </c>
      <c r="O69" s="97" t="s">
        <v>87</v>
      </c>
      <c r="P69" s="97" t="s">
        <v>77</v>
      </c>
      <c r="Q69" s="97" t="s">
        <v>151</v>
      </c>
      <c r="R69" s="97" t="s">
        <v>20</v>
      </c>
      <c r="S69" s="100" t="s">
        <v>7</v>
      </c>
    </row>
    <row r="70" spans="2:19">
      <c r="B70" s="92"/>
      <c r="C70" s="103" t="s">
        <v>66</v>
      </c>
      <c r="D70" s="104"/>
      <c r="E70" s="103" t="s">
        <v>127</v>
      </c>
      <c r="F70" s="104"/>
      <c r="G70" s="103" t="s">
        <v>66</v>
      </c>
      <c r="H70" s="105"/>
      <c r="I70" s="104"/>
      <c r="J70" s="103" t="s">
        <v>127</v>
      </c>
      <c r="K70" s="105"/>
      <c r="L70" s="104"/>
      <c r="M70" s="98"/>
      <c r="N70" s="98"/>
      <c r="O70" s="98"/>
      <c r="P70" s="98"/>
      <c r="Q70" s="98"/>
      <c r="R70" s="98"/>
      <c r="S70" s="101"/>
    </row>
    <row r="71" spans="2:19" ht="18">
      <c r="B71" s="93"/>
      <c r="C71" s="11" t="s">
        <v>92</v>
      </c>
      <c r="D71" s="11" t="s">
        <v>146</v>
      </c>
      <c r="E71" s="11" t="s">
        <v>92</v>
      </c>
      <c r="F71" s="11" t="s">
        <v>146</v>
      </c>
      <c r="G71" s="11" t="s">
        <v>51</v>
      </c>
      <c r="H71" s="11" t="s">
        <v>3</v>
      </c>
      <c r="I71" s="11" t="s">
        <v>34</v>
      </c>
      <c r="J71" s="11" t="s">
        <v>51</v>
      </c>
      <c r="K71" s="11" t="s">
        <v>3</v>
      </c>
      <c r="L71" s="11" t="s">
        <v>34</v>
      </c>
      <c r="M71" s="99"/>
      <c r="N71" s="99"/>
      <c r="O71" s="99"/>
      <c r="P71" s="99"/>
      <c r="Q71" s="99"/>
      <c r="R71" s="99"/>
      <c r="S71" s="102"/>
    </row>
    <row r="72" spans="2:19" ht="18">
      <c r="B72" s="12" t="s">
        <v>21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58"/>
    </row>
    <row r="73" spans="2:19" ht="18">
      <c r="B73" s="12" t="s">
        <v>48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58"/>
    </row>
    <row r="74" spans="2:19" ht="18">
      <c r="B74" s="12" t="s">
        <v>144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58"/>
    </row>
    <row r="75" spans="2:19" ht="18">
      <c r="B75" s="12" t="s">
        <v>98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58"/>
    </row>
    <row r="76" spans="2:19" ht="18">
      <c r="B76" s="12" t="s">
        <v>63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58"/>
    </row>
    <row r="77" spans="2:19" ht="19" thickBot="1">
      <c r="B77" s="15" t="s">
        <v>69</v>
      </c>
      <c r="C77" s="16">
        <f t="shared" ref="C77:S77" si="11">SUM(C72:C76)</f>
        <v>0</v>
      </c>
      <c r="D77" s="16">
        <f t="shared" si="11"/>
        <v>0</v>
      </c>
      <c r="E77" s="16">
        <f t="shared" si="11"/>
        <v>0</v>
      </c>
      <c r="F77" s="16">
        <f t="shared" si="11"/>
        <v>0</v>
      </c>
      <c r="G77" s="16">
        <f t="shared" si="11"/>
        <v>0</v>
      </c>
      <c r="H77" s="16">
        <f t="shared" si="11"/>
        <v>0</v>
      </c>
      <c r="I77" s="16">
        <f t="shared" si="11"/>
        <v>0</v>
      </c>
      <c r="J77" s="16">
        <f t="shared" si="11"/>
        <v>0</v>
      </c>
      <c r="K77" s="16">
        <f t="shared" si="11"/>
        <v>0</v>
      </c>
      <c r="L77" s="16">
        <f t="shared" si="11"/>
        <v>0</v>
      </c>
      <c r="M77" s="16">
        <f t="shared" si="11"/>
        <v>0</v>
      </c>
      <c r="N77" s="16">
        <f t="shared" si="11"/>
        <v>0</v>
      </c>
      <c r="O77" s="16">
        <f t="shared" si="11"/>
        <v>0</v>
      </c>
      <c r="P77" s="16">
        <f t="shared" si="11"/>
        <v>0</v>
      </c>
      <c r="Q77" s="16">
        <f t="shared" si="11"/>
        <v>0</v>
      </c>
      <c r="R77" s="16">
        <f t="shared" si="11"/>
        <v>0</v>
      </c>
      <c r="S77" s="17">
        <f t="shared" si="11"/>
        <v>0</v>
      </c>
    </row>
    <row r="79" spans="2:19" ht="17" customHeight="1" thickBot="1">
      <c r="B79" s="106" t="s">
        <v>155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</row>
    <row r="80" spans="2:19">
      <c r="B80" s="91" t="s">
        <v>148</v>
      </c>
      <c r="C80" s="94" t="s">
        <v>11</v>
      </c>
      <c r="D80" s="95"/>
      <c r="E80" s="95"/>
      <c r="F80" s="96"/>
      <c r="G80" s="94" t="s">
        <v>71</v>
      </c>
      <c r="H80" s="95"/>
      <c r="I80" s="95"/>
      <c r="J80" s="95"/>
      <c r="K80" s="95"/>
      <c r="L80" s="96"/>
      <c r="M80" s="97" t="s">
        <v>2</v>
      </c>
      <c r="N80" s="97" t="s">
        <v>22</v>
      </c>
      <c r="O80" s="97" t="s">
        <v>87</v>
      </c>
      <c r="P80" s="97" t="s">
        <v>77</v>
      </c>
      <c r="Q80" s="97" t="s">
        <v>151</v>
      </c>
      <c r="R80" s="97" t="s">
        <v>20</v>
      </c>
      <c r="S80" s="100" t="s">
        <v>7</v>
      </c>
    </row>
    <row r="81" spans="2:19">
      <c r="B81" s="92"/>
      <c r="C81" s="103" t="s">
        <v>66</v>
      </c>
      <c r="D81" s="104"/>
      <c r="E81" s="103" t="s">
        <v>127</v>
      </c>
      <c r="F81" s="104"/>
      <c r="G81" s="103" t="s">
        <v>66</v>
      </c>
      <c r="H81" s="105"/>
      <c r="I81" s="104"/>
      <c r="J81" s="103" t="s">
        <v>127</v>
      </c>
      <c r="K81" s="105"/>
      <c r="L81" s="104"/>
      <c r="M81" s="98"/>
      <c r="N81" s="98"/>
      <c r="O81" s="98"/>
      <c r="P81" s="98"/>
      <c r="Q81" s="98"/>
      <c r="R81" s="98"/>
      <c r="S81" s="101"/>
    </row>
    <row r="82" spans="2:19" ht="18">
      <c r="B82" s="93"/>
      <c r="C82" s="11" t="s">
        <v>92</v>
      </c>
      <c r="D82" s="11" t="s">
        <v>146</v>
      </c>
      <c r="E82" s="11" t="s">
        <v>92</v>
      </c>
      <c r="F82" s="11" t="s">
        <v>146</v>
      </c>
      <c r="G82" s="11" t="s">
        <v>51</v>
      </c>
      <c r="H82" s="11" t="s">
        <v>3</v>
      </c>
      <c r="I82" s="11" t="s">
        <v>34</v>
      </c>
      <c r="J82" s="11" t="s">
        <v>51</v>
      </c>
      <c r="K82" s="11" t="s">
        <v>3</v>
      </c>
      <c r="L82" s="11" t="s">
        <v>34</v>
      </c>
      <c r="M82" s="99"/>
      <c r="N82" s="99"/>
      <c r="O82" s="99"/>
      <c r="P82" s="99"/>
      <c r="Q82" s="99"/>
      <c r="R82" s="99"/>
      <c r="S82" s="102"/>
    </row>
    <row r="83" spans="2:19" ht="18">
      <c r="B83" s="12" t="s">
        <v>21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58"/>
    </row>
    <row r="84" spans="2:19" ht="18">
      <c r="B84" s="12" t="s">
        <v>48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58"/>
    </row>
    <row r="85" spans="2:19" ht="18">
      <c r="B85" s="12" t="s">
        <v>144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58"/>
    </row>
    <row r="86" spans="2:19" ht="18">
      <c r="B86" s="12" t="s">
        <v>98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58"/>
    </row>
    <row r="87" spans="2:19" ht="18">
      <c r="B87" s="12" t="s">
        <v>63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58"/>
    </row>
    <row r="88" spans="2:19" ht="19" thickBot="1">
      <c r="B88" s="15" t="s">
        <v>69</v>
      </c>
      <c r="C88" s="16">
        <f t="shared" ref="C88:S88" si="12">SUM(C83:C87)</f>
        <v>0</v>
      </c>
      <c r="D88" s="16">
        <f t="shared" si="12"/>
        <v>0</v>
      </c>
      <c r="E88" s="16">
        <f t="shared" si="12"/>
        <v>0</v>
      </c>
      <c r="F88" s="16">
        <f t="shared" si="12"/>
        <v>0</v>
      </c>
      <c r="G88" s="16">
        <f t="shared" si="12"/>
        <v>0</v>
      </c>
      <c r="H88" s="16">
        <f t="shared" si="12"/>
        <v>0</v>
      </c>
      <c r="I88" s="16">
        <f t="shared" si="12"/>
        <v>0</v>
      </c>
      <c r="J88" s="16">
        <f t="shared" si="12"/>
        <v>0</v>
      </c>
      <c r="K88" s="16">
        <f t="shared" si="12"/>
        <v>0</v>
      </c>
      <c r="L88" s="16">
        <f t="shared" si="12"/>
        <v>0</v>
      </c>
      <c r="M88" s="16">
        <f t="shared" si="12"/>
        <v>0</v>
      </c>
      <c r="N88" s="16">
        <f t="shared" si="12"/>
        <v>0</v>
      </c>
      <c r="O88" s="16">
        <f t="shared" si="12"/>
        <v>0</v>
      </c>
      <c r="P88" s="16">
        <f t="shared" si="12"/>
        <v>0</v>
      </c>
      <c r="Q88" s="16">
        <f t="shared" si="12"/>
        <v>0</v>
      </c>
      <c r="R88" s="16">
        <f t="shared" si="12"/>
        <v>0</v>
      </c>
      <c r="S88" s="17">
        <f t="shared" si="12"/>
        <v>0</v>
      </c>
    </row>
    <row r="90" spans="2:19" ht="17" customHeight="1" thickBot="1">
      <c r="B90" s="106" t="s">
        <v>155</v>
      </c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</row>
    <row r="91" spans="2:19">
      <c r="B91" s="91" t="s">
        <v>148</v>
      </c>
      <c r="C91" s="94" t="s">
        <v>11</v>
      </c>
      <c r="D91" s="95"/>
      <c r="E91" s="95"/>
      <c r="F91" s="96"/>
      <c r="G91" s="94" t="s">
        <v>71</v>
      </c>
      <c r="H91" s="95"/>
      <c r="I91" s="95"/>
      <c r="J91" s="95"/>
      <c r="K91" s="95"/>
      <c r="L91" s="96"/>
      <c r="M91" s="97" t="s">
        <v>2</v>
      </c>
      <c r="N91" s="97" t="s">
        <v>22</v>
      </c>
      <c r="O91" s="97" t="s">
        <v>87</v>
      </c>
      <c r="P91" s="97" t="s">
        <v>77</v>
      </c>
      <c r="Q91" s="97" t="s">
        <v>151</v>
      </c>
      <c r="R91" s="97" t="s">
        <v>20</v>
      </c>
      <c r="S91" s="100" t="s">
        <v>7</v>
      </c>
    </row>
    <row r="92" spans="2:19">
      <c r="B92" s="92"/>
      <c r="C92" s="103" t="s">
        <v>66</v>
      </c>
      <c r="D92" s="104"/>
      <c r="E92" s="103" t="s">
        <v>127</v>
      </c>
      <c r="F92" s="104"/>
      <c r="G92" s="103" t="s">
        <v>66</v>
      </c>
      <c r="H92" s="105"/>
      <c r="I92" s="104"/>
      <c r="J92" s="103" t="s">
        <v>127</v>
      </c>
      <c r="K92" s="105"/>
      <c r="L92" s="104"/>
      <c r="M92" s="98"/>
      <c r="N92" s="98"/>
      <c r="O92" s="98"/>
      <c r="P92" s="98"/>
      <c r="Q92" s="98"/>
      <c r="R92" s="98"/>
      <c r="S92" s="101"/>
    </row>
    <row r="93" spans="2:19" ht="18">
      <c r="B93" s="93"/>
      <c r="C93" s="11" t="s">
        <v>92</v>
      </c>
      <c r="D93" s="11" t="s">
        <v>146</v>
      </c>
      <c r="E93" s="11" t="s">
        <v>92</v>
      </c>
      <c r="F93" s="11" t="s">
        <v>146</v>
      </c>
      <c r="G93" s="11" t="s">
        <v>51</v>
      </c>
      <c r="H93" s="11" t="s">
        <v>3</v>
      </c>
      <c r="I93" s="11" t="s">
        <v>34</v>
      </c>
      <c r="J93" s="11" t="s">
        <v>51</v>
      </c>
      <c r="K93" s="11" t="s">
        <v>3</v>
      </c>
      <c r="L93" s="11" t="s">
        <v>34</v>
      </c>
      <c r="M93" s="99"/>
      <c r="N93" s="99"/>
      <c r="O93" s="99"/>
      <c r="P93" s="99"/>
      <c r="Q93" s="99"/>
      <c r="R93" s="99"/>
      <c r="S93" s="102"/>
    </row>
    <row r="94" spans="2:19" ht="18">
      <c r="B94" s="12" t="s">
        <v>21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6"/>
    </row>
    <row r="95" spans="2:19" ht="18">
      <c r="B95" s="12" t="s">
        <v>48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6"/>
    </row>
    <row r="96" spans="2:19" ht="18">
      <c r="B96" s="12" t="s">
        <v>144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6"/>
    </row>
    <row r="97" spans="2:19" ht="18">
      <c r="B97" s="12" t="s">
        <v>98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6"/>
    </row>
    <row r="98" spans="2:19" ht="18">
      <c r="B98" s="12" t="s">
        <v>63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6"/>
    </row>
    <row r="99" spans="2:19" ht="19" thickBot="1">
      <c r="B99" s="15" t="s">
        <v>69</v>
      </c>
      <c r="C99" s="16">
        <f t="shared" ref="C99:S99" si="13">SUM(C94:C98)</f>
        <v>0</v>
      </c>
      <c r="D99" s="16">
        <f t="shared" si="13"/>
        <v>0</v>
      </c>
      <c r="E99" s="16">
        <f t="shared" si="13"/>
        <v>0</v>
      </c>
      <c r="F99" s="16">
        <f t="shared" si="13"/>
        <v>0</v>
      </c>
      <c r="G99" s="16">
        <f t="shared" si="13"/>
        <v>0</v>
      </c>
      <c r="H99" s="16">
        <f t="shared" si="13"/>
        <v>0</v>
      </c>
      <c r="I99" s="16">
        <f t="shared" si="13"/>
        <v>0</v>
      </c>
      <c r="J99" s="16">
        <f t="shared" si="13"/>
        <v>0</v>
      </c>
      <c r="K99" s="16">
        <f t="shared" si="13"/>
        <v>0</v>
      </c>
      <c r="L99" s="16">
        <f t="shared" si="13"/>
        <v>0</v>
      </c>
      <c r="M99" s="16">
        <f t="shared" si="13"/>
        <v>0</v>
      </c>
      <c r="N99" s="16">
        <f t="shared" si="13"/>
        <v>0</v>
      </c>
      <c r="O99" s="16">
        <f t="shared" si="13"/>
        <v>0</v>
      </c>
      <c r="P99" s="16">
        <f t="shared" si="13"/>
        <v>0</v>
      </c>
      <c r="Q99" s="16">
        <f t="shared" si="13"/>
        <v>0</v>
      </c>
      <c r="R99" s="16">
        <f t="shared" si="13"/>
        <v>0</v>
      </c>
      <c r="S99" s="17">
        <f t="shared" si="13"/>
        <v>0</v>
      </c>
    </row>
  </sheetData>
  <mergeCells count="134">
    <mergeCell ref="P91:P93"/>
    <mergeCell ref="Q91:Q93"/>
    <mergeCell ref="R91:R93"/>
    <mergeCell ref="S91:S93"/>
    <mergeCell ref="C92:D92"/>
    <mergeCell ref="E92:F92"/>
    <mergeCell ref="G92:I92"/>
    <mergeCell ref="J92:L92"/>
    <mergeCell ref="B91:B93"/>
    <mergeCell ref="C91:F91"/>
    <mergeCell ref="G91:L91"/>
    <mergeCell ref="M91:M93"/>
    <mergeCell ref="N91:N93"/>
    <mergeCell ref="O91:O93"/>
    <mergeCell ref="S80:S82"/>
    <mergeCell ref="C81:D81"/>
    <mergeCell ref="E81:F81"/>
    <mergeCell ref="G81:I81"/>
    <mergeCell ref="J81:L81"/>
    <mergeCell ref="B90:S90"/>
    <mergeCell ref="B79:S79"/>
    <mergeCell ref="B80:B82"/>
    <mergeCell ref="C80:F80"/>
    <mergeCell ref="G80:L80"/>
    <mergeCell ref="M80:M82"/>
    <mergeCell ref="N80:N82"/>
    <mergeCell ref="O80:O82"/>
    <mergeCell ref="P80:P82"/>
    <mergeCell ref="Q80:Q82"/>
    <mergeCell ref="R80:R82"/>
    <mergeCell ref="P69:P71"/>
    <mergeCell ref="Q69:Q71"/>
    <mergeCell ref="R69:R71"/>
    <mergeCell ref="S69:S71"/>
    <mergeCell ref="C70:D70"/>
    <mergeCell ref="E70:F70"/>
    <mergeCell ref="G70:I70"/>
    <mergeCell ref="J70:L70"/>
    <mergeCell ref="B69:B71"/>
    <mergeCell ref="C69:F69"/>
    <mergeCell ref="G69:L69"/>
    <mergeCell ref="M69:M71"/>
    <mergeCell ref="N69:N71"/>
    <mergeCell ref="O69:O71"/>
    <mergeCell ref="S58:S60"/>
    <mergeCell ref="C59:D59"/>
    <mergeCell ref="E59:F59"/>
    <mergeCell ref="G59:I59"/>
    <mergeCell ref="J59:L59"/>
    <mergeCell ref="B68:S68"/>
    <mergeCell ref="B57:S57"/>
    <mergeCell ref="B58:B60"/>
    <mergeCell ref="C58:F58"/>
    <mergeCell ref="G58:L58"/>
    <mergeCell ref="M58:M60"/>
    <mergeCell ref="N58:N60"/>
    <mergeCell ref="O58:O60"/>
    <mergeCell ref="P58:P60"/>
    <mergeCell ref="Q58:Q60"/>
    <mergeCell ref="R58:R60"/>
    <mergeCell ref="P47:P49"/>
    <mergeCell ref="Q47:Q49"/>
    <mergeCell ref="R47:R49"/>
    <mergeCell ref="S47:S49"/>
    <mergeCell ref="C48:D48"/>
    <mergeCell ref="E48:F48"/>
    <mergeCell ref="G48:I48"/>
    <mergeCell ref="J48:L48"/>
    <mergeCell ref="B47:B49"/>
    <mergeCell ref="C47:F47"/>
    <mergeCell ref="G47:L47"/>
    <mergeCell ref="M47:M49"/>
    <mergeCell ref="N47:N49"/>
    <mergeCell ref="O47:O49"/>
    <mergeCell ref="S36:S38"/>
    <mergeCell ref="C37:D37"/>
    <mergeCell ref="E37:F37"/>
    <mergeCell ref="G37:I37"/>
    <mergeCell ref="J37:L37"/>
    <mergeCell ref="B46:S46"/>
    <mergeCell ref="B35:S35"/>
    <mergeCell ref="B36:B38"/>
    <mergeCell ref="C36:F36"/>
    <mergeCell ref="G36:L36"/>
    <mergeCell ref="M36:M38"/>
    <mergeCell ref="N36:N38"/>
    <mergeCell ref="O36:O38"/>
    <mergeCell ref="P36:P38"/>
    <mergeCell ref="Q36:Q38"/>
    <mergeCell ref="R36:R38"/>
    <mergeCell ref="P25:P27"/>
    <mergeCell ref="Q25:Q27"/>
    <mergeCell ref="R25:R27"/>
    <mergeCell ref="S25:S27"/>
    <mergeCell ref="C26:D26"/>
    <mergeCell ref="E26:F26"/>
    <mergeCell ref="G26:I26"/>
    <mergeCell ref="J26:L26"/>
    <mergeCell ref="B25:B27"/>
    <mergeCell ref="C25:F25"/>
    <mergeCell ref="G25:L25"/>
    <mergeCell ref="M25:M27"/>
    <mergeCell ref="N25:N27"/>
    <mergeCell ref="O25:O27"/>
    <mergeCell ref="S14:S16"/>
    <mergeCell ref="C15:D15"/>
    <mergeCell ref="E15:F15"/>
    <mergeCell ref="G15:I15"/>
    <mergeCell ref="J15:L15"/>
    <mergeCell ref="B24:S24"/>
    <mergeCell ref="B13:S13"/>
    <mergeCell ref="B14:B16"/>
    <mergeCell ref="C14:F14"/>
    <mergeCell ref="G14:L14"/>
    <mergeCell ref="M14:M16"/>
    <mergeCell ref="N14:N16"/>
    <mergeCell ref="O14:O16"/>
    <mergeCell ref="P14:P16"/>
    <mergeCell ref="Q14:Q16"/>
    <mergeCell ref="R14:R16"/>
    <mergeCell ref="P3:P5"/>
    <mergeCell ref="Q3:Q5"/>
    <mergeCell ref="R3:R5"/>
    <mergeCell ref="S3:S5"/>
    <mergeCell ref="C4:D4"/>
    <mergeCell ref="E4:F4"/>
    <mergeCell ref="G4:I4"/>
    <mergeCell ref="J4:L4"/>
    <mergeCell ref="B3:B5"/>
    <mergeCell ref="C3:F3"/>
    <mergeCell ref="G3:L3"/>
    <mergeCell ref="M3:M5"/>
    <mergeCell ref="N3:N5"/>
    <mergeCell ref="O3:O5"/>
  </mergeCells>
  <phoneticPr fontId="12" type="noConversion"/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2:V76"/>
  <sheetViews>
    <sheetView topLeftCell="A11" zoomScale="150" zoomScaleNormal="150" zoomScaleSheetLayoutView="179" workbookViewId="0"/>
  </sheetViews>
  <sheetFormatPr baseColWidth="10" defaultColWidth="7.7109375" defaultRowHeight="17"/>
  <cols>
    <col min="1" max="3" width="2.28515625" style="18" customWidth="1"/>
    <col min="4" max="4" width="7.85546875" style="18" bestFit="1" customWidth="1"/>
    <col min="5" max="5" width="3.7109375" style="18" bestFit="1" customWidth="1"/>
    <col min="6" max="19" width="8.7109375" style="18" customWidth="1"/>
    <col min="20" max="20" width="2.28515625" style="18" customWidth="1"/>
    <col min="21" max="21" width="10.5703125" style="18" bestFit="1" customWidth="1"/>
    <col min="22" max="22" width="12.28515625" style="18" bestFit="1" customWidth="1"/>
    <col min="23" max="23" width="2.28515625" style="18" customWidth="1"/>
    <col min="24" max="24" width="13.140625" style="18" bestFit="1" customWidth="1"/>
    <col min="25" max="16384" width="7.7109375" style="18"/>
  </cols>
  <sheetData>
    <row r="2" spans="2:19">
      <c r="E2" s="120" t="s">
        <v>148</v>
      </c>
      <c r="F2" s="121"/>
      <c r="G2" s="20" t="s">
        <v>39</v>
      </c>
      <c r="H2" s="107" t="s">
        <v>147</v>
      </c>
      <c r="I2" s="107"/>
      <c r="J2" s="107"/>
      <c r="K2" s="107" t="s">
        <v>123</v>
      </c>
      <c r="L2" s="107"/>
      <c r="M2" s="107"/>
      <c r="N2" s="107"/>
      <c r="O2" s="107"/>
      <c r="P2" s="107"/>
      <c r="Q2" s="107" t="s">
        <v>133</v>
      </c>
      <c r="R2" s="107"/>
      <c r="S2" s="107"/>
    </row>
    <row r="3" spans="2:19" ht="16.5" customHeight="1">
      <c r="E3" s="122"/>
      <c r="F3" s="123"/>
      <c r="G3" s="20" t="s">
        <v>129</v>
      </c>
      <c r="H3" s="107" t="s">
        <v>129</v>
      </c>
      <c r="I3" s="107"/>
      <c r="J3" s="107"/>
      <c r="K3" s="107" t="s">
        <v>59</v>
      </c>
      <c r="L3" s="107"/>
      <c r="M3" s="107"/>
      <c r="N3" s="107" t="s">
        <v>106</v>
      </c>
      <c r="O3" s="107"/>
      <c r="P3" s="107"/>
      <c r="Q3" s="107"/>
      <c r="R3" s="107"/>
      <c r="S3" s="107"/>
    </row>
    <row r="4" spans="2:19">
      <c r="E4" s="107" t="s">
        <v>136</v>
      </c>
      <c r="F4" s="107" t="s">
        <v>68</v>
      </c>
      <c r="G4" s="107" t="s">
        <v>78</v>
      </c>
      <c r="H4" s="107" t="s">
        <v>78</v>
      </c>
      <c r="I4" s="107" t="s">
        <v>24</v>
      </c>
      <c r="J4" s="107" t="s">
        <v>25</v>
      </c>
      <c r="K4" s="107" t="s">
        <v>78</v>
      </c>
      <c r="L4" s="107" t="s">
        <v>24</v>
      </c>
      <c r="M4" s="107" t="s">
        <v>25</v>
      </c>
      <c r="N4" s="107" t="s">
        <v>78</v>
      </c>
      <c r="O4" s="107" t="s">
        <v>24</v>
      </c>
      <c r="P4" s="107" t="s">
        <v>25</v>
      </c>
      <c r="Q4" s="107" t="s">
        <v>78</v>
      </c>
      <c r="R4" s="107" t="s">
        <v>24</v>
      </c>
      <c r="S4" s="107" t="s">
        <v>69</v>
      </c>
    </row>
    <row r="5" spans="2:19"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</row>
    <row r="6" spans="2:19">
      <c r="E6" s="124" t="s">
        <v>43</v>
      </c>
      <c r="F6" s="125"/>
      <c r="G6" s="73">
        <f t="shared" ref="G6:S6" si="0">SUM(G7:G11)</f>
        <v>0</v>
      </c>
      <c r="H6" s="73">
        <f t="shared" si="0"/>
        <v>0</v>
      </c>
      <c r="I6" s="73">
        <f t="shared" si="0"/>
        <v>0</v>
      </c>
      <c r="J6" s="73">
        <f t="shared" si="0"/>
        <v>0</v>
      </c>
      <c r="K6" s="73">
        <f t="shared" si="0"/>
        <v>0</v>
      </c>
      <c r="L6" s="73">
        <f t="shared" si="0"/>
        <v>0</v>
      </c>
      <c r="M6" s="73">
        <f t="shared" si="0"/>
        <v>0</v>
      </c>
      <c r="N6" s="73">
        <f t="shared" si="0"/>
        <v>0</v>
      </c>
      <c r="O6" s="73">
        <f t="shared" si="0"/>
        <v>0</v>
      </c>
      <c r="P6" s="73">
        <f t="shared" si="0"/>
        <v>0</v>
      </c>
      <c r="Q6" s="73">
        <f t="shared" si="0"/>
        <v>0</v>
      </c>
      <c r="R6" s="73">
        <f t="shared" si="0"/>
        <v>0</v>
      </c>
      <c r="S6" s="73">
        <f t="shared" si="0"/>
        <v>0</v>
      </c>
    </row>
    <row r="7" spans="2:19" ht="16.5" customHeight="1">
      <c r="E7" s="107">
        <v>1</v>
      </c>
      <c r="F7" s="23">
        <v>1</v>
      </c>
      <c r="G7" s="31">
        <f>G20</f>
        <v>0</v>
      </c>
      <c r="H7" s="31">
        <f t="shared" ref="H7:I7" si="1">H20</f>
        <v>0</v>
      </c>
      <c r="I7" s="31">
        <f t="shared" si="1"/>
        <v>0</v>
      </c>
      <c r="J7" s="31">
        <f>H7+I7</f>
        <v>0</v>
      </c>
      <c r="K7" s="31">
        <f t="shared" ref="K7:L7" si="2">K20</f>
        <v>0</v>
      </c>
      <c r="L7" s="31">
        <f t="shared" si="2"/>
        <v>0</v>
      </c>
      <c r="M7" s="31">
        <f>K7+L7</f>
        <v>0</v>
      </c>
      <c r="N7" s="31">
        <f t="shared" ref="N7:O7" si="3">N20</f>
        <v>0</v>
      </c>
      <c r="O7" s="31">
        <f t="shared" si="3"/>
        <v>0</v>
      </c>
      <c r="P7" s="31">
        <f>N7+O7</f>
        <v>0</v>
      </c>
      <c r="Q7" s="31">
        <f t="shared" ref="Q7:S7" si="4">Q20</f>
        <v>0</v>
      </c>
      <c r="R7" s="31">
        <f t="shared" si="4"/>
        <v>0</v>
      </c>
      <c r="S7" s="31">
        <f t="shared" si="4"/>
        <v>0</v>
      </c>
    </row>
    <row r="8" spans="2:19">
      <c r="E8" s="107"/>
      <c r="F8" s="23">
        <v>2</v>
      </c>
      <c r="G8" s="31">
        <f t="shared" ref="G8:I8" si="5">G21</f>
        <v>0</v>
      </c>
      <c r="H8" s="31">
        <f t="shared" si="5"/>
        <v>0</v>
      </c>
      <c r="I8" s="31">
        <f t="shared" si="5"/>
        <v>0</v>
      </c>
      <c r="J8" s="31">
        <f>H8+I8</f>
        <v>0</v>
      </c>
      <c r="K8" s="31">
        <f t="shared" ref="K8:L8" si="6">K21</f>
        <v>0</v>
      </c>
      <c r="L8" s="31">
        <f t="shared" si="6"/>
        <v>0</v>
      </c>
      <c r="M8" s="31">
        <f>K8+L8</f>
        <v>0</v>
      </c>
      <c r="N8" s="31">
        <f t="shared" ref="N8:O8" si="7">N21</f>
        <v>0</v>
      </c>
      <c r="O8" s="31">
        <f t="shared" si="7"/>
        <v>0</v>
      </c>
      <c r="P8" s="31">
        <f>N8+O8</f>
        <v>0</v>
      </c>
      <c r="Q8" s="31">
        <f t="shared" ref="Q8:S8" si="8">Q21</f>
        <v>0</v>
      </c>
      <c r="R8" s="31">
        <f t="shared" si="8"/>
        <v>0</v>
      </c>
      <c r="S8" s="31">
        <f t="shared" si="8"/>
        <v>0</v>
      </c>
    </row>
    <row r="9" spans="2:19">
      <c r="E9" s="107"/>
      <c r="F9" s="23">
        <v>3</v>
      </c>
      <c r="G9" s="31">
        <f t="shared" ref="G9:I9" si="9">G22</f>
        <v>0</v>
      </c>
      <c r="H9" s="31">
        <f t="shared" si="9"/>
        <v>0</v>
      </c>
      <c r="I9" s="31">
        <f t="shared" si="9"/>
        <v>0</v>
      </c>
      <c r="J9" s="31">
        <f>H9+I9</f>
        <v>0</v>
      </c>
      <c r="K9" s="31">
        <f t="shared" ref="K9:L9" si="10">K22</f>
        <v>0</v>
      </c>
      <c r="L9" s="31">
        <f t="shared" si="10"/>
        <v>0</v>
      </c>
      <c r="M9" s="31">
        <f>K9+L9</f>
        <v>0</v>
      </c>
      <c r="N9" s="31">
        <f t="shared" ref="N9:O9" si="11">N22</f>
        <v>0</v>
      </c>
      <c r="O9" s="31">
        <f t="shared" si="11"/>
        <v>0</v>
      </c>
      <c r="P9" s="31">
        <f>N9+O9</f>
        <v>0</v>
      </c>
      <c r="Q9" s="31">
        <f t="shared" ref="Q9:S9" si="12">Q22</f>
        <v>0</v>
      </c>
      <c r="R9" s="31">
        <f t="shared" si="12"/>
        <v>0</v>
      </c>
      <c r="S9" s="31">
        <f t="shared" si="12"/>
        <v>0</v>
      </c>
    </row>
    <row r="10" spans="2:19">
      <c r="E10" s="107">
        <v>2</v>
      </c>
      <c r="F10" s="23">
        <v>1</v>
      </c>
      <c r="G10" s="31">
        <f t="shared" ref="G10:I10" si="13">G23</f>
        <v>0</v>
      </c>
      <c r="H10" s="31">
        <f t="shared" si="13"/>
        <v>0</v>
      </c>
      <c r="I10" s="31">
        <f t="shared" si="13"/>
        <v>0</v>
      </c>
      <c r="J10" s="31">
        <f>H10+I10</f>
        <v>0</v>
      </c>
      <c r="K10" s="31">
        <f t="shared" ref="K10:L10" si="14">K23</f>
        <v>0</v>
      </c>
      <c r="L10" s="31">
        <f t="shared" si="14"/>
        <v>0</v>
      </c>
      <c r="M10" s="31">
        <f>K10+L10</f>
        <v>0</v>
      </c>
      <c r="N10" s="31">
        <f t="shared" ref="N10:O10" si="15">N23</f>
        <v>0</v>
      </c>
      <c r="O10" s="31">
        <f t="shared" si="15"/>
        <v>0</v>
      </c>
      <c r="P10" s="31">
        <f>N10+O10</f>
        <v>0</v>
      </c>
      <c r="Q10" s="31">
        <f t="shared" ref="Q10:S10" si="16">Q23</f>
        <v>0</v>
      </c>
      <c r="R10" s="31">
        <f t="shared" si="16"/>
        <v>0</v>
      </c>
      <c r="S10" s="31">
        <f t="shared" si="16"/>
        <v>0</v>
      </c>
    </row>
    <row r="11" spans="2:19">
      <c r="E11" s="107"/>
      <c r="F11" s="23">
        <v>2</v>
      </c>
      <c r="G11" s="31">
        <f t="shared" ref="G11:I11" si="17">G24</f>
        <v>0</v>
      </c>
      <c r="H11" s="31">
        <f t="shared" si="17"/>
        <v>0</v>
      </c>
      <c r="I11" s="31">
        <f t="shared" si="17"/>
        <v>0</v>
      </c>
      <c r="J11" s="31">
        <f>H11+I11</f>
        <v>0</v>
      </c>
      <c r="K11" s="31">
        <f t="shared" ref="K11:L11" si="18">K24</f>
        <v>0</v>
      </c>
      <c r="L11" s="31">
        <f t="shared" si="18"/>
        <v>0</v>
      </c>
      <c r="M11" s="31">
        <f>K11+L11</f>
        <v>0</v>
      </c>
      <c r="N11" s="31">
        <f t="shared" ref="N11:O11" si="19">N24</f>
        <v>0</v>
      </c>
      <c r="O11" s="31">
        <f t="shared" si="19"/>
        <v>0</v>
      </c>
      <c r="P11" s="31">
        <f>N11+O11</f>
        <v>0</v>
      </c>
      <c r="Q11" s="31">
        <f t="shared" ref="Q11:S11" si="20">Q24</f>
        <v>0</v>
      </c>
      <c r="R11" s="31">
        <f t="shared" si="20"/>
        <v>0</v>
      </c>
      <c r="S11" s="31">
        <f t="shared" si="20"/>
        <v>0</v>
      </c>
    </row>
    <row r="15" spans="2:19">
      <c r="B15" s="18" t="s">
        <v>49</v>
      </c>
    </row>
    <row r="16" spans="2:19">
      <c r="D16" s="107" t="s">
        <v>148</v>
      </c>
      <c r="E16" s="107"/>
      <c r="F16" s="107"/>
      <c r="G16" s="20" t="s">
        <v>39</v>
      </c>
      <c r="H16" s="107" t="s">
        <v>147</v>
      </c>
      <c r="I16" s="107"/>
      <c r="J16" s="107"/>
      <c r="K16" s="107" t="s">
        <v>123</v>
      </c>
      <c r="L16" s="107"/>
      <c r="M16" s="107"/>
      <c r="N16" s="107"/>
      <c r="O16" s="107"/>
      <c r="P16" s="107"/>
      <c r="Q16" s="107" t="s">
        <v>133</v>
      </c>
      <c r="R16" s="107"/>
      <c r="S16" s="107"/>
    </row>
    <row r="17" spans="4:19">
      <c r="D17" s="107"/>
      <c r="E17" s="107"/>
      <c r="F17" s="107"/>
      <c r="G17" s="20" t="s">
        <v>129</v>
      </c>
      <c r="H17" s="107" t="s">
        <v>129</v>
      </c>
      <c r="I17" s="107"/>
      <c r="J17" s="107"/>
      <c r="K17" s="107" t="s">
        <v>59</v>
      </c>
      <c r="L17" s="107"/>
      <c r="M17" s="107"/>
      <c r="N17" s="107" t="s">
        <v>106</v>
      </c>
      <c r="O17" s="107"/>
      <c r="P17" s="107"/>
      <c r="Q17" s="107"/>
      <c r="R17" s="107"/>
      <c r="S17" s="107"/>
    </row>
    <row r="18" spans="4:19">
      <c r="D18" s="107" t="s">
        <v>0</v>
      </c>
      <c r="E18" s="107" t="s">
        <v>136</v>
      </c>
      <c r="F18" s="107" t="s">
        <v>68</v>
      </c>
      <c r="G18" s="107" t="s">
        <v>78</v>
      </c>
      <c r="H18" s="107" t="s">
        <v>78</v>
      </c>
      <c r="I18" s="107" t="s">
        <v>24</v>
      </c>
      <c r="J18" s="107" t="s">
        <v>25</v>
      </c>
      <c r="K18" s="107" t="s">
        <v>78</v>
      </c>
      <c r="L18" s="107" t="s">
        <v>24</v>
      </c>
      <c r="M18" s="107" t="s">
        <v>25</v>
      </c>
      <c r="N18" s="107" t="s">
        <v>78</v>
      </c>
      <c r="O18" s="107" t="s">
        <v>24</v>
      </c>
      <c r="P18" s="107" t="s">
        <v>25</v>
      </c>
      <c r="Q18" s="107" t="s">
        <v>78</v>
      </c>
      <c r="R18" s="107" t="s">
        <v>24</v>
      </c>
      <c r="S18" s="107" t="s">
        <v>69</v>
      </c>
    </row>
    <row r="19" spans="4:19"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</row>
    <row r="20" spans="4:19">
      <c r="D20" s="110" t="s">
        <v>138</v>
      </c>
      <c r="E20" s="107">
        <v>1</v>
      </c>
      <c r="F20" s="23">
        <v>1</v>
      </c>
      <c r="G20" s="31">
        <f>G27+G34+G41+G48</f>
        <v>0</v>
      </c>
      <c r="H20" s="31">
        <f t="shared" ref="H20:S20" si="21">H27+H34+H41+H48</f>
        <v>0</v>
      </c>
      <c r="I20" s="31">
        <f t="shared" si="21"/>
        <v>0</v>
      </c>
      <c r="J20" s="31">
        <f t="shared" si="21"/>
        <v>0</v>
      </c>
      <c r="K20" s="31">
        <f t="shared" si="21"/>
        <v>0</v>
      </c>
      <c r="L20" s="31">
        <f t="shared" si="21"/>
        <v>0</v>
      </c>
      <c r="M20" s="31">
        <f t="shared" si="21"/>
        <v>0</v>
      </c>
      <c r="N20" s="31">
        <f t="shared" si="21"/>
        <v>0</v>
      </c>
      <c r="O20" s="31">
        <f t="shared" si="21"/>
        <v>0</v>
      </c>
      <c r="P20" s="31">
        <f t="shared" si="21"/>
        <v>0</v>
      </c>
      <c r="Q20" s="31">
        <f t="shared" si="21"/>
        <v>0</v>
      </c>
      <c r="R20" s="31">
        <f t="shared" si="21"/>
        <v>0</v>
      </c>
      <c r="S20" s="31">
        <f t="shared" si="21"/>
        <v>0</v>
      </c>
    </row>
    <row r="21" spans="4:19">
      <c r="D21" s="112"/>
      <c r="E21" s="107"/>
      <c r="F21" s="23">
        <v>2</v>
      </c>
      <c r="G21" s="31">
        <f t="shared" ref="G21:S21" si="22">G28+G35+G42+G49</f>
        <v>0</v>
      </c>
      <c r="H21" s="31">
        <f t="shared" si="22"/>
        <v>0</v>
      </c>
      <c r="I21" s="31">
        <f t="shared" si="22"/>
        <v>0</v>
      </c>
      <c r="J21" s="31">
        <f t="shared" si="22"/>
        <v>0</v>
      </c>
      <c r="K21" s="31">
        <f t="shared" si="22"/>
        <v>0</v>
      </c>
      <c r="L21" s="31">
        <f t="shared" si="22"/>
        <v>0</v>
      </c>
      <c r="M21" s="31">
        <f t="shared" si="22"/>
        <v>0</v>
      </c>
      <c r="N21" s="31">
        <f t="shared" si="22"/>
        <v>0</v>
      </c>
      <c r="O21" s="31">
        <f t="shared" si="22"/>
        <v>0</v>
      </c>
      <c r="P21" s="31">
        <f t="shared" si="22"/>
        <v>0</v>
      </c>
      <c r="Q21" s="31">
        <f t="shared" si="22"/>
        <v>0</v>
      </c>
      <c r="R21" s="31">
        <f t="shared" si="22"/>
        <v>0</v>
      </c>
      <c r="S21" s="31">
        <f t="shared" si="22"/>
        <v>0</v>
      </c>
    </row>
    <row r="22" spans="4:19">
      <c r="D22" s="112"/>
      <c r="E22" s="107"/>
      <c r="F22" s="23">
        <v>3</v>
      </c>
      <c r="G22" s="31">
        <f t="shared" ref="G22:S22" si="23">G29+G36+G43+G50</f>
        <v>0</v>
      </c>
      <c r="H22" s="31">
        <f t="shared" si="23"/>
        <v>0</v>
      </c>
      <c r="I22" s="31">
        <f t="shared" si="23"/>
        <v>0</v>
      </c>
      <c r="J22" s="31">
        <f t="shared" si="23"/>
        <v>0</v>
      </c>
      <c r="K22" s="31">
        <f t="shared" si="23"/>
        <v>0</v>
      </c>
      <c r="L22" s="31">
        <f t="shared" si="23"/>
        <v>0</v>
      </c>
      <c r="M22" s="31">
        <f t="shared" si="23"/>
        <v>0</v>
      </c>
      <c r="N22" s="31">
        <f t="shared" si="23"/>
        <v>0</v>
      </c>
      <c r="O22" s="31">
        <f t="shared" si="23"/>
        <v>0</v>
      </c>
      <c r="P22" s="31">
        <f t="shared" si="23"/>
        <v>0</v>
      </c>
      <c r="Q22" s="31">
        <f t="shared" si="23"/>
        <v>0</v>
      </c>
      <c r="R22" s="31">
        <f t="shared" si="23"/>
        <v>0</v>
      </c>
      <c r="S22" s="31">
        <f t="shared" si="23"/>
        <v>0</v>
      </c>
    </row>
    <row r="23" spans="4:19">
      <c r="D23" s="112"/>
      <c r="E23" s="107">
        <v>2</v>
      </c>
      <c r="F23" s="23">
        <v>1</v>
      </c>
      <c r="G23" s="31">
        <f t="shared" ref="G23:S23" si="24">G30+G37+G44+G51</f>
        <v>0</v>
      </c>
      <c r="H23" s="31">
        <f t="shared" si="24"/>
        <v>0</v>
      </c>
      <c r="I23" s="31">
        <f t="shared" si="24"/>
        <v>0</v>
      </c>
      <c r="J23" s="31">
        <f t="shared" si="24"/>
        <v>0</v>
      </c>
      <c r="K23" s="31">
        <f t="shared" si="24"/>
        <v>0</v>
      </c>
      <c r="L23" s="31">
        <f t="shared" si="24"/>
        <v>0</v>
      </c>
      <c r="M23" s="31">
        <f t="shared" si="24"/>
        <v>0</v>
      </c>
      <c r="N23" s="31">
        <f t="shared" si="24"/>
        <v>0</v>
      </c>
      <c r="O23" s="31">
        <f t="shared" si="24"/>
        <v>0</v>
      </c>
      <c r="P23" s="31">
        <f t="shared" si="24"/>
        <v>0</v>
      </c>
      <c r="Q23" s="31">
        <f t="shared" si="24"/>
        <v>0</v>
      </c>
      <c r="R23" s="31">
        <f t="shared" si="24"/>
        <v>0</v>
      </c>
      <c r="S23" s="31">
        <f t="shared" si="24"/>
        <v>0</v>
      </c>
    </row>
    <row r="24" spans="4:19">
      <c r="D24" s="112"/>
      <c r="E24" s="107"/>
      <c r="F24" s="23">
        <v>2</v>
      </c>
      <c r="G24" s="31">
        <f t="shared" ref="G24:S24" si="25">G31+G38+G45+G52</f>
        <v>0</v>
      </c>
      <c r="H24" s="31">
        <f t="shared" si="25"/>
        <v>0</v>
      </c>
      <c r="I24" s="31">
        <f t="shared" si="25"/>
        <v>0</v>
      </c>
      <c r="J24" s="31">
        <f t="shared" si="25"/>
        <v>0</v>
      </c>
      <c r="K24" s="31">
        <f t="shared" si="25"/>
        <v>0</v>
      </c>
      <c r="L24" s="31">
        <f t="shared" si="25"/>
        <v>0</v>
      </c>
      <c r="M24" s="31">
        <f t="shared" si="25"/>
        <v>0</v>
      </c>
      <c r="N24" s="31">
        <f t="shared" si="25"/>
        <v>0</v>
      </c>
      <c r="O24" s="31">
        <f t="shared" si="25"/>
        <v>0</v>
      </c>
      <c r="P24" s="31">
        <f t="shared" si="25"/>
        <v>0</v>
      </c>
      <c r="Q24" s="31">
        <f t="shared" si="25"/>
        <v>0</v>
      </c>
      <c r="R24" s="31">
        <f t="shared" si="25"/>
        <v>0</v>
      </c>
      <c r="S24" s="31">
        <f t="shared" si="25"/>
        <v>0</v>
      </c>
    </row>
    <row r="25" spans="4:19">
      <c r="D25" s="112"/>
      <c r="E25" s="110" t="s">
        <v>25</v>
      </c>
      <c r="F25" s="23">
        <v>1</v>
      </c>
      <c r="G25" s="31">
        <f t="shared" ref="G25:S25" si="26">G32+G39+G46+G53</f>
        <v>0</v>
      </c>
      <c r="H25" s="31">
        <f t="shared" si="26"/>
        <v>0</v>
      </c>
      <c r="I25" s="31">
        <f t="shared" si="26"/>
        <v>0</v>
      </c>
      <c r="J25" s="31">
        <f t="shared" si="26"/>
        <v>0</v>
      </c>
      <c r="K25" s="31">
        <f t="shared" si="26"/>
        <v>0</v>
      </c>
      <c r="L25" s="31">
        <f t="shared" si="26"/>
        <v>0</v>
      </c>
      <c r="M25" s="31">
        <f t="shared" si="26"/>
        <v>0</v>
      </c>
      <c r="N25" s="31">
        <f t="shared" si="26"/>
        <v>0</v>
      </c>
      <c r="O25" s="31">
        <f t="shared" si="26"/>
        <v>0</v>
      </c>
      <c r="P25" s="31">
        <f t="shared" si="26"/>
        <v>0</v>
      </c>
      <c r="Q25" s="31">
        <f t="shared" si="26"/>
        <v>0</v>
      </c>
      <c r="R25" s="31">
        <f t="shared" si="26"/>
        <v>0</v>
      </c>
      <c r="S25" s="31">
        <f t="shared" si="26"/>
        <v>0</v>
      </c>
    </row>
    <row r="26" spans="4:19">
      <c r="D26" s="111"/>
      <c r="E26" s="111"/>
      <c r="F26" s="23">
        <v>2</v>
      </c>
      <c r="G26" s="31">
        <f t="shared" ref="G26:S26" si="27">G33+G40+G47+G54</f>
        <v>0</v>
      </c>
      <c r="H26" s="31">
        <f t="shared" si="27"/>
        <v>0</v>
      </c>
      <c r="I26" s="31">
        <f t="shared" si="27"/>
        <v>0</v>
      </c>
      <c r="J26" s="31">
        <f t="shared" si="27"/>
        <v>0</v>
      </c>
      <c r="K26" s="31">
        <f t="shared" si="27"/>
        <v>0</v>
      </c>
      <c r="L26" s="31">
        <f t="shared" si="27"/>
        <v>0</v>
      </c>
      <c r="M26" s="31">
        <f t="shared" si="27"/>
        <v>0</v>
      </c>
      <c r="N26" s="31">
        <f t="shared" si="27"/>
        <v>0</v>
      </c>
      <c r="O26" s="31">
        <f t="shared" si="27"/>
        <v>0</v>
      </c>
      <c r="P26" s="31">
        <f t="shared" si="27"/>
        <v>0</v>
      </c>
      <c r="Q26" s="31">
        <f t="shared" si="27"/>
        <v>0</v>
      </c>
      <c r="R26" s="31">
        <f t="shared" si="27"/>
        <v>0</v>
      </c>
      <c r="S26" s="31">
        <f t="shared" si="27"/>
        <v>0</v>
      </c>
    </row>
    <row r="27" spans="4:19">
      <c r="D27" s="110" t="s">
        <v>130</v>
      </c>
      <c r="E27" s="107">
        <v>1</v>
      </c>
      <c r="F27" s="23">
        <v>1</v>
      </c>
      <c r="G27" s="31">
        <f>SUM('연구개발비(1세부)'!G7:G13)</f>
        <v>0</v>
      </c>
      <c r="H27" s="31">
        <f>SUM('연구개발비(1세부)'!H7:H13)</f>
        <v>0</v>
      </c>
      <c r="I27" s="31">
        <f>SUM('연구개발비(1세부)'!I7:I13)</f>
        <v>0</v>
      </c>
      <c r="J27" s="31">
        <f>SUM('연구개발비(1세부)'!J7:J13)</f>
        <v>0</v>
      </c>
      <c r="K27" s="31">
        <f>SUM('연구개발비(1세부)'!K7:K13)</f>
        <v>0</v>
      </c>
      <c r="L27" s="31">
        <f>SUM('연구개발비(1세부)'!L7:L13)</f>
        <v>0</v>
      </c>
      <c r="M27" s="31">
        <f>SUM('연구개발비(1세부)'!M7:M13)</f>
        <v>0</v>
      </c>
      <c r="N27" s="31">
        <f>SUM('연구개발비(1세부)'!N7:N13)</f>
        <v>0</v>
      </c>
      <c r="O27" s="31">
        <f>SUM('연구개발비(1세부)'!O7:O13)</f>
        <v>0</v>
      </c>
      <c r="P27" s="31">
        <f>SUM('연구개발비(1세부)'!P7:P13)</f>
        <v>0</v>
      </c>
      <c r="Q27" s="31">
        <f>SUM('연구개발비(1세부)'!Q7:Q13)</f>
        <v>0</v>
      </c>
      <c r="R27" s="31">
        <f>SUM('연구개발비(1세부)'!R7:R13)</f>
        <v>0</v>
      </c>
      <c r="S27" s="31">
        <f>SUM('연구개발비(1세부)'!S7:S13)</f>
        <v>0</v>
      </c>
    </row>
    <row r="28" spans="4:19">
      <c r="D28" s="112"/>
      <c r="E28" s="107"/>
      <c r="F28" s="23">
        <v>2</v>
      </c>
      <c r="G28" s="31">
        <f>SUM('연구개발비(1세부)'!G14:G20)</f>
        <v>0</v>
      </c>
      <c r="H28" s="31">
        <f>SUM('연구개발비(1세부)'!H14:H20)</f>
        <v>0</v>
      </c>
      <c r="I28" s="31">
        <f>SUM('연구개발비(1세부)'!I14:I20)</f>
        <v>0</v>
      </c>
      <c r="J28" s="31">
        <f>SUM('연구개발비(1세부)'!J14:J20)</f>
        <v>0</v>
      </c>
      <c r="K28" s="31">
        <f>SUM('연구개발비(1세부)'!K14:K20)</f>
        <v>0</v>
      </c>
      <c r="L28" s="31">
        <f>SUM('연구개발비(1세부)'!L14:L20)</f>
        <v>0</v>
      </c>
      <c r="M28" s="31">
        <f>SUM('연구개발비(1세부)'!M14:M20)</f>
        <v>0</v>
      </c>
      <c r="N28" s="31">
        <f>SUM('연구개발비(1세부)'!N14:N20)</f>
        <v>0</v>
      </c>
      <c r="O28" s="31">
        <f>SUM('연구개발비(1세부)'!O14:O20)</f>
        <v>0</v>
      </c>
      <c r="P28" s="31">
        <f>SUM('연구개발비(1세부)'!P14:P20)</f>
        <v>0</v>
      </c>
      <c r="Q28" s="31">
        <f>SUM('연구개발비(1세부)'!Q14:Q20)</f>
        <v>0</v>
      </c>
      <c r="R28" s="31">
        <f>SUM('연구개발비(1세부)'!R14:R20)</f>
        <v>0</v>
      </c>
      <c r="S28" s="31">
        <f>SUM('연구개발비(1세부)'!S14:S20)</f>
        <v>0</v>
      </c>
    </row>
    <row r="29" spans="4:19">
      <c r="D29" s="112"/>
      <c r="E29" s="107"/>
      <c r="F29" s="23">
        <v>3</v>
      </c>
      <c r="G29" s="31">
        <f>SUM('연구개발비(1세부)'!G21:G27)</f>
        <v>0</v>
      </c>
      <c r="H29" s="31">
        <f>SUM('연구개발비(1세부)'!H21:H27)</f>
        <v>0</v>
      </c>
      <c r="I29" s="31">
        <f>SUM('연구개발비(1세부)'!I21:I27)</f>
        <v>0</v>
      </c>
      <c r="J29" s="31">
        <f>SUM('연구개발비(1세부)'!J21:J27)</f>
        <v>0</v>
      </c>
      <c r="K29" s="31">
        <f>SUM('연구개발비(1세부)'!K21:K27)</f>
        <v>0</v>
      </c>
      <c r="L29" s="31">
        <f>SUM('연구개발비(1세부)'!L21:L27)</f>
        <v>0</v>
      </c>
      <c r="M29" s="31">
        <f>SUM('연구개발비(1세부)'!M21:M27)</f>
        <v>0</v>
      </c>
      <c r="N29" s="31">
        <f>SUM('연구개발비(1세부)'!N21:N27)</f>
        <v>0</v>
      </c>
      <c r="O29" s="31">
        <f>SUM('연구개발비(1세부)'!O21:O27)</f>
        <v>0</v>
      </c>
      <c r="P29" s="31">
        <f>SUM('연구개발비(1세부)'!P21:P27)</f>
        <v>0</v>
      </c>
      <c r="Q29" s="31">
        <f>SUM('연구개발비(1세부)'!Q21:Q27)</f>
        <v>0</v>
      </c>
      <c r="R29" s="31">
        <f>SUM('연구개발비(1세부)'!R21:R27)</f>
        <v>0</v>
      </c>
      <c r="S29" s="31">
        <f>SUM('연구개발비(1세부)'!S21:S27)</f>
        <v>0</v>
      </c>
    </row>
    <row r="30" spans="4:19">
      <c r="D30" s="112"/>
      <c r="E30" s="107">
        <v>2</v>
      </c>
      <c r="F30" s="23">
        <v>1</v>
      </c>
      <c r="G30" s="31">
        <f>SUM('연구개발비(1세부)'!G29:G35)</f>
        <v>0</v>
      </c>
      <c r="H30" s="31">
        <f>SUM('연구개발비(1세부)'!H29:H35)</f>
        <v>0</v>
      </c>
      <c r="I30" s="31">
        <f>SUM('연구개발비(1세부)'!I29:I35)</f>
        <v>0</v>
      </c>
      <c r="J30" s="31">
        <f>SUM('연구개발비(1세부)'!J29:J35)</f>
        <v>0</v>
      </c>
      <c r="K30" s="31">
        <f>SUM('연구개발비(1세부)'!K29:K35)</f>
        <v>0</v>
      </c>
      <c r="L30" s="31">
        <f>SUM('연구개발비(1세부)'!L29:L35)</f>
        <v>0</v>
      </c>
      <c r="M30" s="31">
        <f>SUM('연구개발비(1세부)'!M29:M35)</f>
        <v>0</v>
      </c>
      <c r="N30" s="31">
        <f>SUM('연구개발비(1세부)'!N29:N35)</f>
        <v>0</v>
      </c>
      <c r="O30" s="31">
        <f>SUM('연구개발비(1세부)'!O29:O35)</f>
        <v>0</v>
      </c>
      <c r="P30" s="31">
        <f>SUM('연구개발비(1세부)'!P29:P35)</f>
        <v>0</v>
      </c>
      <c r="Q30" s="31">
        <f>SUM('연구개발비(1세부)'!Q29:Q35)</f>
        <v>0</v>
      </c>
      <c r="R30" s="31">
        <f>SUM('연구개발비(1세부)'!R29:R35)</f>
        <v>0</v>
      </c>
      <c r="S30" s="31">
        <f>SUM('연구개발비(1세부)'!S29:S35)</f>
        <v>0</v>
      </c>
    </row>
    <row r="31" spans="4:19">
      <c r="D31" s="112"/>
      <c r="E31" s="107"/>
      <c r="F31" s="23">
        <v>2</v>
      </c>
      <c r="G31" s="31">
        <f>SUM('연구개발비(1세부)'!G36:G42)</f>
        <v>0</v>
      </c>
      <c r="H31" s="31">
        <f>SUM('연구개발비(1세부)'!H36:H42)</f>
        <v>0</v>
      </c>
      <c r="I31" s="31">
        <f>SUM('연구개발비(1세부)'!I36:I42)</f>
        <v>0</v>
      </c>
      <c r="J31" s="31">
        <f>SUM('연구개발비(1세부)'!J36:J42)</f>
        <v>0</v>
      </c>
      <c r="K31" s="31">
        <f>SUM('연구개발비(1세부)'!K36:K42)</f>
        <v>0</v>
      </c>
      <c r="L31" s="31">
        <f>SUM('연구개발비(1세부)'!L36:L42)</f>
        <v>0</v>
      </c>
      <c r="M31" s="31">
        <f>SUM('연구개발비(1세부)'!M36:M42)</f>
        <v>0</v>
      </c>
      <c r="N31" s="31">
        <f>SUM('연구개발비(1세부)'!N36:N42)</f>
        <v>0</v>
      </c>
      <c r="O31" s="31">
        <f>SUM('연구개발비(1세부)'!O36:O42)</f>
        <v>0</v>
      </c>
      <c r="P31" s="31">
        <f>SUM('연구개발비(1세부)'!P36:P42)</f>
        <v>0</v>
      </c>
      <c r="Q31" s="31">
        <f>SUM('연구개발비(1세부)'!Q36:Q42)</f>
        <v>0</v>
      </c>
      <c r="R31" s="31">
        <f>SUM('연구개발비(1세부)'!R36:R42)</f>
        <v>0</v>
      </c>
      <c r="S31" s="31">
        <f>SUM('연구개발비(1세부)'!S36:S42)</f>
        <v>0</v>
      </c>
    </row>
    <row r="32" spans="4:19">
      <c r="D32" s="112"/>
      <c r="E32" s="110" t="s">
        <v>25</v>
      </c>
      <c r="F32" s="23">
        <v>1</v>
      </c>
      <c r="G32" s="31">
        <f t="shared" ref="G32:S32" si="28">SUM(G27:G29)</f>
        <v>0</v>
      </c>
      <c r="H32" s="31">
        <f t="shared" si="28"/>
        <v>0</v>
      </c>
      <c r="I32" s="31">
        <f t="shared" si="28"/>
        <v>0</v>
      </c>
      <c r="J32" s="31">
        <f t="shared" si="28"/>
        <v>0</v>
      </c>
      <c r="K32" s="31">
        <f t="shared" si="28"/>
        <v>0</v>
      </c>
      <c r="L32" s="31">
        <f t="shared" si="28"/>
        <v>0</v>
      </c>
      <c r="M32" s="31">
        <f t="shared" si="28"/>
        <v>0</v>
      </c>
      <c r="N32" s="31">
        <f t="shared" si="28"/>
        <v>0</v>
      </c>
      <c r="O32" s="31">
        <f t="shared" si="28"/>
        <v>0</v>
      </c>
      <c r="P32" s="31">
        <f t="shared" si="28"/>
        <v>0</v>
      </c>
      <c r="Q32" s="31">
        <f t="shared" si="28"/>
        <v>0</v>
      </c>
      <c r="R32" s="31">
        <f t="shared" si="28"/>
        <v>0</v>
      </c>
      <c r="S32" s="31">
        <f t="shared" si="28"/>
        <v>0</v>
      </c>
    </row>
    <row r="33" spans="4:19">
      <c r="D33" s="111"/>
      <c r="E33" s="111"/>
      <c r="F33" s="23">
        <v>2</v>
      </c>
      <c r="G33" s="31">
        <f t="shared" ref="G33:S33" si="29">SUM(G30:G31)</f>
        <v>0</v>
      </c>
      <c r="H33" s="31">
        <f t="shared" si="29"/>
        <v>0</v>
      </c>
      <c r="I33" s="31">
        <f t="shared" si="29"/>
        <v>0</v>
      </c>
      <c r="J33" s="31">
        <f t="shared" si="29"/>
        <v>0</v>
      </c>
      <c r="K33" s="31">
        <f t="shared" si="29"/>
        <v>0</v>
      </c>
      <c r="L33" s="31">
        <f t="shared" si="29"/>
        <v>0</v>
      </c>
      <c r="M33" s="31">
        <f t="shared" si="29"/>
        <v>0</v>
      </c>
      <c r="N33" s="31">
        <f t="shared" si="29"/>
        <v>0</v>
      </c>
      <c r="O33" s="31">
        <f t="shared" si="29"/>
        <v>0</v>
      </c>
      <c r="P33" s="31">
        <f t="shared" si="29"/>
        <v>0</v>
      </c>
      <c r="Q33" s="31">
        <f t="shared" si="29"/>
        <v>0</v>
      </c>
      <c r="R33" s="31">
        <f t="shared" si="29"/>
        <v>0</v>
      </c>
      <c r="S33" s="31">
        <f t="shared" si="29"/>
        <v>0</v>
      </c>
    </row>
    <row r="34" spans="4:19" ht="17" customHeight="1">
      <c r="D34" s="110" t="s">
        <v>6</v>
      </c>
      <c r="E34" s="107">
        <v>1</v>
      </c>
      <c r="F34" s="23">
        <v>1</v>
      </c>
      <c r="G34" s="31">
        <f>SUM('연구개발비(2세부)'!G7:G13)</f>
        <v>0</v>
      </c>
      <c r="H34" s="31">
        <f>SUM('연구개발비(2세부)'!H7:H13)</f>
        <v>0</v>
      </c>
      <c r="I34" s="31">
        <f>SUM('연구개발비(2세부)'!I7:I13)</f>
        <v>0</v>
      </c>
      <c r="J34" s="31">
        <f>SUM('연구개발비(2세부)'!J7:J13)</f>
        <v>0</v>
      </c>
      <c r="K34" s="31">
        <f>SUM('연구개발비(2세부)'!K7:K13)</f>
        <v>0</v>
      </c>
      <c r="L34" s="31">
        <f>SUM('연구개발비(2세부)'!L7:L13)</f>
        <v>0</v>
      </c>
      <c r="M34" s="31">
        <f>SUM('연구개발비(2세부)'!M7:M13)</f>
        <v>0</v>
      </c>
      <c r="N34" s="31">
        <f>SUM('연구개발비(2세부)'!N7:N13)</f>
        <v>0</v>
      </c>
      <c r="O34" s="31">
        <f>SUM('연구개발비(2세부)'!O7:O13)</f>
        <v>0</v>
      </c>
      <c r="P34" s="31">
        <f>SUM('연구개발비(2세부)'!P7:P13)</f>
        <v>0</v>
      </c>
      <c r="Q34" s="31">
        <f>SUM('연구개발비(2세부)'!Q7:Q13)</f>
        <v>0</v>
      </c>
      <c r="R34" s="31">
        <f>SUM('연구개발비(2세부)'!R7:R13)</f>
        <v>0</v>
      </c>
      <c r="S34" s="31">
        <f>SUM('연구개발비(2세부)'!S7:S13)</f>
        <v>0</v>
      </c>
    </row>
    <row r="35" spans="4:19">
      <c r="D35" s="112"/>
      <c r="E35" s="107"/>
      <c r="F35" s="23">
        <v>2</v>
      </c>
      <c r="G35" s="31">
        <f>SUM('연구개발비(2세부)'!G14:G20)</f>
        <v>0</v>
      </c>
      <c r="H35" s="31">
        <f>SUM('연구개발비(2세부)'!H14:H20)</f>
        <v>0</v>
      </c>
      <c r="I35" s="31">
        <f>SUM('연구개발비(2세부)'!I14:I20)</f>
        <v>0</v>
      </c>
      <c r="J35" s="31">
        <f>SUM('연구개발비(2세부)'!J14:J20)</f>
        <v>0</v>
      </c>
      <c r="K35" s="31">
        <f>SUM('연구개발비(2세부)'!K14:K20)</f>
        <v>0</v>
      </c>
      <c r="L35" s="31">
        <f>SUM('연구개발비(2세부)'!L14:L20)</f>
        <v>0</v>
      </c>
      <c r="M35" s="31">
        <f>SUM('연구개발비(2세부)'!M14:M20)</f>
        <v>0</v>
      </c>
      <c r="N35" s="31">
        <f>SUM('연구개발비(2세부)'!N14:N20)</f>
        <v>0</v>
      </c>
      <c r="O35" s="31">
        <f>SUM('연구개발비(2세부)'!O14:O20)</f>
        <v>0</v>
      </c>
      <c r="P35" s="31">
        <f>SUM('연구개발비(2세부)'!P14:P20)</f>
        <v>0</v>
      </c>
      <c r="Q35" s="31">
        <f>SUM('연구개발비(2세부)'!Q14:Q20)</f>
        <v>0</v>
      </c>
      <c r="R35" s="31">
        <f>SUM('연구개발비(2세부)'!R14:R20)</f>
        <v>0</v>
      </c>
      <c r="S35" s="31">
        <f>SUM('연구개발비(2세부)'!S14:S20)</f>
        <v>0</v>
      </c>
    </row>
    <row r="36" spans="4:19">
      <c r="D36" s="112"/>
      <c r="E36" s="107"/>
      <c r="F36" s="23">
        <v>3</v>
      </c>
      <c r="G36" s="31">
        <f>SUM('연구개발비(2세부)'!G21:G27)</f>
        <v>0</v>
      </c>
      <c r="H36" s="31">
        <f>SUM('연구개발비(2세부)'!H21:H27)</f>
        <v>0</v>
      </c>
      <c r="I36" s="31">
        <f>SUM('연구개발비(2세부)'!I21:I27)</f>
        <v>0</v>
      </c>
      <c r="J36" s="31">
        <f>SUM('연구개발비(2세부)'!J21:J27)</f>
        <v>0</v>
      </c>
      <c r="K36" s="31">
        <f>SUM('연구개발비(2세부)'!K21:K27)</f>
        <v>0</v>
      </c>
      <c r="L36" s="31">
        <f>SUM('연구개발비(2세부)'!L21:L27)</f>
        <v>0</v>
      </c>
      <c r="M36" s="31">
        <f>SUM('연구개발비(2세부)'!M21:M27)</f>
        <v>0</v>
      </c>
      <c r="N36" s="31">
        <f>SUM('연구개발비(2세부)'!N21:N27)</f>
        <v>0</v>
      </c>
      <c r="O36" s="31">
        <f>SUM('연구개발비(2세부)'!O21:O27)</f>
        <v>0</v>
      </c>
      <c r="P36" s="31">
        <f>SUM('연구개발비(2세부)'!P21:P27)</f>
        <v>0</v>
      </c>
      <c r="Q36" s="31">
        <f>SUM('연구개발비(2세부)'!Q21:Q27)</f>
        <v>0</v>
      </c>
      <c r="R36" s="31">
        <f>SUM('연구개발비(2세부)'!R21:R27)</f>
        <v>0</v>
      </c>
      <c r="S36" s="31">
        <f>SUM('연구개발비(2세부)'!S21:S27)</f>
        <v>0</v>
      </c>
    </row>
    <row r="37" spans="4:19">
      <c r="D37" s="112"/>
      <c r="E37" s="107">
        <v>2</v>
      </c>
      <c r="F37" s="23">
        <v>1</v>
      </c>
      <c r="G37" s="31">
        <f>SUM('연구개발비(2세부)'!G21:G27)</f>
        <v>0</v>
      </c>
      <c r="H37" s="31">
        <f>SUM('연구개발비(2세부)'!H21:H27)</f>
        <v>0</v>
      </c>
      <c r="I37" s="31">
        <f>SUM('연구개발비(2세부)'!I21:I27)</f>
        <v>0</v>
      </c>
      <c r="J37" s="31">
        <f>SUM('연구개발비(2세부)'!J21:J27)</f>
        <v>0</v>
      </c>
      <c r="K37" s="31">
        <f>SUM('연구개발비(2세부)'!K21:K27)</f>
        <v>0</v>
      </c>
      <c r="L37" s="31">
        <f>SUM('연구개발비(2세부)'!L21:L27)</f>
        <v>0</v>
      </c>
      <c r="M37" s="31">
        <f>SUM('연구개발비(2세부)'!M21:M27)</f>
        <v>0</v>
      </c>
      <c r="N37" s="31">
        <f>SUM('연구개발비(2세부)'!N21:N27)</f>
        <v>0</v>
      </c>
      <c r="O37" s="31">
        <f>SUM('연구개발비(2세부)'!O21:O27)</f>
        <v>0</v>
      </c>
      <c r="P37" s="31">
        <f>SUM('연구개발비(2세부)'!P21:P27)</f>
        <v>0</v>
      </c>
      <c r="Q37" s="31">
        <f>SUM('연구개발비(2세부)'!Q21:Q27)</f>
        <v>0</v>
      </c>
      <c r="R37" s="31">
        <f>SUM('연구개발비(2세부)'!R21:R27)</f>
        <v>0</v>
      </c>
      <c r="S37" s="31">
        <f>SUM('연구개발비(2세부)'!S21:S27)</f>
        <v>0</v>
      </c>
    </row>
    <row r="38" spans="4:19">
      <c r="D38" s="112"/>
      <c r="E38" s="107"/>
      <c r="F38" s="23">
        <v>2</v>
      </c>
      <c r="G38" s="31">
        <f>SUM('연구개발비(2세부)'!G36:G42)</f>
        <v>0</v>
      </c>
      <c r="H38" s="31">
        <f>SUM('연구개발비(2세부)'!H36:H42)</f>
        <v>0</v>
      </c>
      <c r="I38" s="31">
        <f>SUM('연구개발비(2세부)'!I36:I42)</f>
        <v>0</v>
      </c>
      <c r="J38" s="31">
        <f>SUM('연구개발비(2세부)'!J36:J42)</f>
        <v>0</v>
      </c>
      <c r="K38" s="31">
        <f>SUM('연구개발비(2세부)'!K36:K42)</f>
        <v>0</v>
      </c>
      <c r="L38" s="31">
        <f>SUM('연구개발비(2세부)'!L36:L42)</f>
        <v>0</v>
      </c>
      <c r="M38" s="31">
        <f>SUM('연구개발비(2세부)'!M36:M42)</f>
        <v>0</v>
      </c>
      <c r="N38" s="31">
        <f>SUM('연구개발비(2세부)'!N36:N42)</f>
        <v>0</v>
      </c>
      <c r="O38" s="31">
        <f>SUM('연구개발비(2세부)'!O36:O42)</f>
        <v>0</v>
      </c>
      <c r="P38" s="31">
        <f>SUM('연구개발비(2세부)'!P36:P42)</f>
        <v>0</v>
      </c>
      <c r="Q38" s="31">
        <f>SUM('연구개발비(2세부)'!Q36:Q42)</f>
        <v>0</v>
      </c>
      <c r="R38" s="31">
        <f>SUM('연구개발비(2세부)'!R36:R42)</f>
        <v>0</v>
      </c>
      <c r="S38" s="31">
        <f>SUM('연구개발비(2세부)'!S36:S42)</f>
        <v>0</v>
      </c>
    </row>
    <row r="39" spans="4:19">
      <c r="D39" s="112"/>
      <c r="E39" s="110" t="s">
        <v>25</v>
      </c>
      <c r="F39" s="23">
        <v>1</v>
      </c>
      <c r="G39" s="22">
        <f t="shared" ref="G39:S39" si="30">SUM(G34:G36)</f>
        <v>0</v>
      </c>
      <c r="H39" s="22">
        <f t="shared" si="30"/>
        <v>0</v>
      </c>
      <c r="I39" s="22">
        <f t="shared" si="30"/>
        <v>0</v>
      </c>
      <c r="J39" s="22">
        <f t="shared" si="30"/>
        <v>0</v>
      </c>
      <c r="K39" s="22">
        <f t="shared" si="30"/>
        <v>0</v>
      </c>
      <c r="L39" s="22">
        <f t="shared" si="30"/>
        <v>0</v>
      </c>
      <c r="M39" s="22">
        <f t="shared" si="30"/>
        <v>0</v>
      </c>
      <c r="N39" s="22">
        <f t="shared" si="30"/>
        <v>0</v>
      </c>
      <c r="O39" s="22">
        <f t="shared" si="30"/>
        <v>0</v>
      </c>
      <c r="P39" s="22">
        <f t="shared" si="30"/>
        <v>0</v>
      </c>
      <c r="Q39" s="22">
        <f t="shared" si="30"/>
        <v>0</v>
      </c>
      <c r="R39" s="22">
        <f t="shared" si="30"/>
        <v>0</v>
      </c>
      <c r="S39" s="22">
        <f t="shared" si="30"/>
        <v>0</v>
      </c>
    </row>
    <row r="40" spans="4:19">
      <c r="D40" s="111"/>
      <c r="E40" s="111"/>
      <c r="F40" s="23">
        <v>2</v>
      </c>
      <c r="G40" s="22">
        <f t="shared" ref="G40:S40" si="31">SUM(G37:G38)</f>
        <v>0</v>
      </c>
      <c r="H40" s="22">
        <f t="shared" si="31"/>
        <v>0</v>
      </c>
      <c r="I40" s="22">
        <f t="shared" si="31"/>
        <v>0</v>
      </c>
      <c r="J40" s="22">
        <f t="shared" si="31"/>
        <v>0</v>
      </c>
      <c r="K40" s="22">
        <f t="shared" si="31"/>
        <v>0</v>
      </c>
      <c r="L40" s="22">
        <f t="shared" si="31"/>
        <v>0</v>
      </c>
      <c r="M40" s="22">
        <f t="shared" si="31"/>
        <v>0</v>
      </c>
      <c r="N40" s="22">
        <f t="shared" si="31"/>
        <v>0</v>
      </c>
      <c r="O40" s="22">
        <f t="shared" si="31"/>
        <v>0</v>
      </c>
      <c r="P40" s="22">
        <f t="shared" si="31"/>
        <v>0</v>
      </c>
      <c r="Q40" s="22">
        <f t="shared" si="31"/>
        <v>0</v>
      </c>
      <c r="R40" s="22">
        <f t="shared" si="31"/>
        <v>0</v>
      </c>
      <c r="S40" s="22">
        <f t="shared" si="31"/>
        <v>0</v>
      </c>
    </row>
    <row r="41" spans="4:19">
      <c r="D41" s="110" t="s">
        <v>156</v>
      </c>
      <c r="E41" s="107">
        <v>1</v>
      </c>
      <c r="F41" s="23">
        <v>1</v>
      </c>
      <c r="G41" s="31">
        <f>SUM('연구개발비(3세부)'!G7:G13)</f>
        <v>0</v>
      </c>
      <c r="H41" s="31">
        <f>SUM('연구개발비(3세부)'!H7:H13)</f>
        <v>0</v>
      </c>
      <c r="I41" s="31">
        <f>SUM('연구개발비(3세부)'!I7:I13)</f>
        <v>0</v>
      </c>
      <c r="J41" s="31">
        <f>SUM('연구개발비(3세부)'!J7:J13)</f>
        <v>0</v>
      </c>
      <c r="K41" s="31">
        <f>SUM('연구개발비(3세부)'!K7:K13)</f>
        <v>0</v>
      </c>
      <c r="L41" s="31">
        <f>SUM('연구개발비(3세부)'!L7:L13)</f>
        <v>0</v>
      </c>
      <c r="M41" s="31">
        <f>SUM('연구개발비(3세부)'!M7:M13)</f>
        <v>0</v>
      </c>
      <c r="N41" s="31">
        <f>SUM('연구개발비(3세부)'!N7:N13)</f>
        <v>0</v>
      </c>
      <c r="O41" s="31">
        <f>SUM('연구개발비(3세부)'!O7:O13)</f>
        <v>0</v>
      </c>
      <c r="P41" s="31">
        <f>SUM('연구개발비(3세부)'!P7:P13)</f>
        <v>0</v>
      </c>
      <c r="Q41" s="31">
        <f>SUM('연구개발비(3세부)'!Q7:Q13)</f>
        <v>0</v>
      </c>
      <c r="R41" s="31">
        <f>SUM('연구개발비(3세부)'!R7:R13)</f>
        <v>0</v>
      </c>
      <c r="S41" s="31">
        <f>SUM('연구개발비(3세부)'!S7:S13)</f>
        <v>0</v>
      </c>
    </row>
    <row r="42" spans="4:19">
      <c r="D42" s="112"/>
      <c r="E42" s="107"/>
      <c r="F42" s="23">
        <v>2</v>
      </c>
      <c r="G42" s="31">
        <f>SUM('연구개발비(3세부)'!G14:G20)</f>
        <v>0</v>
      </c>
      <c r="H42" s="31">
        <f>SUM('연구개발비(3세부)'!H14:H20)</f>
        <v>0</v>
      </c>
      <c r="I42" s="31">
        <f>SUM('연구개발비(3세부)'!I14:I20)</f>
        <v>0</v>
      </c>
      <c r="J42" s="31">
        <f>SUM('연구개발비(3세부)'!J14:J20)</f>
        <v>0</v>
      </c>
      <c r="K42" s="31">
        <f>SUM('연구개발비(3세부)'!K14:K20)</f>
        <v>0</v>
      </c>
      <c r="L42" s="31">
        <f>SUM('연구개발비(3세부)'!L14:L20)</f>
        <v>0</v>
      </c>
      <c r="M42" s="31">
        <f>SUM('연구개발비(3세부)'!M14:M20)</f>
        <v>0</v>
      </c>
      <c r="N42" s="31">
        <f>SUM('연구개발비(3세부)'!N14:N20)</f>
        <v>0</v>
      </c>
      <c r="O42" s="31">
        <f>SUM('연구개발비(3세부)'!O14:O20)</f>
        <v>0</v>
      </c>
      <c r="P42" s="31">
        <f>SUM('연구개발비(3세부)'!P14:P20)</f>
        <v>0</v>
      </c>
      <c r="Q42" s="31">
        <f>SUM('연구개발비(3세부)'!Q14:Q20)</f>
        <v>0</v>
      </c>
      <c r="R42" s="31">
        <f>SUM('연구개발비(3세부)'!R14:R20)</f>
        <v>0</v>
      </c>
      <c r="S42" s="31">
        <f>SUM('연구개발비(3세부)'!S14:S20)</f>
        <v>0</v>
      </c>
    </row>
    <row r="43" spans="4:19">
      <c r="D43" s="112"/>
      <c r="E43" s="107"/>
      <c r="F43" s="23">
        <v>3</v>
      </c>
      <c r="G43" s="31">
        <f>SUM('연구개발비(3세부)'!G21:G27)</f>
        <v>0</v>
      </c>
      <c r="H43" s="31">
        <f>SUM('연구개발비(3세부)'!H21:H27)</f>
        <v>0</v>
      </c>
      <c r="I43" s="31">
        <f>SUM('연구개발비(3세부)'!I21:I27)</f>
        <v>0</v>
      </c>
      <c r="J43" s="31">
        <f>SUM('연구개발비(3세부)'!J21:J27)</f>
        <v>0</v>
      </c>
      <c r="K43" s="31">
        <f>SUM('연구개발비(3세부)'!K21:K27)</f>
        <v>0</v>
      </c>
      <c r="L43" s="31">
        <f>SUM('연구개발비(3세부)'!L21:L27)</f>
        <v>0</v>
      </c>
      <c r="M43" s="31">
        <f>SUM('연구개발비(3세부)'!M21:M27)</f>
        <v>0</v>
      </c>
      <c r="N43" s="31">
        <f>SUM('연구개발비(3세부)'!N21:N27)</f>
        <v>0</v>
      </c>
      <c r="O43" s="31">
        <f>SUM('연구개발비(3세부)'!O21:O27)</f>
        <v>0</v>
      </c>
      <c r="P43" s="31">
        <f>SUM('연구개발비(3세부)'!P21:P27)</f>
        <v>0</v>
      </c>
      <c r="Q43" s="31">
        <f>SUM('연구개발비(3세부)'!Q21:Q27)</f>
        <v>0</v>
      </c>
      <c r="R43" s="31">
        <f>SUM('연구개발비(3세부)'!R21:R27)</f>
        <v>0</v>
      </c>
      <c r="S43" s="31">
        <f>SUM('연구개발비(3세부)'!S21:S27)</f>
        <v>0</v>
      </c>
    </row>
    <row r="44" spans="4:19">
      <c r="D44" s="112"/>
      <c r="E44" s="107">
        <v>2</v>
      </c>
      <c r="F44" s="23">
        <v>1</v>
      </c>
      <c r="G44" s="31">
        <f>SUM('연구개발비(3세부)'!G21:G27)</f>
        <v>0</v>
      </c>
      <c r="H44" s="31">
        <f>SUM('연구개발비(3세부)'!H21:H27)</f>
        <v>0</v>
      </c>
      <c r="I44" s="31">
        <f>SUM('연구개발비(3세부)'!I21:I27)</f>
        <v>0</v>
      </c>
      <c r="J44" s="31">
        <f>SUM('연구개발비(3세부)'!J21:J27)</f>
        <v>0</v>
      </c>
      <c r="K44" s="31">
        <f>SUM('연구개발비(3세부)'!K21:K27)</f>
        <v>0</v>
      </c>
      <c r="L44" s="31">
        <f>SUM('연구개발비(3세부)'!L21:L27)</f>
        <v>0</v>
      </c>
      <c r="M44" s="31">
        <f>SUM('연구개발비(3세부)'!M21:M27)</f>
        <v>0</v>
      </c>
      <c r="N44" s="31">
        <f>SUM('연구개발비(3세부)'!N21:N27)</f>
        <v>0</v>
      </c>
      <c r="O44" s="31">
        <f>SUM('연구개발비(3세부)'!O21:O27)</f>
        <v>0</v>
      </c>
      <c r="P44" s="31">
        <f>SUM('연구개발비(3세부)'!P21:P27)</f>
        <v>0</v>
      </c>
      <c r="Q44" s="31">
        <f>SUM('연구개발비(3세부)'!Q21:Q27)</f>
        <v>0</v>
      </c>
      <c r="R44" s="31">
        <f>SUM('연구개발비(3세부)'!R21:R27)</f>
        <v>0</v>
      </c>
      <c r="S44" s="31">
        <f>SUM('연구개발비(3세부)'!S21:S27)</f>
        <v>0</v>
      </c>
    </row>
    <row r="45" spans="4:19">
      <c r="D45" s="112"/>
      <c r="E45" s="107"/>
      <c r="F45" s="23">
        <v>2</v>
      </c>
      <c r="G45" s="31">
        <f>SUM('연구개발비(3세부)'!G36:G42)</f>
        <v>0</v>
      </c>
      <c r="H45" s="31">
        <f>SUM('연구개발비(3세부)'!H36:H42)</f>
        <v>0</v>
      </c>
      <c r="I45" s="31">
        <f>SUM('연구개발비(3세부)'!I36:I42)</f>
        <v>0</v>
      </c>
      <c r="J45" s="31">
        <f>SUM('연구개발비(3세부)'!J36:J42)</f>
        <v>0</v>
      </c>
      <c r="K45" s="31">
        <f>SUM('연구개발비(3세부)'!K36:K42)</f>
        <v>0</v>
      </c>
      <c r="L45" s="31">
        <f>SUM('연구개발비(3세부)'!L36:L42)</f>
        <v>0</v>
      </c>
      <c r="M45" s="31">
        <f>SUM('연구개발비(3세부)'!M36:M42)</f>
        <v>0</v>
      </c>
      <c r="N45" s="31">
        <f>SUM('연구개발비(3세부)'!N36:N42)</f>
        <v>0</v>
      </c>
      <c r="O45" s="31">
        <f>SUM('연구개발비(3세부)'!O36:O42)</f>
        <v>0</v>
      </c>
      <c r="P45" s="31">
        <f>SUM('연구개발비(3세부)'!P36:P42)</f>
        <v>0</v>
      </c>
      <c r="Q45" s="31">
        <f>SUM('연구개발비(3세부)'!Q36:Q42)</f>
        <v>0</v>
      </c>
      <c r="R45" s="31">
        <f>SUM('연구개발비(3세부)'!R36:R42)</f>
        <v>0</v>
      </c>
      <c r="S45" s="31">
        <f>SUM('연구개발비(3세부)'!S36:S42)</f>
        <v>0</v>
      </c>
    </row>
    <row r="46" spans="4:19">
      <c r="D46" s="112"/>
      <c r="E46" s="110" t="s">
        <v>25</v>
      </c>
      <c r="F46" s="23">
        <v>1</v>
      </c>
      <c r="G46" s="31">
        <f t="shared" ref="G46:S46" si="32">SUM(G41:G43)</f>
        <v>0</v>
      </c>
      <c r="H46" s="31">
        <f t="shared" si="32"/>
        <v>0</v>
      </c>
      <c r="I46" s="31">
        <f t="shared" si="32"/>
        <v>0</v>
      </c>
      <c r="J46" s="31">
        <f t="shared" si="32"/>
        <v>0</v>
      </c>
      <c r="K46" s="31">
        <f t="shared" si="32"/>
        <v>0</v>
      </c>
      <c r="L46" s="31">
        <f t="shared" si="32"/>
        <v>0</v>
      </c>
      <c r="M46" s="31">
        <f t="shared" si="32"/>
        <v>0</v>
      </c>
      <c r="N46" s="31">
        <f t="shared" si="32"/>
        <v>0</v>
      </c>
      <c r="O46" s="31">
        <f t="shared" si="32"/>
        <v>0</v>
      </c>
      <c r="P46" s="31">
        <f t="shared" si="32"/>
        <v>0</v>
      </c>
      <c r="Q46" s="31">
        <f t="shared" si="32"/>
        <v>0</v>
      </c>
      <c r="R46" s="31">
        <f t="shared" si="32"/>
        <v>0</v>
      </c>
      <c r="S46" s="31">
        <f t="shared" si="32"/>
        <v>0</v>
      </c>
    </row>
    <row r="47" spans="4:19">
      <c r="D47" s="111"/>
      <c r="E47" s="111"/>
      <c r="F47" s="23">
        <v>2</v>
      </c>
      <c r="G47" s="31">
        <f t="shared" ref="G47:S47" si="33">SUM(G44:G45)</f>
        <v>0</v>
      </c>
      <c r="H47" s="31">
        <f t="shared" si="33"/>
        <v>0</v>
      </c>
      <c r="I47" s="31">
        <f t="shared" si="33"/>
        <v>0</v>
      </c>
      <c r="J47" s="31">
        <f t="shared" si="33"/>
        <v>0</v>
      </c>
      <c r="K47" s="31">
        <f t="shared" si="33"/>
        <v>0</v>
      </c>
      <c r="L47" s="31">
        <f t="shared" si="33"/>
        <v>0</v>
      </c>
      <c r="M47" s="31">
        <f t="shared" si="33"/>
        <v>0</v>
      </c>
      <c r="N47" s="31">
        <f t="shared" si="33"/>
        <v>0</v>
      </c>
      <c r="O47" s="31">
        <f t="shared" si="33"/>
        <v>0</v>
      </c>
      <c r="P47" s="31">
        <f t="shared" si="33"/>
        <v>0</v>
      </c>
      <c r="Q47" s="31">
        <f t="shared" si="33"/>
        <v>0</v>
      </c>
      <c r="R47" s="31">
        <f t="shared" si="33"/>
        <v>0</v>
      </c>
      <c r="S47" s="31">
        <f t="shared" si="33"/>
        <v>0</v>
      </c>
    </row>
    <row r="48" spans="4:19" ht="17" customHeight="1">
      <c r="D48" s="110" t="s">
        <v>157</v>
      </c>
      <c r="E48" s="107">
        <v>1</v>
      </c>
      <c r="F48" s="23">
        <v>1</v>
      </c>
      <c r="G48" s="31">
        <f>SUM('연구개발비(4세부)'!G7:G13)</f>
        <v>0</v>
      </c>
      <c r="H48" s="31">
        <f>SUM('연구개발비(4세부)'!H7:H13)</f>
        <v>0</v>
      </c>
      <c r="I48" s="31">
        <f>SUM('연구개발비(4세부)'!I7:I13)</f>
        <v>0</v>
      </c>
      <c r="J48" s="31">
        <f>SUM('연구개발비(4세부)'!J7:J13)</f>
        <v>0</v>
      </c>
      <c r="K48" s="31">
        <f>SUM('연구개발비(4세부)'!K7:K13)</f>
        <v>0</v>
      </c>
      <c r="L48" s="31">
        <f>SUM('연구개발비(4세부)'!L7:L13)</f>
        <v>0</v>
      </c>
      <c r="M48" s="31">
        <f>SUM('연구개발비(4세부)'!M7:M13)</f>
        <v>0</v>
      </c>
      <c r="N48" s="31">
        <f>SUM('연구개발비(4세부)'!N7:N13)</f>
        <v>0</v>
      </c>
      <c r="O48" s="31">
        <f>SUM('연구개발비(4세부)'!O7:O13)</f>
        <v>0</v>
      </c>
      <c r="P48" s="31">
        <f>SUM('연구개발비(4세부)'!P7:P13)</f>
        <v>0</v>
      </c>
      <c r="Q48" s="31">
        <f>SUM('연구개발비(4세부)'!Q7:Q13)</f>
        <v>0</v>
      </c>
      <c r="R48" s="31">
        <f>SUM('연구개발비(4세부)'!R7:R13)</f>
        <v>0</v>
      </c>
      <c r="S48" s="31">
        <f>SUM('연구개발비(4세부)'!S7:S13)</f>
        <v>0</v>
      </c>
    </row>
    <row r="49" spans="2:22">
      <c r="D49" s="112"/>
      <c r="E49" s="107"/>
      <c r="F49" s="23">
        <v>2</v>
      </c>
      <c r="G49" s="31">
        <f>SUM('연구개발비(4세부)'!G14:G20)</f>
        <v>0</v>
      </c>
      <c r="H49" s="31">
        <f>SUM('연구개발비(4세부)'!H14:H20)</f>
        <v>0</v>
      </c>
      <c r="I49" s="31">
        <f>SUM('연구개발비(4세부)'!I14:I20)</f>
        <v>0</v>
      </c>
      <c r="J49" s="31">
        <f>SUM('연구개발비(4세부)'!J14:J20)</f>
        <v>0</v>
      </c>
      <c r="K49" s="31">
        <f>SUM('연구개발비(4세부)'!K14:K20)</f>
        <v>0</v>
      </c>
      <c r="L49" s="31">
        <f>SUM('연구개발비(4세부)'!L14:L20)</f>
        <v>0</v>
      </c>
      <c r="M49" s="31">
        <f>SUM('연구개발비(4세부)'!M14:M20)</f>
        <v>0</v>
      </c>
      <c r="N49" s="31">
        <f>SUM('연구개발비(4세부)'!N14:N20)</f>
        <v>0</v>
      </c>
      <c r="O49" s="31">
        <f>SUM('연구개발비(4세부)'!O14:O20)</f>
        <v>0</v>
      </c>
      <c r="P49" s="31">
        <f>SUM('연구개발비(4세부)'!P14:P20)</f>
        <v>0</v>
      </c>
      <c r="Q49" s="31">
        <f>SUM('연구개발비(4세부)'!Q14:Q20)</f>
        <v>0</v>
      </c>
      <c r="R49" s="31">
        <f>SUM('연구개발비(4세부)'!R14:R20)</f>
        <v>0</v>
      </c>
      <c r="S49" s="31">
        <f>SUM('연구개발비(4세부)'!S14:S20)</f>
        <v>0</v>
      </c>
    </row>
    <row r="50" spans="2:22">
      <c r="D50" s="112"/>
      <c r="E50" s="107"/>
      <c r="F50" s="23">
        <v>3</v>
      </c>
      <c r="G50" s="31">
        <f>SUM('연구개발비(4세부)'!G21:G27)</f>
        <v>0</v>
      </c>
      <c r="H50" s="31">
        <f>SUM('연구개발비(4세부)'!H21:H27)</f>
        <v>0</v>
      </c>
      <c r="I50" s="31">
        <f>SUM('연구개발비(4세부)'!I21:I27)</f>
        <v>0</v>
      </c>
      <c r="J50" s="31">
        <f>SUM('연구개발비(4세부)'!J21:J27)</f>
        <v>0</v>
      </c>
      <c r="K50" s="31">
        <f>SUM('연구개발비(4세부)'!K21:K27)</f>
        <v>0</v>
      </c>
      <c r="L50" s="31">
        <f>SUM('연구개발비(4세부)'!L21:L27)</f>
        <v>0</v>
      </c>
      <c r="M50" s="31">
        <f>SUM('연구개발비(4세부)'!M21:M27)</f>
        <v>0</v>
      </c>
      <c r="N50" s="31">
        <f>SUM('연구개발비(4세부)'!N21:N27)</f>
        <v>0</v>
      </c>
      <c r="O50" s="31">
        <f>SUM('연구개발비(4세부)'!O21:O27)</f>
        <v>0</v>
      </c>
      <c r="P50" s="31">
        <f>SUM('연구개발비(4세부)'!P21:P27)</f>
        <v>0</v>
      </c>
      <c r="Q50" s="31">
        <f>SUM('연구개발비(4세부)'!Q21:Q27)</f>
        <v>0</v>
      </c>
      <c r="R50" s="31">
        <f>SUM('연구개발비(4세부)'!R21:R27)</f>
        <v>0</v>
      </c>
      <c r="S50" s="31">
        <f>SUM('연구개발비(4세부)'!S21:S27)</f>
        <v>0</v>
      </c>
    </row>
    <row r="51" spans="2:22">
      <c r="D51" s="112"/>
      <c r="E51" s="107">
        <v>2</v>
      </c>
      <c r="F51" s="23">
        <v>1</v>
      </c>
      <c r="G51" s="31">
        <f>SUM('연구개발비(4세부)'!G21:G27)</f>
        <v>0</v>
      </c>
      <c r="H51" s="31">
        <f>SUM('연구개발비(4세부)'!H21:H27)</f>
        <v>0</v>
      </c>
      <c r="I51" s="31">
        <f>SUM('연구개발비(4세부)'!I21:I27)</f>
        <v>0</v>
      </c>
      <c r="J51" s="31">
        <f>SUM('연구개발비(4세부)'!J21:J27)</f>
        <v>0</v>
      </c>
      <c r="K51" s="31">
        <f>SUM('연구개발비(4세부)'!K21:K27)</f>
        <v>0</v>
      </c>
      <c r="L51" s="31">
        <f>SUM('연구개발비(4세부)'!L21:L27)</f>
        <v>0</v>
      </c>
      <c r="M51" s="31">
        <f>SUM('연구개발비(4세부)'!M21:M27)</f>
        <v>0</v>
      </c>
      <c r="N51" s="31">
        <f>SUM('연구개발비(4세부)'!N21:N27)</f>
        <v>0</v>
      </c>
      <c r="O51" s="31">
        <f>SUM('연구개발비(4세부)'!O21:O27)</f>
        <v>0</v>
      </c>
      <c r="P51" s="31">
        <f>SUM('연구개발비(4세부)'!P21:P27)</f>
        <v>0</v>
      </c>
      <c r="Q51" s="31">
        <f>SUM('연구개발비(4세부)'!Q21:Q27)</f>
        <v>0</v>
      </c>
      <c r="R51" s="31">
        <f>SUM('연구개발비(4세부)'!R21:R27)</f>
        <v>0</v>
      </c>
      <c r="S51" s="31">
        <f>SUM('연구개발비(4세부)'!S21:S27)</f>
        <v>0</v>
      </c>
    </row>
    <row r="52" spans="2:22">
      <c r="D52" s="112"/>
      <c r="E52" s="107"/>
      <c r="F52" s="23">
        <v>2</v>
      </c>
      <c r="G52" s="31">
        <f>SUM('연구개발비(4세부)'!G36:G42)</f>
        <v>0</v>
      </c>
      <c r="H52" s="31">
        <f>SUM('연구개발비(4세부)'!H36:H42)</f>
        <v>0</v>
      </c>
      <c r="I52" s="31">
        <f>SUM('연구개발비(4세부)'!I36:I42)</f>
        <v>0</v>
      </c>
      <c r="J52" s="31">
        <f>SUM('연구개발비(4세부)'!J36:J42)</f>
        <v>0</v>
      </c>
      <c r="K52" s="31">
        <f>SUM('연구개발비(4세부)'!K36:K42)</f>
        <v>0</v>
      </c>
      <c r="L52" s="31">
        <f>SUM('연구개발비(4세부)'!L36:L42)</f>
        <v>0</v>
      </c>
      <c r="M52" s="31">
        <f>SUM('연구개발비(4세부)'!M36:M42)</f>
        <v>0</v>
      </c>
      <c r="N52" s="31">
        <f>SUM('연구개발비(4세부)'!N36:N42)</f>
        <v>0</v>
      </c>
      <c r="O52" s="31">
        <f>SUM('연구개발비(4세부)'!O36:O42)</f>
        <v>0</v>
      </c>
      <c r="P52" s="31">
        <f>SUM('연구개발비(4세부)'!P36:P42)</f>
        <v>0</v>
      </c>
      <c r="Q52" s="31">
        <f>SUM('연구개발비(4세부)'!Q36:Q42)</f>
        <v>0</v>
      </c>
      <c r="R52" s="31">
        <f>SUM('연구개발비(4세부)'!R36:R42)</f>
        <v>0</v>
      </c>
      <c r="S52" s="31">
        <f>SUM('연구개발비(4세부)'!S36:S42)</f>
        <v>0</v>
      </c>
    </row>
    <row r="53" spans="2:22">
      <c r="D53" s="112"/>
      <c r="E53" s="110" t="s">
        <v>25</v>
      </c>
      <c r="F53" s="23">
        <v>1</v>
      </c>
      <c r="G53" s="22">
        <f t="shared" ref="G53:S53" si="34">SUM(G48:G50)</f>
        <v>0</v>
      </c>
      <c r="H53" s="22">
        <f t="shared" si="34"/>
        <v>0</v>
      </c>
      <c r="I53" s="22">
        <f t="shared" si="34"/>
        <v>0</v>
      </c>
      <c r="J53" s="22">
        <f t="shared" si="34"/>
        <v>0</v>
      </c>
      <c r="K53" s="22">
        <f t="shared" si="34"/>
        <v>0</v>
      </c>
      <c r="L53" s="22">
        <f t="shared" si="34"/>
        <v>0</v>
      </c>
      <c r="M53" s="22">
        <f t="shared" si="34"/>
        <v>0</v>
      </c>
      <c r="N53" s="22">
        <f t="shared" si="34"/>
        <v>0</v>
      </c>
      <c r="O53" s="22">
        <f t="shared" si="34"/>
        <v>0</v>
      </c>
      <c r="P53" s="22">
        <f t="shared" si="34"/>
        <v>0</v>
      </c>
      <c r="Q53" s="22">
        <f t="shared" si="34"/>
        <v>0</v>
      </c>
      <c r="R53" s="22">
        <f t="shared" si="34"/>
        <v>0</v>
      </c>
      <c r="S53" s="22">
        <f t="shared" si="34"/>
        <v>0</v>
      </c>
    </row>
    <row r="54" spans="2:22">
      <c r="D54" s="111"/>
      <c r="E54" s="111"/>
      <c r="F54" s="23">
        <v>2</v>
      </c>
      <c r="G54" s="22">
        <f t="shared" ref="G54:S54" si="35">SUM(G51:G52)</f>
        <v>0</v>
      </c>
      <c r="H54" s="22">
        <f t="shared" si="35"/>
        <v>0</v>
      </c>
      <c r="I54" s="22">
        <f t="shared" si="35"/>
        <v>0</v>
      </c>
      <c r="J54" s="22">
        <f t="shared" si="35"/>
        <v>0</v>
      </c>
      <c r="K54" s="22">
        <f t="shared" si="35"/>
        <v>0</v>
      </c>
      <c r="L54" s="22">
        <f t="shared" si="35"/>
        <v>0</v>
      </c>
      <c r="M54" s="22">
        <f t="shared" si="35"/>
        <v>0</v>
      </c>
      <c r="N54" s="22">
        <f t="shared" si="35"/>
        <v>0</v>
      </c>
      <c r="O54" s="22">
        <f t="shared" si="35"/>
        <v>0</v>
      </c>
      <c r="P54" s="22">
        <f t="shared" si="35"/>
        <v>0</v>
      </c>
      <c r="Q54" s="22">
        <f t="shared" si="35"/>
        <v>0</v>
      </c>
      <c r="R54" s="22">
        <f t="shared" si="35"/>
        <v>0</v>
      </c>
      <c r="S54" s="22">
        <f t="shared" si="35"/>
        <v>0</v>
      </c>
    </row>
    <row r="56" spans="2:22">
      <c r="B56" s="119" t="s">
        <v>58</v>
      </c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</row>
    <row r="57" spans="2:22">
      <c r="U57" s="108" t="s">
        <v>143</v>
      </c>
      <c r="V57" s="108"/>
    </row>
    <row r="58" spans="2:22">
      <c r="D58" s="107" t="s">
        <v>113</v>
      </c>
      <c r="E58" s="107"/>
      <c r="F58" s="107" t="s">
        <v>129</v>
      </c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9" t="s">
        <v>117</v>
      </c>
      <c r="U58" s="107" t="s">
        <v>107</v>
      </c>
      <c r="V58" s="107" t="s">
        <v>19</v>
      </c>
    </row>
    <row r="59" spans="2:22">
      <c r="D59" s="107"/>
      <c r="E59" s="107"/>
      <c r="F59" s="107" t="s">
        <v>46</v>
      </c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 t="s">
        <v>134</v>
      </c>
      <c r="S59" s="107" t="s">
        <v>69</v>
      </c>
      <c r="T59" s="109"/>
      <c r="U59" s="107"/>
      <c r="V59" s="107"/>
    </row>
    <row r="60" spans="2:22">
      <c r="D60" s="107"/>
      <c r="E60" s="107"/>
      <c r="F60" s="107" t="s">
        <v>121</v>
      </c>
      <c r="G60" s="107" t="s">
        <v>52</v>
      </c>
      <c r="H60" s="107"/>
      <c r="I60" s="107" t="s">
        <v>76</v>
      </c>
      <c r="J60" s="107"/>
      <c r="K60" s="107" t="s">
        <v>149</v>
      </c>
      <c r="L60" s="107" t="s">
        <v>105</v>
      </c>
      <c r="M60" s="107" t="s">
        <v>88</v>
      </c>
      <c r="N60" s="107" t="s">
        <v>35</v>
      </c>
      <c r="O60" s="107" t="s">
        <v>33</v>
      </c>
      <c r="P60" s="107" t="s">
        <v>30</v>
      </c>
      <c r="Q60" s="107" t="s">
        <v>25</v>
      </c>
      <c r="R60" s="107"/>
      <c r="S60" s="107"/>
      <c r="T60" s="109"/>
      <c r="U60" s="107"/>
      <c r="V60" s="107"/>
    </row>
    <row r="61" spans="2:22">
      <c r="D61" s="107"/>
      <c r="E61" s="107"/>
      <c r="F61" s="107"/>
      <c r="G61" s="20" t="s">
        <v>83</v>
      </c>
      <c r="H61" s="20" t="s">
        <v>102</v>
      </c>
      <c r="I61" s="20" t="s">
        <v>83</v>
      </c>
      <c r="J61" s="20" t="s">
        <v>102</v>
      </c>
      <c r="K61" s="107"/>
      <c r="L61" s="107"/>
      <c r="M61" s="107"/>
      <c r="N61" s="107"/>
      <c r="O61" s="107"/>
      <c r="P61" s="107"/>
      <c r="Q61" s="107"/>
      <c r="R61" s="107"/>
      <c r="S61" s="107"/>
      <c r="T61" s="109"/>
      <c r="U61" s="107"/>
      <c r="V61" s="107"/>
    </row>
    <row r="62" spans="2:22">
      <c r="D62" s="117" t="s">
        <v>138</v>
      </c>
      <c r="E62" s="21" t="s">
        <v>78</v>
      </c>
      <c r="F62" s="22">
        <f>F65+F68</f>
        <v>0</v>
      </c>
      <c r="G62" s="22">
        <f t="shared" ref="G62:S62" si="36">G65+G68</f>
        <v>0</v>
      </c>
      <c r="H62" s="22">
        <f t="shared" si="36"/>
        <v>0</v>
      </c>
      <c r="I62" s="22">
        <f t="shared" si="36"/>
        <v>0</v>
      </c>
      <c r="J62" s="22">
        <f t="shared" si="36"/>
        <v>0</v>
      </c>
      <c r="K62" s="22">
        <f t="shared" si="36"/>
        <v>0</v>
      </c>
      <c r="L62" s="22">
        <f t="shared" si="36"/>
        <v>0</v>
      </c>
      <c r="M62" s="22">
        <f t="shared" si="36"/>
        <v>0</v>
      </c>
      <c r="N62" s="22">
        <f t="shared" si="36"/>
        <v>0</v>
      </c>
      <c r="O62" s="22">
        <f t="shared" si="36"/>
        <v>0</v>
      </c>
      <c r="P62" s="22">
        <f t="shared" si="36"/>
        <v>0</v>
      </c>
      <c r="Q62" s="22">
        <f t="shared" si="36"/>
        <v>0</v>
      </c>
      <c r="R62" s="22">
        <f t="shared" si="36"/>
        <v>0</v>
      </c>
      <c r="S62" s="22">
        <f t="shared" si="36"/>
        <v>0</v>
      </c>
      <c r="T62" s="109" t="s">
        <v>117</v>
      </c>
      <c r="U62" s="113" t="s">
        <v>117</v>
      </c>
      <c r="V62" s="118">
        <f>SUM(V65:V76)</f>
        <v>0</v>
      </c>
    </row>
    <row r="63" spans="2:22">
      <c r="D63" s="117"/>
      <c r="E63" s="21" t="s">
        <v>24</v>
      </c>
      <c r="F63" s="22">
        <f t="shared" ref="F63:S63" si="37">F66+F69</f>
        <v>0</v>
      </c>
      <c r="G63" s="22">
        <f t="shared" si="37"/>
        <v>0</v>
      </c>
      <c r="H63" s="22">
        <f t="shared" si="37"/>
        <v>0</v>
      </c>
      <c r="I63" s="22">
        <f t="shared" si="37"/>
        <v>0</v>
      </c>
      <c r="J63" s="22">
        <f t="shared" si="37"/>
        <v>0</v>
      </c>
      <c r="K63" s="22">
        <f t="shared" si="37"/>
        <v>0</v>
      </c>
      <c r="L63" s="22">
        <f t="shared" si="37"/>
        <v>0</v>
      </c>
      <c r="M63" s="22">
        <f t="shared" si="37"/>
        <v>0</v>
      </c>
      <c r="N63" s="22">
        <f t="shared" si="37"/>
        <v>0</v>
      </c>
      <c r="O63" s="22">
        <f t="shared" si="37"/>
        <v>0</v>
      </c>
      <c r="P63" s="22">
        <f t="shared" si="37"/>
        <v>0</v>
      </c>
      <c r="Q63" s="22">
        <f t="shared" si="37"/>
        <v>0</v>
      </c>
      <c r="R63" s="22">
        <f t="shared" si="37"/>
        <v>0</v>
      </c>
      <c r="S63" s="22">
        <f t="shared" si="37"/>
        <v>0</v>
      </c>
      <c r="T63" s="109"/>
      <c r="U63" s="113"/>
      <c r="V63" s="113"/>
    </row>
    <row r="64" spans="2:22">
      <c r="D64" s="117"/>
      <c r="E64" s="21" t="s">
        <v>25</v>
      </c>
      <c r="F64" s="22">
        <f t="shared" ref="F64:S64" si="38">F67+F70</f>
        <v>0</v>
      </c>
      <c r="G64" s="22">
        <f t="shared" si="38"/>
        <v>0</v>
      </c>
      <c r="H64" s="22">
        <f t="shared" si="38"/>
        <v>0</v>
      </c>
      <c r="I64" s="22">
        <f t="shared" si="38"/>
        <v>0</v>
      </c>
      <c r="J64" s="22">
        <f t="shared" si="38"/>
        <v>0</v>
      </c>
      <c r="K64" s="22">
        <f t="shared" si="38"/>
        <v>0</v>
      </c>
      <c r="L64" s="22">
        <f t="shared" si="38"/>
        <v>0</v>
      </c>
      <c r="M64" s="22">
        <f t="shared" si="38"/>
        <v>0</v>
      </c>
      <c r="N64" s="22">
        <f t="shared" si="38"/>
        <v>0</v>
      </c>
      <c r="O64" s="22">
        <f t="shared" si="38"/>
        <v>0</v>
      </c>
      <c r="P64" s="22">
        <f t="shared" si="38"/>
        <v>0</v>
      </c>
      <c r="Q64" s="22">
        <f t="shared" si="38"/>
        <v>0</v>
      </c>
      <c r="R64" s="22">
        <f t="shared" si="38"/>
        <v>0</v>
      </c>
      <c r="S64" s="22">
        <f t="shared" si="38"/>
        <v>0</v>
      </c>
      <c r="T64" s="109"/>
      <c r="U64" s="113"/>
      <c r="V64" s="113"/>
    </row>
    <row r="65" spans="4:22">
      <c r="D65" s="117" t="s">
        <v>130</v>
      </c>
      <c r="E65" s="21" t="s">
        <v>78</v>
      </c>
      <c r="F65" s="22">
        <f>'연구개발비(1세부)'!F74</f>
        <v>0</v>
      </c>
      <c r="G65" s="22">
        <f>'연구개발비(1세부)'!G74</f>
        <v>0</v>
      </c>
      <c r="H65" s="22">
        <f>'연구개발비(1세부)'!H74</f>
        <v>0</v>
      </c>
      <c r="I65" s="22">
        <f>'연구개발비(1세부)'!I74</f>
        <v>0</v>
      </c>
      <c r="J65" s="22">
        <f>'연구개발비(1세부)'!J74</f>
        <v>0</v>
      </c>
      <c r="K65" s="22">
        <f>'연구개발비(1세부)'!K74</f>
        <v>0</v>
      </c>
      <c r="L65" s="22">
        <f>'연구개발비(1세부)'!L74</f>
        <v>0</v>
      </c>
      <c r="M65" s="22">
        <f>'연구개발비(1세부)'!M74</f>
        <v>0</v>
      </c>
      <c r="N65" s="22">
        <f>'연구개발비(1세부)'!N74</f>
        <v>0</v>
      </c>
      <c r="O65" s="22">
        <f>'연구개발비(1세부)'!O74</f>
        <v>0</v>
      </c>
      <c r="P65" s="22">
        <f>'연구개발비(1세부)'!P74</f>
        <v>0</v>
      </c>
      <c r="Q65" s="22">
        <f>'연구개발비(1세부)'!Q74</f>
        <v>0</v>
      </c>
      <c r="R65" s="22">
        <f>'연구개발비(1세부)'!R74</f>
        <v>0</v>
      </c>
      <c r="S65" s="22">
        <f>'연구개발비(1세부)'!S74</f>
        <v>0</v>
      </c>
      <c r="T65" s="109" t="s">
        <v>117</v>
      </c>
      <c r="U65" s="113" t="s">
        <v>117</v>
      </c>
      <c r="V65" s="113" t="str">
        <f>'연구개발비(1세부)'!V74</f>
        <v xml:space="preserve">  </v>
      </c>
    </row>
    <row r="66" spans="4:22">
      <c r="D66" s="117"/>
      <c r="E66" s="21" t="s">
        <v>24</v>
      </c>
      <c r="F66" s="22">
        <f>'연구개발비(1세부)'!F75</f>
        <v>0</v>
      </c>
      <c r="G66" s="22">
        <f>'연구개발비(1세부)'!G75</f>
        <v>0</v>
      </c>
      <c r="H66" s="22">
        <f>'연구개발비(1세부)'!H75</f>
        <v>0</v>
      </c>
      <c r="I66" s="22">
        <f>'연구개발비(1세부)'!I75</f>
        <v>0</v>
      </c>
      <c r="J66" s="22">
        <f>'연구개발비(1세부)'!J75</f>
        <v>0</v>
      </c>
      <c r="K66" s="22">
        <f>'연구개발비(1세부)'!K75</f>
        <v>0</v>
      </c>
      <c r="L66" s="22">
        <f>'연구개발비(1세부)'!L75</f>
        <v>0</v>
      </c>
      <c r="M66" s="22">
        <f>'연구개발비(1세부)'!M75</f>
        <v>0</v>
      </c>
      <c r="N66" s="22">
        <f>'연구개발비(1세부)'!N75</f>
        <v>0</v>
      </c>
      <c r="O66" s="22">
        <f>'연구개발비(1세부)'!O75</f>
        <v>0</v>
      </c>
      <c r="P66" s="22">
        <f>'연구개발비(1세부)'!P75</f>
        <v>0</v>
      </c>
      <c r="Q66" s="22">
        <f>'연구개발비(1세부)'!Q75</f>
        <v>0</v>
      </c>
      <c r="R66" s="22">
        <f>'연구개발비(1세부)'!R75</f>
        <v>0</v>
      </c>
      <c r="S66" s="22">
        <f>'연구개발비(1세부)'!S75</f>
        <v>0</v>
      </c>
      <c r="T66" s="109"/>
      <c r="U66" s="113"/>
      <c r="V66" s="113"/>
    </row>
    <row r="67" spans="4:22">
      <c r="D67" s="117"/>
      <c r="E67" s="21" t="s">
        <v>25</v>
      </c>
      <c r="F67" s="22">
        <f>'연구개발비(1세부)'!F76</f>
        <v>0</v>
      </c>
      <c r="G67" s="22">
        <f>'연구개발비(1세부)'!G76</f>
        <v>0</v>
      </c>
      <c r="H67" s="22">
        <f>'연구개발비(1세부)'!H76</f>
        <v>0</v>
      </c>
      <c r="I67" s="22">
        <f>'연구개발비(1세부)'!I76</f>
        <v>0</v>
      </c>
      <c r="J67" s="22">
        <f>'연구개발비(1세부)'!J76</f>
        <v>0</v>
      </c>
      <c r="K67" s="22">
        <f>'연구개발비(1세부)'!K76</f>
        <v>0</v>
      </c>
      <c r="L67" s="22">
        <f>'연구개발비(1세부)'!L76</f>
        <v>0</v>
      </c>
      <c r="M67" s="22">
        <f>'연구개발비(1세부)'!M76</f>
        <v>0</v>
      </c>
      <c r="N67" s="22">
        <f>'연구개발비(1세부)'!N76</f>
        <v>0</v>
      </c>
      <c r="O67" s="22">
        <f>'연구개발비(1세부)'!O76</f>
        <v>0</v>
      </c>
      <c r="P67" s="22">
        <f>'연구개발비(1세부)'!P76</f>
        <v>0</v>
      </c>
      <c r="Q67" s="22">
        <f>'연구개발비(1세부)'!Q76</f>
        <v>0</v>
      </c>
      <c r="R67" s="22">
        <f>'연구개발비(1세부)'!R76</f>
        <v>0</v>
      </c>
      <c r="S67" s="22">
        <f>'연구개발비(1세부)'!S76</f>
        <v>0</v>
      </c>
      <c r="T67" s="109"/>
      <c r="U67" s="113"/>
      <c r="V67" s="113"/>
    </row>
    <row r="68" spans="4:22" ht="17" customHeight="1">
      <c r="D68" s="117" t="s">
        <v>6</v>
      </c>
      <c r="E68" s="21" t="s">
        <v>78</v>
      </c>
      <c r="F68" s="22">
        <f>'연구개발비(2세부)'!F74</f>
        <v>0</v>
      </c>
      <c r="G68" s="22">
        <f>'연구개발비(2세부)'!G74</f>
        <v>0</v>
      </c>
      <c r="H68" s="22">
        <f>'연구개발비(2세부)'!H74</f>
        <v>0</v>
      </c>
      <c r="I68" s="22">
        <f>'연구개발비(2세부)'!I74</f>
        <v>0</v>
      </c>
      <c r="J68" s="22">
        <f>'연구개발비(2세부)'!J74</f>
        <v>0</v>
      </c>
      <c r="K68" s="22">
        <f>'연구개발비(2세부)'!K74</f>
        <v>0</v>
      </c>
      <c r="L68" s="22">
        <f>'연구개발비(2세부)'!L74</f>
        <v>0</v>
      </c>
      <c r="M68" s="22">
        <f>'연구개발비(2세부)'!M74</f>
        <v>0</v>
      </c>
      <c r="N68" s="22">
        <f>'연구개발비(2세부)'!N74</f>
        <v>0</v>
      </c>
      <c r="O68" s="22">
        <f>'연구개발비(2세부)'!O74</f>
        <v>0</v>
      </c>
      <c r="P68" s="22">
        <f>'연구개발비(2세부)'!P74</f>
        <v>0</v>
      </c>
      <c r="Q68" s="22">
        <f>'연구개발비(2세부)'!Q74</f>
        <v>0</v>
      </c>
      <c r="R68" s="22">
        <f>'연구개발비(2세부)'!R74</f>
        <v>0</v>
      </c>
      <c r="S68" s="22">
        <f>'연구개발비(2세부)'!S74</f>
        <v>0</v>
      </c>
      <c r="T68" s="109" t="s">
        <v>117</v>
      </c>
      <c r="U68" s="113" t="s">
        <v>117</v>
      </c>
      <c r="V68" s="114" t="str">
        <f>'연구개발비(2세부)'!V74</f>
        <v xml:space="preserve">  </v>
      </c>
    </row>
    <row r="69" spans="4:22">
      <c r="D69" s="117"/>
      <c r="E69" s="21" t="s">
        <v>24</v>
      </c>
      <c r="F69" s="22">
        <f>'연구개발비(2세부)'!F75</f>
        <v>0</v>
      </c>
      <c r="G69" s="22">
        <f>'연구개발비(2세부)'!G75</f>
        <v>0</v>
      </c>
      <c r="H69" s="22">
        <f>'연구개발비(2세부)'!H75</f>
        <v>0</v>
      </c>
      <c r="I69" s="22">
        <f>'연구개발비(2세부)'!I75</f>
        <v>0</v>
      </c>
      <c r="J69" s="22">
        <f>'연구개발비(2세부)'!J75</f>
        <v>0</v>
      </c>
      <c r="K69" s="22">
        <f>'연구개발비(2세부)'!K75</f>
        <v>0</v>
      </c>
      <c r="L69" s="22">
        <f>'연구개발비(2세부)'!L75</f>
        <v>0</v>
      </c>
      <c r="M69" s="22">
        <f>'연구개발비(2세부)'!M75</f>
        <v>0</v>
      </c>
      <c r="N69" s="22">
        <f>'연구개발비(2세부)'!N75</f>
        <v>0</v>
      </c>
      <c r="O69" s="22">
        <f>'연구개발비(2세부)'!O75</f>
        <v>0</v>
      </c>
      <c r="P69" s="22">
        <f>'연구개발비(2세부)'!P75</f>
        <v>0</v>
      </c>
      <c r="Q69" s="22">
        <f>'연구개발비(2세부)'!Q75</f>
        <v>0</v>
      </c>
      <c r="R69" s="22">
        <f>'연구개발비(2세부)'!R75</f>
        <v>0</v>
      </c>
      <c r="S69" s="22">
        <f>'연구개발비(2세부)'!S75</f>
        <v>0</v>
      </c>
      <c r="T69" s="109"/>
      <c r="U69" s="113"/>
      <c r="V69" s="115"/>
    </row>
    <row r="70" spans="4:22">
      <c r="D70" s="117"/>
      <c r="E70" s="21" t="s">
        <v>25</v>
      </c>
      <c r="F70" s="22">
        <f>'연구개발비(2세부)'!F76</f>
        <v>0</v>
      </c>
      <c r="G70" s="22">
        <f>'연구개발비(2세부)'!G76</f>
        <v>0</v>
      </c>
      <c r="H70" s="22">
        <f>'연구개발비(2세부)'!H76</f>
        <v>0</v>
      </c>
      <c r="I70" s="22">
        <f>'연구개발비(2세부)'!I76</f>
        <v>0</v>
      </c>
      <c r="J70" s="22">
        <f>'연구개발비(2세부)'!J76</f>
        <v>0</v>
      </c>
      <c r="K70" s="22">
        <f>'연구개발비(2세부)'!K76</f>
        <v>0</v>
      </c>
      <c r="L70" s="22">
        <f>'연구개발비(2세부)'!L76</f>
        <v>0</v>
      </c>
      <c r="M70" s="22">
        <f>'연구개발비(2세부)'!M76</f>
        <v>0</v>
      </c>
      <c r="N70" s="22">
        <f>'연구개발비(2세부)'!N76</f>
        <v>0</v>
      </c>
      <c r="O70" s="22">
        <f>'연구개발비(2세부)'!O76</f>
        <v>0</v>
      </c>
      <c r="P70" s="22">
        <f>'연구개발비(2세부)'!P76</f>
        <v>0</v>
      </c>
      <c r="Q70" s="22">
        <f>'연구개발비(2세부)'!Q76</f>
        <v>0</v>
      </c>
      <c r="R70" s="22">
        <f>'연구개발비(2세부)'!R76</f>
        <v>0</v>
      </c>
      <c r="S70" s="22">
        <f>'연구개발비(2세부)'!S76</f>
        <v>0</v>
      </c>
      <c r="T70" s="109"/>
      <c r="U70" s="113"/>
      <c r="V70" s="116"/>
    </row>
    <row r="71" spans="4:22">
      <c r="D71" s="117" t="s">
        <v>156</v>
      </c>
      <c r="E71" s="21" t="s">
        <v>78</v>
      </c>
      <c r="F71" s="22">
        <f>'연구개발비(3세부)'!F74</f>
        <v>0</v>
      </c>
      <c r="G71" s="22">
        <f>'연구개발비(3세부)'!G74</f>
        <v>0</v>
      </c>
      <c r="H71" s="22">
        <f>'연구개발비(3세부)'!H74</f>
        <v>0</v>
      </c>
      <c r="I71" s="22">
        <f>'연구개발비(3세부)'!I74</f>
        <v>0</v>
      </c>
      <c r="J71" s="22">
        <f>'연구개발비(3세부)'!J74</f>
        <v>0</v>
      </c>
      <c r="K71" s="22">
        <f>'연구개발비(3세부)'!K74</f>
        <v>0</v>
      </c>
      <c r="L71" s="22">
        <f>'연구개발비(3세부)'!L74</f>
        <v>0</v>
      </c>
      <c r="M71" s="22">
        <f>'연구개발비(3세부)'!M74</f>
        <v>0</v>
      </c>
      <c r="N71" s="22">
        <f>'연구개발비(3세부)'!N74</f>
        <v>0</v>
      </c>
      <c r="O71" s="22">
        <f>'연구개발비(3세부)'!O74</f>
        <v>0</v>
      </c>
      <c r="P71" s="22">
        <f>'연구개발비(3세부)'!P74</f>
        <v>0</v>
      </c>
      <c r="Q71" s="22">
        <f>'연구개발비(3세부)'!Q74</f>
        <v>0</v>
      </c>
      <c r="R71" s="22">
        <f>'연구개발비(3세부)'!R74</f>
        <v>0</v>
      </c>
      <c r="S71" s="22">
        <f>'연구개발비(3세부)'!S74</f>
        <v>0</v>
      </c>
      <c r="T71" s="109" t="s">
        <v>117</v>
      </c>
      <c r="U71" s="113" t="s">
        <v>117</v>
      </c>
      <c r="V71" s="113" t="str">
        <f>'연구개발비(3세부)'!V74</f>
        <v xml:space="preserve">  </v>
      </c>
    </row>
    <row r="72" spans="4:22">
      <c r="D72" s="117"/>
      <c r="E72" s="21" t="s">
        <v>24</v>
      </c>
      <c r="F72" s="22">
        <f>'연구개발비(3세부)'!F75</f>
        <v>0</v>
      </c>
      <c r="G72" s="22">
        <f>'연구개발비(3세부)'!G75</f>
        <v>0</v>
      </c>
      <c r="H72" s="22">
        <f>'연구개발비(3세부)'!H75</f>
        <v>0</v>
      </c>
      <c r="I72" s="22">
        <f>'연구개발비(3세부)'!I75</f>
        <v>0</v>
      </c>
      <c r="J72" s="22">
        <f>'연구개발비(3세부)'!J75</f>
        <v>0</v>
      </c>
      <c r="K72" s="22">
        <f>'연구개발비(3세부)'!K75</f>
        <v>0</v>
      </c>
      <c r="L72" s="22">
        <f>'연구개발비(3세부)'!L75</f>
        <v>0</v>
      </c>
      <c r="M72" s="22">
        <f>'연구개발비(3세부)'!M75</f>
        <v>0</v>
      </c>
      <c r="N72" s="22">
        <f>'연구개발비(3세부)'!N75</f>
        <v>0</v>
      </c>
      <c r="O72" s="22">
        <f>'연구개발비(3세부)'!O75</f>
        <v>0</v>
      </c>
      <c r="P72" s="22">
        <f>'연구개발비(3세부)'!P75</f>
        <v>0</v>
      </c>
      <c r="Q72" s="22">
        <f>'연구개발비(3세부)'!Q75</f>
        <v>0</v>
      </c>
      <c r="R72" s="22">
        <f>'연구개발비(3세부)'!R75</f>
        <v>0</v>
      </c>
      <c r="S72" s="22">
        <f>'연구개발비(3세부)'!S75</f>
        <v>0</v>
      </c>
      <c r="T72" s="109"/>
      <c r="U72" s="113"/>
      <c r="V72" s="113"/>
    </row>
    <row r="73" spans="4:22">
      <c r="D73" s="117"/>
      <c r="E73" s="21" t="s">
        <v>25</v>
      </c>
      <c r="F73" s="22">
        <f>'연구개발비(3세부)'!F76</f>
        <v>0</v>
      </c>
      <c r="G73" s="22">
        <f>'연구개발비(3세부)'!G76</f>
        <v>0</v>
      </c>
      <c r="H73" s="22">
        <f>'연구개발비(3세부)'!H76</f>
        <v>0</v>
      </c>
      <c r="I73" s="22">
        <f>'연구개발비(3세부)'!I76</f>
        <v>0</v>
      </c>
      <c r="J73" s="22">
        <f>'연구개발비(3세부)'!J76</f>
        <v>0</v>
      </c>
      <c r="K73" s="22">
        <f>'연구개발비(3세부)'!K76</f>
        <v>0</v>
      </c>
      <c r="L73" s="22">
        <f>'연구개발비(3세부)'!L76</f>
        <v>0</v>
      </c>
      <c r="M73" s="22">
        <f>'연구개발비(3세부)'!M76</f>
        <v>0</v>
      </c>
      <c r="N73" s="22">
        <f>'연구개발비(3세부)'!N76</f>
        <v>0</v>
      </c>
      <c r="O73" s="22">
        <f>'연구개발비(3세부)'!O76</f>
        <v>0</v>
      </c>
      <c r="P73" s="22">
        <f>'연구개발비(3세부)'!P76</f>
        <v>0</v>
      </c>
      <c r="Q73" s="22">
        <f>'연구개발비(3세부)'!Q76</f>
        <v>0</v>
      </c>
      <c r="R73" s="22">
        <f>'연구개발비(3세부)'!R76</f>
        <v>0</v>
      </c>
      <c r="S73" s="22">
        <f>'연구개발비(3세부)'!S76</f>
        <v>0</v>
      </c>
      <c r="T73" s="109"/>
      <c r="U73" s="113"/>
      <c r="V73" s="113"/>
    </row>
    <row r="74" spans="4:22" ht="17" customHeight="1">
      <c r="D74" s="117" t="s">
        <v>157</v>
      </c>
      <c r="E74" s="21" t="s">
        <v>78</v>
      </c>
      <c r="F74" s="22">
        <f>'연구개발비(4세부)'!F74</f>
        <v>0</v>
      </c>
      <c r="G74" s="22">
        <f>'연구개발비(4세부)'!G74</f>
        <v>0</v>
      </c>
      <c r="H74" s="22">
        <f>'연구개발비(4세부)'!H74</f>
        <v>0</v>
      </c>
      <c r="I74" s="22">
        <f>'연구개발비(4세부)'!I74</f>
        <v>0</v>
      </c>
      <c r="J74" s="22">
        <f>'연구개발비(4세부)'!J74</f>
        <v>0</v>
      </c>
      <c r="K74" s="22">
        <f>'연구개발비(4세부)'!K74</f>
        <v>0</v>
      </c>
      <c r="L74" s="22">
        <f>'연구개발비(4세부)'!L74</f>
        <v>0</v>
      </c>
      <c r="M74" s="22">
        <f>'연구개발비(4세부)'!M74</f>
        <v>0</v>
      </c>
      <c r="N74" s="22">
        <f>'연구개발비(4세부)'!N74</f>
        <v>0</v>
      </c>
      <c r="O74" s="22">
        <f>'연구개발비(4세부)'!O74</f>
        <v>0</v>
      </c>
      <c r="P74" s="22">
        <f>'연구개발비(4세부)'!P74</f>
        <v>0</v>
      </c>
      <c r="Q74" s="22">
        <f>'연구개발비(4세부)'!Q74</f>
        <v>0</v>
      </c>
      <c r="R74" s="22">
        <f>'연구개발비(4세부)'!R74</f>
        <v>0</v>
      </c>
      <c r="S74" s="22">
        <f>'연구개발비(4세부)'!S74</f>
        <v>0</v>
      </c>
      <c r="T74" s="109" t="s">
        <v>117</v>
      </c>
      <c r="U74" s="113" t="s">
        <v>117</v>
      </c>
      <c r="V74" s="114" t="str">
        <f>'연구개발비(4세부)'!V74</f>
        <v xml:space="preserve">  </v>
      </c>
    </row>
    <row r="75" spans="4:22">
      <c r="D75" s="117"/>
      <c r="E75" s="21" t="s">
        <v>24</v>
      </c>
      <c r="F75" s="22">
        <f>'연구개발비(4세부)'!F75</f>
        <v>0</v>
      </c>
      <c r="G75" s="22">
        <f>'연구개발비(4세부)'!G75</f>
        <v>0</v>
      </c>
      <c r="H75" s="22">
        <f>'연구개발비(4세부)'!H75</f>
        <v>0</v>
      </c>
      <c r="I75" s="22">
        <f>'연구개발비(4세부)'!I75</f>
        <v>0</v>
      </c>
      <c r="J75" s="22">
        <f>'연구개발비(4세부)'!J75</f>
        <v>0</v>
      </c>
      <c r="K75" s="22">
        <f>'연구개발비(4세부)'!K75</f>
        <v>0</v>
      </c>
      <c r="L75" s="22">
        <f>'연구개발비(4세부)'!L75</f>
        <v>0</v>
      </c>
      <c r="M75" s="22">
        <f>'연구개발비(4세부)'!M75</f>
        <v>0</v>
      </c>
      <c r="N75" s="22">
        <f>'연구개발비(4세부)'!N75</f>
        <v>0</v>
      </c>
      <c r="O75" s="22">
        <f>'연구개발비(4세부)'!O75</f>
        <v>0</v>
      </c>
      <c r="P75" s="22">
        <f>'연구개발비(4세부)'!P75</f>
        <v>0</v>
      </c>
      <c r="Q75" s="22">
        <f>'연구개발비(4세부)'!Q75</f>
        <v>0</v>
      </c>
      <c r="R75" s="22">
        <f>'연구개발비(4세부)'!R75</f>
        <v>0</v>
      </c>
      <c r="S75" s="22">
        <f>'연구개발비(4세부)'!S75</f>
        <v>0</v>
      </c>
      <c r="T75" s="109"/>
      <c r="U75" s="113"/>
      <c r="V75" s="115"/>
    </row>
    <row r="76" spans="4:22">
      <c r="D76" s="117"/>
      <c r="E76" s="21" t="s">
        <v>25</v>
      </c>
      <c r="F76" s="22">
        <f>'연구개발비(4세부)'!F76</f>
        <v>0</v>
      </c>
      <c r="G76" s="22">
        <f>'연구개발비(4세부)'!G76</f>
        <v>0</v>
      </c>
      <c r="H76" s="22">
        <f>'연구개발비(4세부)'!H76</f>
        <v>0</v>
      </c>
      <c r="I76" s="22">
        <f>'연구개발비(4세부)'!I76</f>
        <v>0</v>
      </c>
      <c r="J76" s="22">
        <f>'연구개발비(4세부)'!J76</f>
        <v>0</v>
      </c>
      <c r="K76" s="22">
        <f>'연구개발비(4세부)'!K76</f>
        <v>0</v>
      </c>
      <c r="L76" s="22">
        <f>'연구개발비(4세부)'!L76</f>
        <v>0</v>
      </c>
      <c r="M76" s="22">
        <f>'연구개발비(4세부)'!M76</f>
        <v>0</v>
      </c>
      <c r="N76" s="22">
        <f>'연구개발비(4세부)'!N76</f>
        <v>0</v>
      </c>
      <c r="O76" s="22">
        <f>'연구개발비(4세부)'!O76</f>
        <v>0</v>
      </c>
      <c r="P76" s="22">
        <f>'연구개발비(4세부)'!P76</f>
        <v>0</v>
      </c>
      <c r="Q76" s="22">
        <f>'연구개발비(4세부)'!Q76</f>
        <v>0</v>
      </c>
      <c r="R76" s="22">
        <f>'연구개발비(4세부)'!R76</f>
        <v>0</v>
      </c>
      <c r="S76" s="22">
        <f>'연구개발비(4세부)'!S76</f>
        <v>0</v>
      </c>
      <c r="T76" s="109"/>
      <c r="U76" s="113"/>
      <c r="V76" s="116"/>
    </row>
  </sheetData>
  <mergeCells count="108">
    <mergeCell ref="D71:D73"/>
    <mergeCell ref="T71:T73"/>
    <mergeCell ref="U71:U73"/>
    <mergeCell ref="V71:V73"/>
    <mergeCell ref="D74:D76"/>
    <mergeCell ref="T74:T76"/>
    <mergeCell ref="U74:U76"/>
    <mergeCell ref="V74:V76"/>
    <mergeCell ref="K4:K5"/>
    <mergeCell ref="L4:L5"/>
    <mergeCell ref="M4:M5"/>
    <mergeCell ref="E4:E5"/>
    <mergeCell ref="F4:F5"/>
    <mergeCell ref="G4:G5"/>
    <mergeCell ref="H4:H5"/>
    <mergeCell ref="I4:I5"/>
    <mergeCell ref="J4:J5"/>
    <mergeCell ref="D34:D40"/>
    <mergeCell ref="E34:E36"/>
    <mergeCell ref="E37:E38"/>
    <mergeCell ref="E39:E40"/>
    <mergeCell ref="D68:D70"/>
    <mergeCell ref="D41:D47"/>
    <mergeCell ref="E41:E43"/>
    <mergeCell ref="H2:J2"/>
    <mergeCell ref="K2:P2"/>
    <mergeCell ref="Q2:S3"/>
    <mergeCell ref="H3:J3"/>
    <mergeCell ref="K3:M3"/>
    <mergeCell ref="N3:P3"/>
    <mergeCell ref="S4:S5"/>
    <mergeCell ref="N4:N5"/>
    <mergeCell ref="O4:O5"/>
    <mergeCell ref="P4:P5"/>
    <mergeCell ref="Q4:Q5"/>
    <mergeCell ref="R4:R5"/>
    <mergeCell ref="E2:F3"/>
    <mergeCell ref="D20:D26"/>
    <mergeCell ref="D27:D33"/>
    <mergeCell ref="E27:E29"/>
    <mergeCell ref="E30:E31"/>
    <mergeCell ref="E32:E33"/>
    <mergeCell ref="E25:E26"/>
    <mergeCell ref="D18:D19"/>
    <mergeCell ref="E7:E9"/>
    <mergeCell ref="E10:E11"/>
    <mergeCell ref="E6:F6"/>
    <mergeCell ref="E20:E22"/>
    <mergeCell ref="E23:E24"/>
    <mergeCell ref="F18:F19"/>
    <mergeCell ref="D16:F17"/>
    <mergeCell ref="E53:E54"/>
    <mergeCell ref="T68:T70"/>
    <mergeCell ref="U68:U70"/>
    <mergeCell ref="V68:V70"/>
    <mergeCell ref="Q60:Q61"/>
    <mergeCell ref="D62:D64"/>
    <mergeCell ref="T62:T64"/>
    <mergeCell ref="U62:U64"/>
    <mergeCell ref="V62:V64"/>
    <mergeCell ref="D65:D67"/>
    <mergeCell ref="T65:T67"/>
    <mergeCell ref="U65:U67"/>
    <mergeCell ref="V65:V67"/>
    <mergeCell ref="S59:S61"/>
    <mergeCell ref="F60:F61"/>
    <mergeCell ref="G60:H60"/>
    <mergeCell ref="I60:J60"/>
    <mergeCell ref="P60:P61"/>
    <mergeCell ref="B56:V56"/>
    <mergeCell ref="E18:E19"/>
    <mergeCell ref="G18:G19"/>
    <mergeCell ref="H18:H19"/>
    <mergeCell ref="I18:I19"/>
    <mergeCell ref="H16:J16"/>
    <mergeCell ref="K16:P16"/>
    <mergeCell ref="U57:V57"/>
    <mergeCell ref="D58:E61"/>
    <mergeCell ref="F58:S58"/>
    <mergeCell ref="T58:T61"/>
    <mergeCell ref="U58:U61"/>
    <mergeCell ref="V58:V61"/>
    <mergeCell ref="F59:Q59"/>
    <mergeCell ref="R59:R61"/>
    <mergeCell ref="K60:K61"/>
    <mergeCell ref="L60:L61"/>
    <mergeCell ref="M60:M61"/>
    <mergeCell ref="N60:N61"/>
    <mergeCell ref="O60:O61"/>
    <mergeCell ref="E44:E45"/>
    <mergeCell ref="E46:E47"/>
    <mergeCell ref="D48:D54"/>
    <mergeCell ref="E48:E50"/>
    <mergeCell ref="E51:E52"/>
    <mergeCell ref="Q16:S17"/>
    <mergeCell ref="H17:J17"/>
    <mergeCell ref="K17:M17"/>
    <mergeCell ref="N17:P17"/>
    <mergeCell ref="Q18:Q19"/>
    <mergeCell ref="R18:R19"/>
    <mergeCell ref="S18:S19"/>
    <mergeCell ref="M18:M19"/>
    <mergeCell ref="N18:N19"/>
    <mergeCell ref="O18:O19"/>
    <mergeCell ref="P18:P19"/>
    <mergeCell ref="K18:K19"/>
    <mergeCell ref="L18:L19"/>
    <mergeCell ref="J18:J19"/>
  </mergeCells>
  <phoneticPr fontId="12" type="noConversion"/>
  <conditionalFormatting sqref="Q20:R23">
    <cfRule type="cellIs" dxfId="449" priority="179" operator="notEqual">
      <formula>#REF!</formula>
    </cfRule>
  </conditionalFormatting>
  <conditionalFormatting sqref="Q24:R24">
    <cfRule type="cellIs" dxfId="448" priority="183" stopIfTrue="1" operator="notEqual">
      <formula>#REF!</formula>
    </cfRule>
  </conditionalFormatting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2:Y277"/>
  <sheetViews>
    <sheetView zoomScale="150" zoomScaleNormal="150" zoomScaleSheetLayoutView="146" workbookViewId="0"/>
  </sheetViews>
  <sheetFormatPr baseColWidth="10" defaultColWidth="7.7109375" defaultRowHeight="17"/>
  <cols>
    <col min="1" max="3" width="2.28515625" style="18" customWidth="1"/>
    <col min="4" max="4" width="12.28515625" style="18" bestFit="1" customWidth="1"/>
    <col min="5" max="5" width="3.85546875" style="18" bestFit="1" customWidth="1"/>
    <col min="6" max="6" width="17.28515625" style="18" bestFit="1" customWidth="1"/>
    <col min="7" max="7" width="8.7109375" style="18" bestFit="1" customWidth="1"/>
    <col min="8" max="8" width="7.5703125" style="18" bestFit="1" customWidth="1"/>
    <col min="9" max="9" width="8" style="18" bestFit="1" customWidth="1"/>
    <col min="10" max="10" width="7.85546875" style="18" bestFit="1" customWidth="1"/>
    <col min="11" max="11" width="8.28515625" style="18" bestFit="1" customWidth="1"/>
    <col min="12" max="12" width="6.5703125" style="18" bestFit="1" customWidth="1"/>
    <col min="13" max="13" width="8.85546875" style="18" bestFit="1" customWidth="1"/>
    <col min="14" max="14" width="6.5703125" style="18" bestFit="1" customWidth="1"/>
    <col min="15" max="15" width="7.5703125" style="18" bestFit="1" customWidth="1"/>
    <col min="16" max="16" width="7.7109375" style="18" bestFit="1" customWidth="1"/>
    <col min="17" max="17" width="8.5703125" style="18" bestFit="1" customWidth="1"/>
    <col min="18" max="18" width="8" style="18" bestFit="1" customWidth="1"/>
    <col min="19" max="19" width="8.5703125" style="18" bestFit="1" customWidth="1"/>
    <col min="20" max="20" width="2.28515625" style="18" customWidth="1"/>
    <col min="21" max="21" width="10.5703125" style="18" bestFit="1" customWidth="1"/>
    <col min="22" max="22" width="12.28515625" style="18" bestFit="1" customWidth="1"/>
    <col min="23" max="23" width="2.28515625" style="18" customWidth="1"/>
    <col min="24" max="24" width="13.28515625" style="18" bestFit="1" customWidth="1"/>
    <col min="25" max="26" width="7.7109375" style="18"/>
    <col min="27" max="27" width="7.85546875" style="18" bestFit="1" customWidth="1"/>
    <col min="28" max="16384" width="7.7109375" style="18"/>
  </cols>
  <sheetData>
    <row r="2" spans="2:19">
      <c r="B2" s="18" t="s">
        <v>18</v>
      </c>
    </row>
    <row r="3" spans="2:19">
      <c r="D3" s="107" t="s">
        <v>148</v>
      </c>
      <c r="E3" s="107"/>
      <c r="F3" s="107"/>
      <c r="G3" s="20" t="s">
        <v>39</v>
      </c>
      <c r="H3" s="107" t="s">
        <v>147</v>
      </c>
      <c r="I3" s="107"/>
      <c r="J3" s="107"/>
      <c r="K3" s="107" t="s">
        <v>123</v>
      </c>
      <c r="L3" s="107"/>
      <c r="M3" s="107"/>
      <c r="N3" s="107"/>
      <c r="O3" s="107"/>
      <c r="P3" s="107"/>
      <c r="Q3" s="107" t="s">
        <v>133</v>
      </c>
      <c r="R3" s="107"/>
      <c r="S3" s="107"/>
    </row>
    <row r="4" spans="2:19">
      <c r="D4" s="107"/>
      <c r="E4" s="107"/>
      <c r="F4" s="107"/>
      <c r="G4" s="20" t="s">
        <v>129</v>
      </c>
      <c r="H4" s="107" t="s">
        <v>129</v>
      </c>
      <c r="I4" s="107"/>
      <c r="J4" s="107"/>
      <c r="K4" s="107" t="s">
        <v>59</v>
      </c>
      <c r="L4" s="107"/>
      <c r="M4" s="107"/>
      <c r="N4" s="107" t="s">
        <v>106</v>
      </c>
      <c r="O4" s="107"/>
      <c r="P4" s="107"/>
      <c r="Q4" s="107"/>
      <c r="R4" s="107"/>
      <c r="S4" s="107"/>
    </row>
    <row r="5" spans="2:19">
      <c r="D5" s="107" t="s">
        <v>136</v>
      </c>
      <c r="E5" s="107" t="s">
        <v>68</v>
      </c>
      <c r="F5" s="20" t="s">
        <v>113</v>
      </c>
      <c r="G5" s="107" t="s">
        <v>78</v>
      </c>
      <c r="H5" s="107" t="s">
        <v>78</v>
      </c>
      <c r="I5" s="107" t="s">
        <v>24</v>
      </c>
      <c r="J5" s="107" t="s">
        <v>25</v>
      </c>
      <c r="K5" s="107" t="s">
        <v>78</v>
      </c>
      <c r="L5" s="107" t="s">
        <v>24</v>
      </c>
      <c r="M5" s="107" t="s">
        <v>25</v>
      </c>
      <c r="N5" s="107" t="s">
        <v>78</v>
      </c>
      <c r="O5" s="107" t="s">
        <v>24</v>
      </c>
      <c r="P5" s="107" t="s">
        <v>25</v>
      </c>
      <c r="Q5" s="107" t="s">
        <v>78</v>
      </c>
      <c r="R5" s="107" t="s">
        <v>24</v>
      </c>
      <c r="S5" s="107" t="s">
        <v>69</v>
      </c>
    </row>
    <row r="6" spans="2:19">
      <c r="D6" s="107"/>
      <c r="E6" s="107"/>
      <c r="F6" s="20" t="s">
        <v>110</v>
      </c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</row>
    <row r="7" spans="2:19">
      <c r="D7" s="110">
        <v>1</v>
      </c>
      <c r="E7" s="107">
        <v>1</v>
      </c>
      <c r="F7" s="23"/>
      <c r="G7" s="24"/>
      <c r="H7" s="24"/>
      <c r="I7" s="24"/>
      <c r="J7" s="22">
        <f t="shared" ref="J7:J42" si="0">SUM(H7:I7)</f>
        <v>0</v>
      </c>
      <c r="K7" s="22">
        <v>0</v>
      </c>
      <c r="L7" s="22">
        <v>0</v>
      </c>
      <c r="M7" s="22">
        <f>SUM(K7:L7)</f>
        <v>0</v>
      </c>
      <c r="N7" s="22">
        <v>0</v>
      </c>
      <c r="O7" s="22">
        <v>0</v>
      </c>
      <c r="P7" s="22">
        <f t="shared" ref="P7:P42" si="1">SUM(N7:O7)</f>
        <v>0</v>
      </c>
      <c r="Q7" s="22">
        <f>G7+H7+K7+N7</f>
        <v>0</v>
      </c>
      <c r="R7" s="22">
        <f>I7+L7+O7</f>
        <v>0</v>
      </c>
      <c r="S7" s="22">
        <f>SUM(Q7:R7)</f>
        <v>0</v>
      </c>
    </row>
    <row r="8" spans="2:19">
      <c r="D8" s="112"/>
      <c r="E8" s="107"/>
      <c r="F8" s="23"/>
      <c r="G8" s="24"/>
      <c r="H8" s="62"/>
      <c r="I8" s="62"/>
      <c r="J8" s="59">
        <f t="shared" si="0"/>
        <v>0</v>
      </c>
      <c r="K8" s="22">
        <v>0</v>
      </c>
      <c r="L8" s="22">
        <v>0</v>
      </c>
      <c r="M8" s="22">
        <f t="shared" ref="M8:M42" si="2">SUM(K8:L8)</f>
        <v>0</v>
      </c>
      <c r="N8" s="22">
        <v>0</v>
      </c>
      <c r="O8" s="22">
        <v>0</v>
      </c>
      <c r="P8" s="22">
        <f t="shared" si="1"/>
        <v>0</v>
      </c>
      <c r="Q8" s="22">
        <f>G8+H8+K8+N8</f>
        <v>0</v>
      </c>
      <c r="R8" s="22">
        <f t="shared" ref="R8:R42" si="3">I8+L8+O8</f>
        <v>0</v>
      </c>
      <c r="S8" s="22">
        <f t="shared" ref="S8:S42" si="4">SUM(Q8:R8)</f>
        <v>0</v>
      </c>
    </row>
    <row r="9" spans="2:19">
      <c r="D9" s="112"/>
      <c r="E9" s="107"/>
      <c r="F9" s="23"/>
      <c r="G9" s="63"/>
      <c r="H9" s="71"/>
      <c r="I9" s="71"/>
      <c r="J9" s="44">
        <f t="shared" si="0"/>
        <v>0</v>
      </c>
      <c r="K9" s="42">
        <v>0</v>
      </c>
      <c r="L9" s="22">
        <v>0</v>
      </c>
      <c r="M9" s="22">
        <f t="shared" si="2"/>
        <v>0</v>
      </c>
      <c r="N9" s="22">
        <v>0</v>
      </c>
      <c r="O9" s="22">
        <v>0</v>
      </c>
      <c r="P9" s="22">
        <f t="shared" si="1"/>
        <v>0</v>
      </c>
      <c r="Q9" s="22">
        <f t="shared" ref="Q9:Q42" si="5">G9+H9+K9+N9</f>
        <v>0</v>
      </c>
      <c r="R9" s="22">
        <f t="shared" si="3"/>
        <v>0</v>
      </c>
      <c r="S9" s="22">
        <f t="shared" si="4"/>
        <v>0</v>
      </c>
    </row>
    <row r="10" spans="2:19">
      <c r="D10" s="112"/>
      <c r="E10" s="107"/>
      <c r="F10" s="23"/>
      <c r="G10" s="24"/>
      <c r="H10" s="54"/>
      <c r="I10" s="54"/>
      <c r="J10" s="53">
        <f t="shared" si="0"/>
        <v>0</v>
      </c>
      <c r="K10" s="22">
        <v>0</v>
      </c>
      <c r="L10" s="22">
        <v>0</v>
      </c>
      <c r="M10" s="22">
        <f t="shared" si="2"/>
        <v>0</v>
      </c>
      <c r="N10" s="22">
        <v>0</v>
      </c>
      <c r="O10" s="22">
        <v>0</v>
      </c>
      <c r="P10" s="22">
        <f t="shared" si="1"/>
        <v>0</v>
      </c>
      <c r="Q10" s="22">
        <f t="shared" si="5"/>
        <v>0</v>
      </c>
      <c r="R10" s="22">
        <f t="shared" si="3"/>
        <v>0</v>
      </c>
      <c r="S10" s="22">
        <f t="shared" si="4"/>
        <v>0</v>
      </c>
    </row>
    <row r="11" spans="2:19">
      <c r="D11" s="112"/>
      <c r="E11" s="107"/>
      <c r="F11" s="23"/>
      <c r="G11" s="24"/>
      <c r="H11" s="24"/>
      <c r="I11" s="24"/>
      <c r="J11" s="22">
        <f t="shared" si="0"/>
        <v>0</v>
      </c>
      <c r="K11" s="22">
        <v>0</v>
      </c>
      <c r="L11" s="22">
        <v>0</v>
      </c>
      <c r="M11" s="22">
        <f t="shared" si="2"/>
        <v>0</v>
      </c>
      <c r="N11" s="22">
        <v>0</v>
      </c>
      <c r="O11" s="22">
        <v>0</v>
      </c>
      <c r="P11" s="22">
        <f t="shared" si="1"/>
        <v>0</v>
      </c>
      <c r="Q11" s="22">
        <f t="shared" si="5"/>
        <v>0</v>
      </c>
      <c r="R11" s="22">
        <f t="shared" si="3"/>
        <v>0</v>
      </c>
      <c r="S11" s="22">
        <f t="shared" si="4"/>
        <v>0</v>
      </c>
    </row>
    <row r="12" spans="2:19">
      <c r="D12" s="112"/>
      <c r="E12" s="107"/>
      <c r="F12" s="23"/>
      <c r="G12" s="24"/>
      <c r="H12" s="24"/>
      <c r="I12" s="24"/>
      <c r="J12" s="22">
        <f t="shared" si="0"/>
        <v>0</v>
      </c>
      <c r="K12" s="22">
        <v>0</v>
      </c>
      <c r="L12" s="22">
        <v>0</v>
      </c>
      <c r="M12" s="22">
        <f t="shared" si="2"/>
        <v>0</v>
      </c>
      <c r="N12" s="22">
        <v>0</v>
      </c>
      <c r="O12" s="22">
        <v>0</v>
      </c>
      <c r="P12" s="22">
        <f t="shared" si="1"/>
        <v>0</v>
      </c>
      <c r="Q12" s="22">
        <f t="shared" si="5"/>
        <v>0</v>
      </c>
      <c r="R12" s="22">
        <f t="shared" si="3"/>
        <v>0</v>
      </c>
      <c r="S12" s="22">
        <f t="shared" si="4"/>
        <v>0</v>
      </c>
    </row>
    <row r="13" spans="2:19">
      <c r="D13" s="112"/>
      <c r="E13" s="107"/>
      <c r="F13" s="23"/>
      <c r="G13" s="24"/>
      <c r="H13" s="24"/>
      <c r="I13" s="24"/>
      <c r="J13" s="22">
        <f t="shared" si="0"/>
        <v>0</v>
      </c>
      <c r="K13" s="22">
        <v>0</v>
      </c>
      <c r="L13" s="22">
        <v>0</v>
      </c>
      <c r="M13" s="22">
        <f t="shared" si="2"/>
        <v>0</v>
      </c>
      <c r="N13" s="22">
        <v>0</v>
      </c>
      <c r="O13" s="22">
        <v>0</v>
      </c>
      <c r="P13" s="22">
        <f t="shared" si="1"/>
        <v>0</v>
      </c>
      <c r="Q13" s="22">
        <f t="shared" si="5"/>
        <v>0</v>
      </c>
      <c r="R13" s="22">
        <f t="shared" si="3"/>
        <v>0</v>
      </c>
      <c r="S13" s="22">
        <f t="shared" si="4"/>
        <v>0</v>
      </c>
    </row>
    <row r="14" spans="2:19">
      <c r="D14" s="112"/>
      <c r="E14" s="107">
        <v>2</v>
      </c>
      <c r="F14" s="23"/>
      <c r="G14" s="24"/>
      <c r="H14" s="24"/>
      <c r="I14" s="24"/>
      <c r="J14" s="22">
        <f t="shared" si="0"/>
        <v>0</v>
      </c>
      <c r="K14" s="22">
        <v>0</v>
      </c>
      <c r="L14" s="22">
        <v>0</v>
      </c>
      <c r="M14" s="22">
        <f t="shared" si="2"/>
        <v>0</v>
      </c>
      <c r="N14" s="22">
        <v>0</v>
      </c>
      <c r="O14" s="22">
        <v>0</v>
      </c>
      <c r="P14" s="22">
        <f t="shared" si="1"/>
        <v>0</v>
      </c>
      <c r="Q14" s="22">
        <f>G14+H14+K14+N14</f>
        <v>0</v>
      </c>
      <c r="R14" s="22">
        <f>I14+L14+O14</f>
        <v>0</v>
      </c>
      <c r="S14" s="22">
        <f t="shared" si="4"/>
        <v>0</v>
      </c>
    </row>
    <row r="15" spans="2:19">
      <c r="D15" s="112"/>
      <c r="E15" s="107"/>
      <c r="F15" s="23"/>
      <c r="G15" s="24"/>
      <c r="H15" s="62"/>
      <c r="I15" s="62"/>
      <c r="J15" s="22">
        <f t="shared" si="0"/>
        <v>0</v>
      </c>
      <c r="K15" s="22">
        <v>0</v>
      </c>
      <c r="L15" s="22">
        <v>0</v>
      </c>
      <c r="M15" s="22">
        <f t="shared" si="2"/>
        <v>0</v>
      </c>
      <c r="N15" s="22">
        <v>0</v>
      </c>
      <c r="O15" s="22">
        <v>0</v>
      </c>
      <c r="P15" s="22">
        <f t="shared" si="1"/>
        <v>0</v>
      </c>
      <c r="Q15" s="22">
        <f>G15+H15+K15+N15</f>
        <v>0</v>
      </c>
      <c r="R15" s="22">
        <f t="shared" si="3"/>
        <v>0</v>
      </c>
      <c r="S15" s="22">
        <f t="shared" si="4"/>
        <v>0</v>
      </c>
    </row>
    <row r="16" spans="2:19">
      <c r="D16" s="112"/>
      <c r="E16" s="107"/>
      <c r="F16" s="23"/>
      <c r="G16" s="64"/>
      <c r="H16" s="71"/>
      <c r="I16" s="71"/>
      <c r="J16" s="42">
        <f t="shared" si="0"/>
        <v>0</v>
      </c>
      <c r="K16" s="22">
        <v>0</v>
      </c>
      <c r="L16" s="22">
        <v>0</v>
      </c>
      <c r="M16" s="22">
        <f t="shared" si="2"/>
        <v>0</v>
      </c>
      <c r="N16" s="22">
        <v>0</v>
      </c>
      <c r="O16" s="22">
        <v>0</v>
      </c>
      <c r="P16" s="22">
        <f t="shared" si="1"/>
        <v>0</v>
      </c>
      <c r="Q16" s="22">
        <f t="shared" si="5"/>
        <v>0</v>
      </c>
      <c r="R16" s="22">
        <f t="shared" si="3"/>
        <v>0</v>
      </c>
      <c r="S16" s="22">
        <f t="shared" si="4"/>
        <v>0</v>
      </c>
    </row>
    <row r="17" spans="4:19">
      <c r="D17" s="112"/>
      <c r="E17" s="107"/>
      <c r="F17" s="41"/>
      <c r="G17" s="43"/>
      <c r="H17" s="57"/>
      <c r="I17" s="54"/>
      <c r="J17" s="22">
        <f t="shared" si="0"/>
        <v>0</v>
      </c>
      <c r="K17" s="22">
        <v>0</v>
      </c>
      <c r="L17" s="22">
        <v>0</v>
      </c>
      <c r="M17" s="22">
        <f t="shared" si="2"/>
        <v>0</v>
      </c>
      <c r="N17" s="22">
        <v>0</v>
      </c>
      <c r="O17" s="22">
        <v>0</v>
      </c>
      <c r="P17" s="22">
        <f t="shared" si="1"/>
        <v>0</v>
      </c>
      <c r="Q17" s="22">
        <f t="shared" si="5"/>
        <v>0</v>
      </c>
      <c r="R17" s="22">
        <f t="shared" si="3"/>
        <v>0</v>
      </c>
      <c r="S17" s="22">
        <f t="shared" si="4"/>
        <v>0</v>
      </c>
    </row>
    <row r="18" spans="4:19">
      <c r="D18" s="112"/>
      <c r="E18" s="107"/>
      <c r="F18" s="41"/>
      <c r="G18" s="43"/>
      <c r="H18" s="56"/>
      <c r="I18" s="24"/>
      <c r="J18" s="22">
        <f t="shared" si="0"/>
        <v>0</v>
      </c>
      <c r="K18" s="22">
        <v>0</v>
      </c>
      <c r="L18" s="22">
        <v>0</v>
      </c>
      <c r="M18" s="22">
        <f t="shared" si="2"/>
        <v>0</v>
      </c>
      <c r="N18" s="22">
        <v>0</v>
      </c>
      <c r="O18" s="22">
        <v>0</v>
      </c>
      <c r="P18" s="22">
        <f t="shared" si="1"/>
        <v>0</v>
      </c>
      <c r="Q18" s="22">
        <f t="shared" si="5"/>
        <v>0</v>
      </c>
      <c r="R18" s="22">
        <f t="shared" si="3"/>
        <v>0</v>
      </c>
      <c r="S18" s="22">
        <f t="shared" si="4"/>
        <v>0</v>
      </c>
    </row>
    <row r="19" spans="4:19">
      <c r="D19" s="112"/>
      <c r="E19" s="107"/>
      <c r="F19" s="41"/>
      <c r="G19" s="43"/>
      <c r="H19" s="56"/>
      <c r="I19" s="24"/>
      <c r="J19" s="22">
        <f t="shared" si="0"/>
        <v>0</v>
      </c>
      <c r="K19" s="22">
        <v>0</v>
      </c>
      <c r="L19" s="22">
        <v>0</v>
      </c>
      <c r="M19" s="22">
        <f t="shared" si="2"/>
        <v>0</v>
      </c>
      <c r="N19" s="22">
        <v>0</v>
      </c>
      <c r="O19" s="22">
        <v>0</v>
      </c>
      <c r="P19" s="22">
        <f t="shared" si="1"/>
        <v>0</v>
      </c>
      <c r="Q19" s="22">
        <f t="shared" si="5"/>
        <v>0</v>
      </c>
      <c r="R19" s="22">
        <f t="shared" si="3"/>
        <v>0</v>
      </c>
      <c r="S19" s="22">
        <f t="shared" si="4"/>
        <v>0</v>
      </c>
    </row>
    <row r="20" spans="4:19">
      <c r="D20" s="112"/>
      <c r="E20" s="107"/>
      <c r="F20" s="41"/>
      <c r="G20" s="43"/>
      <c r="H20" s="56"/>
      <c r="I20" s="24"/>
      <c r="J20" s="22">
        <f t="shared" si="0"/>
        <v>0</v>
      </c>
      <c r="K20" s="22">
        <v>0</v>
      </c>
      <c r="L20" s="22">
        <v>0</v>
      </c>
      <c r="M20" s="22">
        <f t="shared" si="2"/>
        <v>0</v>
      </c>
      <c r="N20" s="22">
        <v>0</v>
      </c>
      <c r="O20" s="22">
        <v>0</v>
      </c>
      <c r="P20" s="22">
        <f t="shared" si="1"/>
        <v>0</v>
      </c>
      <c r="Q20" s="22">
        <f t="shared" si="5"/>
        <v>0</v>
      </c>
      <c r="R20" s="22">
        <f t="shared" si="3"/>
        <v>0</v>
      </c>
      <c r="S20" s="22">
        <f t="shared" si="4"/>
        <v>0</v>
      </c>
    </row>
    <row r="21" spans="4:19">
      <c r="D21" s="112"/>
      <c r="E21" s="107">
        <v>3</v>
      </c>
      <c r="F21" s="41"/>
      <c r="G21" s="43"/>
      <c r="H21" s="56"/>
      <c r="I21" s="24"/>
      <c r="J21" s="22">
        <f t="shared" si="0"/>
        <v>0</v>
      </c>
      <c r="K21" s="22">
        <v>0</v>
      </c>
      <c r="L21" s="22">
        <v>0</v>
      </c>
      <c r="M21" s="22">
        <f t="shared" si="2"/>
        <v>0</v>
      </c>
      <c r="N21" s="22">
        <v>0</v>
      </c>
      <c r="O21" s="22">
        <v>0</v>
      </c>
      <c r="P21" s="22">
        <f t="shared" si="1"/>
        <v>0</v>
      </c>
      <c r="Q21" s="22">
        <f>G21+H21+K21+N21</f>
        <v>0</v>
      </c>
      <c r="R21" s="22">
        <f>I21+L21+O21</f>
        <v>0</v>
      </c>
      <c r="S21" s="22">
        <f t="shared" si="4"/>
        <v>0</v>
      </c>
    </row>
    <row r="22" spans="4:19">
      <c r="D22" s="112"/>
      <c r="E22" s="107"/>
      <c r="F22" s="41"/>
      <c r="G22" s="43"/>
      <c r="H22" s="65"/>
      <c r="I22" s="62"/>
      <c r="J22" s="22">
        <f t="shared" si="0"/>
        <v>0</v>
      </c>
      <c r="K22" s="22">
        <v>0</v>
      </c>
      <c r="L22" s="22">
        <v>0</v>
      </c>
      <c r="M22" s="22">
        <f t="shared" si="2"/>
        <v>0</v>
      </c>
      <c r="N22" s="22">
        <v>0</v>
      </c>
      <c r="O22" s="22">
        <v>0</v>
      </c>
      <c r="P22" s="22">
        <f t="shared" si="1"/>
        <v>0</v>
      </c>
      <c r="Q22" s="22">
        <f>G22+H22+K22+N22</f>
        <v>0</v>
      </c>
      <c r="R22" s="22">
        <f t="shared" si="3"/>
        <v>0</v>
      </c>
      <c r="S22" s="22">
        <f t="shared" si="4"/>
        <v>0</v>
      </c>
    </row>
    <row r="23" spans="4:19">
      <c r="D23" s="112"/>
      <c r="E23" s="107"/>
      <c r="F23" s="41"/>
      <c r="G23" s="43"/>
      <c r="H23" s="71"/>
      <c r="I23" s="71"/>
      <c r="J23" s="42">
        <f t="shared" si="0"/>
        <v>0</v>
      </c>
      <c r="K23" s="22">
        <v>0</v>
      </c>
      <c r="L23" s="22">
        <v>0</v>
      </c>
      <c r="M23" s="22">
        <f t="shared" si="2"/>
        <v>0</v>
      </c>
      <c r="N23" s="22">
        <v>0</v>
      </c>
      <c r="O23" s="22">
        <v>0</v>
      </c>
      <c r="P23" s="22">
        <f t="shared" si="1"/>
        <v>0</v>
      </c>
      <c r="Q23" s="22">
        <f t="shared" si="5"/>
        <v>0</v>
      </c>
      <c r="R23" s="22">
        <f t="shared" si="3"/>
        <v>0</v>
      </c>
      <c r="S23" s="22">
        <f t="shared" si="4"/>
        <v>0</v>
      </c>
    </row>
    <row r="24" spans="4:19">
      <c r="D24" s="112"/>
      <c r="E24" s="107"/>
      <c r="F24" s="41"/>
      <c r="G24" s="43"/>
      <c r="H24" s="66"/>
      <c r="I24" s="67"/>
      <c r="J24" s="42">
        <f t="shared" si="0"/>
        <v>0</v>
      </c>
      <c r="K24" s="22">
        <v>0</v>
      </c>
      <c r="L24" s="22">
        <v>0</v>
      </c>
      <c r="M24" s="22">
        <f t="shared" si="2"/>
        <v>0</v>
      </c>
      <c r="N24" s="22">
        <v>0</v>
      </c>
      <c r="O24" s="22">
        <v>0</v>
      </c>
      <c r="P24" s="22">
        <f t="shared" si="1"/>
        <v>0</v>
      </c>
      <c r="Q24" s="22">
        <f t="shared" si="5"/>
        <v>0</v>
      </c>
      <c r="R24" s="22">
        <f t="shared" si="3"/>
        <v>0</v>
      </c>
      <c r="S24" s="22">
        <f t="shared" si="4"/>
        <v>0</v>
      </c>
    </row>
    <row r="25" spans="4:19">
      <c r="D25" s="112"/>
      <c r="E25" s="107"/>
      <c r="F25" s="41"/>
      <c r="G25" s="43"/>
      <c r="H25" s="57"/>
      <c r="I25" s="54"/>
      <c r="J25" s="22">
        <f t="shared" si="0"/>
        <v>0</v>
      </c>
      <c r="K25" s="22">
        <v>0</v>
      </c>
      <c r="L25" s="22">
        <v>0</v>
      </c>
      <c r="M25" s="22">
        <f t="shared" si="2"/>
        <v>0</v>
      </c>
      <c r="N25" s="22">
        <v>0</v>
      </c>
      <c r="O25" s="22">
        <v>0</v>
      </c>
      <c r="P25" s="22">
        <f t="shared" si="1"/>
        <v>0</v>
      </c>
      <c r="Q25" s="22">
        <f t="shared" si="5"/>
        <v>0</v>
      </c>
      <c r="R25" s="22">
        <f t="shared" si="3"/>
        <v>0</v>
      </c>
      <c r="S25" s="22">
        <f t="shared" si="4"/>
        <v>0</v>
      </c>
    </row>
    <row r="26" spans="4:19">
      <c r="D26" s="112"/>
      <c r="E26" s="107"/>
      <c r="F26" s="41"/>
      <c r="G26" s="43"/>
      <c r="H26" s="56"/>
      <c r="I26" s="24"/>
      <c r="J26" s="22">
        <f t="shared" si="0"/>
        <v>0</v>
      </c>
      <c r="K26" s="22">
        <v>0</v>
      </c>
      <c r="L26" s="22">
        <v>0</v>
      </c>
      <c r="M26" s="22">
        <f t="shared" si="2"/>
        <v>0</v>
      </c>
      <c r="N26" s="22">
        <v>0</v>
      </c>
      <c r="O26" s="22">
        <v>0</v>
      </c>
      <c r="P26" s="22">
        <f t="shared" si="1"/>
        <v>0</v>
      </c>
      <c r="Q26" s="22">
        <f t="shared" si="5"/>
        <v>0</v>
      </c>
      <c r="R26" s="22">
        <f t="shared" si="3"/>
        <v>0</v>
      </c>
      <c r="S26" s="22">
        <f t="shared" si="4"/>
        <v>0</v>
      </c>
    </row>
    <row r="27" spans="4:19">
      <c r="D27" s="112"/>
      <c r="E27" s="107"/>
      <c r="F27" s="41"/>
      <c r="G27" s="43"/>
      <c r="H27" s="56"/>
      <c r="I27" s="24"/>
      <c r="J27" s="22">
        <f t="shared" si="0"/>
        <v>0</v>
      </c>
      <c r="K27" s="22">
        <v>0</v>
      </c>
      <c r="L27" s="22">
        <v>0</v>
      </c>
      <c r="M27" s="22">
        <f t="shared" si="2"/>
        <v>0</v>
      </c>
      <c r="N27" s="22">
        <v>0</v>
      </c>
      <c r="O27" s="22">
        <v>0</v>
      </c>
      <c r="P27" s="22">
        <f t="shared" si="1"/>
        <v>0</v>
      </c>
      <c r="Q27" s="22">
        <f t="shared" si="5"/>
        <v>0</v>
      </c>
      <c r="R27" s="22">
        <f t="shared" si="3"/>
        <v>0</v>
      </c>
      <c r="S27" s="22">
        <f t="shared" si="4"/>
        <v>0</v>
      </c>
    </row>
    <row r="28" spans="4:19">
      <c r="D28" s="111"/>
      <c r="E28" s="107" t="s">
        <v>25</v>
      </c>
      <c r="F28" s="124"/>
      <c r="G28" s="44">
        <f t="shared" ref="G28:S28" si="6">SUM(G7:G27)</f>
        <v>0</v>
      </c>
      <c r="H28" s="42">
        <f t="shared" si="6"/>
        <v>0</v>
      </c>
      <c r="I28" s="22">
        <f t="shared" si="6"/>
        <v>0</v>
      </c>
      <c r="J28" s="22">
        <f t="shared" si="6"/>
        <v>0</v>
      </c>
      <c r="K28" s="22">
        <f t="shared" si="6"/>
        <v>0</v>
      </c>
      <c r="L28" s="22">
        <f t="shared" si="6"/>
        <v>0</v>
      </c>
      <c r="M28" s="22">
        <f t="shared" si="6"/>
        <v>0</v>
      </c>
      <c r="N28" s="22">
        <f t="shared" si="6"/>
        <v>0</v>
      </c>
      <c r="O28" s="22">
        <f t="shared" si="6"/>
        <v>0</v>
      </c>
      <c r="P28" s="22">
        <f t="shared" si="6"/>
        <v>0</v>
      </c>
      <c r="Q28" s="22">
        <f t="shared" si="6"/>
        <v>0</v>
      </c>
      <c r="R28" s="22">
        <f t="shared" si="6"/>
        <v>0</v>
      </c>
      <c r="S28" s="22">
        <f t="shared" si="6"/>
        <v>0</v>
      </c>
    </row>
    <row r="29" spans="4:19">
      <c r="D29" s="110">
        <v>2</v>
      </c>
      <c r="E29" s="107">
        <v>4</v>
      </c>
      <c r="F29" s="23"/>
      <c r="G29" s="54"/>
      <c r="H29" s="24"/>
      <c r="I29" s="24"/>
      <c r="J29" s="22">
        <f t="shared" si="0"/>
        <v>0</v>
      </c>
      <c r="K29" s="22">
        <v>0</v>
      </c>
      <c r="L29" s="22">
        <v>0</v>
      </c>
      <c r="M29" s="22">
        <f t="shared" si="2"/>
        <v>0</v>
      </c>
      <c r="N29" s="22">
        <v>0</v>
      </c>
      <c r="O29" s="22">
        <v>0</v>
      </c>
      <c r="P29" s="22">
        <f t="shared" si="1"/>
        <v>0</v>
      </c>
      <c r="Q29" s="22">
        <f>G29+H29+K29+N29</f>
        <v>0</v>
      </c>
      <c r="R29" s="22">
        <f>I29+L29+O29</f>
        <v>0</v>
      </c>
      <c r="S29" s="22">
        <f t="shared" si="4"/>
        <v>0</v>
      </c>
    </row>
    <row r="30" spans="4:19">
      <c r="D30" s="112"/>
      <c r="E30" s="107"/>
      <c r="F30" s="23"/>
      <c r="G30" s="24"/>
      <c r="H30" s="62"/>
      <c r="I30" s="62"/>
      <c r="J30" s="22">
        <f t="shared" si="0"/>
        <v>0</v>
      </c>
      <c r="K30" s="22">
        <v>0</v>
      </c>
      <c r="L30" s="22">
        <v>0</v>
      </c>
      <c r="M30" s="22">
        <f t="shared" si="2"/>
        <v>0</v>
      </c>
      <c r="N30" s="22">
        <v>0</v>
      </c>
      <c r="O30" s="22">
        <v>0</v>
      </c>
      <c r="P30" s="22">
        <f t="shared" si="1"/>
        <v>0</v>
      </c>
      <c r="Q30" s="22">
        <f>G30+H30+K30+N30</f>
        <v>0</v>
      </c>
      <c r="R30" s="22">
        <f t="shared" si="3"/>
        <v>0</v>
      </c>
      <c r="S30" s="22">
        <f t="shared" si="4"/>
        <v>0</v>
      </c>
    </row>
    <row r="31" spans="4:19">
      <c r="D31" s="112"/>
      <c r="E31" s="107"/>
      <c r="F31" s="23"/>
      <c r="G31" s="68"/>
      <c r="H31" s="71"/>
      <c r="I31" s="71"/>
      <c r="J31" s="42">
        <f t="shared" si="0"/>
        <v>0</v>
      </c>
      <c r="K31" s="22">
        <v>0</v>
      </c>
      <c r="L31" s="22">
        <v>0</v>
      </c>
      <c r="M31" s="22">
        <f t="shared" si="2"/>
        <v>0</v>
      </c>
      <c r="N31" s="22">
        <v>0</v>
      </c>
      <c r="O31" s="22">
        <v>0</v>
      </c>
      <c r="P31" s="22">
        <f t="shared" si="1"/>
        <v>0</v>
      </c>
      <c r="Q31" s="22">
        <f t="shared" si="5"/>
        <v>0</v>
      </c>
      <c r="R31" s="22">
        <f t="shared" si="3"/>
        <v>0</v>
      </c>
      <c r="S31" s="22">
        <f t="shared" si="4"/>
        <v>0</v>
      </c>
    </row>
    <row r="32" spans="4:19">
      <c r="D32" s="112"/>
      <c r="E32" s="107"/>
      <c r="F32" s="41"/>
      <c r="G32" s="43"/>
      <c r="H32" s="66"/>
      <c r="I32" s="67"/>
      <c r="J32" s="42">
        <f t="shared" si="0"/>
        <v>0</v>
      </c>
      <c r="K32" s="22">
        <v>0</v>
      </c>
      <c r="L32" s="22">
        <v>0</v>
      </c>
      <c r="M32" s="22">
        <f t="shared" si="2"/>
        <v>0</v>
      </c>
      <c r="N32" s="22">
        <v>0</v>
      </c>
      <c r="O32" s="22">
        <v>0</v>
      </c>
      <c r="P32" s="22">
        <f t="shared" si="1"/>
        <v>0</v>
      </c>
      <c r="Q32" s="22">
        <f t="shared" si="5"/>
        <v>0</v>
      </c>
      <c r="R32" s="22">
        <f t="shared" si="3"/>
        <v>0</v>
      </c>
      <c r="S32" s="22">
        <f t="shared" si="4"/>
        <v>0</v>
      </c>
    </row>
    <row r="33" spans="2:22">
      <c r="D33" s="112"/>
      <c r="E33" s="107"/>
      <c r="F33" s="23"/>
      <c r="G33" s="54"/>
      <c r="H33" s="54"/>
      <c r="I33" s="54"/>
      <c r="J33" s="22">
        <f t="shared" si="0"/>
        <v>0</v>
      </c>
      <c r="K33" s="22">
        <v>0</v>
      </c>
      <c r="L33" s="22">
        <v>0</v>
      </c>
      <c r="M33" s="22">
        <f t="shared" si="2"/>
        <v>0</v>
      </c>
      <c r="N33" s="22">
        <v>0</v>
      </c>
      <c r="O33" s="22">
        <v>0</v>
      </c>
      <c r="P33" s="22">
        <f t="shared" si="1"/>
        <v>0</v>
      </c>
      <c r="Q33" s="22">
        <f t="shared" si="5"/>
        <v>0</v>
      </c>
      <c r="R33" s="22">
        <f t="shared" si="3"/>
        <v>0</v>
      </c>
      <c r="S33" s="22">
        <f t="shared" si="4"/>
        <v>0</v>
      </c>
    </row>
    <row r="34" spans="2:22">
      <c r="D34" s="112"/>
      <c r="E34" s="107"/>
      <c r="F34" s="23"/>
      <c r="G34" s="24"/>
      <c r="H34" s="56"/>
      <c r="I34" s="24"/>
      <c r="J34" s="22">
        <f t="shared" si="0"/>
        <v>0</v>
      </c>
      <c r="K34" s="22">
        <v>0</v>
      </c>
      <c r="L34" s="22">
        <v>0</v>
      </c>
      <c r="M34" s="22">
        <f t="shared" si="2"/>
        <v>0</v>
      </c>
      <c r="N34" s="22">
        <v>0</v>
      </c>
      <c r="O34" s="22">
        <v>0</v>
      </c>
      <c r="P34" s="22">
        <f t="shared" si="1"/>
        <v>0</v>
      </c>
      <c r="Q34" s="22">
        <f t="shared" si="5"/>
        <v>0</v>
      </c>
      <c r="R34" s="22">
        <f t="shared" si="3"/>
        <v>0</v>
      </c>
      <c r="S34" s="22">
        <f t="shared" si="4"/>
        <v>0</v>
      </c>
    </row>
    <row r="35" spans="2:22">
      <c r="D35" s="112"/>
      <c r="E35" s="107"/>
      <c r="F35" s="23"/>
      <c r="G35" s="24"/>
      <c r="H35" s="24"/>
      <c r="I35" s="24"/>
      <c r="J35" s="22">
        <f t="shared" si="0"/>
        <v>0</v>
      </c>
      <c r="K35" s="22">
        <v>0</v>
      </c>
      <c r="L35" s="22">
        <v>0</v>
      </c>
      <c r="M35" s="22">
        <f t="shared" si="2"/>
        <v>0</v>
      </c>
      <c r="N35" s="22">
        <v>0</v>
      </c>
      <c r="O35" s="22">
        <v>0</v>
      </c>
      <c r="P35" s="22">
        <f t="shared" si="1"/>
        <v>0</v>
      </c>
      <c r="Q35" s="22">
        <f t="shared" si="5"/>
        <v>0</v>
      </c>
      <c r="R35" s="22">
        <f t="shared" si="3"/>
        <v>0</v>
      </c>
      <c r="S35" s="22">
        <f t="shared" si="4"/>
        <v>0</v>
      </c>
    </row>
    <row r="36" spans="2:22">
      <c r="D36" s="112"/>
      <c r="E36" s="107">
        <v>5</v>
      </c>
      <c r="F36" s="23"/>
      <c r="G36" s="24"/>
      <c r="H36" s="24"/>
      <c r="I36" s="24"/>
      <c r="J36" s="22">
        <f t="shared" si="0"/>
        <v>0</v>
      </c>
      <c r="K36" s="22">
        <v>0</v>
      </c>
      <c r="L36" s="22">
        <v>0</v>
      </c>
      <c r="M36" s="22">
        <f t="shared" si="2"/>
        <v>0</v>
      </c>
      <c r="N36" s="22">
        <v>0</v>
      </c>
      <c r="O36" s="22">
        <v>0</v>
      </c>
      <c r="P36" s="22">
        <f t="shared" si="1"/>
        <v>0</v>
      </c>
      <c r="Q36" s="22">
        <f>G36+H36+K36+N36</f>
        <v>0</v>
      </c>
      <c r="R36" s="22">
        <f>I36+L36+O36</f>
        <v>0</v>
      </c>
      <c r="S36" s="22">
        <f t="shared" si="4"/>
        <v>0</v>
      </c>
    </row>
    <row r="37" spans="2:22">
      <c r="D37" s="112"/>
      <c r="E37" s="107"/>
      <c r="F37" s="23"/>
      <c r="G37" s="24"/>
      <c r="H37" s="62"/>
      <c r="I37" s="62"/>
      <c r="J37" s="22">
        <f t="shared" si="0"/>
        <v>0</v>
      </c>
      <c r="K37" s="22">
        <v>0</v>
      </c>
      <c r="L37" s="22">
        <v>0</v>
      </c>
      <c r="M37" s="22">
        <f t="shared" si="2"/>
        <v>0</v>
      </c>
      <c r="N37" s="22">
        <v>0</v>
      </c>
      <c r="O37" s="22">
        <v>0</v>
      </c>
      <c r="P37" s="22">
        <f t="shared" si="1"/>
        <v>0</v>
      </c>
      <c r="Q37" s="22">
        <f>G37+H37+K37+N37</f>
        <v>0</v>
      </c>
      <c r="R37" s="22">
        <f t="shared" si="3"/>
        <v>0</v>
      </c>
      <c r="S37" s="22">
        <f t="shared" si="4"/>
        <v>0</v>
      </c>
    </row>
    <row r="38" spans="2:22">
      <c r="D38" s="112"/>
      <c r="E38" s="107"/>
      <c r="F38" s="23"/>
      <c r="G38" s="68"/>
      <c r="H38" s="72"/>
      <c r="I38" s="72"/>
      <c r="J38" s="42">
        <f t="shared" si="0"/>
        <v>0</v>
      </c>
      <c r="K38" s="22">
        <v>0</v>
      </c>
      <c r="L38" s="22">
        <v>0</v>
      </c>
      <c r="M38" s="22">
        <f t="shared" si="2"/>
        <v>0</v>
      </c>
      <c r="N38" s="22">
        <v>0</v>
      </c>
      <c r="O38" s="22">
        <v>0</v>
      </c>
      <c r="P38" s="22">
        <f t="shared" si="1"/>
        <v>0</v>
      </c>
      <c r="Q38" s="22">
        <f t="shared" si="5"/>
        <v>0</v>
      </c>
      <c r="R38" s="22">
        <f t="shared" si="3"/>
        <v>0</v>
      </c>
      <c r="S38" s="22">
        <f t="shared" si="4"/>
        <v>0</v>
      </c>
    </row>
    <row r="39" spans="2:22">
      <c r="D39" s="112"/>
      <c r="E39" s="107"/>
      <c r="F39" s="41"/>
      <c r="G39" s="43"/>
      <c r="H39" s="66"/>
      <c r="I39" s="67"/>
      <c r="J39" s="42">
        <f t="shared" si="0"/>
        <v>0</v>
      </c>
      <c r="K39" s="22">
        <v>0</v>
      </c>
      <c r="L39" s="22">
        <v>0</v>
      </c>
      <c r="M39" s="22">
        <f t="shared" si="2"/>
        <v>0</v>
      </c>
      <c r="N39" s="22">
        <v>0</v>
      </c>
      <c r="O39" s="22">
        <v>0</v>
      </c>
      <c r="P39" s="22">
        <f t="shared" si="1"/>
        <v>0</v>
      </c>
      <c r="Q39" s="22">
        <f t="shared" si="5"/>
        <v>0</v>
      </c>
      <c r="R39" s="22">
        <f t="shared" si="3"/>
        <v>0</v>
      </c>
      <c r="S39" s="22">
        <f t="shared" si="4"/>
        <v>0</v>
      </c>
    </row>
    <row r="40" spans="2:22">
      <c r="D40" s="112"/>
      <c r="E40" s="107"/>
      <c r="F40" s="23"/>
      <c r="G40" s="54"/>
      <c r="H40" s="54"/>
      <c r="I40" s="54"/>
      <c r="J40" s="22">
        <f t="shared" si="0"/>
        <v>0</v>
      </c>
      <c r="K40" s="22">
        <v>0</v>
      </c>
      <c r="L40" s="22">
        <v>0</v>
      </c>
      <c r="M40" s="22">
        <f t="shared" si="2"/>
        <v>0</v>
      </c>
      <c r="N40" s="22">
        <v>0</v>
      </c>
      <c r="O40" s="22">
        <v>0</v>
      </c>
      <c r="P40" s="22">
        <f t="shared" si="1"/>
        <v>0</v>
      </c>
      <c r="Q40" s="22">
        <f t="shared" si="5"/>
        <v>0</v>
      </c>
      <c r="R40" s="22">
        <f t="shared" si="3"/>
        <v>0</v>
      </c>
      <c r="S40" s="22">
        <f t="shared" si="4"/>
        <v>0</v>
      </c>
    </row>
    <row r="41" spans="2:22">
      <c r="D41" s="112"/>
      <c r="E41" s="107"/>
      <c r="F41" s="23"/>
      <c r="G41" s="24"/>
      <c r="H41" s="56"/>
      <c r="I41" s="24"/>
      <c r="J41" s="22">
        <f t="shared" si="0"/>
        <v>0</v>
      </c>
      <c r="K41" s="22">
        <v>0</v>
      </c>
      <c r="L41" s="22">
        <v>0</v>
      </c>
      <c r="M41" s="22">
        <f t="shared" si="2"/>
        <v>0</v>
      </c>
      <c r="N41" s="22">
        <v>0</v>
      </c>
      <c r="O41" s="22">
        <v>0</v>
      </c>
      <c r="P41" s="22">
        <f t="shared" si="1"/>
        <v>0</v>
      </c>
      <c r="Q41" s="22">
        <f t="shared" si="5"/>
        <v>0</v>
      </c>
      <c r="R41" s="22">
        <f t="shared" si="3"/>
        <v>0</v>
      </c>
      <c r="S41" s="22">
        <f t="shared" si="4"/>
        <v>0</v>
      </c>
    </row>
    <row r="42" spans="2:22">
      <c r="D42" s="112"/>
      <c r="E42" s="107"/>
      <c r="F42" s="23"/>
      <c r="G42" s="24"/>
      <c r="H42" s="24"/>
      <c r="I42" s="24"/>
      <c r="J42" s="22">
        <f t="shared" si="0"/>
        <v>0</v>
      </c>
      <c r="K42" s="22">
        <v>0</v>
      </c>
      <c r="L42" s="22">
        <v>0</v>
      </c>
      <c r="M42" s="22">
        <f t="shared" si="2"/>
        <v>0</v>
      </c>
      <c r="N42" s="22">
        <v>0</v>
      </c>
      <c r="O42" s="22">
        <v>0</v>
      </c>
      <c r="P42" s="22">
        <f t="shared" si="1"/>
        <v>0</v>
      </c>
      <c r="Q42" s="22">
        <f t="shared" si="5"/>
        <v>0</v>
      </c>
      <c r="R42" s="22">
        <f t="shared" si="3"/>
        <v>0</v>
      </c>
      <c r="S42" s="22">
        <f t="shared" si="4"/>
        <v>0</v>
      </c>
    </row>
    <row r="43" spans="2:22">
      <c r="D43" s="111"/>
      <c r="E43" s="107" t="s">
        <v>25</v>
      </c>
      <c r="F43" s="107"/>
      <c r="G43" s="22">
        <f t="shared" ref="G43:S43" si="7">SUM(G29:G42)</f>
        <v>0</v>
      </c>
      <c r="H43" s="22">
        <f t="shared" si="7"/>
        <v>0</v>
      </c>
      <c r="I43" s="22">
        <f t="shared" si="7"/>
        <v>0</v>
      </c>
      <c r="J43" s="22">
        <f t="shared" si="7"/>
        <v>0</v>
      </c>
      <c r="K43" s="22">
        <f t="shared" si="7"/>
        <v>0</v>
      </c>
      <c r="L43" s="22">
        <f t="shared" si="7"/>
        <v>0</v>
      </c>
      <c r="M43" s="22">
        <f t="shared" si="7"/>
        <v>0</v>
      </c>
      <c r="N43" s="22">
        <f t="shared" si="7"/>
        <v>0</v>
      </c>
      <c r="O43" s="22">
        <f t="shared" si="7"/>
        <v>0</v>
      </c>
      <c r="P43" s="22">
        <f t="shared" si="7"/>
        <v>0</v>
      </c>
      <c r="Q43" s="22">
        <f t="shared" si="7"/>
        <v>0</v>
      </c>
      <c r="R43" s="22">
        <f t="shared" si="7"/>
        <v>0</v>
      </c>
      <c r="S43" s="22">
        <f t="shared" si="7"/>
        <v>0</v>
      </c>
    </row>
    <row r="44" spans="2:22">
      <c r="D44" s="107" t="s">
        <v>43</v>
      </c>
      <c r="E44" s="107"/>
      <c r="F44" s="107"/>
      <c r="G44" s="22">
        <f t="shared" ref="G44:S44" si="8">G28+G43</f>
        <v>0</v>
      </c>
      <c r="H44" s="22">
        <f t="shared" si="8"/>
        <v>0</v>
      </c>
      <c r="I44" s="22">
        <f t="shared" si="8"/>
        <v>0</v>
      </c>
      <c r="J44" s="22">
        <f t="shared" si="8"/>
        <v>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0</v>
      </c>
      <c r="R44" s="22">
        <f t="shared" si="8"/>
        <v>0</v>
      </c>
      <c r="S44" s="22">
        <f t="shared" si="8"/>
        <v>0</v>
      </c>
    </row>
    <row r="46" spans="2:22">
      <c r="B46" s="119" t="s">
        <v>60</v>
      </c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</row>
    <row r="47" spans="2:22">
      <c r="C47" s="119" t="s">
        <v>50</v>
      </c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</row>
    <row r="48" spans="2:22">
      <c r="U48" s="108" t="s">
        <v>143</v>
      </c>
      <c r="V48" s="108"/>
    </row>
    <row r="49" spans="4:22">
      <c r="D49" s="107" t="s">
        <v>113</v>
      </c>
      <c r="E49" s="107"/>
      <c r="F49" s="107" t="s">
        <v>129</v>
      </c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9" t="s">
        <v>117</v>
      </c>
      <c r="U49" s="107" t="s">
        <v>107</v>
      </c>
      <c r="V49" s="107" t="s">
        <v>19</v>
      </c>
    </row>
    <row r="50" spans="4:22">
      <c r="D50" s="107"/>
      <c r="E50" s="107"/>
      <c r="F50" s="107" t="s">
        <v>46</v>
      </c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 t="s">
        <v>134</v>
      </c>
      <c r="S50" s="107" t="s">
        <v>69</v>
      </c>
      <c r="T50" s="109"/>
      <c r="U50" s="107"/>
      <c r="V50" s="107"/>
    </row>
    <row r="51" spans="4:22">
      <c r="D51" s="107"/>
      <c r="E51" s="107"/>
      <c r="F51" s="107" t="s">
        <v>121</v>
      </c>
      <c r="G51" s="107" t="s">
        <v>52</v>
      </c>
      <c r="H51" s="107"/>
      <c r="I51" s="107" t="s">
        <v>76</v>
      </c>
      <c r="J51" s="107"/>
      <c r="K51" s="107" t="s">
        <v>149</v>
      </c>
      <c r="L51" s="107" t="s">
        <v>105</v>
      </c>
      <c r="M51" s="107" t="s">
        <v>88</v>
      </c>
      <c r="N51" s="107" t="s">
        <v>35</v>
      </c>
      <c r="O51" s="107" t="s">
        <v>33</v>
      </c>
      <c r="P51" s="107" t="s">
        <v>30</v>
      </c>
      <c r="Q51" s="107" t="s">
        <v>25</v>
      </c>
      <c r="R51" s="107"/>
      <c r="S51" s="107"/>
      <c r="T51" s="109"/>
      <c r="U51" s="107"/>
      <c r="V51" s="107"/>
    </row>
    <row r="52" spans="4:22">
      <c r="D52" s="107"/>
      <c r="E52" s="107"/>
      <c r="F52" s="107"/>
      <c r="G52" s="20" t="s">
        <v>83</v>
      </c>
      <c r="H52" s="20" t="s">
        <v>102</v>
      </c>
      <c r="I52" s="20" t="s">
        <v>83</v>
      </c>
      <c r="J52" s="20" t="s">
        <v>102</v>
      </c>
      <c r="K52" s="107"/>
      <c r="L52" s="107"/>
      <c r="M52" s="107"/>
      <c r="N52" s="107"/>
      <c r="O52" s="107"/>
      <c r="P52" s="107"/>
      <c r="Q52" s="107"/>
      <c r="R52" s="107"/>
      <c r="S52" s="107"/>
      <c r="T52" s="109"/>
      <c r="U52" s="107"/>
      <c r="V52" s="107"/>
    </row>
    <row r="53" spans="4:22">
      <c r="D53" s="117"/>
      <c r="E53" s="21" t="s">
        <v>78</v>
      </c>
      <c r="F53" s="22">
        <f>F125</f>
        <v>0</v>
      </c>
      <c r="G53" s="22">
        <f t="shared" ref="G53:S53" si="9">G125</f>
        <v>0</v>
      </c>
      <c r="H53" s="22">
        <f t="shared" si="9"/>
        <v>0</v>
      </c>
      <c r="I53" s="22">
        <f t="shared" si="9"/>
        <v>0</v>
      </c>
      <c r="J53" s="22">
        <f t="shared" si="9"/>
        <v>0</v>
      </c>
      <c r="K53" s="22">
        <f t="shared" si="9"/>
        <v>0</v>
      </c>
      <c r="L53" s="22">
        <f t="shared" si="9"/>
        <v>0</v>
      </c>
      <c r="M53" s="22">
        <f t="shared" si="9"/>
        <v>0</v>
      </c>
      <c r="N53" s="22">
        <f t="shared" si="9"/>
        <v>0</v>
      </c>
      <c r="O53" s="22">
        <f t="shared" si="9"/>
        <v>0</v>
      </c>
      <c r="P53" s="22">
        <f t="shared" si="9"/>
        <v>0</v>
      </c>
      <c r="Q53" s="22">
        <f t="shared" si="9"/>
        <v>0</v>
      </c>
      <c r="R53" s="22">
        <f t="shared" si="9"/>
        <v>0</v>
      </c>
      <c r="S53" s="22">
        <f t="shared" si="9"/>
        <v>0</v>
      </c>
      <c r="T53" s="109" t="s">
        <v>117</v>
      </c>
      <c r="U53" s="113" t="s">
        <v>117</v>
      </c>
      <c r="V53" s="113" t="s">
        <v>117</v>
      </c>
    </row>
    <row r="54" spans="4:22">
      <c r="D54" s="117"/>
      <c r="E54" s="21" t="s">
        <v>24</v>
      </c>
      <c r="F54" s="22">
        <f t="shared" ref="F54:S54" si="10">F126</f>
        <v>0</v>
      </c>
      <c r="G54" s="22">
        <f t="shared" si="10"/>
        <v>0</v>
      </c>
      <c r="H54" s="22">
        <f t="shared" si="10"/>
        <v>0</v>
      </c>
      <c r="I54" s="22">
        <f t="shared" si="10"/>
        <v>0</v>
      </c>
      <c r="J54" s="22">
        <f t="shared" si="10"/>
        <v>0</v>
      </c>
      <c r="K54" s="22">
        <f t="shared" si="10"/>
        <v>0</v>
      </c>
      <c r="L54" s="22">
        <f t="shared" si="10"/>
        <v>0</v>
      </c>
      <c r="M54" s="22">
        <f t="shared" si="10"/>
        <v>0</v>
      </c>
      <c r="N54" s="22">
        <f t="shared" si="10"/>
        <v>0</v>
      </c>
      <c r="O54" s="22">
        <f t="shared" si="10"/>
        <v>0</v>
      </c>
      <c r="P54" s="22">
        <f t="shared" si="10"/>
        <v>0</v>
      </c>
      <c r="Q54" s="22">
        <f t="shared" si="10"/>
        <v>0</v>
      </c>
      <c r="R54" s="22">
        <f t="shared" si="10"/>
        <v>0</v>
      </c>
      <c r="S54" s="22">
        <f t="shared" si="10"/>
        <v>0</v>
      </c>
      <c r="T54" s="109"/>
      <c r="U54" s="113"/>
      <c r="V54" s="113"/>
    </row>
    <row r="55" spans="4:22">
      <c r="D55" s="117"/>
      <c r="E55" s="21" t="s">
        <v>25</v>
      </c>
      <c r="F55" s="22">
        <f t="shared" ref="F55:S55" si="11">F127</f>
        <v>0</v>
      </c>
      <c r="G55" s="22">
        <f t="shared" si="11"/>
        <v>0</v>
      </c>
      <c r="H55" s="22">
        <f t="shared" si="11"/>
        <v>0</v>
      </c>
      <c r="I55" s="22">
        <f t="shared" si="11"/>
        <v>0</v>
      </c>
      <c r="J55" s="22">
        <f t="shared" si="11"/>
        <v>0</v>
      </c>
      <c r="K55" s="22">
        <f t="shared" si="11"/>
        <v>0</v>
      </c>
      <c r="L55" s="22">
        <f t="shared" si="11"/>
        <v>0</v>
      </c>
      <c r="M55" s="22">
        <f t="shared" si="11"/>
        <v>0</v>
      </c>
      <c r="N55" s="22">
        <f t="shared" si="11"/>
        <v>0</v>
      </c>
      <c r="O55" s="22">
        <f t="shared" si="11"/>
        <v>0</v>
      </c>
      <c r="P55" s="22">
        <f t="shared" si="11"/>
        <v>0</v>
      </c>
      <c r="Q55" s="22">
        <f t="shared" si="11"/>
        <v>0</v>
      </c>
      <c r="R55" s="22">
        <f t="shared" si="11"/>
        <v>0</v>
      </c>
      <c r="S55" s="22">
        <f t="shared" si="11"/>
        <v>0</v>
      </c>
      <c r="T55" s="109"/>
      <c r="U55" s="113"/>
      <c r="V55" s="113"/>
    </row>
    <row r="56" spans="4:22">
      <c r="D56" s="117"/>
      <c r="E56" s="21" t="s">
        <v>78</v>
      </c>
      <c r="F56" s="22">
        <f>F150</f>
        <v>0</v>
      </c>
      <c r="G56" s="22">
        <f t="shared" ref="G56:S56" si="12">G150</f>
        <v>0</v>
      </c>
      <c r="H56" s="22">
        <f t="shared" si="12"/>
        <v>0</v>
      </c>
      <c r="I56" s="22">
        <f t="shared" si="12"/>
        <v>0</v>
      </c>
      <c r="J56" s="22">
        <f t="shared" si="12"/>
        <v>0</v>
      </c>
      <c r="K56" s="22">
        <f t="shared" si="12"/>
        <v>0</v>
      </c>
      <c r="L56" s="22">
        <f t="shared" si="12"/>
        <v>0</v>
      </c>
      <c r="M56" s="22">
        <f t="shared" si="12"/>
        <v>0</v>
      </c>
      <c r="N56" s="22">
        <f t="shared" si="12"/>
        <v>0</v>
      </c>
      <c r="O56" s="22">
        <f t="shared" si="12"/>
        <v>0</v>
      </c>
      <c r="P56" s="22">
        <f t="shared" si="12"/>
        <v>0</v>
      </c>
      <c r="Q56" s="22">
        <f t="shared" si="12"/>
        <v>0</v>
      </c>
      <c r="R56" s="22">
        <f t="shared" si="12"/>
        <v>0</v>
      </c>
      <c r="S56" s="22">
        <f t="shared" si="12"/>
        <v>0</v>
      </c>
      <c r="T56" s="109" t="s">
        <v>117</v>
      </c>
      <c r="U56" s="113" t="s">
        <v>117</v>
      </c>
      <c r="V56" s="113" t="s">
        <v>117</v>
      </c>
    </row>
    <row r="57" spans="4:22">
      <c r="D57" s="117"/>
      <c r="E57" s="21" t="s">
        <v>24</v>
      </c>
      <c r="F57" s="22">
        <f t="shared" ref="F57:S57" si="13">F151</f>
        <v>0</v>
      </c>
      <c r="G57" s="22">
        <f t="shared" si="13"/>
        <v>0</v>
      </c>
      <c r="H57" s="22">
        <f t="shared" si="13"/>
        <v>0</v>
      </c>
      <c r="I57" s="22">
        <f t="shared" si="13"/>
        <v>0</v>
      </c>
      <c r="J57" s="22">
        <f t="shared" si="13"/>
        <v>0</v>
      </c>
      <c r="K57" s="22">
        <f t="shared" si="13"/>
        <v>0</v>
      </c>
      <c r="L57" s="22">
        <f t="shared" si="13"/>
        <v>0</v>
      </c>
      <c r="M57" s="22">
        <f t="shared" si="13"/>
        <v>0</v>
      </c>
      <c r="N57" s="22">
        <f t="shared" si="13"/>
        <v>0</v>
      </c>
      <c r="O57" s="22">
        <f t="shared" si="13"/>
        <v>0</v>
      </c>
      <c r="P57" s="22">
        <f t="shared" si="13"/>
        <v>0</v>
      </c>
      <c r="Q57" s="22">
        <f t="shared" si="13"/>
        <v>0</v>
      </c>
      <c r="R57" s="22">
        <f t="shared" si="13"/>
        <v>0</v>
      </c>
      <c r="S57" s="22">
        <f t="shared" si="13"/>
        <v>0</v>
      </c>
      <c r="T57" s="109"/>
      <c r="U57" s="113"/>
      <c r="V57" s="113"/>
    </row>
    <row r="58" spans="4:22">
      <c r="D58" s="117"/>
      <c r="E58" s="21" t="s">
        <v>25</v>
      </c>
      <c r="F58" s="22">
        <f t="shared" ref="F58:S58" si="14">F152</f>
        <v>0</v>
      </c>
      <c r="G58" s="22">
        <f t="shared" si="14"/>
        <v>0</v>
      </c>
      <c r="H58" s="22">
        <f t="shared" si="14"/>
        <v>0</v>
      </c>
      <c r="I58" s="22">
        <f t="shared" si="14"/>
        <v>0</v>
      </c>
      <c r="J58" s="22">
        <f t="shared" si="14"/>
        <v>0</v>
      </c>
      <c r="K58" s="22">
        <f t="shared" si="14"/>
        <v>0</v>
      </c>
      <c r="L58" s="22">
        <f t="shared" si="14"/>
        <v>0</v>
      </c>
      <c r="M58" s="22">
        <f t="shared" si="14"/>
        <v>0</v>
      </c>
      <c r="N58" s="22">
        <f t="shared" si="14"/>
        <v>0</v>
      </c>
      <c r="O58" s="22">
        <f t="shared" si="14"/>
        <v>0</v>
      </c>
      <c r="P58" s="22">
        <f t="shared" si="14"/>
        <v>0</v>
      </c>
      <c r="Q58" s="22">
        <f t="shared" si="14"/>
        <v>0</v>
      </c>
      <c r="R58" s="22">
        <f t="shared" si="14"/>
        <v>0</v>
      </c>
      <c r="S58" s="22">
        <f t="shared" si="14"/>
        <v>0</v>
      </c>
      <c r="T58" s="109"/>
      <c r="U58" s="113"/>
      <c r="V58" s="113"/>
    </row>
    <row r="59" spans="4:22">
      <c r="D59" s="117"/>
      <c r="E59" s="21" t="s">
        <v>78</v>
      </c>
      <c r="F59" s="22">
        <f>F175</f>
        <v>0</v>
      </c>
      <c r="G59" s="22">
        <f t="shared" ref="G59:S59" si="15">G175</f>
        <v>0</v>
      </c>
      <c r="H59" s="22">
        <f t="shared" si="15"/>
        <v>0</v>
      </c>
      <c r="I59" s="22">
        <f t="shared" si="15"/>
        <v>0</v>
      </c>
      <c r="J59" s="22">
        <f t="shared" si="15"/>
        <v>0</v>
      </c>
      <c r="K59" s="22">
        <f t="shared" si="15"/>
        <v>0</v>
      </c>
      <c r="L59" s="22">
        <f t="shared" si="15"/>
        <v>0</v>
      </c>
      <c r="M59" s="22">
        <f t="shared" si="15"/>
        <v>0</v>
      </c>
      <c r="N59" s="22">
        <f t="shared" si="15"/>
        <v>0</v>
      </c>
      <c r="O59" s="22">
        <f t="shared" si="15"/>
        <v>0</v>
      </c>
      <c r="P59" s="22">
        <f t="shared" si="15"/>
        <v>0</v>
      </c>
      <c r="Q59" s="22">
        <f t="shared" si="15"/>
        <v>0</v>
      </c>
      <c r="R59" s="22">
        <f t="shared" si="15"/>
        <v>0</v>
      </c>
      <c r="S59" s="22">
        <f t="shared" si="15"/>
        <v>0</v>
      </c>
      <c r="T59" s="109" t="s">
        <v>117</v>
      </c>
      <c r="U59" s="113" t="s">
        <v>117</v>
      </c>
      <c r="V59" s="113" t="s">
        <v>117</v>
      </c>
    </row>
    <row r="60" spans="4:22">
      <c r="D60" s="117"/>
      <c r="E60" s="21" t="s">
        <v>24</v>
      </c>
      <c r="F60" s="22">
        <f t="shared" ref="F60:S60" si="16">F176</f>
        <v>0</v>
      </c>
      <c r="G60" s="22">
        <f t="shared" si="16"/>
        <v>0</v>
      </c>
      <c r="H60" s="22">
        <f t="shared" si="16"/>
        <v>0</v>
      </c>
      <c r="I60" s="22">
        <f t="shared" si="16"/>
        <v>0</v>
      </c>
      <c r="J60" s="22">
        <f t="shared" si="16"/>
        <v>0</v>
      </c>
      <c r="K60" s="22">
        <f t="shared" si="16"/>
        <v>0</v>
      </c>
      <c r="L60" s="22">
        <f t="shared" si="16"/>
        <v>0</v>
      </c>
      <c r="M60" s="22">
        <f t="shared" si="16"/>
        <v>0</v>
      </c>
      <c r="N60" s="22">
        <f t="shared" si="16"/>
        <v>0</v>
      </c>
      <c r="O60" s="22">
        <f t="shared" si="16"/>
        <v>0</v>
      </c>
      <c r="P60" s="22">
        <f t="shared" si="16"/>
        <v>0</v>
      </c>
      <c r="Q60" s="22">
        <f t="shared" si="16"/>
        <v>0</v>
      </c>
      <c r="R60" s="22">
        <f t="shared" si="16"/>
        <v>0</v>
      </c>
      <c r="S60" s="22">
        <f t="shared" si="16"/>
        <v>0</v>
      </c>
      <c r="T60" s="109"/>
      <c r="U60" s="113"/>
      <c r="V60" s="113"/>
    </row>
    <row r="61" spans="4:22">
      <c r="D61" s="117"/>
      <c r="E61" s="21" t="s">
        <v>25</v>
      </c>
      <c r="F61" s="22">
        <f t="shared" ref="F61:S61" si="17">F177</f>
        <v>0</v>
      </c>
      <c r="G61" s="22">
        <f t="shared" si="17"/>
        <v>0</v>
      </c>
      <c r="H61" s="22">
        <f t="shared" si="17"/>
        <v>0</v>
      </c>
      <c r="I61" s="22">
        <f t="shared" si="17"/>
        <v>0</v>
      </c>
      <c r="J61" s="22">
        <f t="shared" si="17"/>
        <v>0</v>
      </c>
      <c r="K61" s="22">
        <f t="shared" si="17"/>
        <v>0</v>
      </c>
      <c r="L61" s="22">
        <f t="shared" si="17"/>
        <v>0</v>
      </c>
      <c r="M61" s="22">
        <f t="shared" si="17"/>
        <v>0</v>
      </c>
      <c r="N61" s="22">
        <f t="shared" si="17"/>
        <v>0</v>
      </c>
      <c r="O61" s="22">
        <f t="shared" si="17"/>
        <v>0</v>
      </c>
      <c r="P61" s="22">
        <f t="shared" si="17"/>
        <v>0</v>
      </c>
      <c r="Q61" s="22">
        <f t="shared" si="17"/>
        <v>0</v>
      </c>
      <c r="R61" s="22">
        <f t="shared" si="17"/>
        <v>0</v>
      </c>
      <c r="S61" s="22">
        <f t="shared" si="17"/>
        <v>0</v>
      </c>
      <c r="T61" s="109"/>
      <c r="U61" s="113"/>
      <c r="V61" s="113"/>
    </row>
    <row r="62" spans="4:22">
      <c r="D62" s="117"/>
      <c r="E62" s="21" t="s">
        <v>78</v>
      </c>
      <c r="F62" s="22">
        <f>F200</f>
        <v>0</v>
      </c>
      <c r="G62" s="22">
        <f t="shared" ref="G62:S62" si="18">G200</f>
        <v>0</v>
      </c>
      <c r="H62" s="22">
        <f t="shared" si="18"/>
        <v>0</v>
      </c>
      <c r="I62" s="22">
        <f t="shared" si="18"/>
        <v>0</v>
      </c>
      <c r="J62" s="22">
        <f t="shared" si="18"/>
        <v>0</v>
      </c>
      <c r="K62" s="22">
        <f t="shared" si="18"/>
        <v>0</v>
      </c>
      <c r="L62" s="22">
        <f t="shared" si="18"/>
        <v>0</v>
      </c>
      <c r="M62" s="22">
        <f t="shared" si="18"/>
        <v>0</v>
      </c>
      <c r="N62" s="22">
        <f t="shared" si="18"/>
        <v>0</v>
      </c>
      <c r="O62" s="22">
        <f t="shared" si="18"/>
        <v>0</v>
      </c>
      <c r="P62" s="22">
        <f t="shared" si="18"/>
        <v>0</v>
      </c>
      <c r="Q62" s="22">
        <f t="shared" si="18"/>
        <v>0</v>
      </c>
      <c r="R62" s="22">
        <f t="shared" si="18"/>
        <v>0</v>
      </c>
      <c r="S62" s="22">
        <f t="shared" si="18"/>
        <v>0</v>
      </c>
      <c r="T62" s="109" t="s">
        <v>117</v>
      </c>
      <c r="U62" s="113" t="s">
        <v>117</v>
      </c>
      <c r="V62" s="113" t="s">
        <v>117</v>
      </c>
    </row>
    <row r="63" spans="4:22">
      <c r="D63" s="117"/>
      <c r="E63" s="21" t="s">
        <v>24</v>
      </c>
      <c r="F63" s="22">
        <f t="shared" ref="F63:S63" si="19">F201</f>
        <v>0</v>
      </c>
      <c r="G63" s="22">
        <f t="shared" si="19"/>
        <v>0</v>
      </c>
      <c r="H63" s="22">
        <f t="shared" si="19"/>
        <v>0</v>
      </c>
      <c r="I63" s="22">
        <f t="shared" si="19"/>
        <v>0</v>
      </c>
      <c r="J63" s="22">
        <f t="shared" si="19"/>
        <v>0</v>
      </c>
      <c r="K63" s="22">
        <f t="shared" si="19"/>
        <v>0</v>
      </c>
      <c r="L63" s="22">
        <f t="shared" si="19"/>
        <v>0</v>
      </c>
      <c r="M63" s="22">
        <f t="shared" si="19"/>
        <v>0</v>
      </c>
      <c r="N63" s="22">
        <f t="shared" si="19"/>
        <v>0</v>
      </c>
      <c r="O63" s="22">
        <f t="shared" si="19"/>
        <v>0</v>
      </c>
      <c r="P63" s="22">
        <f t="shared" si="19"/>
        <v>0</v>
      </c>
      <c r="Q63" s="22">
        <f t="shared" si="19"/>
        <v>0</v>
      </c>
      <c r="R63" s="22">
        <f t="shared" si="19"/>
        <v>0</v>
      </c>
      <c r="S63" s="22">
        <f t="shared" si="19"/>
        <v>0</v>
      </c>
      <c r="T63" s="109"/>
      <c r="U63" s="113"/>
      <c r="V63" s="113"/>
    </row>
    <row r="64" spans="4:22">
      <c r="D64" s="117"/>
      <c r="E64" s="21" t="s">
        <v>25</v>
      </c>
      <c r="F64" s="22">
        <f t="shared" ref="F64:S64" si="20">F202</f>
        <v>0</v>
      </c>
      <c r="G64" s="22">
        <f t="shared" si="20"/>
        <v>0</v>
      </c>
      <c r="H64" s="22">
        <f t="shared" si="20"/>
        <v>0</v>
      </c>
      <c r="I64" s="22">
        <f t="shared" si="20"/>
        <v>0</v>
      </c>
      <c r="J64" s="22">
        <f t="shared" si="20"/>
        <v>0</v>
      </c>
      <c r="K64" s="22">
        <f t="shared" si="20"/>
        <v>0</v>
      </c>
      <c r="L64" s="22">
        <f t="shared" si="20"/>
        <v>0</v>
      </c>
      <c r="M64" s="22">
        <f t="shared" si="20"/>
        <v>0</v>
      </c>
      <c r="N64" s="22">
        <f t="shared" si="20"/>
        <v>0</v>
      </c>
      <c r="O64" s="22">
        <f t="shared" si="20"/>
        <v>0</v>
      </c>
      <c r="P64" s="22">
        <f t="shared" si="20"/>
        <v>0</v>
      </c>
      <c r="Q64" s="22">
        <f t="shared" si="20"/>
        <v>0</v>
      </c>
      <c r="R64" s="22">
        <f t="shared" si="20"/>
        <v>0</v>
      </c>
      <c r="S64" s="22">
        <f t="shared" si="20"/>
        <v>0</v>
      </c>
      <c r="T64" s="109"/>
      <c r="U64" s="113"/>
      <c r="V64" s="113"/>
    </row>
    <row r="65" spans="3:22">
      <c r="D65" s="117"/>
      <c r="E65" s="21" t="s">
        <v>78</v>
      </c>
      <c r="F65" s="22">
        <f>F225</f>
        <v>0</v>
      </c>
      <c r="G65" s="22">
        <f t="shared" ref="G65:S65" si="21">G225</f>
        <v>0</v>
      </c>
      <c r="H65" s="22">
        <f t="shared" si="21"/>
        <v>0</v>
      </c>
      <c r="I65" s="22">
        <f t="shared" si="21"/>
        <v>0</v>
      </c>
      <c r="J65" s="22">
        <f t="shared" si="21"/>
        <v>0</v>
      </c>
      <c r="K65" s="22">
        <f t="shared" si="21"/>
        <v>0</v>
      </c>
      <c r="L65" s="22">
        <f t="shared" si="21"/>
        <v>0</v>
      </c>
      <c r="M65" s="22">
        <f t="shared" si="21"/>
        <v>0</v>
      </c>
      <c r="N65" s="22">
        <f t="shared" si="21"/>
        <v>0</v>
      </c>
      <c r="O65" s="22">
        <f t="shared" si="21"/>
        <v>0</v>
      </c>
      <c r="P65" s="22">
        <f t="shared" si="21"/>
        <v>0</v>
      </c>
      <c r="Q65" s="22">
        <f t="shared" si="21"/>
        <v>0</v>
      </c>
      <c r="R65" s="22">
        <f t="shared" si="21"/>
        <v>0</v>
      </c>
      <c r="S65" s="22">
        <f t="shared" si="21"/>
        <v>0</v>
      </c>
      <c r="T65" s="109" t="s">
        <v>117</v>
      </c>
      <c r="U65" s="113" t="s">
        <v>117</v>
      </c>
      <c r="V65" s="113" t="s">
        <v>117</v>
      </c>
    </row>
    <row r="66" spans="3:22">
      <c r="D66" s="117"/>
      <c r="E66" s="21" t="s">
        <v>24</v>
      </c>
      <c r="F66" s="22">
        <f t="shared" ref="F66:S66" si="22">F226</f>
        <v>0</v>
      </c>
      <c r="G66" s="22">
        <f t="shared" si="22"/>
        <v>0</v>
      </c>
      <c r="H66" s="22">
        <f t="shared" si="22"/>
        <v>0</v>
      </c>
      <c r="I66" s="22">
        <f t="shared" si="22"/>
        <v>0</v>
      </c>
      <c r="J66" s="22">
        <f t="shared" si="22"/>
        <v>0</v>
      </c>
      <c r="K66" s="22">
        <f t="shared" si="22"/>
        <v>0</v>
      </c>
      <c r="L66" s="22">
        <f t="shared" si="22"/>
        <v>0</v>
      </c>
      <c r="M66" s="22">
        <f t="shared" si="22"/>
        <v>0</v>
      </c>
      <c r="N66" s="22">
        <f t="shared" si="22"/>
        <v>0</v>
      </c>
      <c r="O66" s="22">
        <f t="shared" si="22"/>
        <v>0</v>
      </c>
      <c r="P66" s="22">
        <f t="shared" si="22"/>
        <v>0</v>
      </c>
      <c r="Q66" s="22">
        <f t="shared" si="22"/>
        <v>0</v>
      </c>
      <c r="R66" s="22">
        <f t="shared" si="22"/>
        <v>0</v>
      </c>
      <c r="S66" s="22">
        <f t="shared" si="22"/>
        <v>0</v>
      </c>
      <c r="T66" s="109"/>
      <c r="U66" s="113"/>
      <c r="V66" s="113"/>
    </row>
    <row r="67" spans="3:22">
      <c r="D67" s="117"/>
      <c r="E67" s="21" t="s">
        <v>25</v>
      </c>
      <c r="F67" s="22">
        <f t="shared" ref="F67:S67" si="23">F227</f>
        <v>0</v>
      </c>
      <c r="G67" s="22">
        <f t="shared" si="23"/>
        <v>0</v>
      </c>
      <c r="H67" s="22">
        <f t="shared" si="23"/>
        <v>0</v>
      </c>
      <c r="I67" s="22">
        <f t="shared" si="23"/>
        <v>0</v>
      </c>
      <c r="J67" s="22">
        <f t="shared" si="23"/>
        <v>0</v>
      </c>
      <c r="K67" s="22">
        <f t="shared" si="23"/>
        <v>0</v>
      </c>
      <c r="L67" s="22">
        <f t="shared" si="23"/>
        <v>0</v>
      </c>
      <c r="M67" s="22">
        <f t="shared" si="23"/>
        <v>0</v>
      </c>
      <c r="N67" s="22">
        <f t="shared" si="23"/>
        <v>0</v>
      </c>
      <c r="O67" s="22">
        <f t="shared" si="23"/>
        <v>0</v>
      </c>
      <c r="P67" s="22">
        <f t="shared" si="23"/>
        <v>0</v>
      </c>
      <c r="Q67" s="22">
        <f t="shared" si="23"/>
        <v>0</v>
      </c>
      <c r="R67" s="22">
        <f t="shared" si="23"/>
        <v>0</v>
      </c>
      <c r="S67" s="22">
        <f t="shared" si="23"/>
        <v>0</v>
      </c>
      <c r="T67" s="109"/>
      <c r="U67" s="113"/>
      <c r="V67" s="113"/>
    </row>
    <row r="68" spans="3:22">
      <c r="D68" s="117"/>
      <c r="E68" s="21" t="s">
        <v>78</v>
      </c>
      <c r="F68" s="22">
        <f>F250</f>
        <v>0</v>
      </c>
      <c r="G68" s="22">
        <f t="shared" ref="G68:S68" si="24">G250</f>
        <v>0</v>
      </c>
      <c r="H68" s="22">
        <f t="shared" si="24"/>
        <v>0</v>
      </c>
      <c r="I68" s="22">
        <f t="shared" si="24"/>
        <v>0</v>
      </c>
      <c r="J68" s="22">
        <f t="shared" si="24"/>
        <v>0</v>
      </c>
      <c r="K68" s="22">
        <f t="shared" si="24"/>
        <v>0</v>
      </c>
      <c r="L68" s="22">
        <f t="shared" si="24"/>
        <v>0</v>
      </c>
      <c r="M68" s="22">
        <f t="shared" si="24"/>
        <v>0</v>
      </c>
      <c r="N68" s="22">
        <f t="shared" si="24"/>
        <v>0</v>
      </c>
      <c r="O68" s="22">
        <f t="shared" si="24"/>
        <v>0</v>
      </c>
      <c r="P68" s="22">
        <f t="shared" si="24"/>
        <v>0</v>
      </c>
      <c r="Q68" s="22">
        <f t="shared" si="24"/>
        <v>0</v>
      </c>
      <c r="R68" s="22">
        <f t="shared" si="24"/>
        <v>0</v>
      </c>
      <c r="S68" s="22">
        <f t="shared" si="24"/>
        <v>0</v>
      </c>
      <c r="T68" s="109" t="s">
        <v>117</v>
      </c>
      <c r="U68" s="113" t="s">
        <v>117</v>
      </c>
      <c r="V68" s="113" t="s">
        <v>117</v>
      </c>
    </row>
    <row r="69" spans="3:22">
      <c r="D69" s="117"/>
      <c r="E69" s="21" t="s">
        <v>24</v>
      </c>
      <c r="F69" s="22">
        <f t="shared" ref="F69:S69" si="25">F251</f>
        <v>0</v>
      </c>
      <c r="G69" s="22">
        <f t="shared" si="25"/>
        <v>0</v>
      </c>
      <c r="H69" s="22">
        <f t="shared" si="25"/>
        <v>0</v>
      </c>
      <c r="I69" s="22">
        <f t="shared" si="25"/>
        <v>0</v>
      </c>
      <c r="J69" s="22">
        <f t="shared" si="25"/>
        <v>0</v>
      </c>
      <c r="K69" s="22">
        <f t="shared" si="25"/>
        <v>0</v>
      </c>
      <c r="L69" s="22">
        <f t="shared" si="25"/>
        <v>0</v>
      </c>
      <c r="M69" s="22">
        <f t="shared" si="25"/>
        <v>0</v>
      </c>
      <c r="N69" s="22">
        <f t="shared" si="25"/>
        <v>0</v>
      </c>
      <c r="O69" s="22">
        <f t="shared" si="25"/>
        <v>0</v>
      </c>
      <c r="P69" s="22">
        <f t="shared" si="25"/>
        <v>0</v>
      </c>
      <c r="Q69" s="22">
        <f t="shared" si="25"/>
        <v>0</v>
      </c>
      <c r="R69" s="22">
        <f t="shared" si="25"/>
        <v>0</v>
      </c>
      <c r="S69" s="22">
        <f t="shared" si="25"/>
        <v>0</v>
      </c>
      <c r="T69" s="109"/>
      <c r="U69" s="113"/>
      <c r="V69" s="113"/>
    </row>
    <row r="70" spans="3:22">
      <c r="D70" s="117"/>
      <c r="E70" s="21" t="s">
        <v>25</v>
      </c>
      <c r="F70" s="22">
        <f t="shared" ref="F70:S70" si="26">F252</f>
        <v>0</v>
      </c>
      <c r="G70" s="22">
        <f t="shared" si="26"/>
        <v>0</v>
      </c>
      <c r="H70" s="22">
        <f t="shared" si="26"/>
        <v>0</v>
      </c>
      <c r="I70" s="22">
        <f t="shared" si="26"/>
        <v>0</v>
      </c>
      <c r="J70" s="22">
        <f t="shared" si="26"/>
        <v>0</v>
      </c>
      <c r="K70" s="22">
        <f t="shared" si="26"/>
        <v>0</v>
      </c>
      <c r="L70" s="22">
        <f t="shared" si="26"/>
        <v>0</v>
      </c>
      <c r="M70" s="22">
        <f t="shared" si="26"/>
        <v>0</v>
      </c>
      <c r="N70" s="22">
        <f t="shared" si="26"/>
        <v>0</v>
      </c>
      <c r="O70" s="22">
        <f t="shared" si="26"/>
        <v>0</v>
      </c>
      <c r="P70" s="22">
        <f t="shared" si="26"/>
        <v>0</v>
      </c>
      <c r="Q70" s="22">
        <f t="shared" si="26"/>
        <v>0</v>
      </c>
      <c r="R70" s="22">
        <f t="shared" si="26"/>
        <v>0</v>
      </c>
      <c r="S70" s="22">
        <f t="shared" si="26"/>
        <v>0</v>
      </c>
      <c r="T70" s="109"/>
      <c r="U70" s="113"/>
      <c r="V70" s="113"/>
    </row>
    <row r="71" spans="3:22">
      <c r="D71" s="117"/>
      <c r="E71" s="21" t="s">
        <v>78</v>
      </c>
      <c r="F71" s="22">
        <f>F275</f>
        <v>0</v>
      </c>
      <c r="G71" s="22">
        <f t="shared" ref="G71:S71" si="27">G275</f>
        <v>0</v>
      </c>
      <c r="H71" s="22">
        <f t="shared" si="27"/>
        <v>0</v>
      </c>
      <c r="I71" s="22">
        <f t="shared" si="27"/>
        <v>0</v>
      </c>
      <c r="J71" s="22">
        <f t="shared" si="27"/>
        <v>0</v>
      </c>
      <c r="K71" s="22">
        <f t="shared" si="27"/>
        <v>0</v>
      </c>
      <c r="L71" s="22">
        <f t="shared" si="27"/>
        <v>0</v>
      </c>
      <c r="M71" s="22">
        <f t="shared" si="27"/>
        <v>0</v>
      </c>
      <c r="N71" s="22">
        <f t="shared" si="27"/>
        <v>0</v>
      </c>
      <c r="O71" s="22">
        <f t="shared" si="27"/>
        <v>0</v>
      </c>
      <c r="P71" s="22">
        <f t="shared" si="27"/>
        <v>0</v>
      </c>
      <c r="Q71" s="22">
        <f t="shared" si="27"/>
        <v>0</v>
      </c>
      <c r="R71" s="22">
        <f t="shared" si="27"/>
        <v>0</v>
      </c>
      <c r="S71" s="22">
        <f t="shared" si="27"/>
        <v>0</v>
      </c>
      <c r="T71" s="109" t="s">
        <v>117</v>
      </c>
      <c r="U71" s="113" t="s">
        <v>117</v>
      </c>
      <c r="V71" s="113" t="s">
        <v>117</v>
      </c>
    </row>
    <row r="72" spans="3:22">
      <c r="D72" s="117"/>
      <c r="E72" s="21" t="s">
        <v>24</v>
      </c>
      <c r="F72" s="22">
        <f t="shared" ref="F72:S72" si="28">F276</f>
        <v>0</v>
      </c>
      <c r="G72" s="22">
        <f t="shared" si="28"/>
        <v>0</v>
      </c>
      <c r="H72" s="22">
        <f t="shared" si="28"/>
        <v>0</v>
      </c>
      <c r="I72" s="22">
        <f t="shared" si="28"/>
        <v>0</v>
      </c>
      <c r="J72" s="22">
        <f t="shared" si="28"/>
        <v>0</v>
      </c>
      <c r="K72" s="22">
        <f t="shared" si="28"/>
        <v>0</v>
      </c>
      <c r="L72" s="22">
        <f t="shared" si="28"/>
        <v>0</v>
      </c>
      <c r="M72" s="22">
        <f t="shared" si="28"/>
        <v>0</v>
      </c>
      <c r="N72" s="22">
        <f t="shared" si="28"/>
        <v>0</v>
      </c>
      <c r="O72" s="22">
        <f t="shared" si="28"/>
        <v>0</v>
      </c>
      <c r="P72" s="22">
        <f t="shared" si="28"/>
        <v>0</v>
      </c>
      <c r="Q72" s="22">
        <f t="shared" si="28"/>
        <v>0</v>
      </c>
      <c r="R72" s="22">
        <f t="shared" si="28"/>
        <v>0</v>
      </c>
      <c r="S72" s="22">
        <f t="shared" si="28"/>
        <v>0</v>
      </c>
      <c r="T72" s="109"/>
      <c r="U72" s="113"/>
      <c r="V72" s="113"/>
    </row>
    <row r="73" spans="3:22">
      <c r="D73" s="117"/>
      <c r="E73" s="21" t="s">
        <v>25</v>
      </c>
      <c r="F73" s="22">
        <f t="shared" ref="F73:S73" si="29">F277</f>
        <v>0</v>
      </c>
      <c r="G73" s="22">
        <f t="shared" si="29"/>
        <v>0</v>
      </c>
      <c r="H73" s="22">
        <f t="shared" si="29"/>
        <v>0</v>
      </c>
      <c r="I73" s="22">
        <f t="shared" si="29"/>
        <v>0</v>
      </c>
      <c r="J73" s="22">
        <f t="shared" si="29"/>
        <v>0</v>
      </c>
      <c r="K73" s="22">
        <f t="shared" si="29"/>
        <v>0</v>
      </c>
      <c r="L73" s="22">
        <f t="shared" si="29"/>
        <v>0</v>
      </c>
      <c r="M73" s="22">
        <f t="shared" si="29"/>
        <v>0</v>
      </c>
      <c r="N73" s="22">
        <f t="shared" si="29"/>
        <v>0</v>
      </c>
      <c r="O73" s="22">
        <f t="shared" si="29"/>
        <v>0</v>
      </c>
      <c r="P73" s="22">
        <f t="shared" si="29"/>
        <v>0</v>
      </c>
      <c r="Q73" s="22">
        <f t="shared" si="29"/>
        <v>0</v>
      </c>
      <c r="R73" s="22">
        <f t="shared" si="29"/>
        <v>0</v>
      </c>
      <c r="S73" s="22">
        <f t="shared" si="29"/>
        <v>0</v>
      </c>
      <c r="T73" s="109"/>
      <c r="U73" s="113"/>
      <c r="V73" s="113"/>
    </row>
    <row r="74" spans="3:22">
      <c r="D74" s="126" t="s">
        <v>43</v>
      </c>
      <c r="E74" s="21" t="s">
        <v>78</v>
      </c>
      <c r="F74" s="22">
        <f>F53+F56+F59+F62+F65+F68+F71</f>
        <v>0</v>
      </c>
      <c r="G74" s="22">
        <f t="shared" ref="G74:S74" si="30">G53+G56+G59+G62+G65+G68+G71</f>
        <v>0</v>
      </c>
      <c r="H74" s="22">
        <f t="shared" si="30"/>
        <v>0</v>
      </c>
      <c r="I74" s="22">
        <f t="shared" si="30"/>
        <v>0</v>
      </c>
      <c r="J74" s="22">
        <f t="shared" si="30"/>
        <v>0</v>
      </c>
      <c r="K74" s="22">
        <f t="shared" si="30"/>
        <v>0</v>
      </c>
      <c r="L74" s="22">
        <f t="shared" si="30"/>
        <v>0</v>
      </c>
      <c r="M74" s="22">
        <f t="shared" si="30"/>
        <v>0</v>
      </c>
      <c r="N74" s="22">
        <f t="shared" si="30"/>
        <v>0</v>
      </c>
      <c r="O74" s="22">
        <f t="shared" si="30"/>
        <v>0</v>
      </c>
      <c r="P74" s="22">
        <f t="shared" si="30"/>
        <v>0</v>
      </c>
      <c r="Q74" s="22">
        <f t="shared" si="30"/>
        <v>0</v>
      </c>
      <c r="R74" s="22">
        <f t="shared" si="30"/>
        <v>0</v>
      </c>
      <c r="S74" s="22">
        <f t="shared" si="30"/>
        <v>0</v>
      </c>
      <c r="T74" s="109" t="s">
        <v>117</v>
      </c>
      <c r="U74" s="113" t="s">
        <v>117</v>
      </c>
      <c r="V74" s="113" t="s">
        <v>117</v>
      </c>
    </row>
    <row r="75" spans="3:22">
      <c r="D75" s="126"/>
      <c r="E75" s="21" t="s">
        <v>24</v>
      </c>
      <c r="F75" s="22">
        <f>F54+F57+F60+F63+F66+F69+F72</f>
        <v>0</v>
      </c>
      <c r="G75" s="22">
        <f t="shared" ref="G75:S75" si="31">G54+G57+G60+G63+G66+G69+G72</f>
        <v>0</v>
      </c>
      <c r="H75" s="22">
        <f t="shared" si="31"/>
        <v>0</v>
      </c>
      <c r="I75" s="22">
        <f t="shared" si="31"/>
        <v>0</v>
      </c>
      <c r="J75" s="22">
        <f t="shared" si="31"/>
        <v>0</v>
      </c>
      <c r="K75" s="22">
        <f t="shared" si="31"/>
        <v>0</v>
      </c>
      <c r="L75" s="22">
        <f t="shared" si="31"/>
        <v>0</v>
      </c>
      <c r="M75" s="22">
        <f t="shared" si="31"/>
        <v>0</v>
      </c>
      <c r="N75" s="22">
        <f t="shared" si="31"/>
        <v>0</v>
      </c>
      <c r="O75" s="22">
        <f t="shared" si="31"/>
        <v>0</v>
      </c>
      <c r="P75" s="22">
        <f t="shared" si="31"/>
        <v>0</v>
      </c>
      <c r="Q75" s="22">
        <f t="shared" si="31"/>
        <v>0</v>
      </c>
      <c r="R75" s="22">
        <f t="shared" si="31"/>
        <v>0</v>
      </c>
      <c r="S75" s="22">
        <f t="shared" si="31"/>
        <v>0</v>
      </c>
      <c r="T75" s="109"/>
      <c r="U75" s="113"/>
      <c r="V75" s="113"/>
    </row>
    <row r="76" spans="3:22">
      <c r="D76" s="126"/>
      <c r="E76" s="21" t="s">
        <v>69</v>
      </c>
      <c r="F76" s="22">
        <f>F55+F58+F61+F64+F67+F70+F73</f>
        <v>0</v>
      </c>
      <c r="G76" s="22">
        <f t="shared" ref="G76:S76" si="32">G55+G58+G61+G64+G67+G70+G73</f>
        <v>0</v>
      </c>
      <c r="H76" s="22">
        <f t="shared" si="32"/>
        <v>0</v>
      </c>
      <c r="I76" s="22">
        <f t="shared" si="32"/>
        <v>0</v>
      </c>
      <c r="J76" s="22">
        <f t="shared" si="32"/>
        <v>0</v>
      </c>
      <c r="K76" s="22">
        <f t="shared" si="32"/>
        <v>0</v>
      </c>
      <c r="L76" s="22">
        <f t="shared" si="32"/>
        <v>0</v>
      </c>
      <c r="M76" s="22">
        <f t="shared" si="32"/>
        <v>0</v>
      </c>
      <c r="N76" s="22">
        <f t="shared" si="32"/>
        <v>0</v>
      </c>
      <c r="O76" s="22">
        <f t="shared" si="32"/>
        <v>0</v>
      </c>
      <c r="P76" s="22">
        <f t="shared" si="32"/>
        <v>0</v>
      </c>
      <c r="Q76" s="22">
        <f t="shared" si="32"/>
        <v>0</v>
      </c>
      <c r="R76" s="22">
        <f t="shared" si="32"/>
        <v>0</v>
      </c>
      <c r="S76" s="22">
        <f t="shared" si="32"/>
        <v>0</v>
      </c>
      <c r="T76" s="109"/>
      <c r="U76" s="113"/>
      <c r="V76" s="113"/>
    </row>
    <row r="78" spans="3:22">
      <c r="C78" s="119" t="s">
        <v>16</v>
      </c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</row>
    <row r="79" spans="3:22">
      <c r="U79" s="108" t="s">
        <v>143</v>
      </c>
      <c r="V79" s="108"/>
    </row>
    <row r="80" spans="3:22">
      <c r="D80" s="107" t="s">
        <v>68</v>
      </c>
      <c r="E80" s="107"/>
      <c r="F80" s="107" t="s">
        <v>129</v>
      </c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9" t="s">
        <v>117</v>
      </c>
      <c r="U80" s="107" t="s">
        <v>107</v>
      </c>
      <c r="V80" s="107" t="s">
        <v>19</v>
      </c>
    </row>
    <row r="81" spans="4:22">
      <c r="D81" s="107"/>
      <c r="E81" s="107"/>
      <c r="F81" s="107" t="s">
        <v>46</v>
      </c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 t="s">
        <v>134</v>
      </c>
      <c r="S81" s="107" t="s">
        <v>69</v>
      </c>
      <c r="T81" s="109"/>
      <c r="U81" s="107"/>
      <c r="V81" s="107"/>
    </row>
    <row r="82" spans="4:22">
      <c r="D82" s="107"/>
      <c r="E82" s="107"/>
      <c r="F82" s="107" t="s">
        <v>121</v>
      </c>
      <c r="G82" s="107" t="s">
        <v>52</v>
      </c>
      <c r="H82" s="107"/>
      <c r="I82" s="107" t="s">
        <v>76</v>
      </c>
      <c r="J82" s="107"/>
      <c r="K82" s="107" t="s">
        <v>149</v>
      </c>
      <c r="L82" s="107" t="s">
        <v>105</v>
      </c>
      <c r="M82" s="107" t="s">
        <v>88</v>
      </c>
      <c r="N82" s="107" t="s">
        <v>35</v>
      </c>
      <c r="O82" s="107" t="s">
        <v>33</v>
      </c>
      <c r="P82" s="107" t="s">
        <v>30</v>
      </c>
      <c r="Q82" s="107" t="s">
        <v>25</v>
      </c>
      <c r="R82" s="107"/>
      <c r="S82" s="107"/>
      <c r="T82" s="109"/>
      <c r="U82" s="107"/>
      <c r="V82" s="107"/>
    </row>
    <row r="83" spans="4:22">
      <c r="D83" s="107"/>
      <c r="E83" s="107"/>
      <c r="F83" s="107"/>
      <c r="G83" s="20" t="s">
        <v>83</v>
      </c>
      <c r="H83" s="20" t="s">
        <v>102</v>
      </c>
      <c r="I83" s="20" t="s">
        <v>83</v>
      </c>
      <c r="J83" s="20" t="s">
        <v>102</v>
      </c>
      <c r="K83" s="107"/>
      <c r="L83" s="107"/>
      <c r="M83" s="107"/>
      <c r="N83" s="107"/>
      <c r="O83" s="107"/>
      <c r="P83" s="107"/>
      <c r="Q83" s="107"/>
      <c r="R83" s="107"/>
      <c r="S83" s="107"/>
      <c r="T83" s="109"/>
      <c r="U83" s="107"/>
      <c r="V83" s="107"/>
    </row>
    <row r="84" spans="4:22">
      <c r="D84" s="126">
        <v>1</v>
      </c>
      <c r="E84" s="21" t="s">
        <v>78</v>
      </c>
      <c r="F84" s="22">
        <f t="shared" ref="F84:S84" si="33">F110+F135+F160+F185+F210+F235+F260</f>
        <v>0</v>
      </c>
      <c r="G84" s="22">
        <f t="shared" si="33"/>
        <v>0</v>
      </c>
      <c r="H84" s="22">
        <f t="shared" si="33"/>
        <v>0</v>
      </c>
      <c r="I84" s="22">
        <f t="shared" si="33"/>
        <v>0</v>
      </c>
      <c r="J84" s="22">
        <f t="shared" si="33"/>
        <v>0</v>
      </c>
      <c r="K84" s="22">
        <f t="shared" si="33"/>
        <v>0</v>
      </c>
      <c r="L84" s="22">
        <f t="shared" si="33"/>
        <v>0</v>
      </c>
      <c r="M84" s="22">
        <f t="shared" si="33"/>
        <v>0</v>
      </c>
      <c r="N84" s="22">
        <f t="shared" si="33"/>
        <v>0</v>
      </c>
      <c r="O84" s="22">
        <f t="shared" si="33"/>
        <v>0</v>
      </c>
      <c r="P84" s="22">
        <f t="shared" si="33"/>
        <v>0</v>
      </c>
      <c r="Q84" s="22">
        <f t="shared" si="33"/>
        <v>0</v>
      </c>
      <c r="R84" s="22">
        <f t="shared" si="33"/>
        <v>0</v>
      </c>
      <c r="S84" s="22">
        <f t="shared" si="33"/>
        <v>0</v>
      </c>
      <c r="T84" s="109" t="s">
        <v>117</v>
      </c>
      <c r="U84" s="113" t="s">
        <v>117</v>
      </c>
      <c r="V84" s="113" t="s">
        <v>117</v>
      </c>
    </row>
    <row r="85" spans="4:22">
      <c r="D85" s="126"/>
      <c r="E85" s="21" t="s">
        <v>24</v>
      </c>
      <c r="F85" s="22">
        <f t="shared" ref="F85:S85" si="34">F111+F136+F161+F186+F211+F236+F261</f>
        <v>0</v>
      </c>
      <c r="G85" s="22">
        <f t="shared" si="34"/>
        <v>0</v>
      </c>
      <c r="H85" s="22">
        <f t="shared" si="34"/>
        <v>0</v>
      </c>
      <c r="I85" s="22">
        <f t="shared" si="34"/>
        <v>0</v>
      </c>
      <c r="J85" s="22">
        <f t="shared" si="34"/>
        <v>0</v>
      </c>
      <c r="K85" s="22">
        <f t="shared" si="34"/>
        <v>0</v>
      </c>
      <c r="L85" s="22">
        <f t="shared" si="34"/>
        <v>0</v>
      </c>
      <c r="M85" s="22">
        <f t="shared" si="34"/>
        <v>0</v>
      </c>
      <c r="N85" s="22">
        <f t="shared" si="34"/>
        <v>0</v>
      </c>
      <c r="O85" s="22">
        <f t="shared" si="34"/>
        <v>0</v>
      </c>
      <c r="P85" s="22">
        <f t="shared" si="34"/>
        <v>0</v>
      </c>
      <c r="Q85" s="22">
        <f t="shared" si="34"/>
        <v>0</v>
      </c>
      <c r="R85" s="22">
        <f t="shared" si="34"/>
        <v>0</v>
      </c>
      <c r="S85" s="22">
        <f t="shared" si="34"/>
        <v>0</v>
      </c>
      <c r="T85" s="109"/>
      <c r="U85" s="113"/>
      <c r="V85" s="113"/>
    </row>
    <row r="86" spans="4:22">
      <c r="D86" s="126"/>
      <c r="E86" s="21" t="s">
        <v>25</v>
      </c>
      <c r="F86" s="22">
        <f t="shared" ref="F86:S86" si="35">F112+F137+F162+F187+F212+F237+F262</f>
        <v>0</v>
      </c>
      <c r="G86" s="22">
        <f t="shared" si="35"/>
        <v>0</v>
      </c>
      <c r="H86" s="22">
        <f t="shared" si="35"/>
        <v>0</v>
      </c>
      <c r="I86" s="22">
        <f t="shared" si="35"/>
        <v>0</v>
      </c>
      <c r="J86" s="22">
        <f t="shared" si="35"/>
        <v>0</v>
      </c>
      <c r="K86" s="22">
        <f t="shared" si="35"/>
        <v>0</v>
      </c>
      <c r="L86" s="22">
        <f t="shared" si="35"/>
        <v>0</v>
      </c>
      <c r="M86" s="22">
        <f t="shared" si="35"/>
        <v>0</v>
      </c>
      <c r="N86" s="22">
        <f t="shared" si="35"/>
        <v>0</v>
      </c>
      <c r="O86" s="22">
        <f t="shared" si="35"/>
        <v>0</v>
      </c>
      <c r="P86" s="22">
        <f t="shared" si="35"/>
        <v>0</v>
      </c>
      <c r="Q86" s="22">
        <f t="shared" si="35"/>
        <v>0</v>
      </c>
      <c r="R86" s="22">
        <f t="shared" si="35"/>
        <v>0</v>
      </c>
      <c r="S86" s="22">
        <f t="shared" si="35"/>
        <v>0</v>
      </c>
      <c r="T86" s="109"/>
      <c r="U86" s="113"/>
      <c r="V86" s="113"/>
    </row>
    <row r="87" spans="4:22">
      <c r="D87" s="126">
        <v>2</v>
      </c>
      <c r="E87" s="21" t="s">
        <v>78</v>
      </c>
      <c r="F87" s="22">
        <f t="shared" ref="F87:S87" si="36">F113+F138+F163+F188+F213+F238+F263</f>
        <v>0</v>
      </c>
      <c r="G87" s="22">
        <f t="shared" si="36"/>
        <v>0</v>
      </c>
      <c r="H87" s="22">
        <f t="shared" si="36"/>
        <v>0</v>
      </c>
      <c r="I87" s="22">
        <f t="shared" si="36"/>
        <v>0</v>
      </c>
      <c r="J87" s="22">
        <f t="shared" si="36"/>
        <v>0</v>
      </c>
      <c r="K87" s="22">
        <f t="shared" si="36"/>
        <v>0</v>
      </c>
      <c r="L87" s="22">
        <f t="shared" si="36"/>
        <v>0</v>
      </c>
      <c r="M87" s="22">
        <f t="shared" si="36"/>
        <v>0</v>
      </c>
      <c r="N87" s="22">
        <f t="shared" si="36"/>
        <v>0</v>
      </c>
      <c r="O87" s="22">
        <f t="shared" si="36"/>
        <v>0</v>
      </c>
      <c r="P87" s="22">
        <f t="shared" si="36"/>
        <v>0</v>
      </c>
      <c r="Q87" s="22">
        <f t="shared" si="36"/>
        <v>0</v>
      </c>
      <c r="R87" s="22">
        <f t="shared" si="36"/>
        <v>0</v>
      </c>
      <c r="S87" s="22">
        <f t="shared" si="36"/>
        <v>0</v>
      </c>
      <c r="T87" s="109" t="s">
        <v>117</v>
      </c>
      <c r="U87" s="113" t="s">
        <v>117</v>
      </c>
      <c r="V87" s="113" t="s">
        <v>117</v>
      </c>
    </row>
    <row r="88" spans="4:22">
      <c r="D88" s="126"/>
      <c r="E88" s="21" t="s">
        <v>24</v>
      </c>
      <c r="F88" s="22">
        <f t="shared" ref="F88:S88" si="37">F114+F139+F164+F189+F214+F239+F264</f>
        <v>0</v>
      </c>
      <c r="G88" s="22">
        <f t="shared" si="37"/>
        <v>0</v>
      </c>
      <c r="H88" s="22">
        <f t="shared" si="37"/>
        <v>0</v>
      </c>
      <c r="I88" s="22">
        <f t="shared" si="37"/>
        <v>0</v>
      </c>
      <c r="J88" s="22">
        <f t="shared" si="37"/>
        <v>0</v>
      </c>
      <c r="K88" s="22">
        <f t="shared" si="37"/>
        <v>0</v>
      </c>
      <c r="L88" s="22">
        <f t="shared" si="37"/>
        <v>0</v>
      </c>
      <c r="M88" s="22">
        <f t="shared" si="37"/>
        <v>0</v>
      </c>
      <c r="N88" s="22">
        <f t="shared" si="37"/>
        <v>0</v>
      </c>
      <c r="O88" s="22">
        <f t="shared" si="37"/>
        <v>0</v>
      </c>
      <c r="P88" s="22">
        <f t="shared" si="37"/>
        <v>0</v>
      </c>
      <c r="Q88" s="22">
        <f t="shared" si="37"/>
        <v>0</v>
      </c>
      <c r="R88" s="22">
        <f t="shared" si="37"/>
        <v>0</v>
      </c>
      <c r="S88" s="22">
        <f t="shared" si="37"/>
        <v>0</v>
      </c>
      <c r="T88" s="109"/>
      <c r="U88" s="113"/>
      <c r="V88" s="113"/>
    </row>
    <row r="89" spans="4:22">
      <c r="D89" s="126"/>
      <c r="E89" s="21" t="s">
        <v>25</v>
      </c>
      <c r="F89" s="22">
        <f t="shared" ref="F89:S89" si="38">F115+F140+F165+F190+F215+F240+F265</f>
        <v>0</v>
      </c>
      <c r="G89" s="22">
        <f t="shared" si="38"/>
        <v>0</v>
      </c>
      <c r="H89" s="22">
        <f t="shared" si="38"/>
        <v>0</v>
      </c>
      <c r="I89" s="22">
        <f t="shared" si="38"/>
        <v>0</v>
      </c>
      <c r="J89" s="22">
        <f t="shared" si="38"/>
        <v>0</v>
      </c>
      <c r="K89" s="22">
        <f t="shared" si="38"/>
        <v>0</v>
      </c>
      <c r="L89" s="22">
        <f t="shared" si="38"/>
        <v>0</v>
      </c>
      <c r="M89" s="22">
        <f t="shared" si="38"/>
        <v>0</v>
      </c>
      <c r="N89" s="22">
        <f t="shared" si="38"/>
        <v>0</v>
      </c>
      <c r="O89" s="22">
        <f t="shared" si="38"/>
        <v>0</v>
      </c>
      <c r="P89" s="22">
        <f t="shared" si="38"/>
        <v>0</v>
      </c>
      <c r="Q89" s="22">
        <f t="shared" si="38"/>
        <v>0</v>
      </c>
      <c r="R89" s="22">
        <f t="shared" si="38"/>
        <v>0</v>
      </c>
      <c r="S89" s="22">
        <f t="shared" si="38"/>
        <v>0</v>
      </c>
      <c r="T89" s="109"/>
      <c r="U89" s="113"/>
      <c r="V89" s="113"/>
    </row>
    <row r="90" spans="4:22">
      <c r="D90" s="126">
        <v>3</v>
      </c>
      <c r="E90" s="21" t="s">
        <v>78</v>
      </c>
      <c r="F90" s="22">
        <f t="shared" ref="F90:S90" si="39">F116+F141+F166+F191+F216+F241+F266</f>
        <v>0</v>
      </c>
      <c r="G90" s="22">
        <f t="shared" si="39"/>
        <v>0</v>
      </c>
      <c r="H90" s="22">
        <f t="shared" si="39"/>
        <v>0</v>
      </c>
      <c r="I90" s="22">
        <f t="shared" si="39"/>
        <v>0</v>
      </c>
      <c r="J90" s="22">
        <f t="shared" si="39"/>
        <v>0</v>
      </c>
      <c r="K90" s="22">
        <f t="shared" si="39"/>
        <v>0</v>
      </c>
      <c r="L90" s="22">
        <f t="shared" si="39"/>
        <v>0</v>
      </c>
      <c r="M90" s="22">
        <f t="shared" si="39"/>
        <v>0</v>
      </c>
      <c r="N90" s="22">
        <f t="shared" si="39"/>
        <v>0</v>
      </c>
      <c r="O90" s="22">
        <f t="shared" si="39"/>
        <v>0</v>
      </c>
      <c r="P90" s="22">
        <f t="shared" si="39"/>
        <v>0</v>
      </c>
      <c r="Q90" s="22">
        <f t="shared" si="39"/>
        <v>0</v>
      </c>
      <c r="R90" s="22">
        <f t="shared" si="39"/>
        <v>0</v>
      </c>
      <c r="S90" s="22">
        <f t="shared" si="39"/>
        <v>0</v>
      </c>
      <c r="T90" s="109" t="s">
        <v>117</v>
      </c>
      <c r="U90" s="113" t="s">
        <v>117</v>
      </c>
      <c r="V90" s="113" t="s">
        <v>117</v>
      </c>
    </row>
    <row r="91" spans="4:22">
      <c r="D91" s="126"/>
      <c r="E91" s="21" t="s">
        <v>24</v>
      </c>
      <c r="F91" s="22">
        <f t="shared" ref="F91:S91" si="40">F117+F142+F167+F192+F217+F242+F267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22">
        <f t="shared" si="40"/>
        <v>0</v>
      </c>
      <c r="O91" s="22">
        <f t="shared" si="40"/>
        <v>0</v>
      </c>
      <c r="P91" s="22">
        <f t="shared" si="40"/>
        <v>0</v>
      </c>
      <c r="Q91" s="22">
        <f t="shared" si="40"/>
        <v>0</v>
      </c>
      <c r="R91" s="22">
        <f t="shared" si="40"/>
        <v>0</v>
      </c>
      <c r="S91" s="22">
        <f t="shared" si="40"/>
        <v>0</v>
      </c>
      <c r="T91" s="109"/>
      <c r="U91" s="113"/>
      <c r="V91" s="113"/>
    </row>
    <row r="92" spans="4:22">
      <c r="D92" s="126"/>
      <c r="E92" s="21" t="s">
        <v>25</v>
      </c>
      <c r="F92" s="22">
        <f t="shared" ref="F92:S92" si="41">F118+F143+F168+F193+F218+F243+F268</f>
        <v>0</v>
      </c>
      <c r="G92" s="22">
        <f t="shared" si="41"/>
        <v>0</v>
      </c>
      <c r="H92" s="22">
        <f t="shared" si="41"/>
        <v>0</v>
      </c>
      <c r="I92" s="22">
        <f t="shared" si="41"/>
        <v>0</v>
      </c>
      <c r="J92" s="22">
        <f t="shared" si="41"/>
        <v>0</v>
      </c>
      <c r="K92" s="22">
        <f t="shared" si="41"/>
        <v>0</v>
      </c>
      <c r="L92" s="22">
        <f t="shared" si="41"/>
        <v>0</v>
      </c>
      <c r="M92" s="22">
        <f t="shared" si="41"/>
        <v>0</v>
      </c>
      <c r="N92" s="22">
        <f t="shared" si="41"/>
        <v>0</v>
      </c>
      <c r="O92" s="22">
        <f t="shared" si="41"/>
        <v>0</v>
      </c>
      <c r="P92" s="22">
        <f t="shared" si="41"/>
        <v>0</v>
      </c>
      <c r="Q92" s="22">
        <f t="shared" si="41"/>
        <v>0</v>
      </c>
      <c r="R92" s="22">
        <f t="shared" si="41"/>
        <v>0</v>
      </c>
      <c r="S92" s="22">
        <f t="shared" si="41"/>
        <v>0</v>
      </c>
      <c r="T92" s="109"/>
      <c r="U92" s="113"/>
      <c r="V92" s="113"/>
    </row>
    <row r="93" spans="4:22">
      <c r="D93" s="126">
        <v>4</v>
      </c>
      <c r="E93" s="21" t="s">
        <v>78</v>
      </c>
      <c r="F93" s="22">
        <f t="shared" ref="F93:S93" si="42">F119+F144+F169+F194+F219+F244+F269</f>
        <v>0</v>
      </c>
      <c r="G93" s="22">
        <f t="shared" si="42"/>
        <v>0</v>
      </c>
      <c r="H93" s="22">
        <f t="shared" si="42"/>
        <v>0</v>
      </c>
      <c r="I93" s="22">
        <f t="shared" si="42"/>
        <v>0</v>
      </c>
      <c r="J93" s="22">
        <f t="shared" si="42"/>
        <v>0</v>
      </c>
      <c r="K93" s="22">
        <f t="shared" si="42"/>
        <v>0</v>
      </c>
      <c r="L93" s="22">
        <f t="shared" si="42"/>
        <v>0</v>
      </c>
      <c r="M93" s="22">
        <f t="shared" si="42"/>
        <v>0</v>
      </c>
      <c r="N93" s="22">
        <f t="shared" si="42"/>
        <v>0</v>
      </c>
      <c r="O93" s="22">
        <f t="shared" si="42"/>
        <v>0</v>
      </c>
      <c r="P93" s="22">
        <f t="shared" si="42"/>
        <v>0</v>
      </c>
      <c r="Q93" s="22">
        <f t="shared" si="42"/>
        <v>0</v>
      </c>
      <c r="R93" s="22">
        <f t="shared" si="42"/>
        <v>0</v>
      </c>
      <c r="S93" s="22">
        <f t="shared" si="42"/>
        <v>0</v>
      </c>
      <c r="T93" s="109" t="s">
        <v>117</v>
      </c>
      <c r="U93" s="113" t="s">
        <v>117</v>
      </c>
      <c r="V93" s="113" t="s">
        <v>117</v>
      </c>
    </row>
    <row r="94" spans="4:22">
      <c r="D94" s="126"/>
      <c r="E94" s="21" t="s">
        <v>24</v>
      </c>
      <c r="F94" s="22">
        <f t="shared" ref="F94:S94" si="43">F120+F145+F170+F195+F220+F245+F270</f>
        <v>0</v>
      </c>
      <c r="G94" s="22">
        <f t="shared" si="43"/>
        <v>0</v>
      </c>
      <c r="H94" s="22">
        <f t="shared" si="43"/>
        <v>0</v>
      </c>
      <c r="I94" s="22">
        <f t="shared" si="43"/>
        <v>0</v>
      </c>
      <c r="J94" s="22">
        <f t="shared" si="43"/>
        <v>0</v>
      </c>
      <c r="K94" s="22">
        <f t="shared" si="43"/>
        <v>0</v>
      </c>
      <c r="L94" s="22">
        <f t="shared" si="43"/>
        <v>0</v>
      </c>
      <c r="M94" s="22">
        <f t="shared" si="43"/>
        <v>0</v>
      </c>
      <c r="N94" s="22">
        <f t="shared" si="43"/>
        <v>0</v>
      </c>
      <c r="O94" s="22">
        <f t="shared" si="43"/>
        <v>0</v>
      </c>
      <c r="P94" s="22">
        <f t="shared" si="43"/>
        <v>0</v>
      </c>
      <c r="Q94" s="22">
        <f t="shared" si="43"/>
        <v>0</v>
      </c>
      <c r="R94" s="22">
        <f t="shared" si="43"/>
        <v>0</v>
      </c>
      <c r="S94" s="22">
        <f t="shared" si="43"/>
        <v>0</v>
      </c>
      <c r="T94" s="109"/>
      <c r="U94" s="113"/>
      <c r="V94" s="113"/>
    </row>
    <row r="95" spans="4:22">
      <c r="D95" s="126"/>
      <c r="E95" s="21" t="s">
        <v>25</v>
      </c>
      <c r="F95" s="22">
        <f t="shared" ref="F95:S95" si="44">F121+F146+F171+F196+F221+F246+F271</f>
        <v>0</v>
      </c>
      <c r="G95" s="22">
        <f t="shared" si="44"/>
        <v>0</v>
      </c>
      <c r="H95" s="22">
        <f t="shared" si="44"/>
        <v>0</v>
      </c>
      <c r="I95" s="22">
        <f t="shared" si="44"/>
        <v>0</v>
      </c>
      <c r="J95" s="22">
        <f t="shared" si="44"/>
        <v>0</v>
      </c>
      <c r="K95" s="22">
        <f t="shared" si="44"/>
        <v>0</v>
      </c>
      <c r="L95" s="22">
        <f t="shared" si="44"/>
        <v>0</v>
      </c>
      <c r="M95" s="22">
        <f t="shared" si="44"/>
        <v>0</v>
      </c>
      <c r="N95" s="22">
        <f t="shared" si="44"/>
        <v>0</v>
      </c>
      <c r="O95" s="22">
        <f t="shared" si="44"/>
        <v>0</v>
      </c>
      <c r="P95" s="22">
        <f t="shared" si="44"/>
        <v>0</v>
      </c>
      <c r="Q95" s="22">
        <f t="shared" si="44"/>
        <v>0</v>
      </c>
      <c r="R95" s="22">
        <f t="shared" si="44"/>
        <v>0</v>
      </c>
      <c r="S95" s="22">
        <f t="shared" si="44"/>
        <v>0</v>
      </c>
      <c r="T95" s="109"/>
      <c r="U95" s="113"/>
      <c r="V95" s="113"/>
    </row>
    <row r="96" spans="4:22">
      <c r="D96" s="126">
        <v>5</v>
      </c>
      <c r="E96" s="21" t="s">
        <v>78</v>
      </c>
      <c r="F96" s="22">
        <f t="shared" ref="F96:S96" si="45">F122+F147+F172+F197+F222+F247+F272</f>
        <v>0</v>
      </c>
      <c r="G96" s="22">
        <f t="shared" si="45"/>
        <v>0</v>
      </c>
      <c r="H96" s="22">
        <f t="shared" si="45"/>
        <v>0</v>
      </c>
      <c r="I96" s="22">
        <f t="shared" si="45"/>
        <v>0</v>
      </c>
      <c r="J96" s="22">
        <f t="shared" si="45"/>
        <v>0</v>
      </c>
      <c r="K96" s="22">
        <f t="shared" si="45"/>
        <v>0</v>
      </c>
      <c r="L96" s="22">
        <f t="shared" si="45"/>
        <v>0</v>
      </c>
      <c r="M96" s="22">
        <f t="shared" si="45"/>
        <v>0</v>
      </c>
      <c r="N96" s="22">
        <f t="shared" si="45"/>
        <v>0</v>
      </c>
      <c r="O96" s="22">
        <f t="shared" si="45"/>
        <v>0</v>
      </c>
      <c r="P96" s="22">
        <f t="shared" si="45"/>
        <v>0</v>
      </c>
      <c r="Q96" s="22">
        <f t="shared" si="45"/>
        <v>0</v>
      </c>
      <c r="R96" s="22">
        <f t="shared" si="45"/>
        <v>0</v>
      </c>
      <c r="S96" s="22">
        <f t="shared" si="45"/>
        <v>0</v>
      </c>
      <c r="T96" s="109" t="s">
        <v>117</v>
      </c>
      <c r="U96" s="113" t="s">
        <v>117</v>
      </c>
      <c r="V96" s="113" t="s">
        <v>117</v>
      </c>
    </row>
    <row r="97" spans="3:24">
      <c r="D97" s="126"/>
      <c r="E97" s="21" t="s">
        <v>24</v>
      </c>
      <c r="F97" s="22">
        <f t="shared" ref="F97:S97" si="46">F123+F148+F173+F198+F223+F248+F273</f>
        <v>0</v>
      </c>
      <c r="G97" s="22">
        <f t="shared" si="46"/>
        <v>0</v>
      </c>
      <c r="H97" s="22">
        <f t="shared" si="46"/>
        <v>0</v>
      </c>
      <c r="I97" s="22">
        <f t="shared" si="46"/>
        <v>0</v>
      </c>
      <c r="J97" s="22">
        <f t="shared" si="46"/>
        <v>0</v>
      </c>
      <c r="K97" s="22">
        <f t="shared" si="46"/>
        <v>0</v>
      </c>
      <c r="L97" s="22">
        <f t="shared" si="46"/>
        <v>0</v>
      </c>
      <c r="M97" s="22">
        <f t="shared" si="46"/>
        <v>0</v>
      </c>
      <c r="N97" s="22">
        <f t="shared" si="46"/>
        <v>0</v>
      </c>
      <c r="O97" s="22">
        <f t="shared" si="46"/>
        <v>0</v>
      </c>
      <c r="P97" s="22">
        <f t="shared" si="46"/>
        <v>0</v>
      </c>
      <c r="Q97" s="22">
        <f t="shared" si="46"/>
        <v>0</v>
      </c>
      <c r="R97" s="22">
        <f t="shared" si="46"/>
        <v>0</v>
      </c>
      <c r="S97" s="22">
        <f t="shared" si="46"/>
        <v>0</v>
      </c>
      <c r="T97" s="109"/>
      <c r="U97" s="113"/>
      <c r="V97" s="113"/>
    </row>
    <row r="98" spans="3:24">
      <c r="D98" s="126"/>
      <c r="E98" s="21" t="s">
        <v>25</v>
      </c>
      <c r="F98" s="22">
        <f t="shared" ref="F98:S98" si="47">F124+F149+F174+F199+F224+F249+F274</f>
        <v>0</v>
      </c>
      <c r="G98" s="22">
        <f t="shared" si="47"/>
        <v>0</v>
      </c>
      <c r="H98" s="22">
        <f t="shared" si="47"/>
        <v>0</v>
      </c>
      <c r="I98" s="22">
        <f t="shared" si="47"/>
        <v>0</v>
      </c>
      <c r="J98" s="22">
        <f t="shared" si="47"/>
        <v>0</v>
      </c>
      <c r="K98" s="22">
        <f t="shared" si="47"/>
        <v>0</v>
      </c>
      <c r="L98" s="22">
        <f t="shared" si="47"/>
        <v>0</v>
      </c>
      <c r="M98" s="22">
        <f t="shared" si="47"/>
        <v>0</v>
      </c>
      <c r="N98" s="22">
        <f t="shared" si="47"/>
        <v>0</v>
      </c>
      <c r="O98" s="22">
        <f t="shared" si="47"/>
        <v>0</v>
      </c>
      <c r="P98" s="22">
        <f t="shared" si="47"/>
        <v>0</v>
      </c>
      <c r="Q98" s="22">
        <f t="shared" si="47"/>
        <v>0</v>
      </c>
      <c r="R98" s="22">
        <f t="shared" si="47"/>
        <v>0</v>
      </c>
      <c r="S98" s="22">
        <f t="shared" si="47"/>
        <v>0</v>
      </c>
      <c r="T98" s="109"/>
      <c r="U98" s="113"/>
      <c r="V98" s="113"/>
    </row>
    <row r="99" spans="3:24">
      <c r="D99" s="126" t="s">
        <v>43</v>
      </c>
      <c r="E99" s="21" t="s">
        <v>78</v>
      </c>
      <c r="F99" s="22">
        <f t="shared" ref="F99:S99" si="48">F125+F150+F175+F200+F225+F250+F275</f>
        <v>0</v>
      </c>
      <c r="G99" s="22">
        <f t="shared" si="48"/>
        <v>0</v>
      </c>
      <c r="H99" s="22">
        <f t="shared" si="48"/>
        <v>0</v>
      </c>
      <c r="I99" s="22">
        <f t="shared" si="48"/>
        <v>0</v>
      </c>
      <c r="J99" s="22">
        <f t="shared" si="48"/>
        <v>0</v>
      </c>
      <c r="K99" s="22">
        <f t="shared" si="48"/>
        <v>0</v>
      </c>
      <c r="L99" s="22">
        <f t="shared" si="48"/>
        <v>0</v>
      </c>
      <c r="M99" s="22">
        <f t="shared" si="48"/>
        <v>0</v>
      </c>
      <c r="N99" s="22">
        <f t="shared" si="48"/>
        <v>0</v>
      </c>
      <c r="O99" s="22">
        <f t="shared" si="48"/>
        <v>0</v>
      </c>
      <c r="P99" s="22">
        <f t="shared" si="48"/>
        <v>0</v>
      </c>
      <c r="Q99" s="22">
        <f t="shared" si="48"/>
        <v>0</v>
      </c>
      <c r="R99" s="22">
        <f t="shared" si="48"/>
        <v>0</v>
      </c>
      <c r="S99" s="22">
        <f t="shared" si="48"/>
        <v>0</v>
      </c>
      <c r="T99" s="109" t="s">
        <v>117</v>
      </c>
      <c r="U99" s="113" t="s">
        <v>117</v>
      </c>
      <c r="V99" s="113" t="s">
        <v>117</v>
      </c>
    </row>
    <row r="100" spans="3:24">
      <c r="D100" s="126"/>
      <c r="E100" s="21" t="s">
        <v>24</v>
      </c>
      <c r="F100" s="22">
        <f t="shared" ref="F100:S100" si="49">F126+F151+F176+F201+F226+F251+F276</f>
        <v>0</v>
      </c>
      <c r="G100" s="22">
        <f t="shared" si="49"/>
        <v>0</v>
      </c>
      <c r="H100" s="22">
        <f t="shared" si="49"/>
        <v>0</v>
      </c>
      <c r="I100" s="22">
        <f t="shared" si="49"/>
        <v>0</v>
      </c>
      <c r="J100" s="22">
        <f t="shared" si="49"/>
        <v>0</v>
      </c>
      <c r="K100" s="22">
        <f t="shared" si="49"/>
        <v>0</v>
      </c>
      <c r="L100" s="22">
        <f t="shared" si="49"/>
        <v>0</v>
      </c>
      <c r="M100" s="22">
        <f t="shared" si="49"/>
        <v>0</v>
      </c>
      <c r="N100" s="22">
        <f t="shared" si="49"/>
        <v>0</v>
      </c>
      <c r="O100" s="22">
        <f t="shared" si="49"/>
        <v>0</v>
      </c>
      <c r="P100" s="22">
        <f t="shared" si="49"/>
        <v>0</v>
      </c>
      <c r="Q100" s="22">
        <f t="shared" si="49"/>
        <v>0</v>
      </c>
      <c r="R100" s="22">
        <f t="shared" si="49"/>
        <v>0</v>
      </c>
      <c r="S100" s="22">
        <f t="shared" si="49"/>
        <v>0</v>
      </c>
      <c r="T100" s="109"/>
      <c r="U100" s="113"/>
      <c r="V100" s="113"/>
    </row>
    <row r="101" spans="3:24">
      <c r="D101" s="126"/>
      <c r="E101" s="21" t="s">
        <v>69</v>
      </c>
      <c r="F101" s="22">
        <f t="shared" ref="F101:S101" si="50">F127+F152+F177+F202+F227+F252+F277</f>
        <v>0</v>
      </c>
      <c r="G101" s="22">
        <f t="shared" si="50"/>
        <v>0</v>
      </c>
      <c r="H101" s="22">
        <f t="shared" si="50"/>
        <v>0</v>
      </c>
      <c r="I101" s="22">
        <f t="shared" si="50"/>
        <v>0</v>
      </c>
      <c r="J101" s="22">
        <f t="shared" si="50"/>
        <v>0</v>
      </c>
      <c r="K101" s="22">
        <f t="shared" si="50"/>
        <v>0</v>
      </c>
      <c r="L101" s="22">
        <f t="shared" si="50"/>
        <v>0</v>
      </c>
      <c r="M101" s="22">
        <f t="shared" si="50"/>
        <v>0</v>
      </c>
      <c r="N101" s="22">
        <f t="shared" si="50"/>
        <v>0</v>
      </c>
      <c r="O101" s="22">
        <f t="shared" si="50"/>
        <v>0</v>
      </c>
      <c r="P101" s="22">
        <f t="shared" si="50"/>
        <v>0</v>
      </c>
      <c r="Q101" s="22">
        <f t="shared" si="50"/>
        <v>0</v>
      </c>
      <c r="R101" s="22">
        <f t="shared" si="50"/>
        <v>0</v>
      </c>
      <c r="S101" s="22">
        <f t="shared" si="50"/>
        <v>0</v>
      </c>
      <c r="T101" s="109"/>
      <c r="U101" s="113"/>
      <c r="V101" s="113"/>
    </row>
    <row r="103" spans="3:24">
      <c r="C103" s="119" t="s">
        <v>137</v>
      </c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</row>
    <row r="104" spans="3:24">
      <c r="D104" s="119" t="s">
        <v>158</v>
      </c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</row>
    <row r="105" spans="3:24">
      <c r="U105" s="108" t="s">
        <v>143</v>
      </c>
      <c r="V105" s="108"/>
    </row>
    <row r="106" spans="3:24">
      <c r="D106" s="107" t="s">
        <v>68</v>
      </c>
      <c r="E106" s="107"/>
      <c r="F106" s="107" t="s">
        <v>129</v>
      </c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9" t="s">
        <v>117</v>
      </c>
      <c r="U106" s="107" t="s">
        <v>107</v>
      </c>
      <c r="V106" s="107" t="s">
        <v>19</v>
      </c>
    </row>
    <row r="107" spans="3:24">
      <c r="D107" s="107"/>
      <c r="E107" s="107"/>
      <c r="F107" s="107" t="s">
        <v>46</v>
      </c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 t="s">
        <v>134</v>
      </c>
      <c r="S107" s="107" t="s">
        <v>69</v>
      </c>
      <c r="T107" s="109"/>
      <c r="U107" s="107"/>
      <c r="V107" s="107"/>
    </row>
    <row r="108" spans="3:24">
      <c r="D108" s="107"/>
      <c r="E108" s="107"/>
      <c r="F108" s="107" t="s">
        <v>121</v>
      </c>
      <c r="G108" s="107" t="s">
        <v>52</v>
      </c>
      <c r="H108" s="107"/>
      <c r="I108" s="107" t="s">
        <v>76</v>
      </c>
      <c r="J108" s="107"/>
      <c r="K108" s="107" t="s">
        <v>149</v>
      </c>
      <c r="L108" s="107" t="s">
        <v>105</v>
      </c>
      <c r="M108" s="107" t="s">
        <v>88</v>
      </c>
      <c r="N108" s="107" t="s">
        <v>35</v>
      </c>
      <c r="O108" s="107" t="s">
        <v>33</v>
      </c>
      <c r="P108" s="107" t="s">
        <v>30</v>
      </c>
      <c r="Q108" s="107" t="s">
        <v>25</v>
      </c>
      <c r="R108" s="107"/>
      <c r="S108" s="107"/>
      <c r="T108" s="109"/>
      <c r="U108" s="107"/>
      <c r="V108" s="107"/>
    </row>
    <row r="109" spans="3:24">
      <c r="D109" s="107"/>
      <c r="E109" s="107"/>
      <c r="F109" s="107"/>
      <c r="G109" s="20" t="s">
        <v>83</v>
      </c>
      <c r="H109" s="20" t="s">
        <v>102</v>
      </c>
      <c r="I109" s="20" t="s">
        <v>83</v>
      </c>
      <c r="J109" s="20" t="s">
        <v>102</v>
      </c>
      <c r="K109" s="107"/>
      <c r="L109" s="107"/>
      <c r="M109" s="107"/>
      <c r="N109" s="107"/>
      <c r="O109" s="107"/>
      <c r="P109" s="107"/>
      <c r="Q109" s="107"/>
      <c r="R109" s="107"/>
      <c r="S109" s="107"/>
      <c r="T109" s="109"/>
      <c r="U109" s="107"/>
      <c r="V109" s="107"/>
    </row>
    <row r="110" spans="3:24">
      <c r="D110" s="126">
        <v>1</v>
      </c>
      <c r="E110" s="21" t="s">
        <v>78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2">
        <f>SUM(F110:P110)</f>
        <v>0</v>
      </c>
      <c r="R110" s="24"/>
      <c r="S110" s="22">
        <f>Q110+R110</f>
        <v>0</v>
      </c>
      <c r="T110" s="109" t="s">
        <v>117</v>
      </c>
      <c r="U110" s="113" t="s">
        <v>117</v>
      </c>
      <c r="V110" s="113" t="s">
        <v>117</v>
      </c>
      <c r="X110" s="19">
        <f>Q110*0.2313</f>
        <v>0</v>
      </c>
    </row>
    <row r="111" spans="3:24">
      <c r="D111" s="126"/>
      <c r="E111" s="21" t="s">
        <v>24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2">
        <f>SUM(F111:P111)</f>
        <v>0</v>
      </c>
      <c r="R111" s="24"/>
      <c r="S111" s="22">
        <f>Q111+R111</f>
        <v>0</v>
      </c>
      <c r="T111" s="109"/>
      <c r="U111" s="113"/>
      <c r="V111" s="113"/>
      <c r="X111" s="19"/>
    </row>
    <row r="112" spans="3:24">
      <c r="D112" s="126"/>
      <c r="E112" s="21" t="s">
        <v>25</v>
      </c>
      <c r="F112" s="22">
        <f t="shared" ref="F112:P112" si="51">SUM(F110:F111)</f>
        <v>0</v>
      </c>
      <c r="G112" s="22">
        <f t="shared" si="51"/>
        <v>0</v>
      </c>
      <c r="H112" s="22">
        <f t="shared" si="51"/>
        <v>0</v>
      </c>
      <c r="I112" s="22">
        <f t="shared" si="51"/>
        <v>0</v>
      </c>
      <c r="J112" s="22">
        <f t="shared" si="51"/>
        <v>0</v>
      </c>
      <c r="K112" s="22">
        <f t="shared" si="51"/>
        <v>0</v>
      </c>
      <c r="L112" s="22">
        <f t="shared" si="51"/>
        <v>0</v>
      </c>
      <c r="M112" s="22">
        <f t="shared" si="51"/>
        <v>0</v>
      </c>
      <c r="N112" s="22">
        <f t="shared" si="51"/>
        <v>0</v>
      </c>
      <c r="O112" s="22">
        <f t="shared" si="51"/>
        <v>0</v>
      </c>
      <c r="P112" s="22">
        <f t="shared" si="51"/>
        <v>0</v>
      </c>
      <c r="Q112" s="22">
        <f>SUM(Q110:Q111)</f>
        <v>0</v>
      </c>
      <c r="R112" s="22">
        <f t="shared" ref="R112" si="52">SUM(R110:R111)</f>
        <v>0</v>
      </c>
      <c r="S112" s="22">
        <f>SUM(S110:S111)</f>
        <v>0</v>
      </c>
      <c r="T112" s="109"/>
      <c r="U112" s="113"/>
      <c r="V112" s="113"/>
      <c r="X112" s="19"/>
    </row>
    <row r="113" spans="4:25">
      <c r="D113" s="126">
        <v>2</v>
      </c>
      <c r="E113" s="21" t="s">
        <v>78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2">
        <f>SUM(F113:P113)</f>
        <v>0</v>
      </c>
      <c r="R113" s="24"/>
      <c r="S113" s="22">
        <f t="shared" ref="S113:S114" si="53">Q113+R113</f>
        <v>0</v>
      </c>
      <c r="T113" s="109" t="s">
        <v>117</v>
      </c>
      <c r="U113" s="113" t="s">
        <v>117</v>
      </c>
      <c r="V113" s="113" t="s">
        <v>117</v>
      </c>
      <c r="X113" s="19">
        <f>Q113*0.2313</f>
        <v>0</v>
      </c>
    </row>
    <row r="114" spans="4:25">
      <c r="D114" s="126"/>
      <c r="E114" s="21" t="s">
        <v>24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2">
        <f>SUM(F114:P114)</f>
        <v>0</v>
      </c>
      <c r="R114" s="24"/>
      <c r="S114" s="22">
        <f t="shared" si="53"/>
        <v>0</v>
      </c>
      <c r="T114" s="109"/>
      <c r="U114" s="113"/>
      <c r="V114" s="113"/>
      <c r="X114" s="19"/>
    </row>
    <row r="115" spans="4:25">
      <c r="D115" s="126"/>
      <c r="E115" s="21" t="s">
        <v>25</v>
      </c>
      <c r="F115" s="22">
        <f>SUM(F113:F114)</f>
        <v>0</v>
      </c>
      <c r="G115" s="22">
        <f t="shared" ref="G115:R115" si="54">SUM(G113:G114)</f>
        <v>0</v>
      </c>
      <c r="H115" s="22">
        <f t="shared" si="54"/>
        <v>0</v>
      </c>
      <c r="I115" s="22">
        <f t="shared" si="54"/>
        <v>0</v>
      </c>
      <c r="J115" s="22">
        <f t="shared" si="54"/>
        <v>0</v>
      </c>
      <c r="K115" s="22">
        <f t="shared" si="54"/>
        <v>0</v>
      </c>
      <c r="L115" s="22">
        <f t="shared" si="54"/>
        <v>0</v>
      </c>
      <c r="M115" s="22">
        <f t="shared" si="54"/>
        <v>0</v>
      </c>
      <c r="N115" s="22">
        <f t="shared" si="54"/>
        <v>0</v>
      </c>
      <c r="O115" s="22">
        <f t="shared" si="54"/>
        <v>0</v>
      </c>
      <c r="P115" s="22">
        <f t="shared" si="54"/>
        <v>0</v>
      </c>
      <c r="Q115" s="22">
        <f t="shared" si="54"/>
        <v>0</v>
      </c>
      <c r="R115" s="22">
        <f t="shared" si="54"/>
        <v>0</v>
      </c>
      <c r="S115" s="22">
        <f>SUM(S113:S114)</f>
        <v>0</v>
      </c>
      <c r="T115" s="109"/>
      <c r="U115" s="113"/>
      <c r="V115" s="113"/>
      <c r="X115" s="19"/>
    </row>
    <row r="116" spans="4:25">
      <c r="D116" s="126">
        <v>3</v>
      </c>
      <c r="E116" s="21" t="s">
        <v>78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2">
        <f>SUM(F116:P116)</f>
        <v>0</v>
      </c>
      <c r="R116" s="24"/>
      <c r="S116" s="22">
        <f t="shared" ref="S116:S117" si="55">Q116+R116</f>
        <v>0</v>
      </c>
      <c r="T116" s="109" t="s">
        <v>117</v>
      </c>
      <c r="U116" s="113" t="s">
        <v>117</v>
      </c>
      <c r="V116" s="113" t="s">
        <v>117</v>
      </c>
      <c r="X116" s="19">
        <f>Q116*0.2313</f>
        <v>0</v>
      </c>
    </row>
    <row r="117" spans="4:25">
      <c r="D117" s="126"/>
      <c r="E117" s="21" t="s">
        <v>24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2">
        <f>SUM(F117:P117)</f>
        <v>0</v>
      </c>
      <c r="R117" s="24"/>
      <c r="S117" s="22">
        <f t="shared" si="55"/>
        <v>0</v>
      </c>
      <c r="T117" s="109"/>
      <c r="U117" s="113"/>
      <c r="V117" s="113"/>
      <c r="X117" s="19"/>
    </row>
    <row r="118" spans="4:25">
      <c r="D118" s="126"/>
      <c r="E118" s="21" t="s">
        <v>25</v>
      </c>
      <c r="F118" s="22">
        <f>SUM(F116:F117)</f>
        <v>0</v>
      </c>
      <c r="G118" s="22">
        <f t="shared" ref="G118:R118" si="56">SUM(G116:G117)</f>
        <v>0</v>
      </c>
      <c r="H118" s="22">
        <f t="shared" si="56"/>
        <v>0</v>
      </c>
      <c r="I118" s="22">
        <f t="shared" si="56"/>
        <v>0</v>
      </c>
      <c r="J118" s="22">
        <f t="shared" si="56"/>
        <v>0</v>
      </c>
      <c r="K118" s="22">
        <f t="shared" si="56"/>
        <v>0</v>
      </c>
      <c r="L118" s="22">
        <f t="shared" si="56"/>
        <v>0</v>
      </c>
      <c r="M118" s="22">
        <f t="shared" si="56"/>
        <v>0</v>
      </c>
      <c r="N118" s="22">
        <f t="shared" si="56"/>
        <v>0</v>
      </c>
      <c r="O118" s="22">
        <f t="shared" si="56"/>
        <v>0</v>
      </c>
      <c r="P118" s="22">
        <f t="shared" si="56"/>
        <v>0</v>
      </c>
      <c r="Q118" s="22">
        <f t="shared" si="56"/>
        <v>0</v>
      </c>
      <c r="R118" s="22">
        <f t="shared" si="56"/>
        <v>0</v>
      </c>
      <c r="S118" s="22">
        <f>SUM(S116:S117)</f>
        <v>0</v>
      </c>
      <c r="T118" s="109"/>
      <c r="U118" s="113"/>
      <c r="V118" s="113"/>
      <c r="X118" s="19"/>
    </row>
    <row r="119" spans="4:25">
      <c r="D119" s="126">
        <v>4</v>
      </c>
      <c r="E119" s="21" t="s">
        <v>78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2">
        <f>SUM(F119:P119)</f>
        <v>0</v>
      </c>
      <c r="R119" s="24"/>
      <c r="S119" s="22">
        <f t="shared" ref="S119:S120" si="57">Q119+R119</f>
        <v>0</v>
      </c>
      <c r="T119" s="109" t="s">
        <v>117</v>
      </c>
      <c r="U119" s="113" t="s">
        <v>117</v>
      </c>
      <c r="V119" s="113" t="s">
        <v>117</v>
      </c>
      <c r="X119" s="19">
        <f>Q119*0.2313</f>
        <v>0</v>
      </c>
      <c r="Y119" s="69"/>
    </row>
    <row r="120" spans="4:25">
      <c r="D120" s="126"/>
      <c r="E120" s="21" t="s">
        <v>24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2">
        <f>SUM(F120:P120)</f>
        <v>0</v>
      </c>
      <c r="R120" s="24"/>
      <c r="S120" s="22">
        <f t="shared" si="57"/>
        <v>0</v>
      </c>
      <c r="T120" s="109"/>
      <c r="U120" s="113"/>
      <c r="V120" s="113"/>
      <c r="X120" s="19"/>
    </row>
    <row r="121" spans="4:25">
      <c r="D121" s="126"/>
      <c r="E121" s="21" t="s">
        <v>25</v>
      </c>
      <c r="F121" s="22">
        <f>SUM(F119:F120)</f>
        <v>0</v>
      </c>
      <c r="G121" s="22">
        <f t="shared" ref="G121:R121" si="58">SUM(G119:G120)</f>
        <v>0</v>
      </c>
      <c r="H121" s="22">
        <f t="shared" si="58"/>
        <v>0</v>
      </c>
      <c r="I121" s="22">
        <f t="shared" si="58"/>
        <v>0</v>
      </c>
      <c r="J121" s="22">
        <f t="shared" si="58"/>
        <v>0</v>
      </c>
      <c r="K121" s="22">
        <f t="shared" si="58"/>
        <v>0</v>
      </c>
      <c r="L121" s="22">
        <f t="shared" si="58"/>
        <v>0</v>
      </c>
      <c r="M121" s="22">
        <f t="shared" si="58"/>
        <v>0</v>
      </c>
      <c r="N121" s="22">
        <f t="shared" si="58"/>
        <v>0</v>
      </c>
      <c r="O121" s="22">
        <f t="shared" si="58"/>
        <v>0</v>
      </c>
      <c r="P121" s="22">
        <f t="shared" si="58"/>
        <v>0</v>
      </c>
      <c r="Q121" s="22">
        <f t="shared" si="58"/>
        <v>0</v>
      </c>
      <c r="R121" s="22">
        <f t="shared" si="58"/>
        <v>0</v>
      </c>
      <c r="S121" s="22">
        <f>SUM(S119:S120)</f>
        <v>0</v>
      </c>
      <c r="T121" s="109"/>
      <c r="U121" s="113"/>
      <c r="V121" s="113"/>
      <c r="X121" s="19"/>
    </row>
    <row r="122" spans="4:25">
      <c r="D122" s="126">
        <v>5</v>
      </c>
      <c r="E122" s="21" t="s">
        <v>78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2">
        <f>SUM(F122:P122)</f>
        <v>0</v>
      </c>
      <c r="R122" s="24"/>
      <c r="S122" s="22">
        <f t="shared" ref="S122:S123" si="59">Q122+R122</f>
        <v>0</v>
      </c>
      <c r="T122" s="109" t="s">
        <v>117</v>
      </c>
      <c r="U122" s="113" t="s">
        <v>117</v>
      </c>
      <c r="V122" s="113" t="s">
        <v>117</v>
      </c>
      <c r="X122" s="19">
        <f>Q122*0.2313</f>
        <v>0</v>
      </c>
    </row>
    <row r="123" spans="4:25">
      <c r="D123" s="126"/>
      <c r="E123" s="21" t="s">
        <v>24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2">
        <f>SUM(F123:P123)</f>
        <v>0</v>
      </c>
      <c r="R123" s="24"/>
      <c r="S123" s="22">
        <f t="shared" si="59"/>
        <v>0</v>
      </c>
      <c r="T123" s="109"/>
      <c r="U123" s="113"/>
      <c r="V123" s="113"/>
      <c r="X123" s="19"/>
    </row>
    <row r="124" spans="4:25">
      <c r="D124" s="126"/>
      <c r="E124" s="21" t="s">
        <v>25</v>
      </c>
      <c r="F124" s="22">
        <f>SUM(F122:F123)</f>
        <v>0</v>
      </c>
      <c r="G124" s="22">
        <f t="shared" ref="G124:Q124" si="60">SUM(G122:G123)</f>
        <v>0</v>
      </c>
      <c r="H124" s="22">
        <f t="shared" si="60"/>
        <v>0</v>
      </c>
      <c r="I124" s="22">
        <f t="shared" si="60"/>
        <v>0</v>
      </c>
      <c r="J124" s="22">
        <f t="shared" si="60"/>
        <v>0</v>
      </c>
      <c r="K124" s="22">
        <f t="shared" si="60"/>
        <v>0</v>
      </c>
      <c r="L124" s="22">
        <f t="shared" si="60"/>
        <v>0</v>
      </c>
      <c r="M124" s="22">
        <f t="shared" si="60"/>
        <v>0</v>
      </c>
      <c r="N124" s="22">
        <f t="shared" si="60"/>
        <v>0</v>
      </c>
      <c r="O124" s="22">
        <f t="shared" si="60"/>
        <v>0</v>
      </c>
      <c r="P124" s="22">
        <f t="shared" si="60"/>
        <v>0</v>
      </c>
      <c r="Q124" s="22">
        <f t="shared" si="60"/>
        <v>0</v>
      </c>
      <c r="R124" s="22">
        <f>SUM(R122:R123)</f>
        <v>0</v>
      </c>
      <c r="S124" s="22">
        <f>SUM(S122:S123)</f>
        <v>0</v>
      </c>
      <c r="T124" s="109"/>
      <c r="U124" s="113"/>
      <c r="V124" s="113"/>
      <c r="X124" s="19"/>
    </row>
    <row r="125" spans="4:25">
      <c r="D125" s="126" t="s">
        <v>43</v>
      </c>
      <c r="E125" s="21" t="s">
        <v>78</v>
      </c>
      <c r="F125" s="22">
        <f>F110+F113+F116+F119+F122</f>
        <v>0</v>
      </c>
      <c r="G125" s="22">
        <f t="shared" ref="G125:S125" si="61">G110+G113+G116+G119+G122</f>
        <v>0</v>
      </c>
      <c r="H125" s="22">
        <f t="shared" si="61"/>
        <v>0</v>
      </c>
      <c r="I125" s="22">
        <f t="shared" si="61"/>
        <v>0</v>
      </c>
      <c r="J125" s="22">
        <f t="shared" si="61"/>
        <v>0</v>
      </c>
      <c r="K125" s="22">
        <f t="shared" si="61"/>
        <v>0</v>
      </c>
      <c r="L125" s="22">
        <f t="shared" si="61"/>
        <v>0</v>
      </c>
      <c r="M125" s="22">
        <f t="shared" si="61"/>
        <v>0</v>
      </c>
      <c r="N125" s="22">
        <f t="shared" si="61"/>
        <v>0</v>
      </c>
      <c r="O125" s="22">
        <f t="shared" si="61"/>
        <v>0</v>
      </c>
      <c r="P125" s="22">
        <f t="shared" si="61"/>
        <v>0</v>
      </c>
      <c r="Q125" s="22">
        <f t="shared" si="61"/>
        <v>0</v>
      </c>
      <c r="R125" s="22">
        <f t="shared" si="61"/>
        <v>0</v>
      </c>
      <c r="S125" s="22">
        <f t="shared" si="61"/>
        <v>0</v>
      </c>
      <c r="T125" s="109" t="s">
        <v>117</v>
      </c>
      <c r="U125" s="113" t="s">
        <v>117</v>
      </c>
      <c r="V125" s="113" t="s">
        <v>117</v>
      </c>
      <c r="X125" s="19">
        <f>Q125*0.2313</f>
        <v>0</v>
      </c>
    </row>
    <row r="126" spans="4:25">
      <c r="D126" s="126"/>
      <c r="E126" s="21" t="s">
        <v>24</v>
      </c>
      <c r="F126" s="22">
        <f t="shared" ref="F126:S126" si="62">F111+F114+F117+F120+F123</f>
        <v>0</v>
      </c>
      <c r="G126" s="22">
        <f t="shared" si="62"/>
        <v>0</v>
      </c>
      <c r="H126" s="22">
        <f t="shared" si="62"/>
        <v>0</v>
      </c>
      <c r="I126" s="22">
        <f t="shared" si="62"/>
        <v>0</v>
      </c>
      <c r="J126" s="22">
        <f t="shared" si="62"/>
        <v>0</v>
      </c>
      <c r="K126" s="22">
        <f t="shared" si="62"/>
        <v>0</v>
      </c>
      <c r="L126" s="22">
        <f t="shared" si="62"/>
        <v>0</v>
      </c>
      <c r="M126" s="22">
        <f t="shared" si="62"/>
        <v>0</v>
      </c>
      <c r="N126" s="22">
        <f t="shared" si="62"/>
        <v>0</v>
      </c>
      <c r="O126" s="22">
        <f t="shared" si="62"/>
        <v>0</v>
      </c>
      <c r="P126" s="22">
        <f t="shared" si="62"/>
        <v>0</v>
      </c>
      <c r="Q126" s="22">
        <f t="shared" si="62"/>
        <v>0</v>
      </c>
      <c r="R126" s="22">
        <f t="shared" si="62"/>
        <v>0</v>
      </c>
      <c r="S126" s="22">
        <f t="shared" si="62"/>
        <v>0</v>
      </c>
      <c r="T126" s="109"/>
      <c r="U126" s="113"/>
      <c r="V126" s="113"/>
    </row>
    <row r="127" spans="4:25">
      <c r="D127" s="126"/>
      <c r="E127" s="21" t="s">
        <v>69</v>
      </c>
      <c r="F127" s="22">
        <f t="shared" ref="F127:S127" si="63">F112+F115+F118+F121+F124</f>
        <v>0</v>
      </c>
      <c r="G127" s="22">
        <f t="shared" si="63"/>
        <v>0</v>
      </c>
      <c r="H127" s="22">
        <f t="shared" si="63"/>
        <v>0</v>
      </c>
      <c r="I127" s="22">
        <f t="shared" si="63"/>
        <v>0</v>
      </c>
      <c r="J127" s="22">
        <f t="shared" si="63"/>
        <v>0</v>
      </c>
      <c r="K127" s="22">
        <f t="shared" si="63"/>
        <v>0</v>
      </c>
      <c r="L127" s="22">
        <f t="shared" si="63"/>
        <v>0</v>
      </c>
      <c r="M127" s="22">
        <f t="shared" si="63"/>
        <v>0</v>
      </c>
      <c r="N127" s="22">
        <f t="shared" si="63"/>
        <v>0</v>
      </c>
      <c r="O127" s="22">
        <f t="shared" si="63"/>
        <v>0</v>
      </c>
      <c r="P127" s="22">
        <f t="shared" si="63"/>
        <v>0</v>
      </c>
      <c r="Q127" s="22">
        <f t="shared" si="63"/>
        <v>0</v>
      </c>
      <c r="R127" s="22">
        <f t="shared" si="63"/>
        <v>0</v>
      </c>
      <c r="S127" s="22">
        <f t="shared" si="63"/>
        <v>0</v>
      </c>
      <c r="T127" s="109"/>
      <c r="U127" s="113"/>
      <c r="V127" s="113"/>
    </row>
    <row r="129" spans="4:24">
      <c r="D129" s="119" t="s">
        <v>159</v>
      </c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</row>
    <row r="130" spans="4:24">
      <c r="U130" s="108" t="s">
        <v>143</v>
      </c>
      <c r="V130" s="108"/>
    </row>
    <row r="131" spans="4:24">
      <c r="D131" s="107" t="s">
        <v>68</v>
      </c>
      <c r="E131" s="107"/>
      <c r="F131" s="107" t="s">
        <v>129</v>
      </c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9" t="s">
        <v>117</v>
      </c>
      <c r="U131" s="107" t="s">
        <v>107</v>
      </c>
      <c r="V131" s="107" t="s">
        <v>19</v>
      </c>
    </row>
    <row r="132" spans="4:24">
      <c r="D132" s="107"/>
      <c r="E132" s="107"/>
      <c r="F132" s="107" t="s">
        <v>46</v>
      </c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 t="s">
        <v>134</v>
      </c>
      <c r="S132" s="107" t="s">
        <v>69</v>
      </c>
      <c r="T132" s="109"/>
      <c r="U132" s="107"/>
      <c r="V132" s="107"/>
    </row>
    <row r="133" spans="4:24">
      <c r="D133" s="107"/>
      <c r="E133" s="107"/>
      <c r="F133" s="107" t="s">
        <v>121</v>
      </c>
      <c r="G133" s="107" t="s">
        <v>52</v>
      </c>
      <c r="H133" s="107"/>
      <c r="I133" s="107" t="s">
        <v>76</v>
      </c>
      <c r="J133" s="107"/>
      <c r="K133" s="107" t="s">
        <v>149</v>
      </c>
      <c r="L133" s="107" t="s">
        <v>105</v>
      </c>
      <c r="M133" s="107" t="s">
        <v>88</v>
      </c>
      <c r="N133" s="107" t="s">
        <v>35</v>
      </c>
      <c r="O133" s="107" t="s">
        <v>33</v>
      </c>
      <c r="P133" s="107" t="s">
        <v>30</v>
      </c>
      <c r="Q133" s="107" t="s">
        <v>25</v>
      </c>
      <c r="R133" s="107"/>
      <c r="S133" s="107"/>
      <c r="T133" s="109"/>
      <c r="U133" s="107"/>
      <c r="V133" s="107"/>
    </row>
    <row r="134" spans="4:24">
      <c r="D134" s="107"/>
      <c r="E134" s="107"/>
      <c r="F134" s="107"/>
      <c r="G134" s="20" t="s">
        <v>83</v>
      </c>
      <c r="H134" s="20" t="s">
        <v>102</v>
      </c>
      <c r="I134" s="20" t="s">
        <v>83</v>
      </c>
      <c r="J134" s="20" t="s">
        <v>102</v>
      </c>
      <c r="K134" s="107"/>
      <c r="L134" s="107"/>
      <c r="M134" s="107"/>
      <c r="N134" s="107"/>
      <c r="O134" s="107"/>
      <c r="P134" s="107"/>
      <c r="Q134" s="107"/>
      <c r="R134" s="107"/>
      <c r="S134" s="107"/>
      <c r="T134" s="109"/>
      <c r="U134" s="107"/>
      <c r="V134" s="107"/>
    </row>
    <row r="135" spans="4:24">
      <c r="D135" s="126">
        <v>1</v>
      </c>
      <c r="E135" s="21" t="s">
        <v>78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2">
        <f>SUM(F135:P135)</f>
        <v>0</v>
      </c>
      <c r="R135" s="24"/>
      <c r="S135" s="22">
        <f>Q135+R135</f>
        <v>0</v>
      </c>
      <c r="T135" s="109" t="s">
        <v>117</v>
      </c>
      <c r="U135" s="113" t="s">
        <v>117</v>
      </c>
      <c r="V135" s="113" t="s">
        <v>117</v>
      </c>
      <c r="X135" s="19">
        <f>Q135*0.2205</f>
        <v>0</v>
      </c>
    </row>
    <row r="136" spans="4:24">
      <c r="D136" s="126"/>
      <c r="E136" s="21" t="s">
        <v>24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2">
        <f>SUM(F136:P136)</f>
        <v>0</v>
      </c>
      <c r="R136" s="24"/>
      <c r="S136" s="22">
        <f>Q136+R136</f>
        <v>0</v>
      </c>
      <c r="T136" s="109"/>
      <c r="U136" s="113"/>
      <c r="V136" s="113"/>
    </row>
    <row r="137" spans="4:24">
      <c r="D137" s="126"/>
      <c r="E137" s="21" t="s">
        <v>25</v>
      </c>
      <c r="F137" s="22">
        <f t="shared" ref="F137:P137" si="64">SUM(F135:F136)</f>
        <v>0</v>
      </c>
      <c r="G137" s="22">
        <f t="shared" si="64"/>
        <v>0</v>
      </c>
      <c r="H137" s="22">
        <f t="shared" si="64"/>
        <v>0</v>
      </c>
      <c r="I137" s="22">
        <f t="shared" si="64"/>
        <v>0</v>
      </c>
      <c r="J137" s="22">
        <f t="shared" si="64"/>
        <v>0</v>
      </c>
      <c r="K137" s="22">
        <f t="shared" si="64"/>
        <v>0</v>
      </c>
      <c r="L137" s="22">
        <f t="shared" si="64"/>
        <v>0</v>
      </c>
      <c r="M137" s="22">
        <f t="shared" si="64"/>
        <v>0</v>
      </c>
      <c r="N137" s="22">
        <f t="shared" si="64"/>
        <v>0</v>
      </c>
      <c r="O137" s="22">
        <f t="shared" si="64"/>
        <v>0</v>
      </c>
      <c r="P137" s="22">
        <f t="shared" si="64"/>
        <v>0</v>
      </c>
      <c r="Q137" s="22">
        <f>SUM(Q135:Q136)</f>
        <v>0</v>
      </c>
      <c r="R137" s="22">
        <f t="shared" ref="R137" si="65">SUM(R135:R136)</f>
        <v>0</v>
      </c>
      <c r="S137" s="22">
        <f>SUM(S135:S136)</f>
        <v>0</v>
      </c>
      <c r="T137" s="109"/>
      <c r="U137" s="113"/>
      <c r="V137" s="113"/>
    </row>
    <row r="138" spans="4:24">
      <c r="D138" s="126">
        <v>2</v>
      </c>
      <c r="E138" s="21" t="s">
        <v>78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2">
        <f>SUM(F138:P138)</f>
        <v>0</v>
      </c>
      <c r="R138" s="24"/>
      <c r="S138" s="22">
        <f t="shared" ref="S138:S139" si="66">Q138+R138</f>
        <v>0</v>
      </c>
      <c r="T138" s="109" t="s">
        <v>117</v>
      </c>
      <c r="U138" s="113" t="s">
        <v>117</v>
      </c>
      <c r="V138" s="113" t="s">
        <v>117</v>
      </c>
      <c r="X138" s="19">
        <f>Q138*0.2205</f>
        <v>0</v>
      </c>
    </row>
    <row r="139" spans="4:24">
      <c r="D139" s="126"/>
      <c r="E139" s="21" t="s">
        <v>24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2">
        <f>SUM(F139:P139)</f>
        <v>0</v>
      </c>
      <c r="R139" s="24"/>
      <c r="S139" s="22">
        <f t="shared" si="66"/>
        <v>0</v>
      </c>
      <c r="T139" s="109"/>
      <c r="U139" s="113"/>
      <c r="V139" s="113"/>
    </row>
    <row r="140" spans="4:24">
      <c r="D140" s="126"/>
      <c r="E140" s="21" t="s">
        <v>25</v>
      </c>
      <c r="F140" s="22">
        <f>SUM(F138:F139)</f>
        <v>0</v>
      </c>
      <c r="G140" s="22">
        <f t="shared" ref="G140:R140" si="67">SUM(G138:G139)</f>
        <v>0</v>
      </c>
      <c r="H140" s="22">
        <f t="shared" si="67"/>
        <v>0</v>
      </c>
      <c r="I140" s="22">
        <f t="shared" si="67"/>
        <v>0</v>
      </c>
      <c r="J140" s="22">
        <f t="shared" si="67"/>
        <v>0</v>
      </c>
      <c r="K140" s="22">
        <f t="shared" si="67"/>
        <v>0</v>
      </c>
      <c r="L140" s="22">
        <f t="shared" si="67"/>
        <v>0</v>
      </c>
      <c r="M140" s="22">
        <f t="shared" si="67"/>
        <v>0</v>
      </c>
      <c r="N140" s="22">
        <f t="shared" si="67"/>
        <v>0</v>
      </c>
      <c r="O140" s="22">
        <f t="shared" si="67"/>
        <v>0</v>
      </c>
      <c r="P140" s="22">
        <f t="shared" si="67"/>
        <v>0</v>
      </c>
      <c r="Q140" s="22">
        <f t="shared" si="67"/>
        <v>0</v>
      </c>
      <c r="R140" s="22">
        <f t="shared" si="67"/>
        <v>0</v>
      </c>
      <c r="S140" s="22">
        <f>SUM(S138:S139)</f>
        <v>0</v>
      </c>
      <c r="T140" s="109"/>
      <c r="U140" s="113"/>
      <c r="V140" s="113"/>
    </row>
    <row r="141" spans="4:24">
      <c r="D141" s="126">
        <v>3</v>
      </c>
      <c r="E141" s="21" t="s">
        <v>78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2">
        <f>SUM(F141:P141)</f>
        <v>0</v>
      </c>
      <c r="R141" s="24"/>
      <c r="S141" s="22">
        <f t="shared" ref="S141:S142" si="68">Q141+R141</f>
        <v>0</v>
      </c>
      <c r="T141" s="109" t="s">
        <v>117</v>
      </c>
      <c r="U141" s="113" t="s">
        <v>117</v>
      </c>
      <c r="V141" s="113" t="s">
        <v>117</v>
      </c>
      <c r="X141" s="19">
        <f>Q141*0.2205</f>
        <v>0</v>
      </c>
    </row>
    <row r="142" spans="4:24">
      <c r="D142" s="126"/>
      <c r="E142" s="21" t="s">
        <v>24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2">
        <f>SUM(F142:P142)</f>
        <v>0</v>
      </c>
      <c r="R142" s="24"/>
      <c r="S142" s="22">
        <f t="shared" si="68"/>
        <v>0</v>
      </c>
      <c r="T142" s="109"/>
      <c r="U142" s="113"/>
      <c r="V142" s="113"/>
    </row>
    <row r="143" spans="4:24">
      <c r="D143" s="126"/>
      <c r="E143" s="21" t="s">
        <v>25</v>
      </c>
      <c r="F143" s="22">
        <f>SUM(F141:F142)</f>
        <v>0</v>
      </c>
      <c r="G143" s="22">
        <f t="shared" ref="G143:R143" si="69">SUM(G141:G142)</f>
        <v>0</v>
      </c>
      <c r="H143" s="22">
        <f t="shared" si="69"/>
        <v>0</v>
      </c>
      <c r="I143" s="22">
        <f t="shared" si="69"/>
        <v>0</v>
      </c>
      <c r="J143" s="22">
        <f t="shared" si="69"/>
        <v>0</v>
      </c>
      <c r="K143" s="22">
        <f t="shared" si="69"/>
        <v>0</v>
      </c>
      <c r="L143" s="22">
        <f t="shared" si="69"/>
        <v>0</v>
      </c>
      <c r="M143" s="22">
        <f t="shared" si="69"/>
        <v>0</v>
      </c>
      <c r="N143" s="22">
        <f t="shared" si="69"/>
        <v>0</v>
      </c>
      <c r="O143" s="22">
        <f t="shared" si="69"/>
        <v>0</v>
      </c>
      <c r="P143" s="22">
        <f t="shared" si="69"/>
        <v>0</v>
      </c>
      <c r="Q143" s="22">
        <f t="shared" si="69"/>
        <v>0</v>
      </c>
      <c r="R143" s="22">
        <f t="shared" si="69"/>
        <v>0</v>
      </c>
      <c r="S143" s="22">
        <f>SUM(S141:S142)</f>
        <v>0</v>
      </c>
      <c r="T143" s="109"/>
      <c r="U143" s="113"/>
      <c r="V143" s="113"/>
    </row>
    <row r="144" spans="4:24">
      <c r="D144" s="126">
        <v>4</v>
      </c>
      <c r="E144" s="21" t="s">
        <v>78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2">
        <f>SUM(F144:P144)</f>
        <v>0</v>
      </c>
      <c r="R144" s="24"/>
      <c r="S144" s="22">
        <f t="shared" ref="S144:S145" si="70">Q144+R144</f>
        <v>0</v>
      </c>
      <c r="T144" s="109" t="s">
        <v>117</v>
      </c>
      <c r="U144" s="113" t="s">
        <v>117</v>
      </c>
      <c r="V144" s="113" t="s">
        <v>117</v>
      </c>
      <c r="X144" s="19">
        <f>Q144*0.2205</f>
        <v>0</v>
      </c>
    </row>
    <row r="145" spans="4:24">
      <c r="D145" s="126"/>
      <c r="E145" s="21" t="s">
        <v>24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2">
        <f>SUM(F145:P145)</f>
        <v>0</v>
      </c>
      <c r="R145" s="24"/>
      <c r="S145" s="22">
        <f t="shared" si="70"/>
        <v>0</v>
      </c>
      <c r="T145" s="109"/>
      <c r="U145" s="113"/>
      <c r="V145" s="113"/>
    </row>
    <row r="146" spans="4:24">
      <c r="D146" s="126"/>
      <c r="E146" s="21" t="s">
        <v>25</v>
      </c>
      <c r="F146" s="22">
        <f>SUM(F144:F145)</f>
        <v>0</v>
      </c>
      <c r="G146" s="22">
        <f t="shared" ref="G146:R146" si="71">SUM(G144:G145)</f>
        <v>0</v>
      </c>
      <c r="H146" s="22">
        <f t="shared" si="71"/>
        <v>0</v>
      </c>
      <c r="I146" s="22">
        <f t="shared" si="71"/>
        <v>0</v>
      </c>
      <c r="J146" s="22">
        <f t="shared" si="71"/>
        <v>0</v>
      </c>
      <c r="K146" s="22">
        <f t="shared" si="71"/>
        <v>0</v>
      </c>
      <c r="L146" s="22">
        <f t="shared" si="71"/>
        <v>0</v>
      </c>
      <c r="M146" s="22">
        <f t="shared" si="71"/>
        <v>0</v>
      </c>
      <c r="N146" s="22">
        <f t="shared" si="71"/>
        <v>0</v>
      </c>
      <c r="O146" s="22">
        <f t="shared" si="71"/>
        <v>0</v>
      </c>
      <c r="P146" s="22">
        <f t="shared" si="71"/>
        <v>0</v>
      </c>
      <c r="Q146" s="22">
        <f t="shared" si="71"/>
        <v>0</v>
      </c>
      <c r="R146" s="22">
        <f t="shared" si="71"/>
        <v>0</v>
      </c>
      <c r="S146" s="22">
        <f>SUM(S144:S145)</f>
        <v>0</v>
      </c>
      <c r="T146" s="109"/>
      <c r="U146" s="113"/>
      <c r="V146" s="113"/>
    </row>
    <row r="147" spans="4:24">
      <c r="D147" s="126">
        <v>5</v>
      </c>
      <c r="E147" s="21" t="s">
        <v>78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2">
        <f>SUM(F147:P147)</f>
        <v>0</v>
      </c>
      <c r="R147" s="24"/>
      <c r="S147" s="22">
        <f t="shared" ref="S147:S148" si="72">Q147+R147</f>
        <v>0</v>
      </c>
      <c r="T147" s="109" t="s">
        <v>117</v>
      </c>
      <c r="U147" s="113" t="s">
        <v>117</v>
      </c>
      <c r="V147" s="113" t="s">
        <v>117</v>
      </c>
      <c r="X147" s="19">
        <f>Q147*0.2205</f>
        <v>0</v>
      </c>
    </row>
    <row r="148" spans="4:24">
      <c r="D148" s="126"/>
      <c r="E148" s="21" t="s">
        <v>24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2">
        <f>SUM(F148:P148)</f>
        <v>0</v>
      </c>
      <c r="R148" s="24"/>
      <c r="S148" s="22">
        <f t="shared" si="72"/>
        <v>0</v>
      </c>
      <c r="T148" s="109"/>
      <c r="U148" s="113"/>
      <c r="V148" s="113"/>
    </row>
    <row r="149" spans="4:24">
      <c r="D149" s="126"/>
      <c r="E149" s="21" t="s">
        <v>25</v>
      </c>
      <c r="F149" s="22">
        <f>SUM(F147:F148)</f>
        <v>0</v>
      </c>
      <c r="G149" s="22">
        <f t="shared" ref="G149:Q149" si="73">SUM(G147:G148)</f>
        <v>0</v>
      </c>
      <c r="H149" s="22">
        <f t="shared" si="73"/>
        <v>0</v>
      </c>
      <c r="I149" s="22">
        <f t="shared" si="73"/>
        <v>0</v>
      </c>
      <c r="J149" s="22">
        <f t="shared" si="73"/>
        <v>0</v>
      </c>
      <c r="K149" s="22">
        <f t="shared" si="73"/>
        <v>0</v>
      </c>
      <c r="L149" s="22">
        <f t="shared" si="73"/>
        <v>0</v>
      </c>
      <c r="M149" s="22">
        <f t="shared" si="73"/>
        <v>0</v>
      </c>
      <c r="N149" s="22">
        <f t="shared" si="73"/>
        <v>0</v>
      </c>
      <c r="O149" s="22">
        <f t="shared" si="73"/>
        <v>0</v>
      </c>
      <c r="P149" s="22">
        <f t="shared" si="73"/>
        <v>0</v>
      </c>
      <c r="Q149" s="22">
        <f t="shared" si="73"/>
        <v>0</v>
      </c>
      <c r="R149" s="22">
        <f>SUM(R147:R148)</f>
        <v>0</v>
      </c>
      <c r="S149" s="22">
        <f>SUM(S147:S148)</f>
        <v>0</v>
      </c>
      <c r="T149" s="109"/>
      <c r="U149" s="113"/>
      <c r="V149" s="113"/>
    </row>
    <row r="150" spans="4:24">
      <c r="D150" s="126" t="s">
        <v>43</v>
      </c>
      <c r="E150" s="21" t="s">
        <v>78</v>
      </c>
      <c r="F150" s="22">
        <f>F135+F138+F141+F144+F147</f>
        <v>0</v>
      </c>
      <c r="G150" s="22">
        <f t="shared" ref="G150:S150" si="74">G135+G138+G141+G144+G147</f>
        <v>0</v>
      </c>
      <c r="H150" s="22">
        <f t="shared" si="74"/>
        <v>0</v>
      </c>
      <c r="I150" s="22">
        <f t="shared" si="74"/>
        <v>0</v>
      </c>
      <c r="J150" s="22">
        <f t="shared" si="74"/>
        <v>0</v>
      </c>
      <c r="K150" s="22">
        <f t="shared" si="74"/>
        <v>0</v>
      </c>
      <c r="L150" s="22">
        <f t="shared" si="74"/>
        <v>0</v>
      </c>
      <c r="M150" s="22">
        <f t="shared" si="74"/>
        <v>0</v>
      </c>
      <c r="N150" s="22">
        <f t="shared" si="74"/>
        <v>0</v>
      </c>
      <c r="O150" s="22">
        <f t="shared" si="74"/>
        <v>0</v>
      </c>
      <c r="P150" s="22">
        <f t="shared" si="74"/>
        <v>0</v>
      </c>
      <c r="Q150" s="22">
        <f t="shared" si="74"/>
        <v>0</v>
      </c>
      <c r="R150" s="22">
        <f t="shared" si="74"/>
        <v>0</v>
      </c>
      <c r="S150" s="22">
        <f t="shared" si="74"/>
        <v>0</v>
      </c>
      <c r="T150" s="109" t="s">
        <v>117</v>
      </c>
      <c r="U150" s="113" t="s">
        <v>117</v>
      </c>
      <c r="V150" s="113" t="s">
        <v>117</v>
      </c>
      <c r="X150" s="19">
        <f>Q150*0.2205</f>
        <v>0</v>
      </c>
    </row>
    <row r="151" spans="4:24">
      <c r="D151" s="126"/>
      <c r="E151" s="21" t="s">
        <v>24</v>
      </c>
      <c r="F151" s="22">
        <f t="shared" ref="F151:S151" si="75">F136+F139+F142+F145+F148</f>
        <v>0</v>
      </c>
      <c r="G151" s="22">
        <f t="shared" si="75"/>
        <v>0</v>
      </c>
      <c r="H151" s="22">
        <f t="shared" si="75"/>
        <v>0</v>
      </c>
      <c r="I151" s="22">
        <f t="shared" si="75"/>
        <v>0</v>
      </c>
      <c r="J151" s="22">
        <f t="shared" si="75"/>
        <v>0</v>
      </c>
      <c r="K151" s="22">
        <f t="shared" si="75"/>
        <v>0</v>
      </c>
      <c r="L151" s="22">
        <f t="shared" si="75"/>
        <v>0</v>
      </c>
      <c r="M151" s="22">
        <f t="shared" si="75"/>
        <v>0</v>
      </c>
      <c r="N151" s="22">
        <f t="shared" si="75"/>
        <v>0</v>
      </c>
      <c r="O151" s="22">
        <f t="shared" si="75"/>
        <v>0</v>
      </c>
      <c r="P151" s="22">
        <f t="shared" si="75"/>
        <v>0</v>
      </c>
      <c r="Q151" s="22">
        <f t="shared" si="75"/>
        <v>0</v>
      </c>
      <c r="R151" s="22">
        <f t="shared" si="75"/>
        <v>0</v>
      </c>
      <c r="S151" s="22">
        <f t="shared" si="75"/>
        <v>0</v>
      </c>
      <c r="T151" s="109"/>
      <c r="U151" s="113"/>
      <c r="V151" s="113"/>
    </row>
    <row r="152" spans="4:24">
      <c r="D152" s="126"/>
      <c r="E152" s="21" t="s">
        <v>69</v>
      </c>
      <c r="F152" s="22">
        <f t="shared" ref="F152:S152" si="76">F137+F140+F143+F146+F149</f>
        <v>0</v>
      </c>
      <c r="G152" s="22">
        <f t="shared" si="76"/>
        <v>0</v>
      </c>
      <c r="H152" s="22">
        <f t="shared" si="76"/>
        <v>0</v>
      </c>
      <c r="I152" s="22">
        <f t="shared" si="76"/>
        <v>0</v>
      </c>
      <c r="J152" s="22">
        <f t="shared" si="76"/>
        <v>0</v>
      </c>
      <c r="K152" s="22">
        <f t="shared" si="76"/>
        <v>0</v>
      </c>
      <c r="L152" s="22">
        <f t="shared" si="76"/>
        <v>0</v>
      </c>
      <c r="M152" s="22">
        <f t="shared" si="76"/>
        <v>0</v>
      </c>
      <c r="N152" s="22">
        <f t="shared" si="76"/>
        <v>0</v>
      </c>
      <c r="O152" s="22">
        <f t="shared" si="76"/>
        <v>0</v>
      </c>
      <c r="P152" s="22">
        <f t="shared" si="76"/>
        <v>0</v>
      </c>
      <c r="Q152" s="22">
        <f t="shared" si="76"/>
        <v>0</v>
      </c>
      <c r="R152" s="22">
        <f t="shared" si="76"/>
        <v>0</v>
      </c>
      <c r="S152" s="22">
        <f t="shared" si="76"/>
        <v>0</v>
      </c>
      <c r="T152" s="109"/>
      <c r="U152" s="113"/>
      <c r="V152" s="113"/>
    </row>
    <row r="154" spans="4:24">
      <c r="D154" s="119" t="s">
        <v>160</v>
      </c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</row>
    <row r="155" spans="4:24">
      <c r="U155" s="127" t="s">
        <v>143</v>
      </c>
      <c r="V155" s="127"/>
    </row>
    <row r="156" spans="4:24">
      <c r="D156" s="107" t="s">
        <v>68</v>
      </c>
      <c r="E156" s="107"/>
      <c r="F156" s="107" t="s">
        <v>129</v>
      </c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9" t="s">
        <v>117</v>
      </c>
      <c r="U156" s="107" t="s">
        <v>107</v>
      </c>
      <c r="V156" s="107" t="s">
        <v>19</v>
      </c>
    </row>
    <row r="157" spans="4:24">
      <c r="D157" s="107"/>
      <c r="E157" s="107"/>
      <c r="F157" s="107" t="s">
        <v>46</v>
      </c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 t="s">
        <v>134</v>
      </c>
      <c r="S157" s="107" t="s">
        <v>69</v>
      </c>
      <c r="T157" s="109"/>
      <c r="U157" s="107"/>
      <c r="V157" s="107"/>
    </row>
    <row r="158" spans="4:24">
      <c r="D158" s="107"/>
      <c r="E158" s="107"/>
      <c r="F158" s="107" t="s">
        <v>121</v>
      </c>
      <c r="G158" s="107" t="s">
        <v>52</v>
      </c>
      <c r="H158" s="107"/>
      <c r="I158" s="107" t="s">
        <v>76</v>
      </c>
      <c r="J158" s="107"/>
      <c r="K158" s="107" t="s">
        <v>149</v>
      </c>
      <c r="L158" s="107" t="s">
        <v>105</v>
      </c>
      <c r="M158" s="107" t="s">
        <v>88</v>
      </c>
      <c r="N158" s="107" t="s">
        <v>35</v>
      </c>
      <c r="O158" s="107" t="s">
        <v>33</v>
      </c>
      <c r="P158" s="107" t="s">
        <v>30</v>
      </c>
      <c r="Q158" s="107" t="s">
        <v>25</v>
      </c>
      <c r="R158" s="107"/>
      <c r="S158" s="107"/>
      <c r="T158" s="109"/>
      <c r="U158" s="107"/>
      <c r="V158" s="107"/>
    </row>
    <row r="159" spans="4:24">
      <c r="D159" s="107"/>
      <c r="E159" s="107"/>
      <c r="F159" s="107"/>
      <c r="G159" s="20" t="s">
        <v>83</v>
      </c>
      <c r="H159" s="20" t="s">
        <v>102</v>
      </c>
      <c r="I159" s="20" t="s">
        <v>83</v>
      </c>
      <c r="J159" s="20" t="s">
        <v>102</v>
      </c>
      <c r="K159" s="107"/>
      <c r="L159" s="107"/>
      <c r="M159" s="107"/>
      <c r="N159" s="107"/>
      <c r="O159" s="107"/>
      <c r="P159" s="107"/>
      <c r="Q159" s="107"/>
      <c r="R159" s="107"/>
      <c r="S159" s="107"/>
      <c r="T159" s="109"/>
      <c r="U159" s="107"/>
      <c r="V159" s="107"/>
    </row>
    <row r="160" spans="4:24">
      <c r="D160" s="126">
        <v>1</v>
      </c>
      <c r="E160" s="21" t="s">
        <v>78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2">
        <f>SUM(F160:P160)</f>
        <v>0</v>
      </c>
      <c r="R160" s="24"/>
      <c r="S160" s="22">
        <f>Q160+R160</f>
        <v>0</v>
      </c>
      <c r="T160" s="109" t="s">
        <v>117</v>
      </c>
      <c r="U160" s="113" t="s">
        <v>117</v>
      </c>
      <c r="V160" s="113" t="s">
        <v>117</v>
      </c>
      <c r="X160" s="19">
        <f>Q160*0.1</f>
        <v>0</v>
      </c>
    </row>
    <row r="161" spans="4:24">
      <c r="D161" s="126"/>
      <c r="E161" s="21" t="s">
        <v>24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2">
        <f>SUM(F161:P161)</f>
        <v>0</v>
      </c>
      <c r="R161" s="24"/>
      <c r="S161" s="22">
        <f>Q161+R161</f>
        <v>0</v>
      </c>
      <c r="T161" s="109"/>
      <c r="U161" s="113"/>
      <c r="V161" s="113"/>
    </row>
    <row r="162" spans="4:24">
      <c r="D162" s="126"/>
      <c r="E162" s="21" t="s">
        <v>25</v>
      </c>
      <c r="F162" s="22">
        <f t="shared" ref="F162:P162" si="77">SUM(F160:F161)</f>
        <v>0</v>
      </c>
      <c r="G162" s="22">
        <f t="shared" si="77"/>
        <v>0</v>
      </c>
      <c r="H162" s="22">
        <f t="shared" si="77"/>
        <v>0</v>
      </c>
      <c r="I162" s="22">
        <f t="shared" si="77"/>
        <v>0</v>
      </c>
      <c r="J162" s="22">
        <f t="shared" si="77"/>
        <v>0</v>
      </c>
      <c r="K162" s="22">
        <f t="shared" si="77"/>
        <v>0</v>
      </c>
      <c r="L162" s="22">
        <f t="shared" si="77"/>
        <v>0</v>
      </c>
      <c r="M162" s="22">
        <f t="shared" si="77"/>
        <v>0</v>
      </c>
      <c r="N162" s="22">
        <f t="shared" si="77"/>
        <v>0</v>
      </c>
      <c r="O162" s="22">
        <f t="shared" si="77"/>
        <v>0</v>
      </c>
      <c r="P162" s="22">
        <f t="shared" si="77"/>
        <v>0</v>
      </c>
      <c r="Q162" s="22">
        <f>SUM(Q160:Q161)</f>
        <v>0</v>
      </c>
      <c r="R162" s="22">
        <f t="shared" ref="R162" si="78">SUM(R160:R161)</f>
        <v>0</v>
      </c>
      <c r="S162" s="22">
        <f>SUM(S160:S161)</f>
        <v>0</v>
      </c>
      <c r="T162" s="109"/>
      <c r="U162" s="113"/>
      <c r="V162" s="113"/>
    </row>
    <row r="163" spans="4:24">
      <c r="D163" s="126">
        <v>2</v>
      </c>
      <c r="E163" s="21" t="s">
        <v>78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2">
        <f>SUM(F163:P163)</f>
        <v>0</v>
      </c>
      <c r="R163" s="24"/>
      <c r="S163" s="22">
        <f t="shared" ref="S163:S164" si="79">Q163+R163</f>
        <v>0</v>
      </c>
      <c r="T163" s="109" t="s">
        <v>117</v>
      </c>
      <c r="U163" s="113" t="s">
        <v>117</v>
      </c>
      <c r="V163" s="113" t="s">
        <v>117</v>
      </c>
      <c r="X163" s="19">
        <f>Q163*0.1</f>
        <v>0</v>
      </c>
    </row>
    <row r="164" spans="4:24">
      <c r="D164" s="126"/>
      <c r="E164" s="21" t="s">
        <v>24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2">
        <f>SUM(F164:P164)</f>
        <v>0</v>
      </c>
      <c r="R164" s="24"/>
      <c r="S164" s="22">
        <f t="shared" si="79"/>
        <v>0</v>
      </c>
      <c r="T164" s="109"/>
      <c r="U164" s="113"/>
      <c r="V164" s="113"/>
    </row>
    <row r="165" spans="4:24">
      <c r="D165" s="126"/>
      <c r="E165" s="21" t="s">
        <v>25</v>
      </c>
      <c r="F165" s="22">
        <f>SUM(F163:F164)</f>
        <v>0</v>
      </c>
      <c r="G165" s="22">
        <f t="shared" ref="G165:R165" si="80">SUM(G163:G164)</f>
        <v>0</v>
      </c>
      <c r="H165" s="22">
        <f t="shared" si="80"/>
        <v>0</v>
      </c>
      <c r="I165" s="22">
        <f t="shared" si="80"/>
        <v>0</v>
      </c>
      <c r="J165" s="22">
        <f t="shared" si="80"/>
        <v>0</v>
      </c>
      <c r="K165" s="22">
        <f t="shared" si="80"/>
        <v>0</v>
      </c>
      <c r="L165" s="22">
        <f t="shared" si="80"/>
        <v>0</v>
      </c>
      <c r="M165" s="22">
        <f t="shared" si="80"/>
        <v>0</v>
      </c>
      <c r="N165" s="22">
        <f t="shared" si="80"/>
        <v>0</v>
      </c>
      <c r="O165" s="22">
        <f t="shared" si="80"/>
        <v>0</v>
      </c>
      <c r="P165" s="22">
        <f t="shared" si="80"/>
        <v>0</v>
      </c>
      <c r="Q165" s="22">
        <f t="shared" si="80"/>
        <v>0</v>
      </c>
      <c r="R165" s="22">
        <f t="shared" si="80"/>
        <v>0</v>
      </c>
      <c r="S165" s="22">
        <f>SUM(S163:S164)</f>
        <v>0</v>
      </c>
      <c r="T165" s="109"/>
      <c r="U165" s="113"/>
      <c r="V165" s="113"/>
    </row>
    <row r="166" spans="4:24">
      <c r="D166" s="126">
        <v>3</v>
      </c>
      <c r="E166" s="21" t="s">
        <v>78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2">
        <f>SUM(F166:P166)</f>
        <v>0</v>
      </c>
      <c r="R166" s="24"/>
      <c r="S166" s="22">
        <f t="shared" ref="S166:S167" si="81">Q166+R166</f>
        <v>0</v>
      </c>
      <c r="T166" s="109" t="s">
        <v>117</v>
      </c>
      <c r="U166" s="113" t="s">
        <v>117</v>
      </c>
      <c r="V166" s="113" t="s">
        <v>117</v>
      </c>
      <c r="X166" s="19">
        <f>Q166*0.1</f>
        <v>0</v>
      </c>
    </row>
    <row r="167" spans="4:24">
      <c r="D167" s="126"/>
      <c r="E167" s="21" t="s">
        <v>24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2">
        <f>SUM(F167:P167)</f>
        <v>0</v>
      </c>
      <c r="R167" s="24"/>
      <c r="S167" s="22">
        <f t="shared" si="81"/>
        <v>0</v>
      </c>
      <c r="T167" s="109"/>
      <c r="U167" s="113"/>
      <c r="V167" s="113"/>
    </row>
    <row r="168" spans="4:24">
      <c r="D168" s="126"/>
      <c r="E168" s="21" t="s">
        <v>25</v>
      </c>
      <c r="F168" s="22">
        <f>SUM(F166:F167)</f>
        <v>0</v>
      </c>
      <c r="G168" s="22">
        <f t="shared" ref="G168:R168" si="82">SUM(G166:G167)</f>
        <v>0</v>
      </c>
      <c r="H168" s="22">
        <f t="shared" si="82"/>
        <v>0</v>
      </c>
      <c r="I168" s="22">
        <f t="shared" si="82"/>
        <v>0</v>
      </c>
      <c r="J168" s="22">
        <f t="shared" si="82"/>
        <v>0</v>
      </c>
      <c r="K168" s="22">
        <f t="shared" si="82"/>
        <v>0</v>
      </c>
      <c r="L168" s="22">
        <f t="shared" si="82"/>
        <v>0</v>
      </c>
      <c r="M168" s="22">
        <f t="shared" si="82"/>
        <v>0</v>
      </c>
      <c r="N168" s="22">
        <f t="shared" si="82"/>
        <v>0</v>
      </c>
      <c r="O168" s="22">
        <f t="shared" si="82"/>
        <v>0</v>
      </c>
      <c r="P168" s="22">
        <f t="shared" si="82"/>
        <v>0</v>
      </c>
      <c r="Q168" s="22">
        <f t="shared" si="82"/>
        <v>0</v>
      </c>
      <c r="R168" s="22">
        <f t="shared" si="82"/>
        <v>0</v>
      </c>
      <c r="S168" s="22">
        <f>SUM(S166:S167)</f>
        <v>0</v>
      </c>
      <c r="T168" s="109"/>
      <c r="U168" s="113"/>
      <c r="V168" s="113"/>
    </row>
    <row r="169" spans="4:24">
      <c r="D169" s="126">
        <v>4</v>
      </c>
      <c r="E169" s="21" t="s">
        <v>78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2">
        <f>SUM(F169:P169)</f>
        <v>0</v>
      </c>
      <c r="R169" s="24"/>
      <c r="S169" s="22">
        <f t="shared" ref="S169:S170" si="83">Q169+R169</f>
        <v>0</v>
      </c>
      <c r="T169" s="109" t="s">
        <v>117</v>
      </c>
      <c r="U169" s="113" t="s">
        <v>117</v>
      </c>
      <c r="V169" s="113" t="s">
        <v>117</v>
      </c>
      <c r="X169" s="19">
        <f>Q169*0.1</f>
        <v>0</v>
      </c>
    </row>
    <row r="170" spans="4:24">
      <c r="D170" s="126"/>
      <c r="E170" s="21" t="s">
        <v>24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2">
        <f>SUM(F170:P170)</f>
        <v>0</v>
      </c>
      <c r="R170" s="24"/>
      <c r="S170" s="22">
        <f t="shared" si="83"/>
        <v>0</v>
      </c>
      <c r="T170" s="109"/>
      <c r="U170" s="113"/>
      <c r="V170" s="113"/>
    </row>
    <row r="171" spans="4:24">
      <c r="D171" s="126"/>
      <c r="E171" s="21" t="s">
        <v>25</v>
      </c>
      <c r="F171" s="22">
        <f>SUM(F169:F170)</f>
        <v>0</v>
      </c>
      <c r="G171" s="22">
        <f t="shared" ref="G171:R171" si="84">SUM(G169:G170)</f>
        <v>0</v>
      </c>
      <c r="H171" s="22">
        <f t="shared" si="84"/>
        <v>0</v>
      </c>
      <c r="I171" s="22">
        <f t="shared" si="84"/>
        <v>0</v>
      </c>
      <c r="J171" s="22">
        <f t="shared" si="84"/>
        <v>0</v>
      </c>
      <c r="K171" s="22">
        <f t="shared" si="84"/>
        <v>0</v>
      </c>
      <c r="L171" s="22">
        <f t="shared" si="84"/>
        <v>0</v>
      </c>
      <c r="M171" s="22">
        <f t="shared" si="84"/>
        <v>0</v>
      </c>
      <c r="N171" s="22">
        <f t="shared" si="84"/>
        <v>0</v>
      </c>
      <c r="O171" s="22">
        <f t="shared" si="84"/>
        <v>0</v>
      </c>
      <c r="P171" s="22">
        <f t="shared" si="84"/>
        <v>0</v>
      </c>
      <c r="Q171" s="22">
        <f t="shared" si="84"/>
        <v>0</v>
      </c>
      <c r="R171" s="22">
        <f t="shared" si="84"/>
        <v>0</v>
      </c>
      <c r="S171" s="22">
        <f>SUM(S169:S170)</f>
        <v>0</v>
      </c>
      <c r="T171" s="109"/>
      <c r="U171" s="113"/>
      <c r="V171" s="113"/>
    </row>
    <row r="172" spans="4:24">
      <c r="D172" s="126">
        <v>5</v>
      </c>
      <c r="E172" s="21" t="s">
        <v>78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2">
        <f>SUM(F172:P172)</f>
        <v>0</v>
      </c>
      <c r="R172" s="24"/>
      <c r="S172" s="22">
        <f t="shared" ref="S172:S173" si="85">Q172+R172</f>
        <v>0</v>
      </c>
      <c r="T172" s="109" t="s">
        <v>117</v>
      </c>
      <c r="U172" s="113" t="s">
        <v>117</v>
      </c>
      <c r="V172" s="113" t="s">
        <v>117</v>
      </c>
      <c r="X172" s="19">
        <f>Q172*0.2205</f>
        <v>0</v>
      </c>
    </row>
    <row r="173" spans="4:24">
      <c r="D173" s="126"/>
      <c r="E173" s="21" t="s">
        <v>24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2">
        <f>SUM(F173:P173)</f>
        <v>0</v>
      </c>
      <c r="R173" s="24"/>
      <c r="S173" s="22">
        <f t="shared" si="85"/>
        <v>0</v>
      </c>
      <c r="T173" s="109"/>
      <c r="U173" s="113"/>
      <c r="V173" s="113"/>
    </row>
    <row r="174" spans="4:24">
      <c r="D174" s="126"/>
      <c r="E174" s="21" t="s">
        <v>25</v>
      </c>
      <c r="F174" s="22">
        <f>SUM(F172:F173)</f>
        <v>0</v>
      </c>
      <c r="G174" s="22">
        <f t="shared" ref="G174:Q174" si="86">SUM(G172:G173)</f>
        <v>0</v>
      </c>
      <c r="H174" s="22">
        <f t="shared" si="86"/>
        <v>0</v>
      </c>
      <c r="I174" s="22">
        <f t="shared" si="86"/>
        <v>0</v>
      </c>
      <c r="J174" s="22">
        <f t="shared" si="86"/>
        <v>0</v>
      </c>
      <c r="K174" s="22">
        <f t="shared" si="86"/>
        <v>0</v>
      </c>
      <c r="L174" s="22">
        <f t="shared" si="86"/>
        <v>0</v>
      </c>
      <c r="M174" s="22">
        <f t="shared" si="86"/>
        <v>0</v>
      </c>
      <c r="N174" s="22">
        <f t="shared" si="86"/>
        <v>0</v>
      </c>
      <c r="O174" s="22">
        <f t="shared" si="86"/>
        <v>0</v>
      </c>
      <c r="P174" s="22">
        <f t="shared" si="86"/>
        <v>0</v>
      </c>
      <c r="Q174" s="22">
        <f t="shared" si="86"/>
        <v>0</v>
      </c>
      <c r="R174" s="22">
        <f>SUM(R172:R173)</f>
        <v>0</v>
      </c>
      <c r="S174" s="22">
        <f>SUM(S172:S173)</f>
        <v>0</v>
      </c>
      <c r="T174" s="109"/>
      <c r="U174" s="113"/>
      <c r="V174" s="113"/>
    </row>
    <row r="175" spans="4:24">
      <c r="D175" s="126" t="s">
        <v>43</v>
      </c>
      <c r="E175" s="21" t="s">
        <v>78</v>
      </c>
      <c r="F175" s="22">
        <f>F160+F163+F166+F169+F172</f>
        <v>0</v>
      </c>
      <c r="G175" s="22">
        <f t="shared" ref="G175:S175" si="87">G160+G163+G166+G169+G172</f>
        <v>0</v>
      </c>
      <c r="H175" s="22">
        <f t="shared" si="87"/>
        <v>0</v>
      </c>
      <c r="I175" s="22">
        <f t="shared" si="87"/>
        <v>0</v>
      </c>
      <c r="J175" s="22">
        <f t="shared" si="87"/>
        <v>0</v>
      </c>
      <c r="K175" s="22">
        <f t="shared" si="87"/>
        <v>0</v>
      </c>
      <c r="L175" s="22">
        <f t="shared" si="87"/>
        <v>0</v>
      </c>
      <c r="M175" s="22">
        <f t="shared" si="87"/>
        <v>0</v>
      </c>
      <c r="N175" s="22">
        <f t="shared" si="87"/>
        <v>0</v>
      </c>
      <c r="O175" s="22">
        <f t="shared" si="87"/>
        <v>0</v>
      </c>
      <c r="P175" s="22">
        <f t="shared" si="87"/>
        <v>0</v>
      </c>
      <c r="Q175" s="22">
        <f t="shared" si="87"/>
        <v>0</v>
      </c>
      <c r="R175" s="22">
        <f t="shared" si="87"/>
        <v>0</v>
      </c>
      <c r="S175" s="22">
        <f t="shared" si="87"/>
        <v>0</v>
      </c>
      <c r="T175" s="109" t="s">
        <v>117</v>
      </c>
      <c r="U175" s="113" t="s">
        <v>117</v>
      </c>
      <c r="V175" s="113" t="s">
        <v>117</v>
      </c>
      <c r="X175" s="19">
        <f>Q175*0.1</f>
        <v>0</v>
      </c>
    </row>
    <row r="176" spans="4:24">
      <c r="D176" s="126"/>
      <c r="E176" s="21" t="s">
        <v>24</v>
      </c>
      <c r="F176" s="22">
        <f t="shared" ref="F176:S176" si="88">F161+F164+F167+F170+F173</f>
        <v>0</v>
      </c>
      <c r="G176" s="22">
        <f t="shared" si="88"/>
        <v>0</v>
      </c>
      <c r="H176" s="22">
        <f t="shared" si="88"/>
        <v>0</v>
      </c>
      <c r="I176" s="22">
        <f t="shared" si="88"/>
        <v>0</v>
      </c>
      <c r="J176" s="22">
        <f t="shared" si="88"/>
        <v>0</v>
      </c>
      <c r="K176" s="22">
        <f t="shared" si="88"/>
        <v>0</v>
      </c>
      <c r="L176" s="22">
        <f t="shared" si="88"/>
        <v>0</v>
      </c>
      <c r="M176" s="22">
        <f t="shared" si="88"/>
        <v>0</v>
      </c>
      <c r="N176" s="22">
        <f t="shared" si="88"/>
        <v>0</v>
      </c>
      <c r="O176" s="22">
        <f t="shared" si="88"/>
        <v>0</v>
      </c>
      <c r="P176" s="22">
        <f t="shared" si="88"/>
        <v>0</v>
      </c>
      <c r="Q176" s="22">
        <f t="shared" si="88"/>
        <v>0</v>
      </c>
      <c r="R176" s="22">
        <f t="shared" si="88"/>
        <v>0</v>
      </c>
      <c r="S176" s="22">
        <f t="shared" si="88"/>
        <v>0</v>
      </c>
      <c r="T176" s="109"/>
      <c r="U176" s="113"/>
      <c r="V176" s="113"/>
    </row>
    <row r="177" spans="4:24">
      <c r="D177" s="126"/>
      <c r="E177" s="21" t="s">
        <v>69</v>
      </c>
      <c r="F177" s="22">
        <f t="shared" ref="F177:S177" si="89">F162+F165+F168+F171+F174</f>
        <v>0</v>
      </c>
      <c r="G177" s="22">
        <f t="shared" si="89"/>
        <v>0</v>
      </c>
      <c r="H177" s="22">
        <f t="shared" si="89"/>
        <v>0</v>
      </c>
      <c r="I177" s="22">
        <f t="shared" si="89"/>
        <v>0</v>
      </c>
      <c r="J177" s="22">
        <f t="shared" si="89"/>
        <v>0</v>
      </c>
      <c r="K177" s="22">
        <f t="shared" si="89"/>
        <v>0</v>
      </c>
      <c r="L177" s="22">
        <f t="shared" si="89"/>
        <v>0</v>
      </c>
      <c r="M177" s="22">
        <f t="shared" si="89"/>
        <v>0</v>
      </c>
      <c r="N177" s="22">
        <f t="shared" si="89"/>
        <v>0</v>
      </c>
      <c r="O177" s="22">
        <f t="shared" si="89"/>
        <v>0</v>
      </c>
      <c r="P177" s="22">
        <f t="shared" si="89"/>
        <v>0</v>
      </c>
      <c r="Q177" s="22">
        <f t="shared" si="89"/>
        <v>0</v>
      </c>
      <c r="R177" s="22">
        <f t="shared" si="89"/>
        <v>0</v>
      </c>
      <c r="S177" s="22">
        <f t="shared" si="89"/>
        <v>0</v>
      </c>
      <c r="T177" s="109"/>
      <c r="U177" s="113"/>
      <c r="V177" s="113"/>
    </row>
    <row r="179" spans="4:24">
      <c r="D179" s="119" t="s">
        <v>161</v>
      </c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</row>
    <row r="180" spans="4:24">
      <c r="U180" s="127" t="s">
        <v>143</v>
      </c>
      <c r="V180" s="127"/>
    </row>
    <row r="181" spans="4:24">
      <c r="D181" s="107" t="s">
        <v>68</v>
      </c>
      <c r="E181" s="107"/>
      <c r="F181" s="107" t="s">
        <v>129</v>
      </c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9" t="s">
        <v>117</v>
      </c>
      <c r="U181" s="107" t="s">
        <v>107</v>
      </c>
      <c r="V181" s="107" t="s">
        <v>19</v>
      </c>
    </row>
    <row r="182" spans="4:24">
      <c r="D182" s="107"/>
      <c r="E182" s="107"/>
      <c r="F182" s="107" t="s">
        <v>46</v>
      </c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 t="s">
        <v>134</v>
      </c>
      <c r="S182" s="107" t="s">
        <v>69</v>
      </c>
      <c r="T182" s="109"/>
      <c r="U182" s="107"/>
      <c r="V182" s="107"/>
    </row>
    <row r="183" spans="4:24">
      <c r="D183" s="107"/>
      <c r="E183" s="107"/>
      <c r="F183" s="107" t="s">
        <v>121</v>
      </c>
      <c r="G183" s="107" t="s">
        <v>52</v>
      </c>
      <c r="H183" s="107"/>
      <c r="I183" s="107" t="s">
        <v>76</v>
      </c>
      <c r="J183" s="107"/>
      <c r="K183" s="107" t="s">
        <v>149</v>
      </c>
      <c r="L183" s="107" t="s">
        <v>105</v>
      </c>
      <c r="M183" s="107" t="s">
        <v>88</v>
      </c>
      <c r="N183" s="107" t="s">
        <v>35</v>
      </c>
      <c r="O183" s="107" t="s">
        <v>33</v>
      </c>
      <c r="P183" s="107" t="s">
        <v>30</v>
      </c>
      <c r="Q183" s="107" t="s">
        <v>25</v>
      </c>
      <c r="R183" s="107"/>
      <c r="S183" s="107"/>
      <c r="T183" s="109"/>
      <c r="U183" s="107"/>
      <c r="V183" s="107"/>
    </row>
    <row r="184" spans="4:24">
      <c r="D184" s="107"/>
      <c r="E184" s="107"/>
      <c r="F184" s="110"/>
      <c r="G184" s="51" t="s">
        <v>83</v>
      </c>
      <c r="H184" s="51" t="s">
        <v>102</v>
      </c>
      <c r="I184" s="51" t="s">
        <v>83</v>
      </c>
      <c r="J184" s="51" t="s">
        <v>102</v>
      </c>
      <c r="K184" s="110"/>
      <c r="L184" s="110"/>
      <c r="M184" s="110"/>
      <c r="N184" s="110"/>
      <c r="O184" s="110"/>
      <c r="P184" s="110"/>
      <c r="Q184" s="110"/>
      <c r="R184" s="110"/>
      <c r="S184" s="107"/>
      <c r="T184" s="109"/>
      <c r="U184" s="107"/>
      <c r="V184" s="107"/>
    </row>
    <row r="185" spans="4:24">
      <c r="D185" s="126">
        <v>1</v>
      </c>
      <c r="E185" s="52" t="s">
        <v>78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2">
        <f>SUM(F185:P185)</f>
        <v>0</v>
      </c>
      <c r="R185" s="24"/>
      <c r="S185" s="22">
        <f>Q185+R185</f>
        <v>0</v>
      </c>
      <c r="T185" s="109" t="s">
        <v>117</v>
      </c>
      <c r="U185" s="113" t="s">
        <v>117</v>
      </c>
      <c r="V185" s="113" t="s">
        <v>117</v>
      </c>
      <c r="X185" s="19">
        <f>Q185*0.17</f>
        <v>0</v>
      </c>
    </row>
    <row r="186" spans="4:24">
      <c r="D186" s="126"/>
      <c r="E186" s="52" t="s">
        <v>24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2">
        <f>SUM(F186:P186)</f>
        <v>0</v>
      </c>
      <c r="R186" s="24"/>
      <c r="S186" s="22">
        <f>Q186+R186</f>
        <v>0</v>
      </c>
      <c r="T186" s="109"/>
      <c r="U186" s="113"/>
      <c r="V186" s="113"/>
      <c r="X186" s="19"/>
    </row>
    <row r="187" spans="4:24">
      <c r="D187" s="126"/>
      <c r="E187" s="52" t="s">
        <v>25</v>
      </c>
      <c r="F187" s="22">
        <f t="shared" ref="F187:P187" si="90">SUM(F185:F186)</f>
        <v>0</v>
      </c>
      <c r="G187" s="22">
        <f t="shared" si="90"/>
        <v>0</v>
      </c>
      <c r="H187" s="22">
        <f t="shared" si="90"/>
        <v>0</v>
      </c>
      <c r="I187" s="22">
        <f t="shared" si="90"/>
        <v>0</v>
      </c>
      <c r="J187" s="22">
        <f t="shared" si="90"/>
        <v>0</v>
      </c>
      <c r="K187" s="22">
        <f t="shared" si="90"/>
        <v>0</v>
      </c>
      <c r="L187" s="22">
        <f t="shared" si="90"/>
        <v>0</v>
      </c>
      <c r="M187" s="22">
        <f t="shared" si="90"/>
        <v>0</v>
      </c>
      <c r="N187" s="22">
        <f t="shared" si="90"/>
        <v>0</v>
      </c>
      <c r="O187" s="22">
        <f t="shared" si="90"/>
        <v>0</v>
      </c>
      <c r="P187" s="22">
        <f t="shared" si="90"/>
        <v>0</v>
      </c>
      <c r="Q187" s="22">
        <f>SUM(Q185:Q186)</f>
        <v>0</v>
      </c>
      <c r="R187" s="22">
        <f t="shared" ref="R187" si="91">SUM(R185:R186)</f>
        <v>0</v>
      </c>
      <c r="S187" s="22">
        <f>SUM(S185:S186)</f>
        <v>0</v>
      </c>
      <c r="T187" s="109"/>
      <c r="U187" s="113"/>
      <c r="V187" s="113"/>
      <c r="X187" s="19"/>
    </row>
    <row r="188" spans="4:24">
      <c r="D188" s="126">
        <v>2</v>
      </c>
      <c r="E188" s="52" t="s">
        <v>78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2">
        <f>SUM(F188:P188)</f>
        <v>0</v>
      </c>
      <c r="R188" s="24"/>
      <c r="S188" s="22">
        <f t="shared" ref="S188:S189" si="92">Q188+R188</f>
        <v>0</v>
      </c>
      <c r="T188" s="109" t="s">
        <v>117</v>
      </c>
      <c r="U188" s="113" t="s">
        <v>117</v>
      </c>
      <c r="V188" s="113" t="s">
        <v>117</v>
      </c>
      <c r="X188" s="19">
        <f>Q188*0.17</f>
        <v>0</v>
      </c>
    </row>
    <row r="189" spans="4:24">
      <c r="D189" s="126"/>
      <c r="E189" s="52" t="s">
        <v>24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2">
        <f>SUM(F189:P189)</f>
        <v>0</v>
      </c>
      <c r="R189" s="24"/>
      <c r="S189" s="22">
        <f t="shared" si="92"/>
        <v>0</v>
      </c>
      <c r="T189" s="109"/>
      <c r="U189" s="113"/>
      <c r="V189" s="113"/>
      <c r="X189" s="19"/>
    </row>
    <row r="190" spans="4:24">
      <c r="D190" s="126"/>
      <c r="E190" s="52" t="s">
        <v>25</v>
      </c>
      <c r="F190" s="22">
        <f>SUM(F188:F189)</f>
        <v>0</v>
      </c>
      <c r="G190" s="22">
        <f t="shared" ref="G190:R190" si="93">SUM(G188:G189)</f>
        <v>0</v>
      </c>
      <c r="H190" s="22">
        <f t="shared" si="93"/>
        <v>0</v>
      </c>
      <c r="I190" s="22">
        <f t="shared" si="93"/>
        <v>0</v>
      </c>
      <c r="J190" s="22">
        <f t="shared" si="93"/>
        <v>0</v>
      </c>
      <c r="K190" s="22">
        <f t="shared" si="93"/>
        <v>0</v>
      </c>
      <c r="L190" s="22">
        <f t="shared" si="93"/>
        <v>0</v>
      </c>
      <c r="M190" s="22">
        <f t="shared" si="93"/>
        <v>0</v>
      </c>
      <c r="N190" s="22">
        <f t="shared" si="93"/>
        <v>0</v>
      </c>
      <c r="O190" s="22">
        <f t="shared" si="93"/>
        <v>0</v>
      </c>
      <c r="P190" s="22">
        <f t="shared" si="93"/>
        <v>0</v>
      </c>
      <c r="Q190" s="22">
        <f t="shared" si="93"/>
        <v>0</v>
      </c>
      <c r="R190" s="22">
        <f t="shared" si="93"/>
        <v>0</v>
      </c>
      <c r="S190" s="22">
        <f>SUM(S188:S189)</f>
        <v>0</v>
      </c>
      <c r="T190" s="109"/>
      <c r="U190" s="113"/>
      <c r="V190" s="113"/>
      <c r="X190" s="19"/>
    </row>
    <row r="191" spans="4:24">
      <c r="D191" s="126">
        <v>3</v>
      </c>
      <c r="E191" s="52" t="s">
        <v>78</v>
      </c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2">
        <f>SUM(F191:P191)</f>
        <v>0</v>
      </c>
      <c r="R191" s="24"/>
      <c r="S191" s="22">
        <f t="shared" ref="S191:S192" si="94">Q191+R191</f>
        <v>0</v>
      </c>
      <c r="T191" s="109" t="s">
        <v>117</v>
      </c>
      <c r="U191" s="113" t="s">
        <v>117</v>
      </c>
      <c r="V191" s="113" t="s">
        <v>117</v>
      </c>
      <c r="X191" s="19">
        <f>Q191*0.17</f>
        <v>0</v>
      </c>
    </row>
    <row r="192" spans="4:24">
      <c r="D192" s="126"/>
      <c r="E192" s="52" t="s">
        <v>24</v>
      </c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2">
        <f>SUM(F192:P192)</f>
        <v>0</v>
      </c>
      <c r="R192" s="24"/>
      <c r="S192" s="22">
        <f t="shared" si="94"/>
        <v>0</v>
      </c>
      <c r="T192" s="109"/>
      <c r="U192" s="113"/>
      <c r="V192" s="113"/>
      <c r="X192" s="19"/>
    </row>
    <row r="193" spans="4:24">
      <c r="D193" s="126"/>
      <c r="E193" s="52" t="s">
        <v>25</v>
      </c>
      <c r="F193" s="22">
        <f>SUM(F191:F192)</f>
        <v>0</v>
      </c>
      <c r="G193" s="22">
        <f t="shared" ref="G193:R193" si="95">SUM(G191:G192)</f>
        <v>0</v>
      </c>
      <c r="H193" s="22">
        <f t="shared" si="95"/>
        <v>0</v>
      </c>
      <c r="I193" s="22">
        <f t="shared" si="95"/>
        <v>0</v>
      </c>
      <c r="J193" s="22">
        <f t="shared" si="95"/>
        <v>0</v>
      </c>
      <c r="K193" s="22">
        <f t="shared" si="95"/>
        <v>0</v>
      </c>
      <c r="L193" s="22">
        <f t="shared" si="95"/>
        <v>0</v>
      </c>
      <c r="M193" s="22">
        <f t="shared" si="95"/>
        <v>0</v>
      </c>
      <c r="N193" s="22">
        <f t="shared" si="95"/>
        <v>0</v>
      </c>
      <c r="O193" s="22">
        <f t="shared" si="95"/>
        <v>0</v>
      </c>
      <c r="P193" s="22">
        <f t="shared" si="95"/>
        <v>0</v>
      </c>
      <c r="Q193" s="22">
        <f t="shared" si="95"/>
        <v>0</v>
      </c>
      <c r="R193" s="22">
        <f t="shared" si="95"/>
        <v>0</v>
      </c>
      <c r="S193" s="22">
        <f>SUM(S191:S192)</f>
        <v>0</v>
      </c>
      <c r="T193" s="109"/>
      <c r="U193" s="113"/>
      <c r="V193" s="113"/>
      <c r="X193" s="19"/>
    </row>
    <row r="194" spans="4:24">
      <c r="D194" s="126">
        <v>4</v>
      </c>
      <c r="E194" s="52" t="s">
        <v>78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2">
        <f>SUM(F194:P194)</f>
        <v>0</v>
      </c>
      <c r="R194" s="24"/>
      <c r="S194" s="22">
        <f t="shared" ref="S194:S195" si="96">Q194+R194</f>
        <v>0</v>
      </c>
      <c r="T194" s="109" t="s">
        <v>117</v>
      </c>
      <c r="U194" s="113" t="s">
        <v>117</v>
      </c>
      <c r="V194" s="113" t="s">
        <v>117</v>
      </c>
      <c r="X194" s="19">
        <f>Q194*0.17</f>
        <v>0</v>
      </c>
    </row>
    <row r="195" spans="4:24">
      <c r="D195" s="126"/>
      <c r="E195" s="52" t="s">
        <v>24</v>
      </c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2">
        <f>SUM(F195:P195)</f>
        <v>0</v>
      </c>
      <c r="R195" s="24"/>
      <c r="S195" s="22">
        <f t="shared" si="96"/>
        <v>0</v>
      </c>
      <c r="T195" s="109"/>
      <c r="U195" s="113"/>
      <c r="V195" s="113"/>
      <c r="X195" s="19"/>
    </row>
    <row r="196" spans="4:24">
      <c r="D196" s="126"/>
      <c r="E196" s="52" t="s">
        <v>25</v>
      </c>
      <c r="F196" s="22">
        <f>SUM(F194:F195)</f>
        <v>0</v>
      </c>
      <c r="G196" s="22">
        <f t="shared" ref="G196:R196" si="97">SUM(G194:G195)</f>
        <v>0</v>
      </c>
      <c r="H196" s="22">
        <f t="shared" si="97"/>
        <v>0</v>
      </c>
      <c r="I196" s="22">
        <f t="shared" si="97"/>
        <v>0</v>
      </c>
      <c r="J196" s="22">
        <f t="shared" si="97"/>
        <v>0</v>
      </c>
      <c r="K196" s="22">
        <f t="shared" si="97"/>
        <v>0</v>
      </c>
      <c r="L196" s="22">
        <f t="shared" si="97"/>
        <v>0</v>
      </c>
      <c r="M196" s="22">
        <f t="shared" si="97"/>
        <v>0</v>
      </c>
      <c r="N196" s="22">
        <f t="shared" si="97"/>
        <v>0</v>
      </c>
      <c r="O196" s="22">
        <f t="shared" si="97"/>
        <v>0</v>
      </c>
      <c r="P196" s="22">
        <f t="shared" si="97"/>
        <v>0</v>
      </c>
      <c r="Q196" s="22">
        <f t="shared" si="97"/>
        <v>0</v>
      </c>
      <c r="R196" s="22">
        <f t="shared" si="97"/>
        <v>0</v>
      </c>
      <c r="S196" s="22">
        <f>SUM(S194:S195)</f>
        <v>0</v>
      </c>
      <c r="T196" s="109"/>
      <c r="U196" s="113"/>
      <c r="V196" s="113"/>
      <c r="X196" s="19"/>
    </row>
    <row r="197" spans="4:24">
      <c r="D197" s="126">
        <v>5</v>
      </c>
      <c r="E197" s="52" t="s">
        <v>78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2">
        <f>SUM(F197:P197)</f>
        <v>0</v>
      </c>
      <c r="R197" s="24"/>
      <c r="S197" s="22">
        <f t="shared" ref="S197:S198" si="98">Q197+R197</f>
        <v>0</v>
      </c>
      <c r="T197" s="109" t="s">
        <v>117</v>
      </c>
      <c r="U197" s="113" t="s">
        <v>117</v>
      </c>
      <c r="V197" s="113" t="s">
        <v>117</v>
      </c>
      <c r="X197" s="19">
        <f>Q197*0.2205</f>
        <v>0</v>
      </c>
    </row>
    <row r="198" spans="4:24">
      <c r="D198" s="126"/>
      <c r="E198" s="52" t="s">
        <v>24</v>
      </c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2">
        <f>SUM(F198:P198)</f>
        <v>0</v>
      </c>
      <c r="R198" s="24"/>
      <c r="S198" s="22">
        <f t="shared" si="98"/>
        <v>0</v>
      </c>
      <c r="T198" s="109"/>
      <c r="U198" s="113"/>
      <c r="V198" s="113"/>
    </row>
    <row r="199" spans="4:24">
      <c r="D199" s="126"/>
      <c r="E199" s="52" t="s">
        <v>25</v>
      </c>
      <c r="F199" s="22">
        <f>SUM(F197:F198)</f>
        <v>0</v>
      </c>
      <c r="G199" s="22">
        <f t="shared" ref="G199:Q199" si="99">SUM(G197:G198)</f>
        <v>0</v>
      </c>
      <c r="H199" s="22">
        <f t="shared" si="99"/>
        <v>0</v>
      </c>
      <c r="I199" s="22">
        <f t="shared" si="99"/>
        <v>0</v>
      </c>
      <c r="J199" s="22">
        <f t="shared" si="99"/>
        <v>0</v>
      </c>
      <c r="K199" s="22">
        <f t="shared" si="99"/>
        <v>0</v>
      </c>
      <c r="L199" s="22">
        <f t="shared" si="99"/>
        <v>0</v>
      </c>
      <c r="M199" s="22">
        <f t="shared" si="99"/>
        <v>0</v>
      </c>
      <c r="N199" s="22">
        <f t="shared" si="99"/>
        <v>0</v>
      </c>
      <c r="O199" s="22">
        <f t="shared" si="99"/>
        <v>0</v>
      </c>
      <c r="P199" s="22">
        <f t="shared" si="99"/>
        <v>0</v>
      </c>
      <c r="Q199" s="22">
        <f t="shared" si="99"/>
        <v>0</v>
      </c>
      <c r="R199" s="22">
        <f>SUM(R197:R198)</f>
        <v>0</v>
      </c>
      <c r="S199" s="22">
        <f>SUM(S197:S198)</f>
        <v>0</v>
      </c>
      <c r="T199" s="109"/>
      <c r="U199" s="113"/>
      <c r="V199" s="113"/>
    </row>
    <row r="200" spans="4:24">
      <c r="D200" s="126" t="s">
        <v>43</v>
      </c>
      <c r="E200" s="21" t="s">
        <v>78</v>
      </c>
      <c r="F200" s="22">
        <f>F185+F188+F191+F194+F197</f>
        <v>0</v>
      </c>
      <c r="G200" s="22">
        <f t="shared" ref="G200:S200" si="100">G185+G188+G191+G194+G197</f>
        <v>0</v>
      </c>
      <c r="H200" s="22">
        <f t="shared" si="100"/>
        <v>0</v>
      </c>
      <c r="I200" s="22">
        <f t="shared" si="100"/>
        <v>0</v>
      </c>
      <c r="J200" s="22">
        <f t="shared" si="100"/>
        <v>0</v>
      </c>
      <c r="K200" s="22">
        <f t="shared" si="100"/>
        <v>0</v>
      </c>
      <c r="L200" s="22">
        <f t="shared" si="100"/>
        <v>0</v>
      </c>
      <c r="M200" s="22">
        <f t="shared" si="100"/>
        <v>0</v>
      </c>
      <c r="N200" s="22">
        <f t="shared" si="100"/>
        <v>0</v>
      </c>
      <c r="O200" s="22">
        <f t="shared" si="100"/>
        <v>0</v>
      </c>
      <c r="P200" s="22">
        <f t="shared" si="100"/>
        <v>0</v>
      </c>
      <c r="Q200" s="22">
        <f t="shared" si="100"/>
        <v>0</v>
      </c>
      <c r="R200" s="22">
        <f t="shared" si="100"/>
        <v>0</v>
      </c>
      <c r="S200" s="22">
        <f t="shared" si="100"/>
        <v>0</v>
      </c>
      <c r="T200" s="109" t="s">
        <v>117</v>
      </c>
      <c r="U200" s="113" t="s">
        <v>117</v>
      </c>
      <c r="V200" s="113" t="s">
        <v>117</v>
      </c>
      <c r="X200" s="19">
        <f>Q200*0.17</f>
        <v>0</v>
      </c>
    </row>
    <row r="201" spans="4:24">
      <c r="D201" s="126"/>
      <c r="E201" s="21" t="s">
        <v>24</v>
      </c>
      <c r="F201" s="22">
        <f t="shared" ref="F201:S201" si="101">F186+F189+F192+F195+F198</f>
        <v>0</v>
      </c>
      <c r="G201" s="22">
        <f t="shared" si="101"/>
        <v>0</v>
      </c>
      <c r="H201" s="22">
        <f t="shared" si="101"/>
        <v>0</v>
      </c>
      <c r="I201" s="22">
        <f t="shared" si="101"/>
        <v>0</v>
      </c>
      <c r="J201" s="22">
        <f t="shared" si="101"/>
        <v>0</v>
      </c>
      <c r="K201" s="22">
        <f t="shared" si="101"/>
        <v>0</v>
      </c>
      <c r="L201" s="22">
        <f t="shared" si="101"/>
        <v>0</v>
      </c>
      <c r="M201" s="22">
        <f t="shared" si="101"/>
        <v>0</v>
      </c>
      <c r="N201" s="22">
        <f t="shared" si="101"/>
        <v>0</v>
      </c>
      <c r="O201" s="22">
        <f t="shared" si="101"/>
        <v>0</v>
      </c>
      <c r="P201" s="22">
        <f t="shared" si="101"/>
        <v>0</v>
      </c>
      <c r="Q201" s="22">
        <f t="shared" si="101"/>
        <v>0</v>
      </c>
      <c r="R201" s="22">
        <f t="shared" si="101"/>
        <v>0</v>
      </c>
      <c r="S201" s="22">
        <f t="shared" si="101"/>
        <v>0</v>
      </c>
      <c r="T201" s="109"/>
      <c r="U201" s="113"/>
      <c r="V201" s="113"/>
    </row>
    <row r="202" spans="4:24">
      <c r="D202" s="126"/>
      <c r="E202" s="21" t="s">
        <v>69</v>
      </c>
      <c r="F202" s="22">
        <f t="shared" ref="F202:S202" si="102">F187+F190+F193+F196+F199</f>
        <v>0</v>
      </c>
      <c r="G202" s="22">
        <f t="shared" si="102"/>
        <v>0</v>
      </c>
      <c r="H202" s="22">
        <f t="shared" si="102"/>
        <v>0</v>
      </c>
      <c r="I202" s="22">
        <f t="shared" si="102"/>
        <v>0</v>
      </c>
      <c r="J202" s="22">
        <f t="shared" si="102"/>
        <v>0</v>
      </c>
      <c r="K202" s="22">
        <f t="shared" si="102"/>
        <v>0</v>
      </c>
      <c r="L202" s="22">
        <f t="shared" si="102"/>
        <v>0</v>
      </c>
      <c r="M202" s="22">
        <f t="shared" si="102"/>
        <v>0</v>
      </c>
      <c r="N202" s="22">
        <f t="shared" si="102"/>
        <v>0</v>
      </c>
      <c r="O202" s="22">
        <f t="shared" si="102"/>
        <v>0</v>
      </c>
      <c r="P202" s="22">
        <f t="shared" si="102"/>
        <v>0</v>
      </c>
      <c r="Q202" s="22">
        <f t="shared" si="102"/>
        <v>0</v>
      </c>
      <c r="R202" s="22">
        <f t="shared" si="102"/>
        <v>0</v>
      </c>
      <c r="S202" s="22">
        <f t="shared" si="102"/>
        <v>0</v>
      </c>
      <c r="T202" s="109"/>
      <c r="U202" s="113"/>
      <c r="V202" s="113"/>
    </row>
    <row r="204" spans="4:24">
      <c r="D204" s="119" t="s">
        <v>162</v>
      </c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</row>
    <row r="205" spans="4:24">
      <c r="U205" s="127" t="s">
        <v>143</v>
      </c>
      <c r="V205" s="127"/>
    </row>
    <row r="206" spans="4:24">
      <c r="D206" s="107" t="s">
        <v>68</v>
      </c>
      <c r="E206" s="107"/>
      <c r="F206" s="107" t="s">
        <v>129</v>
      </c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9" t="s">
        <v>117</v>
      </c>
      <c r="U206" s="107" t="s">
        <v>107</v>
      </c>
      <c r="V206" s="107" t="s">
        <v>19</v>
      </c>
    </row>
    <row r="207" spans="4:24">
      <c r="D207" s="107"/>
      <c r="E207" s="107"/>
      <c r="F207" s="107" t="s">
        <v>46</v>
      </c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 t="s">
        <v>134</v>
      </c>
      <c r="S207" s="107" t="s">
        <v>69</v>
      </c>
      <c r="T207" s="109"/>
      <c r="U207" s="107"/>
      <c r="V207" s="107"/>
    </row>
    <row r="208" spans="4:24">
      <c r="D208" s="107"/>
      <c r="E208" s="107"/>
      <c r="F208" s="107" t="s">
        <v>121</v>
      </c>
      <c r="G208" s="107" t="s">
        <v>52</v>
      </c>
      <c r="H208" s="107"/>
      <c r="I208" s="107" t="s">
        <v>76</v>
      </c>
      <c r="J208" s="107"/>
      <c r="K208" s="107" t="s">
        <v>149</v>
      </c>
      <c r="L208" s="107" t="s">
        <v>105</v>
      </c>
      <c r="M208" s="107" t="s">
        <v>88</v>
      </c>
      <c r="N208" s="107" t="s">
        <v>35</v>
      </c>
      <c r="O208" s="107" t="s">
        <v>33</v>
      </c>
      <c r="P208" s="107" t="s">
        <v>30</v>
      </c>
      <c r="Q208" s="107" t="s">
        <v>25</v>
      </c>
      <c r="R208" s="107"/>
      <c r="S208" s="107"/>
      <c r="T208" s="109"/>
      <c r="U208" s="107"/>
      <c r="V208" s="107"/>
    </row>
    <row r="209" spans="4:24">
      <c r="D209" s="107"/>
      <c r="E209" s="107"/>
      <c r="F209" s="107"/>
      <c r="G209" s="20" t="s">
        <v>83</v>
      </c>
      <c r="H209" s="20" t="s">
        <v>102</v>
      </c>
      <c r="I209" s="20" t="s">
        <v>83</v>
      </c>
      <c r="J209" s="20" t="s">
        <v>102</v>
      </c>
      <c r="K209" s="107"/>
      <c r="L209" s="107"/>
      <c r="M209" s="107"/>
      <c r="N209" s="107"/>
      <c r="O209" s="107"/>
      <c r="P209" s="107"/>
      <c r="Q209" s="107"/>
      <c r="R209" s="107"/>
      <c r="S209" s="107"/>
      <c r="T209" s="109"/>
      <c r="U209" s="107"/>
      <c r="V209" s="107"/>
    </row>
    <row r="210" spans="4:24">
      <c r="D210" s="126">
        <v>1</v>
      </c>
      <c r="E210" s="21" t="s">
        <v>78</v>
      </c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2">
        <f>SUM(F210:P210)</f>
        <v>0</v>
      </c>
      <c r="R210" s="24"/>
      <c r="S210" s="22">
        <f>Q210+R210</f>
        <v>0</v>
      </c>
      <c r="T210" s="109" t="s">
        <v>117</v>
      </c>
      <c r="U210" s="113" t="s">
        <v>117</v>
      </c>
      <c r="V210" s="113" t="s">
        <v>117</v>
      </c>
      <c r="X210" s="19">
        <f>Q210*0.1</f>
        <v>0</v>
      </c>
    </row>
    <row r="211" spans="4:24">
      <c r="D211" s="126"/>
      <c r="E211" s="21" t="s">
        <v>24</v>
      </c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2">
        <f>SUM(F211:P211)</f>
        <v>0</v>
      </c>
      <c r="R211" s="24"/>
      <c r="S211" s="22">
        <f>Q211+R211</f>
        <v>0</v>
      </c>
      <c r="T211" s="109"/>
      <c r="U211" s="113"/>
      <c r="V211" s="113"/>
    </row>
    <row r="212" spans="4:24">
      <c r="D212" s="126"/>
      <c r="E212" s="21" t="s">
        <v>25</v>
      </c>
      <c r="F212" s="22">
        <f t="shared" ref="F212:P212" si="103">SUM(F210:F211)</f>
        <v>0</v>
      </c>
      <c r="G212" s="22">
        <f t="shared" si="103"/>
        <v>0</v>
      </c>
      <c r="H212" s="22">
        <f t="shared" si="103"/>
        <v>0</v>
      </c>
      <c r="I212" s="22">
        <f t="shared" si="103"/>
        <v>0</v>
      </c>
      <c r="J212" s="22">
        <f t="shared" si="103"/>
        <v>0</v>
      </c>
      <c r="K212" s="22">
        <f t="shared" si="103"/>
        <v>0</v>
      </c>
      <c r="L212" s="22">
        <f t="shared" si="103"/>
        <v>0</v>
      </c>
      <c r="M212" s="22">
        <f t="shared" si="103"/>
        <v>0</v>
      </c>
      <c r="N212" s="22">
        <f t="shared" si="103"/>
        <v>0</v>
      </c>
      <c r="O212" s="22">
        <f t="shared" si="103"/>
        <v>0</v>
      </c>
      <c r="P212" s="22">
        <f t="shared" si="103"/>
        <v>0</v>
      </c>
      <c r="Q212" s="22">
        <f>SUM(Q210:Q211)</f>
        <v>0</v>
      </c>
      <c r="R212" s="22">
        <f t="shared" ref="R212" si="104">SUM(R210:R211)</f>
        <v>0</v>
      </c>
      <c r="S212" s="22">
        <f>SUM(S210:S211)</f>
        <v>0</v>
      </c>
      <c r="T212" s="109"/>
      <c r="U212" s="113"/>
      <c r="V212" s="113"/>
    </row>
    <row r="213" spans="4:24">
      <c r="D213" s="126">
        <v>2</v>
      </c>
      <c r="E213" s="21" t="s">
        <v>78</v>
      </c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2">
        <f>SUM(F213:P213)</f>
        <v>0</v>
      </c>
      <c r="R213" s="24"/>
      <c r="S213" s="22">
        <f t="shared" ref="S213:S214" si="105">Q213+R213</f>
        <v>0</v>
      </c>
      <c r="T213" s="109" t="s">
        <v>117</v>
      </c>
      <c r="U213" s="113" t="s">
        <v>117</v>
      </c>
      <c r="V213" s="113" t="s">
        <v>117</v>
      </c>
      <c r="X213" s="19">
        <f>Q213*0.1</f>
        <v>0</v>
      </c>
    </row>
    <row r="214" spans="4:24">
      <c r="D214" s="126"/>
      <c r="E214" s="21" t="s">
        <v>24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2">
        <f>SUM(F214:P214)</f>
        <v>0</v>
      </c>
      <c r="R214" s="24"/>
      <c r="S214" s="22">
        <f t="shared" si="105"/>
        <v>0</v>
      </c>
      <c r="T214" s="109"/>
      <c r="U214" s="113"/>
      <c r="V214" s="113"/>
    </row>
    <row r="215" spans="4:24">
      <c r="D215" s="126"/>
      <c r="E215" s="21" t="s">
        <v>25</v>
      </c>
      <c r="F215" s="22">
        <f>SUM(F213:F214)</f>
        <v>0</v>
      </c>
      <c r="G215" s="22">
        <f t="shared" ref="G215:R215" si="106">SUM(G213:G214)</f>
        <v>0</v>
      </c>
      <c r="H215" s="22">
        <f t="shared" si="106"/>
        <v>0</v>
      </c>
      <c r="I215" s="22">
        <f t="shared" si="106"/>
        <v>0</v>
      </c>
      <c r="J215" s="22">
        <f t="shared" si="106"/>
        <v>0</v>
      </c>
      <c r="K215" s="22">
        <f t="shared" si="106"/>
        <v>0</v>
      </c>
      <c r="L215" s="22">
        <f t="shared" si="106"/>
        <v>0</v>
      </c>
      <c r="M215" s="22">
        <f t="shared" si="106"/>
        <v>0</v>
      </c>
      <c r="N215" s="22">
        <f t="shared" si="106"/>
        <v>0</v>
      </c>
      <c r="O215" s="22">
        <f t="shared" si="106"/>
        <v>0</v>
      </c>
      <c r="P215" s="22">
        <f t="shared" si="106"/>
        <v>0</v>
      </c>
      <c r="Q215" s="22">
        <f t="shared" si="106"/>
        <v>0</v>
      </c>
      <c r="R215" s="22">
        <f t="shared" si="106"/>
        <v>0</v>
      </c>
      <c r="S215" s="22">
        <f>SUM(S213:S214)</f>
        <v>0</v>
      </c>
      <c r="T215" s="109"/>
      <c r="U215" s="113"/>
      <c r="V215" s="113"/>
    </row>
    <row r="216" spans="4:24">
      <c r="D216" s="126">
        <v>3</v>
      </c>
      <c r="E216" s="21" t="s">
        <v>78</v>
      </c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2">
        <f>SUM(F216:P216)</f>
        <v>0</v>
      </c>
      <c r="R216" s="24"/>
      <c r="S216" s="22">
        <f t="shared" ref="S216:S217" si="107">Q216+R216</f>
        <v>0</v>
      </c>
      <c r="T216" s="109" t="s">
        <v>117</v>
      </c>
      <c r="U216" s="113" t="s">
        <v>117</v>
      </c>
      <c r="V216" s="113" t="s">
        <v>117</v>
      </c>
      <c r="X216" s="19">
        <f>Q216*0.1</f>
        <v>0</v>
      </c>
    </row>
    <row r="217" spans="4:24">
      <c r="D217" s="126"/>
      <c r="E217" s="21" t="s">
        <v>24</v>
      </c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2">
        <f>SUM(F217:P217)</f>
        <v>0</v>
      </c>
      <c r="R217" s="24"/>
      <c r="S217" s="22">
        <f t="shared" si="107"/>
        <v>0</v>
      </c>
      <c r="T217" s="109"/>
      <c r="U217" s="113"/>
      <c r="V217" s="113"/>
    </row>
    <row r="218" spans="4:24">
      <c r="D218" s="126"/>
      <c r="E218" s="21" t="s">
        <v>25</v>
      </c>
      <c r="F218" s="22">
        <f>SUM(F216:F217)</f>
        <v>0</v>
      </c>
      <c r="G218" s="22">
        <f t="shared" ref="G218:R218" si="108">SUM(G216:G217)</f>
        <v>0</v>
      </c>
      <c r="H218" s="22">
        <f t="shared" si="108"/>
        <v>0</v>
      </c>
      <c r="I218" s="22">
        <f t="shared" si="108"/>
        <v>0</v>
      </c>
      <c r="J218" s="22">
        <f t="shared" si="108"/>
        <v>0</v>
      </c>
      <c r="K218" s="22">
        <f t="shared" si="108"/>
        <v>0</v>
      </c>
      <c r="L218" s="22">
        <f t="shared" si="108"/>
        <v>0</v>
      </c>
      <c r="M218" s="22">
        <f t="shared" si="108"/>
        <v>0</v>
      </c>
      <c r="N218" s="22">
        <f t="shared" si="108"/>
        <v>0</v>
      </c>
      <c r="O218" s="22">
        <f t="shared" si="108"/>
        <v>0</v>
      </c>
      <c r="P218" s="22">
        <f t="shared" si="108"/>
        <v>0</v>
      </c>
      <c r="Q218" s="22">
        <f t="shared" si="108"/>
        <v>0</v>
      </c>
      <c r="R218" s="22">
        <f t="shared" si="108"/>
        <v>0</v>
      </c>
      <c r="S218" s="22">
        <f>SUM(S216:S217)</f>
        <v>0</v>
      </c>
      <c r="T218" s="109"/>
      <c r="U218" s="113"/>
      <c r="V218" s="113"/>
    </row>
    <row r="219" spans="4:24">
      <c r="D219" s="126">
        <v>4</v>
      </c>
      <c r="E219" s="21" t="s">
        <v>78</v>
      </c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2">
        <f>SUM(F219:P219)</f>
        <v>0</v>
      </c>
      <c r="R219" s="24"/>
      <c r="S219" s="22">
        <f t="shared" ref="S219:S220" si="109">Q219+R219</f>
        <v>0</v>
      </c>
      <c r="T219" s="109" t="s">
        <v>117</v>
      </c>
      <c r="U219" s="113" t="s">
        <v>117</v>
      </c>
      <c r="V219" s="113" t="s">
        <v>117</v>
      </c>
      <c r="X219" s="19">
        <f>Q219*0.1</f>
        <v>0</v>
      </c>
    </row>
    <row r="220" spans="4:24">
      <c r="D220" s="126"/>
      <c r="E220" s="21" t="s">
        <v>24</v>
      </c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2">
        <f>SUM(F220:P220)</f>
        <v>0</v>
      </c>
      <c r="R220" s="24"/>
      <c r="S220" s="22">
        <f t="shared" si="109"/>
        <v>0</v>
      </c>
      <c r="T220" s="109"/>
      <c r="U220" s="113"/>
      <c r="V220" s="113"/>
    </row>
    <row r="221" spans="4:24">
      <c r="D221" s="126"/>
      <c r="E221" s="21" t="s">
        <v>25</v>
      </c>
      <c r="F221" s="22">
        <f>SUM(F219:F220)</f>
        <v>0</v>
      </c>
      <c r="G221" s="22">
        <f t="shared" ref="G221:R221" si="110">SUM(G219:G220)</f>
        <v>0</v>
      </c>
      <c r="H221" s="22">
        <f t="shared" si="110"/>
        <v>0</v>
      </c>
      <c r="I221" s="22">
        <f t="shared" si="110"/>
        <v>0</v>
      </c>
      <c r="J221" s="22">
        <f t="shared" si="110"/>
        <v>0</v>
      </c>
      <c r="K221" s="22">
        <f t="shared" si="110"/>
        <v>0</v>
      </c>
      <c r="L221" s="22">
        <f t="shared" si="110"/>
        <v>0</v>
      </c>
      <c r="M221" s="22">
        <f t="shared" si="110"/>
        <v>0</v>
      </c>
      <c r="N221" s="22">
        <f t="shared" si="110"/>
        <v>0</v>
      </c>
      <c r="O221" s="22">
        <f t="shared" si="110"/>
        <v>0</v>
      </c>
      <c r="P221" s="22">
        <f t="shared" si="110"/>
        <v>0</v>
      </c>
      <c r="Q221" s="22">
        <f t="shared" si="110"/>
        <v>0</v>
      </c>
      <c r="R221" s="22">
        <f t="shared" si="110"/>
        <v>0</v>
      </c>
      <c r="S221" s="22">
        <f>SUM(S219:S220)</f>
        <v>0</v>
      </c>
      <c r="T221" s="109"/>
      <c r="U221" s="113"/>
      <c r="V221" s="113"/>
    </row>
    <row r="222" spans="4:24">
      <c r="D222" s="126">
        <v>5</v>
      </c>
      <c r="E222" s="21" t="s">
        <v>78</v>
      </c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2">
        <f>SUM(F222:P222)</f>
        <v>0</v>
      </c>
      <c r="R222" s="24"/>
      <c r="S222" s="22">
        <f t="shared" ref="S222:S223" si="111">Q222+R222</f>
        <v>0</v>
      </c>
      <c r="T222" s="109" t="s">
        <v>117</v>
      </c>
      <c r="U222" s="113" t="s">
        <v>117</v>
      </c>
      <c r="V222" s="113" t="s">
        <v>117</v>
      </c>
      <c r="X222" s="19">
        <f>Q222*0.2205</f>
        <v>0</v>
      </c>
    </row>
    <row r="223" spans="4:24">
      <c r="D223" s="126"/>
      <c r="E223" s="21" t="s">
        <v>24</v>
      </c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2">
        <f>SUM(F223:P223)</f>
        <v>0</v>
      </c>
      <c r="R223" s="24"/>
      <c r="S223" s="22">
        <f t="shared" si="111"/>
        <v>0</v>
      </c>
      <c r="T223" s="109"/>
      <c r="U223" s="113"/>
      <c r="V223" s="113"/>
    </row>
    <row r="224" spans="4:24">
      <c r="D224" s="126"/>
      <c r="E224" s="21" t="s">
        <v>25</v>
      </c>
      <c r="F224" s="22">
        <f>SUM(F222:F223)</f>
        <v>0</v>
      </c>
      <c r="G224" s="22">
        <f t="shared" ref="G224:Q224" si="112">SUM(G222:G223)</f>
        <v>0</v>
      </c>
      <c r="H224" s="22">
        <f t="shared" si="112"/>
        <v>0</v>
      </c>
      <c r="I224" s="22">
        <f t="shared" si="112"/>
        <v>0</v>
      </c>
      <c r="J224" s="22">
        <f t="shared" si="112"/>
        <v>0</v>
      </c>
      <c r="K224" s="22">
        <f t="shared" si="112"/>
        <v>0</v>
      </c>
      <c r="L224" s="22">
        <f t="shared" si="112"/>
        <v>0</v>
      </c>
      <c r="M224" s="22">
        <f t="shared" si="112"/>
        <v>0</v>
      </c>
      <c r="N224" s="22">
        <f t="shared" si="112"/>
        <v>0</v>
      </c>
      <c r="O224" s="22">
        <f t="shared" si="112"/>
        <v>0</v>
      </c>
      <c r="P224" s="22">
        <f t="shared" si="112"/>
        <v>0</v>
      </c>
      <c r="Q224" s="22">
        <f t="shared" si="112"/>
        <v>0</v>
      </c>
      <c r="R224" s="22">
        <f>SUM(R222:R223)</f>
        <v>0</v>
      </c>
      <c r="S224" s="22">
        <f>SUM(S222:S223)</f>
        <v>0</v>
      </c>
      <c r="T224" s="109"/>
      <c r="U224" s="113"/>
      <c r="V224" s="113"/>
    </row>
    <row r="225" spans="4:24">
      <c r="D225" s="126" t="s">
        <v>43</v>
      </c>
      <c r="E225" s="21" t="s">
        <v>78</v>
      </c>
      <c r="F225" s="22">
        <f>F210+F213+F216+F219+F222</f>
        <v>0</v>
      </c>
      <c r="G225" s="22">
        <f t="shared" ref="G225:S225" si="113">G210+G213+G216+G219+G222</f>
        <v>0</v>
      </c>
      <c r="H225" s="22">
        <f t="shared" si="113"/>
        <v>0</v>
      </c>
      <c r="I225" s="22">
        <f t="shared" si="113"/>
        <v>0</v>
      </c>
      <c r="J225" s="22">
        <f t="shared" si="113"/>
        <v>0</v>
      </c>
      <c r="K225" s="22">
        <f t="shared" si="113"/>
        <v>0</v>
      </c>
      <c r="L225" s="22">
        <f t="shared" si="113"/>
        <v>0</v>
      </c>
      <c r="M225" s="22">
        <f t="shared" si="113"/>
        <v>0</v>
      </c>
      <c r="N225" s="22">
        <f t="shared" si="113"/>
        <v>0</v>
      </c>
      <c r="O225" s="22">
        <f t="shared" si="113"/>
        <v>0</v>
      </c>
      <c r="P225" s="22">
        <f t="shared" si="113"/>
        <v>0</v>
      </c>
      <c r="Q225" s="22">
        <f t="shared" si="113"/>
        <v>0</v>
      </c>
      <c r="R225" s="22">
        <f t="shared" si="113"/>
        <v>0</v>
      </c>
      <c r="S225" s="22">
        <f t="shared" si="113"/>
        <v>0</v>
      </c>
      <c r="T225" s="109" t="s">
        <v>117</v>
      </c>
      <c r="U225" s="113" t="s">
        <v>117</v>
      </c>
      <c r="V225" s="113" t="s">
        <v>117</v>
      </c>
      <c r="X225" s="19">
        <f>Q225*0.1</f>
        <v>0</v>
      </c>
    </row>
    <row r="226" spans="4:24">
      <c r="D226" s="126"/>
      <c r="E226" s="21" t="s">
        <v>24</v>
      </c>
      <c r="F226" s="22">
        <f t="shared" ref="F226:S226" si="114">F211+F214+F217+F220+F223</f>
        <v>0</v>
      </c>
      <c r="G226" s="22">
        <f t="shared" si="114"/>
        <v>0</v>
      </c>
      <c r="H226" s="22">
        <f t="shared" si="114"/>
        <v>0</v>
      </c>
      <c r="I226" s="22">
        <f t="shared" si="114"/>
        <v>0</v>
      </c>
      <c r="J226" s="22">
        <f t="shared" si="114"/>
        <v>0</v>
      </c>
      <c r="K226" s="22">
        <f t="shared" si="114"/>
        <v>0</v>
      </c>
      <c r="L226" s="22">
        <f t="shared" si="114"/>
        <v>0</v>
      </c>
      <c r="M226" s="22">
        <f t="shared" si="114"/>
        <v>0</v>
      </c>
      <c r="N226" s="22">
        <f t="shared" si="114"/>
        <v>0</v>
      </c>
      <c r="O226" s="22">
        <f t="shared" si="114"/>
        <v>0</v>
      </c>
      <c r="P226" s="22">
        <f t="shared" si="114"/>
        <v>0</v>
      </c>
      <c r="Q226" s="22">
        <f t="shared" si="114"/>
        <v>0</v>
      </c>
      <c r="R226" s="22">
        <f t="shared" si="114"/>
        <v>0</v>
      </c>
      <c r="S226" s="22">
        <f t="shared" si="114"/>
        <v>0</v>
      </c>
      <c r="T226" s="109"/>
      <c r="U226" s="113"/>
      <c r="V226" s="113"/>
    </row>
    <row r="227" spans="4:24">
      <c r="D227" s="126"/>
      <c r="E227" s="21" t="s">
        <v>69</v>
      </c>
      <c r="F227" s="22">
        <f t="shared" ref="F227:S227" si="115">F212+F215+F218+F221+F224</f>
        <v>0</v>
      </c>
      <c r="G227" s="22">
        <f t="shared" si="115"/>
        <v>0</v>
      </c>
      <c r="H227" s="22">
        <f t="shared" si="115"/>
        <v>0</v>
      </c>
      <c r="I227" s="22">
        <f t="shared" si="115"/>
        <v>0</v>
      </c>
      <c r="J227" s="22">
        <f t="shared" si="115"/>
        <v>0</v>
      </c>
      <c r="K227" s="22">
        <f t="shared" si="115"/>
        <v>0</v>
      </c>
      <c r="L227" s="22">
        <f t="shared" si="115"/>
        <v>0</v>
      </c>
      <c r="M227" s="22">
        <f t="shared" si="115"/>
        <v>0</v>
      </c>
      <c r="N227" s="22">
        <f t="shared" si="115"/>
        <v>0</v>
      </c>
      <c r="O227" s="22">
        <f t="shared" si="115"/>
        <v>0</v>
      </c>
      <c r="P227" s="22">
        <f t="shared" si="115"/>
        <v>0</v>
      </c>
      <c r="Q227" s="22">
        <f t="shared" si="115"/>
        <v>0</v>
      </c>
      <c r="R227" s="22">
        <f t="shared" si="115"/>
        <v>0</v>
      </c>
      <c r="S227" s="22">
        <f t="shared" si="115"/>
        <v>0</v>
      </c>
      <c r="T227" s="109"/>
      <c r="U227" s="113"/>
      <c r="V227" s="113"/>
    </row>
    <row r="229" spans="4:24">
      <c r="D229" s="119" t="s">
        <v>162</v>
      </c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</row>
    <row r="230" spans="4:24">
      <c r="U230" s="127" t="s">
        <v>143</v>
      </c>
      <c r="V230" s="127"/>
    </row>
    <row r="231" spans="4:24">
      <c r="D231" s="107" t="s">
        <v>68</v>
      </c>
      <c r="E231" s="107"/>
      <c r="F231" s="107" t="s">
        <v>129</v>
      </c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9" t="s">
        <v>117</v>
      </c>
      <c r="U231" s="107" t="s">
        <v>107</v>
      </c>
      <c r="V231" s="107" t="s">
        <v>19</v>
      </c>
    </row>
    <row r="232" spans="4:24">
      <c r="D232" s="107"/>
      <c r="E232" s="107"/>
      <c r="F232" s="107" t="s">
        <v>46</v>
      </c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 t="s">
        <v>134</v>
      </c>
      <c r="S232" s="107" t="s">
        <v>69</v>
      </c>
      <c r="T232" s="109"/>
      <c r="U232" s="107"/>
      <c r="V232" s="107"/>
    </row>
    <row r="233" spans="4:24">
      <c r="D233" s="107"/>
      <c r="E233" s="107"/>
      <c r="F233" s="107" t="s">
        <v>121</v>
      </c>
      <c r="G233" s="107" t="s">
        <v>52</v>
      </c>
      <c r="H233" s="107"/>
      <c r="I233" s="107" t="s">
        <v>76</v>
      </c>
      <c r="J233" s="107"/>
      <c r="K233" s="107" t="s">
        <v>149</v>
      </c>
      <c r="L233" s="107" t="s">
        <v>105</v>
      </c>
      <c r="M233" s="107" t="s">
        <v>88</v>
      </c>
      <c r="N233" s="107" t="s">
        <v>35</v>
      </c>
      <c r="O233" s="107" t="s">
        <v>33</v>
      </c>
      <c r="P233" s="107" t="s">
        <v>30</v>
      </c>
      <c r="Q233" s="107" t="s">
        <v>25</v>
      </c>
      <c r="R233" s="107"/>
      <c r="S233" s="107"/>
      <c r="T233" s="109"/>
      <c r="U233" s="107"/>
      <c r="V233" s="107"/>
    </row>
    <row r="234" spans="4:24">
      <c r="D234" s="107"/>
      <c r="E234" s="107"/>
      <c r="F234" s="107"/>
      <c r="G234" s="20" t="s">
        <v>83</v>
      </c>
      <c r="H234" s="20" t="s">
        <v>102</v>
      </c>
      <c r="I234" s="20" t="s">
        <v>83</v>
      </c>
      <c r="J234" s="20" t="s">
        <v>102</v>
      </c>
      <c r="K234" s="107"/>
      <c r="L234" s="107"/>
      <c r="M234" s="107"/>
      <c r="N234" s="107"/>
      <c r="O234" s="107"/>
      <c r="P234" s="107"/>
      <c r="Q234" s="107"/>
      <c r="R234" s="107"/>
      <c r="S234" s="107"/>
      <c r="T234" s="109"/>
      <c r="U234" s="107"/>
      <c r="V234" s="107"/>
    </row>
    <row r="235" spans="4:24">
      <c r="D235" s="126">
        <v>1</v>
      </c>
      <c r="E235" s="21" t="s">
        <v>78</v>
      </c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2">
        <f>SUM(F235:P235)</f>
        <v>0</v>
      </c>
      <c r="R235" s="24"/>
      <c r="S235" s="22">
        <f>Q235+R235</f>
        <v>0</v>
      </c>
      <c r="T235" s="109" t="s">
        <v>117</v>
      </c>
      <c r="U235" s="113" t="s">
        <v>117</v>
      </c>
      <c r="V235" s="113" t="s">
        <v>117</v>
      </c>
      <c r="X235" s="19">
        <f>Q235*0.1</f>
        <v>0</v>
      </c>
    </row>
    <row r="236" spans="4:24">
      <c r="D236" s="126"/>
      <c r="E236" s="21" t="s">
        <v>24</v>
      </c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2">
        <f>SUM(F236:P236)</f>
        <v>0</v>
      </c>
      <c r="R236" s="24"/>
      <c r="S236" s="22">
        <f>Q236+R236</f>
        <v>0</v>
      </c>
      <c r="T236" s="109"/>
      <c r="U236" s="113"/>
      <c r="V236" s="113"/>
    </row>
    <row r="237" spans="4:24">
      <c r="D237" s="126"/>
      <c r="E237" s="21" t="s">
        <v>25</v>
      </c>
      <c r="F237" s="22">
        <f t="shared" ref="F237:P237" si="116">SUM(F235:F236)</f>
        <v>0</v>
      </c>
      <c r="G237" s="22">
        <f t="shared" si="116"/>
        <v>0</v>
      </c>
      <c r="H237" s="22">
        <f t="shared" si="116"/>
        <v>0</v>
      </c>
      <c r="I237" s="22">
        <f t="shared" si="116"/>
        <v>0</v>
      </c>
      <c r="J237" s="22">
        <f t="shared" si="116"/>
        <v>0</v>
      </c>
      <c r="K237" s="22">
        <f t="shared" si="116"/>
        <v>0</v>
      </c>
      <c r="L237" s="22">
        <f t="shared" si="116"/>
        <v>0</v>
      </c>
      <c r="M237" s="22">
        <f t="shared" si="116"/>
        <v>0</v>
      </c>
      <c r="N237" s="22">
        <f t="shared" si="116"/>
        <v>0</v>
      </c>
      <c r="O237" s="22">
        <f t="shared" si="116"/>
        <v>0</v>
      </c>
      <c r="P237" s="22">
        <f t="shared" si="116"/>
        <v>0</v>
      </c>
      <c r="Q237" s="22">
        <f>SUM(Q235:Q236)</f>
        <v>0</v>
      </c>
      <c r="R237" s="22">
        <f t="shared" ref="R237" si="117">SUM(R235:R236)</f>
        <v>0</v>
      </c>
      <c r="S237" s="22">
        <f>SUM(S235:S236)</f>
        <v>0</v>
      </c>
      <c r="T237" s="109"/>
      <c r="U237" s="113"/>
      <c r="V237" s="113"/>
    </row>
    <row r="238" spans="4:24">
      <c r="D238" s="126">
        <v>2</v>
      </c>
      <c r="E238" s="21" t="s">
        <v>78</v>
      </c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2">
        <f>SUM(F238:P238)</f>
        <v>0</v>
      </c>
      <c r="R238" s="24"/>
      <c r="S238" s="22">
        <f t="shared" ref="S238:S239" si="118">Q238+R238</f>
        <v>0</v>
      </c>
      <c r="T238" s="109" t="s">
        <v>117</v>
      </c>
      <c r="U238" s="113" t="s">
        <v>117</v>
      </c>
      <c r="V238" s="113" t="s">
        <v>117</v>
      </c>
      <c r="X238" s="19">
        <f>Q238*0.1</f>
        <v>0</v>
      </c>
    </row>
    <row r="239" spans="4:24">
      <c r="D239" s="126"/>
      <c r="E239" s="21" t="s">
        <v>24</v>
      </c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2">
        <f>SUM(F239:P239)</f>
        <v>0</v>
      </c>
      <c r="R239" s="24"/>
      <c r="S239" s="22">
        <f t="shared" si="118"/>
        <v>0</v>
      </c>
      <c r="T239" s="109"/>
      <c r="U239" s="113"/>
      <c r="V239" s="113"/>
    </row>
    <row r="240" spans="4:24">
      <c r="D240" s="126"/>
      <c r="E240" s="21" t="s">
        <v>25</v>
      </c>
      <c r="F240" s="22">
        <f>SUM(F238:F239)</f>
        <v>0</v>
      </c>
      <c r="G240" s="22">
        <f t="shared" ref="G240:R240" si="119">SUM(G238:G239)</f>
        <v>0</v>
      </c>
      <c r="H240" s="22">
        <f t="shared" si="119"/>
        <v>0</v>
      </c>
      <c r="I240" s="22">
        <f t="shared" si="119"/>
        <v>0</v>
      </c>
      <c r="J240" s="22">
        <f t="shared" si="119"/>
        <v>0</v>
      </c>
      <c r="K240" s="22">
        <f t="shared" si="119"/>
        <v>0</v>
      </c>
      <c r="L240" s="22">
        <f t="shared" si="119"/>
        <v>0</v>
      </c>
      <c r="M240" s="22">
        <f t="shared" si="119"/>
        <v>0</v>
      </c>
      <c r="N240" s="22">
        <f t="shared" si="119"/>
        <v>0</v>
      </c>
      <c r="O240" s="22">
        <f t="shared" si="119"/>
        <v>0</v>
      </c>
      <c r="P240" s="22">
        <f t="shared" si="119"/>
        <v>0</v>
      </c>
      <c r="Q240" s="22">
        <f t="shared" si="119"/>
        <v>0</v>
      </c>
      <c r="R240" s="22">
        <f t="shared" si="119"/>
        <v>0</v>
      </c>
      <c r="S240" s="22">
        <f>SUM(S238:S239)</f>
        <v>0</v>
      </c>
      <c r="T240" s="109"/>
      <c r="U240" s="113"/>
      <c r="V240" s="113"/>
    </row>
    <row r="241" spans="4:24">
      <c r="D241" s="126">
        <v>3</v>
      </c>
      <c r="E241" s="21" t="s">
        <v>78</v>
      </c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2">
        <f>SUM(F241:P241)</f>
        <v>0</v>
      </c>
      <c r="R241" s="24"/>
      <c r="S241" s="22">
        <f t="shared" ref="S241:S242" si="120">Q241+R241</f>
        <v>0</v>
      </c>
      <c r="T241" s="109" t="s">
        <v>117</v>
      </c>
      <c r="U241" s="113" t="s">
        <v>117</v>
      </c>
      <c r="V241" s="113" t="s">
        <v>117</v>
      </c>
      <c r="X241" s="19">
        <f>Q241*0.1</f>
        <v>0</v>
      </c>
    </row>
    <row r="242" spans="4:24">
      <c r="D242" s="126"/>
      <c r="E242" s="21" t="s">
        <v>24</v>
      </c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2">
        <f>SUM(F242:P242)</f>
        <v>0</v>
      </c>
      <c r="R242" s="24"/>
      <c r="S242" s="22">
        <f t="shared" si="120"/>
        <v>0</v>
      </c>
      <c r="T242" s="109"/>
      <c r="U242" s="113"/>
      <c r="V242" s="113"/>
    </row>
    <row r="243" spans="4:24">
      <c r="D243" s="126"/>
      <c r="E243" s="21" t="s">
        <v>25</v>
      </c>
      <c r="F243" s="22">
        <f>SUM(F241:F242)</f>
        <v>0</v>
      </c>
      <c r="G243" s="22">
        <f t="shared" ref="G243:R243" si="121">SUM(G241:G242)</f>
        <v>0</v>
      </c>
      <c r="H243" s="22">
        <f t="shared" si="121"/>
        <v>0</v>
      </c>
      <c r="I243" s="22">
        <f t="shared" si="121"/>
        <v>0</v>
      </c>
      <c r="J243" s="22">
        <f t="shared" si="121"/>
        <v>0</v>
      </c>
      <c r="K243" s="22">
        <f t="shared" si="121"/>
        <v>0</v>
      </c>
      <c r="L243" s="22">
        <f t="shared" si="121"/>
        <v>0</v>
      </c>
      <c r="M243" s="22">
        <f t="shared" si="121"/>
        <v>0</v>
      </c>
      <c r="N243" s="22">
        <f t="shared" si="121"/>
        <v>0</v>
      </c>
      <c r="O243" s="22">
        <f t="shared" si="121"/>
        <v>0</v>
      </c>
      <c r="P243" s="22">
        <f t="shared" si="121"/>
        <v>0</v>
      </c>
      <c r="Q243" s="22">
        <f t="shared" si="121"/>
        <v>0</v>
      </c>
      <c r="R243" s="22">
        <f t="shared" si="121"/>
        <v>0</v>
      </c>
      <c r="S243" s="22">
        <f>SUM(S241:S242)</f>
        <v>0</v>
      </c>
      <c r="T243" s="109"/>
      <c r="U243" s="113"/>
      <c r="V243" s="113"/>
    </row>
    <row r="244" spans="4:24">
      <c r="D244" s="126">
        <v>4</v>
      </c>
      <c r="E244" s="21" t="s">
        <v>78</v>
      </c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2">
        <f>SUM(F244:P244)</f>
        <v>0</v>
      </c>
      <c r="R244" s="24"/>
      <c r="S244" s="22">
        <f t="shared" ref="S244:S245" si="122">Q244+R244</f>
        <v>0</v>
      </c>
      <c r="T244" s="109" t="s">
        <v>117</v>
      </c>
      <c r="U244" s="113" t="s">
        <v>117</v>
      </c>
      <c r="V244" s="113" t="s">
        <v>117</v>
      </c>
      <c r="X244" s="19">
        <f>Q244*0.1</f>
        <v>0</v>
      </c>
    </row>
    <row r="245" spans="4:24">
      <c r="D245" s="126"/>
      <c r="E245" s="21" t="s">
        <v>24</v>
      </c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2">
        <f>SUM(F245:P245)</f>
        <v>0</v>
      </c>
      <c r="R245" s="24"/>
      <c r="S245" s="22">
        <f t="shared" si="122"/>
        <v>0</v>
      </c>
      <c r="T245" s="109"/>
      <c r="U245" s="113"/>
      <c r="V245" s="113"/>
    </row>
    <row r="246" spans="4:24">
      <c r="D246" s="126"/>
      <c r="E246" s="21" t="s">
        <v>25</v>
      </c>
      <c r="F246" s="22">
        <f>SUM(F244:F245)</f>
        <v>0</v>
      </c>
      <c r="G246" s="22">
        <f t="shared" ref="G246:R246" si="123">SUM(G244:G245)</f>
        <v>0</v>
      </c>
      <c r="H246" s="22">
        <f t="shared" si="123"/>
        <v>0</v>
      </c>
      <c r="I246" s="22">
        <f t="shared" si="123"/>
        <v>0</v>
      </c>
      <c r="J246" s="22">
        <f t="shared" si="123"/>
        <v>0</v>
      </c>
      <c r="K246" s="22">
        <f t="shared" si="123"/>
        <v>0</v>
      </c>
      <c r="L246" s="22">
        <f t="shared" si="123"/>
        <v>0</v>
      </c>
      <c r="M246" s="22">
        <f t="shared" si="123"/>
        <v>0</v>
      </c>
      <c r="N246" s="22">
        <f t="shared" si="123"/>
        <v>0</v>
      </c>
      <c r="O246" s="22">
        <f t="shared" si="123"/>
        <v>0</v>
      </c>
      <c r="P246" s="22">
        <f t="shared" si="123"/>
        <v>0</v>
      </c>
      <c r="Q246" s="22">
        <f t="shared" si="123"/>
        <v>0</v>
      </c>
      <c r="R246" s="22">
        <f t="shared" si="123"/>
        <v>0</v>
      </c>
      <c r="S246" s="22">
        <f>SUM(S244:S245)</f>
        <v>0</v>
      </c>
      <c r="T246" s="109"/>
      <c r="U246" s="113"/>
      <c r="V246" s="113"/>
    </row>
    <row r="247" spans="4:24">
      <c r="D247" s="126">
        <v>5</v>
      </c>
      <c r="E247" s="21" t="s">
        <v>78</v>
      </c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2">
        <f>SUM(F247:P247)</f>
        <v>0</v>
      </c>
      <c r="R247" s="24"/>
      <c r="S247" s="22">
        <f t="shared" ref="S247:S248" si="124">Q247+R247</f>
        <v>0</v>
      </c>
      <c r="T247" s="109" t="s">
        <v>117</v>
      </c>
      <c r="U247" s="113" t="s">
        <v>117</v>
      </c>
      <c r="V247" s="113" t="s">
        <v>117</v>
      </c>
      <c r="X247" s="19">
        <f>Q247*0.2205</f>
        <v>0</v>
      </c>
    </row>
    <row r="248" spans="4:24">
      <c r="D248" s="126"/>
      <c r="E248" s="21" t="s">
        <v>24</v>
      </c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2">
        <f>SUM(F248:P248)</f>
        <v>0</v>
      </c>
      <c r="R248" s="24"/>
      <c r="S248" s="22">
        <f t="shared" si="124"/>
        <v>0</v>
      </c>
      <c r="T248" s="109"/>
      <c r="U248" s="113"/>
      <c r="V248" s="113"/>
    </row>
    <row r="249" spans="4:24">
      <c r="D249" s="126"/>
      <c r="E249" s="21" t="s">
        <v>25</v>
      </c>
      <c r="F249" s="22">
        <f>SUM(F247:F248)</f>
        <v>0</v>
      </c>
      <c r="G249" s="22">
        <f t="shared" ref="G249:Q249" si="125">SUM(G247:G248)</f>
        <v>0</v>
      </c>
      <c r="H249" s="22">
        <f t="shared" si="125"/>
        <v>0</v>
      </c>
      <c r="I249" s="22">
        <f t="shared" si="125"/>
        <v>0</v>
      </c>
      <c r="J249" s="22">
        <f t="shared" si="125"/>
        <v>0</v>
      </c>
      <c r="K249" s="22">
        <f t="shared" si="125"/>
        <v>0</v>
      </c>
      <c r="L249" s="22">
        <f t="shared" si="125"/>
        <v>0</v>
      </c>
      <c r="M249" s="22">
        <f t="shared" si="125"/>
        <v>0</v>
      </c>
      <c r="N249" s="22">
        <f t="shared" si="125"/>
        <v>0</v>
      </c>
      <c r="O249" s="22">
        <f t="shared" si="125"/>
        <v>0</v>
      </c>
      <c r="P249" s="22">
        <f t="shared" si="125"/>
        <v>0</v>
      </c>
      <c r="Q249" s="22">
        <f t="shared" si="125"/>
        <v>0</v>
      </c>
      <c r="R249" s="22">
        <f>SUM(R247:R248)</f>
        <v>0</v>
      </c>
      <c r="S249" s="22">
        <f>SUM(S247:S248)</f>
        <v>0</v>
      </c>
      <c r="T249" s="109"/>
      <c r="U249" s="113"/>
      <c r="V249" s="113"/>
    </row>
    <row r="250" spans="4:24">
      <c r="D250" s="126" t="s">
        <v>43</v>
      </c>
      <c r="E250" s="21" t="s">
        <v>78</v>
      </c>
      <c r="F250" s="22">
        <f>F235+F238+F241+F244+F247</f>
        <v>0</v>
      </c>
      <c r="G250" s="22">
        <f t="shared" ref="G250:S250" si="126">G235+G238+G241+G244+G247</f>
        <v>0</v>
      </c>
      <c r="H250" s="22">
        <f t="shared" si="126"/>
        <v>0</v>
      </c>
      <c r="I250" s="22">
        <f t="shared" si="126"/>
        <v>0</v>
      </c>
      <c r="J250" s="22">
        <f t="shared" si="126"/>
        <v>0</v>
      </c>
      <c r="K250" s="22">
        <f t="shared" si="126"/>
        <v>0</v>
      </c>
      <c r="L250" s="22">
        <f t="shared" si="126"/>
        <v>0</v>
      </c>
      <c r="M250" s="22">
        <f t="shared" si="126"/>
        <v>0</v>
      </c>
      <c r="N250" s="22">
        <f t="shared" si="126"/>
        <v>0</v>
      </c>
      <c r="O250" s="22">
        <f t="shared" si="126"/>
        <v>0</v>
      </c>
      <c r="P250" s="22">
        <f t="shared" si="126"/>
        <v>0</v>
      </c>
      <c r="Q250" s="22">
        <f t="shared" si="126"/>
        <v>0</v>
      </c>
      <c r="R250" s="22">
        <f t="shared" si="126"/>
        <v>0</v>
      </c>
      <c r="S250" s="22">
        <f t="shared" si="126"/>
        <v>0</v>
      </c>
      <c r="T250" s="109" t="s">
        <v>117</v>
      </c>
      <c r="U250" s="113" t="s">
        <v>117</v>
      </c>
      <c r="V250" s="113" t="s">
        <v>117</v>
      </c>
      <c r="X250" s="19">
        <f>Q250*0.1</f>
        <v>0</v>
      </c>
    </row>
    <row r="251" spans="4:24">
      <c r="D251" s="126"/>
      <c r="E251" s="21" t="s">
        <v>24</v>
      </c>
      <c r="F251" s="22">
        <f t="shared" ref="F251:S251" si="127">F236+F239+F242+F245+F248</f>
        <v>0</v>
      </c>
      <c r="G251" s="22">
        <f t="shared" si="127"/>
        <v>0</v>
      </c>
      <c r="H251" s="22">
        <f t="shared" si="127"/>
        <v>0</v>
      </c>
      <c r="I251" s="22">
        <f t="shared" si="127"/>
        <v>0</v>
      </c>
      <c r="J251" s="22">
        <f t="shared" si="127"/>
        <v>0</v>
      </c>
      <c r="K251" s="22">
        <f t="shared" si="127"/>
        <v>0</v>
      </c>
      <c r="L251" s="22">
        <f t="shared" si="127"/>
        <v>0</v>
      </c>
      <c r="M251" s="22">
        <f t="shared" si="127"/>
        <v>0</v>
      </c>
      <c r="N251" s="22">
        <f t="shared" si="127"/>
        <v>0</v>
      </c>
      <c r="O251" s="22">
        <f t="shared" si="127"/>
        <v>0</v>
      </c>
      <c r="P251" s="22">
        <f t="shared" si="127"/>
        <v>0</v>
      </c>
      <c r="Q251" s="22">
        <f t="shared" si="127"/>
        <v>0</v>
      </c>
      <c r="R251" s="22">
        <f t="shared" si="127"/>
        <v>0</v>
      </c>
      <c r="S251" s="22">
        <f t="shared" si="127"/>
        <v>0</v>
      </c>
      <c r="T251" s="109"/>
      <c r="U251" s="113"/>
      <c r="V251" s="113"/>
    </row>
    <row r="252" spans="4:24">
      <c r="D252" s="126"/>
      <c r="E252" s="21" t="s">
        <v>69</v>
      </c>
      <c r="F252" s="22">
        <f t="shared" ref="F252:S252" si="128">F237+F240+F243+F246+F249</f>
        <v>0</v>
      </c>
      <c r="G252" s="22">
        <f t="shared" si="128"/>
        <v>0</v>
      </c>
      <c r="H252" s="22">
        <f t="shared" si="128"/>
        <v>0</v>
      </c>
      <c r="I252" s="22">
        <f t="shared" si="128"/>
        <v>0</v>
      </c>
      <c r="J252" s="22">
        <f t="shared" si="128"/>
        <v>0</v>
      </c>
      <c r="K252" s="22">
        <f t="shared" si="128"/>
        <v>0</v>
      </c>
      <c r="L252" s="22">
        <f t="shared" si="128"/>
        <v>0</v>
      </c>
      <c r="M252" s="22">
        <f t="shared" si="128"/>
        <v>0</v>
      </c>
      <c r="N252" s="22">
        <f t="shared" si="128"/>
        <v>0</v>
      </c>
      <c r="O252" s="22">
        <f t="shared" si="128"/>
        <v>0</v>
      </c>
      <c r="P252" s="22">
        <f t="shared" si="128"/>
        <v>0</v>
      </c>
      <c r="Q252" s="22">
        <f t="shared" si="128"/>
        <v>0</v>
      </c>
      <c r="R252" s="22">
        <f t="shared" si="128"/>
        <v>0</v>
      </c>
      <c r="S252" s="22">
        <f t="shared" si="128"/>
        <v>0</v>
      </c>
      <c r="T252" s="109"/>
      <c r="U252" s="113"/>
      <c r="V252" s="113"/>
    </row>
    <row r="254" spans="4:24">
      <c r="D254" s="119" t="s">
        <v>162</v>
      </c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</row>
    <row r="255" spans="4:24">
      <c r="U255" s="127" t="s">
        <v>143</v>
      </c>
      <c r="V255" s="127"/>
    </row>
    <row r="256" spans="4:24">
      <c r="D256" s="107" t="s">
        <v>68</v>
      </c>
      <c r="E256" s="107"/>
      <c r="F256" s="107" t="s">
        <v>129</v>
      </c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9" t="s">
        <v>117</v>
      </c>
      <c r="U256" s="107" t="s">
        <v>107</v>
      </c>
      <c r="V256" s="107" t="s">
        <v>19</v>
      </c>
    </row>
    <row r="257" spans="4:24">
      <c r="D257" s="107"/>
      <c r="E257" s="107"/>
      <c r="F257" s="107" t="s">
        <v>46</v>
      </c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 t="s">
        <v>134</v>
      </c>
      <c r="S257" s="107" t="s">
        <v>69</v>
      </c>
      <c r="T257" s="109"/>
      <c r="U257" s="107"/>
      <c r="V257" s="107"/>
    </row>
    <row r="258" spans="4:24">
      <c r="D258" s="107"/>
      <c r="E258" s="107"/>
      <c r="F258" s="107" t="s">
        <v>121</v>
      </c>
      <c r="G258" s="107" t="s">
        <v>52</v>
      </c>
      <c r="H258" s="107"/>
      <c r="I258" s="107" t="s">
        <v>76</v>
      </c>
      <c r="J258" s="107"/>
      <c r="K258" s="107" t="s">
        <v>149</v>
      </c>
      <c r="L258" s="107" t="s">
        <v>105</v>
      </c>
      <c r="M258" s="107" t="s">
        <v>88</v>
      </c>
      <c r="N258" s="107" t="s">
        <v>35</v>
      </c>
      <c r="O258" s="107" t="s">
        <v>33</v>
      </c>
      <c r="P258" s="107" t="s">
        <v>30</v>
      </c>
      <c r="Q258" s="107" t="s">
        <v>25</v>
      </c>
      <c r="R258" s="107"/>
      <c r="S258" s="107"/>
      <c r="T258" s="109"/>
      <c r="U258" s="107"/>
      <c r="V258" s="107"/>
    </row>
    <row r="259" spans="4:24">
      <c r="D259" s="107"/>
      <c r="E259" s="107"/>
      <c r="F259" s="107"/>
      <c r="G259" s="20" t="s">
        <v>83</v>
      </c>
      <c r="H259" s="20" t="s">
        <v>102</v>
      </c>
      <c r="I259" s="20" t="s">
        <v>83</v>
      </c>
      <c r="J259" s="20" t="s">
        <v>102</v>
      </c>
      <c r="K259" s="107"/>
      <c r="L259" s="107"/>
      <c r="M259" s="107"/>
      <c r="N259" s="107"/>
      <c r="O259" s="107"/>
      <c r="P259" s="107"/>
      <c r="Q259" s="107"/>
      <c r="R259" s="107"/>
      <c r="S259" s="107"/>
      <c r="T259" s="109"/>
      <c r="U259" s="107"/>
      <c r="V259" s="107"/>
    </row>
    <row r="260" spans="4:24">
      <c r="D260" s="126">
        <v>1</v>
      </c>
      <c r="E260" s="21" t="s">
        <v>78</v>
      </c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2">
        <f>SUM(F260:P260)</f>
        <v>0</v>
      </c>
      <c r="R260" s="24"/>
      <c r="S260" s="22">
        <f>Q260+R260</f>
        <v>0</v>
      </c>
      <c r="T260" s="109" t="s">
        <v>117</v>
      </c>
      <c r="U260" s="113" t="s">
        <v>117</v>
      </c>
      <c r="V260" s="113" t="s">
        <v>117</v>
      </c>
      <c r="X260" s="19">
        <f>Q260*0.1</f>
        <v>0</v>
      </c>
    </row>
    <row r="261" spans="4:24">
      <c r="D261" s="126"/>
      <c r="E261" s="21" t="s">
        <v>24</v>
      </c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2">
        <f>SUM(F261:P261)</f>
        <v>0</v>
      </c>
      <c r="R261" s="24"/>
      <c r="S261" s="22">
        <f>Q261+R261</f>
        <v>0</v>
      </c>
      <c r="T261" s="109"/>
      <c r="U261" s="113"/>
      <c r="V261" s="113"/>
    </row>
    <row r="262" spans="4:24">
      <c r="D262" s="126"/>
      <c r="E262" s="21" t="s">
        <v>25</v>
      </c>
      <c r="F262" s="22">
        <f t="shared" ref="F262:R262" si="129">SUM(F260:F261)</f>
        <v>0</v>
      </c>
      <c r="G262" s="22">
        <f t="shared" si="129"/>
        <v>0</v>
      </c>
      <c r="H262" s="22">
        <f t="shared" si="129"/>
        <v>0</v>
      </c>
      <c r="I262" s="22">
        <f t="shared" si="129"/>
        <v>0</v>
      </c>
      <c r="J262" s="22">
        <f t="shared" si="129"/>
        <v>0</v>
      </c>
      <c r="K262" s="22">
        <f t="shared" si="129"/>
        <v>0</v>
      </c>
      <c r="L262" s="22">
        <f t="shared" si="129"/>
        <v>0</v>
      </c>
      <c r="M262" s="22">
        <f t="shared" si="129"/>
        <v>0</v>
      </c>
      <c r="N262" s="22">
        <f t="shared" si="129"/>
        <v>0</v>
      </c>
      <c r="O262" s="22">
        <f t="shared" si="129"/>
        <v>0</v>
      </c>
      <c r="P262" s="22">
        <f t="shared" si="129"/>
        <v>0</v>
      </c>
      <c r="Q262" s="22">
        <f>SUM(Q260:Q261)</f>
        <v>0</v>
      </c>
      <c r="R262" s="22">
        <f t="shared" si="129"/>
        <v>0</v>
      </c>
      <c r="S262" s="22">
        <f>SUM(S260:S261)</f>
        <v>0</v>
      </c>
      <c r="T262" s="109"/>
      <c r="U262" s="113"/>
      <c r="V262" s="113"/>
    </row>
    <row r="263" spans="4:24">
      <c r="D263" s="126">
        <v>2</v>
      </c>
      <c r="E263" s="21" t="s">
        <v>78</v>
      </c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2">
        <f>SUM(F263:P263)</f>
        <v>0</v>
      </c>
      <c r="R263" s="24"/>
      <c r="S263" s="22">
        <f t="shared" ref="S263:S264" si="130">Q263+R263</f>
        <v>0</v>
      </c>
      <c r="T263" s="109" t="s">
        <v>117</v>
      </c>
      <c r="U263" s="113" t="s">
        <v>117</v>
      </c>
      <c r="V263" s="113" t="s">
        <v>117</v>
      </c>
      <c r="X263" s="19">
        <f>Q263*0.1</f>
        <v>0</v>
      </c>
    </row>
    <row r="264" spans="4:24">
      <c r="D264" s="126"/>
      <c r="E264" s="21" t="s">
        <v>24</v>
      </c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2">
        <f>SUM(F264:P264)</f>
        <v>0</v>
      </c>
      <c r="R264" s="24"/>
      <c r="S264" s="22">
        <f t="shared" si="130"/>
        <v>0</v>
      </c>
      <c r="T264" s="109"/>
      <c r="U264" s="113"/>
      <c r="V264" s="113"/>
    </row>
    <row r="265" spans="4:24">
      <c r="D265" s="126"/>
      <c r="E265" s="21" t="s">
        <v>25</v>
      </c>
      <c r="F265" s="22">
        <f>SUM(F263:F264)</f>
        <v>0</v>
      </c>
      <c r="G265" s="22">
        <f t="shared" ref="G265:R265" si="131">SUM(G263:G264)</f>
        <v>0</v>
      </c>
      <c r="H265" s="22">
        <f t="shared" si="131"/>
        <v>0</v>
      </c>
      <c r="I265" s="22">
        <f t="shared" si="131"/>
        <v>0</v>
      </c>
      <c r="J265" s="22">
        <f t="shared" si="131"/>
        <v>0</v>
      </c>
      <c r="K265" s="22">
        <f t="shared" si="131"/>
        <v>0</v>
      </c>
      <c r="L265" s="22">
        <f t="shared" si="131"/>
        <v>0</v>
      </c>
      <c r="M265" s="22">
        <f t="shared" si="131"/>
        <v>0</v>
      </c>
      <c r="N265" s="22">
        <f t="shared" si="131"/>
        <v>0</v>
      </c>
      <c r="O265" s="22">
        <f t="shared" si="131"/>
        <v>0</v>
      </c>
      <c r="P265" s="22">
        <f t="shared" si="131"/>
        <v>0</v>
      </c>
      <c r="Q265" s="22">
        <f t="shared" si="131"/>
        <v>0</v>
      </c>
      <c r="R265" s="22">
        <f t="shared" si="131"/>
        <v>0</v>
      </c>
      <c r="S265" s="22">
        <f>SUM(S263:S264)</f>
        <v>0</v>
      </c>
      <c r="T265" s="109"/>
      <c r="U265" s="113"/>
      <c r="V265" s="113"/>
    </row>
    <row r="266" spans="4:24">
      <c r="D266" s="126">
        <v>3</v>
      </c>
      <c r="E266" s="21" t="s">
        <v>78</v>
      </c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2">
        <f>SUM(F266:P266)</f>
        <v>0</v>
      </c>
      <c r="R266" s="24"/>
      <c r="S266" s="22">
        <f t="shared" ref="S266:S267" si="132">Q266+R266</f>
        <v>0</v>
      </c>
      <c r="T266" s="109" t="s">
        <v>117</v>
      </c>
      <c r="U266" s="113" t="s">
        <v>117</v>
      </c>
      <c r="V266" s="113" t="s">
        <v>117</v>
      </c>
      <c r="X266" s="19">
        <f>Q266*0.1</f>
        <v>0</v>
      </c>
    </row>
    <row r="267" spans="4:24">
      <c r="D267" s="126"/>
      <c r="E267" s="21" t="s">
        <v>24</v>
      </c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2">
        <f>SUM(F267:P267)</f>
        <v>0</v>
      </c>
      <c r="R267" s="24"/>
      <c r="S267" s="22">
        <f t="shared" si="132"/>
        <v>0</v>
      </c>
      <c r="T267" s="109"/>
      <c r="U267" s="113"/>
      <c r="V267" s="113"/>
    </row>
    <row r="268" spans="4:24">
      <c r="D268" s="126"/>
      <c r="E268" s="21" t="s">
        <v>25</v>
      </c>
      <c r="F268" s="22">
        <f>SUM(F266:F267)</f>
        <v>0</v>
      </c>
      <c r="G268" s="22">
        <f t="shared" ref="G268:R268" si="133">SUM(G266:G267)</f>
        <v>0</v>
      </c>
      <c r="H268" s="22">
        <f t="shared" si="133"/>
        <v>0</v>
      </c>
      <c r="I268" s="22">
        <f t="shared" si="133"/>
        <v>0</v>
      </c>
      <c r="J268" s="22">
        <f t="shared" si="133"/>
        <v>0</v>
      </c>
      <c r="K268" s="22">
        <f t="shared" si="133"/>
        <v>0</v>
      </c>
      <c r="L268" s="22">
        <f t="shared" si="133"/>
        <v>0</v>
      </c>
      <c r="M268" s="22">
        <f t="shared" si="133"/>
        <v>0</v>
      </c>
      <c r="N268" s="22">
        <f t="shared" si="133"/>
        <v>0</v>
      </c>
      <c r="O268" s="22">
        <f t="shared" si="133"/>
        <v>0</v>
      </c>
      <c r="P268" s="22">
        <f t="shared" si="133"/>
        <v>0</v>
      </c>
      <c r="Q268" s="22">
        <f t="shared" si="133"/>
        <v>0</v>
      </c>
      <c r="R268" s="22">
        <f t="shared" si="133"/>
        <v>0</v>
      </c>
      <c r="S268" s="22">
        <f>SUM(S266:S267)</f>
        <v>0</v>
      </c>
      <c r="T268" s="109"/>
      <c r="U268" s="113"/>
      <c r="V268" s="113"/>
    </row>
    <row r="269" spans="4:24">
      <c r="D269" s="126">
        <v>4</v>
      </c>
      <c r="E269" s="21" t="s">
        <v>78</v>
      </c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2">
        <f>SUM(F269:P269)</f>
        <v>0</v>
      </c>
      <c r="R269" s="24"/>
      <c r="S269" s="22">
        <f t="shared" ref="S269:S270" si="134">Q269+R269</f>
        <v>0</v>
      </c>
      <c r="T269" s="109" t="s">
        <v>117</v>
      </c>
      <c r="U269" s="113" t="s">
        <v>117</v>
      </c>
      <c r="V269" s="113" t="s">
        <v>117</v>
      </c>
      <c r="X269" s="19">
        <f>Q269*0.1</f>
        <v>0</v>
      </c>
    </row>
    <row r="270" spans="4:24">
      <c r="D270" s="126"/>
      <c r="E270" s="21" t="s">
        <v>24</v>
      </c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2">
        <f>SUM(F270:P270)</f>
        <v>0</v>
      </c>
      <c r="R270" s="24"/>
      <c r="S270" s="22">
        <f t="shared" si="134"/>
        <v>0</v>
      </c>
      <c r="T270" s="109"/>
      <c r="U270" s="113"/>
      <c r="V270" s="113"/>
    </row>
    <row r="271" spans="4:24">
      <c r="D271" s="126"/>
      <c r="E271" s="21" t="s">
        <v>25</v>
      </c>
      <c r="F271" s="22">
        <f>SUM(F269:F270)</f>
        <v>0</v>
      </c>
      <c r="G271" s="22">
        <f t="shared" ref="G271:R271" si="135">SUM(G269:G270)</f>
        <v>0</v>
      </c>
      <c r="H271" s="22">
        <f t="shared" si="135"/>
        <v>0</v>
      </c>
      <c r="I271" s="22">
        <f t="shared" si="135"/>
        <v>0</v>
      </c>
      <c r="J271" s="22">
        <f t="shared" si="135"/>
        <v>0</v>
      </c>
      <c r="K271" s="22">
        <f t="shared" si="135"/>
        <v>0</v>
      </c>
      <c r="L271" s="22">
        <f t="shared" si="135"/>
        <v>0</v>
      </c>
      <c r="M271" s="22">
        <f t="shared" si="135"/>
        <v>0</v>
      </c>
      <c r="N271" s="22">
        <f t="shared" si="135"/>
        <v>0</v>
      </c>
      <c r="O271" s="22">
        <f t="shared" si="135"/>
        <v>0</v>
      </c>
      <c r="P271" s="22">
        <f t="shared" si="135"/>
        <v>0</v>
      </c>
      <c r="Q271" s="22">
        <f t="shared" si="135"/>
        <v>0</v>
      </c>
      <c r="R271" s="22">
        <f t="shared" si="135"/>
        <v>0</v>
      </c>
      <c r="S271" s="22">
        <f>SUM(S269:S270)</f>
        <v>0</v>
      </c>
      <c r="T271" s="109"/>
      <c r="U271" s="113"/>
      <c r="V271" s="113"/>
    </row>
    <row r="272" spans="4:24">
      <c r="D272" s="126">
        <v>5</v>
      </c>
      <c r="E272" s="21" t="s">
        <v>78</v>
      </c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2">
        <f>SUM(F272:P272)</f>
        <v>0</v>
      </c>
      <c r="R272" s="24"/>
      <c r="S272" s="22">
        <f t="shared" ref="S272:S273" si="136">Q272+R272</f>
        <v>0</v>
      </c>
      <c r="T272" s="109" t="s">
        <v>117</v>
      </c>
      <c r="U272" s="113" t="s">
        <v>117</v>
      </c>
      <c r="V272" s="113" t="s">
        <v>117</v>
      </c>
      <c r="X272" s="19">
        <f>Q272*0.2205</f>
        <v>0</v>
      </c>
    </row>
    <row r="273" spans="4:24">
      <c r="D273" s="126"/>
      <c r="E273" s="21" t="s">
        <v>24</v>
      </c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2">
        <f>SUM(F273:P273)</f>
        <v>0</v>
      </c>
      <c r="R273" s="24"/>
      <c r="S273" s="22">
        <f t="shared" si="136"/>
        <v>0</v>
      </c>
      <c r="T273" s="109"/>
      <c r="U273" s="113"/>
      <c r="V273" s="113"/>
    </row>
    <row r="274" spans="4:24">
      <c r="D274" s="126"/>
      <c r="E274" s="21" t="s">
        <v>25</v>
      </c>
      <c r="F274" s="22">
        <f>SUM(F272:F273)</f>
        <v>0</v>
      </c>
      <c r="G274" s="22">
        <f t="shared" ref="G274:Q274" si="137">SUM(G272:G273)</f>
        <v>0</v>
      </c>
      <c r="H274" s="22">
        <f t="shared" si="137"/>
        <v>0</v>
      </c>
      <c r="I274" s="22">
        <f t="shared" si="137"/>
        <v>0</v>
      </c>
      <c r="J274" s="22">
        <f t="shared" si="137"/>
        <v>0</v>
      </c>
      <c r="K274" s="22">
        <f t="shared" si="137"/>
        <v>0</v>
      </c>
      <c r="L274" s="22">
        <f t="shared" si="137"/>
        <v>0</v>
      </c>
      <c r="M274" s="22">
        <f t="shared" si="137"/>
        <v>0</v>
      </c>
      <c r="N274" s="22">
        <f t="shared" si="137"/>
        <v>0</v>
      </c>
      <c r="O274" s="22">
        <f t="shared" si="137"/>
        <v>0</v>
      </c>
      <c r="P274" s="22">
        <f t="shared" si="137"/>
        <v>0</v>
      </c>
      <c r="Q274" s="22">
        <f t="shared" si="137"/>
        <v>0</v>
      </c>
      <c r="R274" s="22">
        <f>SUM(R272:R273)</f>
        <v>0</v>
      </c>
      <c r="S274" s="22">
        <f>SUM(S272:S273)</f>
        <v>0</v>
      </c>
      <c r="T274" s="109"/>
      <c r="U274" s="113"/>
      <c r="V274" s="113"/>
    </row>
    <row r="275" spans="4:24">
      <c r="D275" s="126" t="s">
        <v>43</v>
      </c>
      <c r="E275" s="21" t="s">
        <v>78</v>
      </c>
      <c r="F275" s="22">
        <f>F260+F263+F266+F269+F272</f>
        <v>0</v>
      </c>
      <c r="G275" s="22">
        <f t="shared" ref="G275:S275" si="138">G260+G263+G266+G269+G272</f>
        <v>0</v>
      </c>
      <c r="H275" s="22">
        <f t="shared" si="138"/>
        <v>0</v>
      </c>
      <c r="I275" s="22">
        <f t="shared" si="138"/>
        <v>0</v>
      </c>
      <c r="J275" s="22">
        <f t="shared" si="138"/>
        <v>0</v>
      </c>
      <c r="K275" s="22">
        <f t="shared" si="138"/>
        <v>0</v>
      </c>
      <c r="L275" s="22">
        <f t="shared" si="138"/>
        <v>0</v>
      </c>
      <c r="M275" s="22">
        <f t="shared" si="138"/>
        <v>0</v>
      </c>
      <c r="N275" s="22">
        <f t="shared" si="138"/>
        <v>0</v>
      </c>
      <c r="O275" s="22">
        <f t="shared" si="138"/>
        <v>0</v>
      </c>
      <c r="P275" s="22">
        <f t="shared" si="138"/>
        <v>0</v>
      </c>
      <c r="Q275" s="22">
        <f t="shared" si="138"/>
        <v>0</v>
      </c>
      <c r="R275" s="22">
        <f t="shared" si="138"/>
        <v>0</v>
      </c>
      <c r="S275" s="22">
        <f t="shared" si="138"/>
        <v>0</v>
      </c>
      <c r="T275" s="109" t="s">
        <v>117</v>
      </c>
      <c r="U275" s="113" t="s">
        <v>117</v>
      </c>
      <c r="V275" s="113" t="s">
        <v>117</v>
      </c>
      <c r="X275" s="19">
        <f>Q275*0.1</f>
        <v>0</v>
      </c>
    </row>
    <row r="276" spans="4:24">
      <c r="D276" s="126"/>
      <c r="E276" s="21" t="s">
        <v>24</v>
      </c>
      <c r="F276" s="22">
        <f t="shared" ref="F276:S276" si="139">F261+F264+F267+F270+F273</f>
        <v>0</v>
      </c>
      <c r="G276" s="22">
        <f t="shared" si="139"/>
        <v>0</v>
      </c>
      <c r="H276" s="22">
        <f t="shared" si="139"/>
        <v>0</v>
      </c>
      <c r="I276" s="22">
        <f t="shared" si="139"/>
        <v>0</v>
      </c>
      <c r="J276" s="22">
        <f t="shared" si="139"/>
        <v>0</v>
      </c>
      <c r="K276" s="22">
        <f t="shared" si="139"/>
        <v>0</v>
      </c>
      <c r="L276" s="22">
        <f t="shared" si="139"/>
        <v>0</v>
      </c>
      <c r="M276" s="22">
        <f t="shared" si="139"/>
        <v>0</v>
      </c>
      <c r="N276" s="22">
        <f t="shared" si="139"/>
        <v>0</v>
      </c>
      <c r="O276" s="22">
        <f t="shared" si="139"/>
        <v>0</v>
      </c>
      <c r="P276" s="22">
        <f t="shared" si="139"/>
        <v>0</v>
      </c>
      <c r="Q276" s="22">
        <f t="shared" si="139"/>
        <v>0</v>
      </c>
      <c r="R276" s="22">
        <f t="shared" si="139"/>
        <v>0</v>
      </c>
      <c r="S276" s="22">
        <f t="shared" si="139"/>
        <v>0</v>
      </c>
      <c r="T276" s="109"/>
      <c r="U276" s="113"/>
      <c r="V276" s="113"/>
    </row>
    <row r="277" spans="4:24">
      <c r="D277" s="126"/>
      <c r="E277" s="21" t="s">
        <v>69</v>
      </c>
      <c r="F277" s="22">
        <f t="shared" ref="F277:S277" si="140">F262+F265+F268+F271+F274</f>
        <v>0</v>
      </c>
      <c r="G277" s="22">
        <f t="shared" si="140"/>
        <v>0</v>
      </c>
      <c r="H277" s="22">
        <f t="shared" si="140"/>
        <v>0</v>
      </c>
      <c r="I277" s="22">
        <f t="shared" si="140"/>
        <v>0</v>
      </c>
      <c r="J277" s="22">
        <f t="shared" si="140"/>
        <v>0</v>
      </c>
      <c r="K277" s="22">
        <f t="shared" si="140"/>
        <v>0</v>
      </c>
      <c r="L277" s="22">
        <f t="shared" si="140"/>
        <v>0</v>
      </c>
      <c r="M277" s="22">
        <f t="shared" si="140"/>
        <v>0</v>
      </c>
      <c r="N277" s="22">
        <f t="shared" si="140"/>
        <v>0</v>
      </c>
      <c r="O277" s="22">
        <f t="shared" si="140"/>
        <v>0</v>
      </c>
      <c r="P277" s="22">
        <f t="shared" si="140"/>
        <v>0</v>
      </c>
      <c r="Q277" s="22">
        <f t="shared" si="140"/>
        <v>0</v>
      </c>
      <c r="R277" s="22">
        <f t="shared" si="140"/>
        <v>0</v>
      </c>
      <c r="S277" s="22">
        <f t="shared" si="140"/>
        <v>0</v>
      </c>
      <c r="T277" s="109"/>
      <c r="U277" s="113"/>
      <c r="V277" s="113"/>
    </row>
  </sheetData>
  <mergeCells count="438">
    <mergeCell ref="Q3:S4"/>
    <mergeCell ref="H4:J4"/>
    <mergeCell ref="K4:M4"/>
    <mergeCell ref="N4:P4"/>
    <mergeCell ref="D5:D6"/>
    <mergeCell ref="E5:E6"/>
    <mergeCell ref="G5:G6"/>
    <mergeCell ref="H5:H6"/>
    <mergeCell ref="I5:I6"/>
    <mergeCell ref="J5:J6"/>
    <mergeCell ref="D3:F4"/>
    <mergeCell ref="H3:J3"/>
    <mergeCell ref="K3:P3"/>
    <mergeCell ref="Q5:Q6"/>
    <mergeCell ref="R5:R6"/>
    <mergeCell ref="S5:S6"/>
    <mergeCell ref="E43:F43"/>
    <mergeCell ref="K5:K6"/>
    <mergeCell ref="L5:L6"/>
    <mergeCell ref="M5:M6"/>
    <mergeCell ref="N5:N6"/>
    <mergeCell ref="O5:O6"/>
    <mergeCell ref="P5:P6"/>
    <mergeCell ref="D44:F44"/>
    <mergeCell ref="B46:V46"/>
    <mergeCell ref="E28:F28"/>
    <mergeCell ref="D7:D28"/>
    <mergeCell ref="D29:D43"/>
    <mergeCell ref="C47:V47"/>
    <mergeCell ref="U48:V48"/>
    <mergeCell ref="D49:E52"/>
    <mergeCell ref="F49:S49"/>
    <mergeCell ref="T49:T52"/>
    <mergeCell ref="U49:U52"/>
    <mergeCell ref="V49:V52"/>
    <mergeCell ref="F50:Q50"/>
    <mergeCell ref="U56:U58"/>
    <mergeCell ref="V56:V58"/>
    <mergeCell ref="T59:T61"/>
    <mergeCell ref="U59:U61"/>
    <mergeCell ref="V59:V61"/>
    <mergeCell ref="P51:P52"/>
    <mergeCell ref="Q51:Q52"/>
    <mergeCell ref="D53:D55"/>
    <mergeCell ref="T53:T55"/>
    <mergeCell ref="U53:U55"/>
    <mergeCell ref="V53:V55"/>
    <mergeCell ref="R50:R52"/>
    <mergeCell ref="S50:S52"/>
    <mergeCell ref="F51:F52"/>
    <mergeCell ref="G51:H51"/>
    <mergeCell ref="I51:J51"/>
    <mergeCell ref="K51:K52"/>
    <mergeCell ref="L51:L52"/>
    <mergeCell ref="M51:M52"/>
    <mergeCell ref="N51:N52"/>
    <mergeCell ref="O51:O52"/>
    <mergeCell ref="V80:V83"/>
    <mergeCell ref="F81:Q81"/>
    <mergeCell ref="R81:R83"/>
    <mergeCell ref="S81:S83"/>
    <mergeCell ref="F82:F83"/>
    <mergeCell ref="G82:H82"/>
    <mergeCell ref="D74:D76"/>
    <mergeCell ref="T74:T76"/>
    <mergeCell ref="U74:U76"/>
    <mergeCell ref="V74:V76"/>
    <mergeCell ref="C78:V78"/>
    <mergeCell ref="U79:V79"/>
    <mergeCell ref="D87:D89"/>
    <mergeCell ref="T87:T89"/>
    <mergeCell ref="U87:U89"/>
    <mergeCell ref="V87:V89"/>
    <mergeCell ref="D90:D92"/>
    <mergeCell ref="T90:T92"/>
    <mergeCell ref="U90:U92"/>
    <mergeCell ref="V90:V92"/>
    <mergeCell ref="P82:P83"/>
    <mergeCell ref="Q82:Q83"/>
    <mergeCell ref="D84:D86"/>
    <mergeCell ref="T84:T86"/>
    <mergeCell ref="U84:U86"/>
    <mergeCell ref="V84:V86"/>
    <mergeCell ref="I82:J82"/>
    <mergeCell ref="K82:K83"/>
    <mergeCell ref="L82:L83"/>
    <mergeCell ref="M82:M83"/>
    <mergeCell ref="N82:N83"/>
    <mergeCell ref="O82:O83"/>
    <mergeCell ref="D80:E83"/>
    <mergeCell ref="F80:S80"/>
    <mergeCell ref="T80:T83"/>
    <mergeCell ref="U80:U83"/>
    <mergeCell ref="D93:D95"/>
    <mergeCell ref="T93:T95"/>
    <mergeCell ref="U93:U95"/>
    <mergeCell ref="V93:V95"/>
    <mergeCell ref="D99:D101"/>
    <mergeCell ref="T99:T101"/>
    <mergeCell ref="U99:U101"/>
    <mergeCell ref="V99:V101"/>
    <mergeCell ref="D96:D98"/>
    <mergeCell ref="T96:T98"/>
    <mergeCell ref="U96:U98"/>
    <mergeCell ref="V96:V98"/>
    <mergeCell ref="D125:D127"/>
    <mergeCell ref="T125:T127"/>
    <mergeCell ref="U125:U127"/>
    <mergeCell ref="V125:V127"/>
    <mergeCell ref="D116:D118"/>
    <mergeCell ref="T116:T118"/>
    <mergeCell ref="U116:U118"/>
    <mergeCell ref="V116:V118"/>
    <mergeCell ref="D119:D121"/>
    <mergeCell ref="T119:T121"/>
    <mergeCell ref="U119:U121"/>
    <mergeCell ref="V119:V121"/>
    <mergeCell ref="D122:D124"/>
    <mergeCell ref="T122:T124"/>
    <mergeCell ref="U122:U124"/>
    <mergeCell ref="V122:V124"/>
    <mergeCell ref="D129:V129"/>
    <mergeCell ref="U130:V130"/>
    <mergeCell ref="D131:E134"/>
    <mergeCell ref="F131:S131"/>
    <mergeCell ref="T131:T134"/>
    <mergeCell ref="U131:U134"/>
    <mergeCell ref="V131:V134"/>
    <mergeCell ref="F132:Q132"/>
    <mergeCell ref="R132:R134"/>
    <mergeCell ref="S132:S134"/>
    <mergeCell ref="U135:U137"/>
    <mergeCell ref="V135:V137"/>
    <mergeCell ref="D138:D140"/>
    <mergeCell ref="T138:T140"/>
    <mergeCell ref="U138:U140"/>
    <mergeCell ref="V138:V140"/>
    <mergeCell ref="N133:N134"/>
    <mergeCell ref="O133:O134"/>
    <mergeCell ref="P133:P134"/>
    <mergeCell ref="Q133:Q134"/>
    <mergeCell ref="D135:D137"/>
    <mergeCell ref="T135:T137"/>
    <mergeCell ref="F133:F134"/>
    <mergeCell ref="G133:H133"/>
    <mergeCell ref="I133:J133"/>
    <mergeCell ref="K133:K134"/>
    <mergeCell ref="L133:L134"/>
    <mergeCell ref="M133:M134"/>
    <mergeCell ref="D150:D152"/>
    <mergeCell ref="T150:T152"/>
    <mergeCell ref="U150:U152"/>
    <mergeCell ref="V150:V152"/>
    <mergeCell ref="D154:V154"/>
    <mergeCell ref="U155:V155"/>
    <mergeCell ref="D141:D143"/>
    <mergeCell ref="T141:T143"/>
    <mergeCell ref="U141:U143"/>
    <mergeCell ref="V141:V143"/>
    <mergeCell ref="D144:D146"/>
    <mergeCell ref="T144:T146"/>
    <mergeCell ref="U144:U146"/>
    <mergeCell ref="V144:V146"/>
    <mergeCell ref="D147:D149"/>
    <mergeCell ref="T147:T149"/>
    <mergeCell ref="U147:U149"/>
    <mergeCell ref="V147:V149"/>
    <mergeCell ref="U160:U162"/>
    <mergeCell ref="V160:V162"/>
    <mergeCell ref="I158:J158"/>
    <mergeCell ref="K158:K159"/>
    <mergeCell ref="L158:L159"/>
    <mergeCell ref="M158:M159"/>
    <mergeCell ref="N158:N159"/>
    <mergeCell ref="O158:O159"/>
    <mergeCell ref="D156:E159"/>
    <mergeCell ref="F156:S156"/>
    <mergeCell ref="T156:T159"/>
    <mergeCell ref="U156:U159"/>
    <mergeCell ref="V156:V159"/>
    <mergeCell ref="F157:Q157"/>
    <mergeCell ref="R157:R159"/>
    <mergeCell ref="S157:S159"/>
    <mergeCell ref="F158:F159"/>
    <mergeCell ref="G158:H158"/>
    <mergeCell ref="P158:P159"/>
    <mergeCell ref="Q158:Q159"/>
    <mergeCell ref="D160:D162"/>
    <mergeCell ref="T160:T162"/>
    <mergeCell ref="D175:D177"/>
    <mergeCell ref="T175:T177"/>
    <mergeCell ref="U175:U177"/>
    <mergeCell ref="V175:V177"/>
    <mergeCell ref="D163:D165"/>
    <mergeCell ref="T163:T165"/>
    <mergeCell ref="U163:U165"/>
    <mergeCell ref="V163:V165"/>
    <mergeCell ref="D166:D168"/>
    <mergeCell ref="T166:T168"/>
    <mergeCell ref="U166:U168"/>
    <mergeCell ref="V166:V168"/>
    <mergeCell ref="D172:D174"/>
    <mergeCell ref="T172:T174"/>
    <mergeCell ref="U172:U174"/>
    <mergeCell ref="V172:V174"/>
    <mergeCell ref="D169:D171"/>
    <mergeCell ref="T169:T171"/>
    <mergeCell ref="U169:U171"/>
    <mergeCell ref="V169:V171"/>
    <mergeCell ref="D179:V179"/>
    <mergeCell ref="U180:V180"/>
    <mergeCell ref="D181:E184"/>
    <mergeCell ref="F181:S181"/>
    <mergeCell ref="T181:T184"/>
    <mergeCell ref="U181:U184"/>
    <mergeCell ref="V181:V184"/>
    <mergeCell ref="F182:Q182"/>
    <mergeCell ref="R182:R184"/>
    <mergeCell ref="S182:S184"/>
    <mergeCell ref="U185:U187"/>
    <mergeCell ref="V185:V187"/>
    <mergeCell ref="D188:D190"/>
    <mergeCell ref="T188:T190"/>
    <mergeCell ref="U188:U190"/>
    <mergeCell ref="V188:V190"/>
    <mergeCell ref="N183:N184"/>
    <mergeCell ref="O183:O184"/>
    <mergeCell ref="P183:P184"/>
    <mergeCell ref="Q183:Q184"/>
    <mergeCell ref="D185:D187"/>
    <mergeCell ref="T185:T187"/>
    <mergeCell ref="F183:F184"/>
    <mergeCell ref="G183:H183"/>
    <mergeCell ref="I183:J183"/>
    <mergeCell ref="K183:K184"/>
    <mergeCell ref="L183:L184"/>
    <mergeCell ref="M183:M184"/>
    <mergeCell ref="D200:D202"/>
    <mergeCell ref="T200:T202"/>
    <mergeCell ref="U200:U202"/>
    <mergeCell ref="V200:V202"/>
    <mergeCell ref="D204:V204"/>
    <mergeCell ref="U205:V205"/>
    <mergeCell ref="D191:D193"/>
    <mergeCell ref="T191:T193"/>
    <mergeCell ref="U191:U193"/>
    <mergeCell ref="V191:V193"/>
    <mergeCell ref="D194:D196"/>
    <mergeCell ref="T194:T196"/>
    <mergeCell ref="U194:U196"/>
    <mergeCell ref="V194:V196"/>
    <mergeCell ref="U210:U212"/>
    <mergeCell ref="V210:V212"/>
    <mergeCell ref="I208:J208"/>
    <mergeCell ref="K208:K209"/>
    <mergeCell ref="L208:L209"/>
    <mergeCell ref="M208:M209"/>
    <mergeCell ref="N208:N209"/>
    <mergeCell ref="O208:O209"/>
    <mergeCell ref="D206:E209"/>
    <mergeCell ref="F206:S206"/>
    <mergeCell ref="T206:T209"/>
    <mergeCell ref="U206:U209"/>
    <mergeCell ref="V206:V209"/>
    <mergeCell ref="F207:Q207"/>
    <mergeCell ref="R207:R209"/>
    <mergeCell ref="S207:S209"/>
    <mergeCell ref="F208:F209"/>
    <mergeCell ref="G208:H208"/>
    <mergeCell ref="D68:D70"/>
    <mergeCell ref="T68:T70"/>
    <mergeCell ref="U68:U70"/>
    <mergeCell ref="V68:V70"/>
    <mergeCell ref="D71:D73"/>
    <mergeCell ref="T71:T73"/>
    <mergeCell ref="U71:U73"/>
    <mergeCell ref="V71:V73"/>
    <mergeCell ref="E7:E13"/>
    <mergeCell ref="E14:E20"/>
    <mergeCell ref="E21:E27"/>
    <mergeCell ref="E29:E35"/>
    <mergeCell ref="E36:E42"/>
    <mergeCell ref="D62:D64"/>
    <mergeCell ref="T62:T64"/>
    <mergeCell ref="U62:U64"/>
    <mergeCell ref="V62:V64"/>
    <mergeCell ref="D65:D67"/>
    <mergeCell ref="T65:T67"/>
    <mergeCell ref="U65:U67"/>
    <mergeCell ref="V65:V67"/>
    <mergeCell ref="D56:D58"/>
    <mergeCell ref="T56:T58"/>
    <mergeCell ref="D59:D61"/>
    <mergeCell ref="C103:V103"/>
    <mergeCell ref="D104:V104"/>
    <mergeCell ref="U105:V105"/>
    <mergeCell ref="D106:E109"/>
    <mergeCell ref="F106:S106"/>
    <mergeCell ref="T106:T109"/>
    <mergeCell ref="U106:U109"/>
    <mergeCell ref="V106:V109"/>
    <mergeCell ref="F107:Q107"/>
    <mergeCell ref="R107:R109"/>
    <mergeCell ref="F108:F109"/>
    <mergeCell ref="G108:H108"/>
    <mergeCell ref="I108:J108"/>
    <mergeCell ref="K108:K109"/>
    <mergeCell ref="L108:L109"/>
    <mergeCell ref="D110:D112"/>
    <mergeCell ref="T110:T112"/>
    <mergeCell ref="U110:U112"/>
    <mergeCell ref="V110:V112"/>
    <mergeCell ref="D113:D115"/>
    <mergeCell ref="T113:T115"/>
    <mergeCell ref="U113:U115"/>
    <mergeCell ref="V113:V115"/>
    <mergeCell ref="S107:S109"/>
    <mergeCell ref="M108:M109"/>
    <mergeCell ref="N108:N109"/>
    <mergeCell ref="O108:O109"/>
    <mergeCell ref="P108:P109"/>
    <mergeCell ref="Q108:Q109"/>
    <mergeCell ref="D222:D224"/>
    <mergeCell ref="T222:T224"/>
    <mergeCell ref="U222:U224"/>
    <mergeCell ref="V222:V224"/>
    <mergeCell ref="D197:D199"/>
    <mergeCell ref="T197:T199"/>
    <mergeCell ref="U197:U199"/>
    <mergeCell ref="V197:V199"/>
    <mergeCell ref="D219:D221"/>
    <mergeCell ref="T219:T221"/>
    <mergeCell ref="U219:U221"/>
    <mergeCell ref="V219:V221"/>
    <mergeCell ref="D213:D215"/>
    <mergeCell ref="T213:T215"/>
    <mergeCell ref="U213:U215"/>
    <mergeCell ref="V213:V215"/>
    <mergeCell ref="D216:D218"/>
    <mergeCell ref="T216:T218"/>
    <mergeCell ref="U216:U218"/>
    <mergeCell ref="V216:V218"/>
    <mergeCell ref="P208:P209"/>
    <mergeCell ref="Q208:Q209"/>
    <mergeCell ref="D210:D212"/>
    <mergeCell ref="T210:T212"/>
    <mergeCell ref="D229:V229"/>
    <mergeCell ref="U230:V230"/>
    <mergeCell ref="D231:E234"/>
    <mergeCell ref="F231:S231"/>
    <mergeCell ref="T231:T234"/>
    <mergeCell ref="U231:U234"/>
    <mergeCell ref="V231:V234"/>
    <mergeCell ref="F232:Q232"/>
    <mergeCell ref="D225:D227"/>
    <mergeCell ref="T225:T227"/>
    <mergeCell ref="U225:U227"/>
    <mergeCell ref="V225:V227"/>
    <mergeCell ref="D238:D240"/>
    <mergeCell ref="T238:T240"/>
    <mergeCell ref="U238:U240"/>
    <mergeCell ref="V238:V240"/>
    <mergeCell ref="D241:D243"/>
    <mergeCell ref="T241:T243"/>
    <mergeCell ref="U241:U243"/>
    <mergeCell ref="V241:V243"/>
    <mergeCell ref="P233:P234"/>
    <mergeCell ref="Q233:Q234"/>
    <mergeCell ref="D235:D237"/>
    <mergeCell ref="T235:T237"/>
    <mergeCell ref="U235:U237"/>
    <mergeCell ref="V235:V237"/>
    <mergeCell ref="R232:R234"/>
    <mergeCell ref="S232:S234"/>
    <mergeCell ref="F233:F234"/>
    <mergeCell ref="G233:H233"/>
    <mergeCell ref="I233:J233"/>
    <mergeCell ref="K233:K234"/>
    <mergeCell ref="L233:L234"/>
    <mergeCell ref="M233:M234"/>
    <mergeCell ref="N233:N234"/>
    <mergeCell ref="O233:O234"/>
    <mergeCell ref="D250:D252"/>
    <mergeCell ref="T250:T252"/>
    <mergeCell ref="U250:U252"/>
    <mergeCell ref="V250:V252"/>
    <mergeCell ref="D244:D246"/>
    <mergeCell ref="T244:T246"/>
    <mergeCell ref="U244:U246"/>
    <mergeCell ref="V244:V246"/>
    <mergeCell ref="D247:D249"/>
    <mergeCell ref="T247:T249"/>
    <mergeCell ref="U247:U249"/>
    <mergeCell ref="V247:V249"/>
    <mergeCell ref="D266:D268"/>
    <mergeCell ref="T266:T268"/>
    <mergeCell ref="D254:V254"/>
    <mergeCell ref="U255:V255"/>
    <mergeCell ref="D256:E259"/>
    <mergeCell ref="F256:S256"/>
    <mergeCell ref="T256:T259"/>
    <mergeCell ref="U256:U259"/>
    <mergeCell ref="V256:V259"/>
    <mergeCell ref="F257:Q257"/>
    <mergeCell ref="R257:R259"/>
    <mergeCell ref="S257:S259"/>
    <mergeCell ref="N258:N259"/>
    <mergeCell ref="O258:O259"/>
    <mergeCell ref="P258:P259"/>
    <mergeCell ref="Q258:Q259"/>
    <mergeCell ref="U266:U268"/>
    <mergeCell ref="V266:V268"/>
    <mergeCell ref="U260:U262"/>
    <mergeCell ref="V260:V262"/>
    <mergeCell ref="D263:D265"/>
    <mergeCell ref="T263:T265"/>
    <mergeCell ref="U263:U265"/>
    <mergeCell ref="V263:V265"/>
    <mergeCell ref="D260:D262"/>
    <mergeCell ref="T260:T262"/>
    <mergeCell ref="F258:F259"/>
    <mergeCell ref="G258:H258"/>
    <mergeCell ref="I258:J258"/>
    <mergeCell ref="K258:K259"/>
    <mergeCell ref="L258:L259"/>
    <mergeCell ref="M258:M259"/>
    <mergeCell ref="D275:D277"/>
    <mergeCell ref="T275:T277"/>
    <mergeCell ref="U275:U277"/>
    <mergeCell ref="V275:V277"/>
    <mergeCell ref="D272:D274"/>
    <mergeCell ref="T272:T274"/>
    <mergeCell ref="U272:U274"/>
    <mergeCell ref="V272:V274"/>
    <mergeCell ref="D269:D271"/>
    <mergeCell ref="T269:T271"/>
    <mergeCell ref="U269:U271"/>
    <mergeCell ref="V269:V271"/>
  </mergeCells>
  <phoneticPr fontId="12" type="noConversion"/>
  <conditionalFormatting sqref="Q7">
    <cfRule type="cellIs" dxfId="447" priority="84" operator="notEqual">
      <formula>$S$110</formula>
    </cfRule>
  </conditionalFormatting>
  <conditionalFormatting sqref="Q8">
    <cfRule type="cellIs" dxfId="446" priority="96" operator="notEqual">
      <formula>$S$135</formula>
    </cfRule>
  </conditionalFormatting>
  <conditionalFormatting sqref="Q9">
    <cfRule type="cellIs" dxfId="445" priority="72" operator="notEqual">
      <formula>$S$160</formula>
    </cfRule>
  </conditionalFormatting>
  <conditionalFormatting sqref="Q10">
    <cfRule type="cellIs" dxfId="444" priority="66" operator="notEqual">
      <formula>$S$185</formula>
    </cfRule>
  </conditionalFormatting>
  <conditionalFormatting sqref="Q11">
    <cfRule type="cellIs" dxfId="443" priority="60" operator="notEqual">
      <formula>$S$210</formula>
    </cfRule>
  </conditionalFormatting>
  <conditionalFormatting sqref="Q12">
    <cfRule type="cellIs" dxfId="442" priority="54" operator="notEqual">
      <formula>$S$235</formula>
    </cfRule>
  </conditionalFormatting>
  <conditionalFormatting sqref="Q13">
    <cfRule type="cellIs" dxfId="441" priority="48" operator="notEqual">
      <formula>$S$260</formula>
    </cfRule>
  </conditionalFormatting>
  <conditionalFormatting sqref="Q14">
    <cfRule type="cellIs" dxfId="440" priority="94" operator="notEqual">
      <formula>$S$113</formula>
    </cfRule>
  </conditionalFormatting>
  <conditionalFormatting sqref="Q15">
    <cfRule type="cellIs" dxfId="439" priority="83" stopIfTrue="1" operator="notEqual">
      <formula>$S$138</formula>
    </cfRule>
  </conditionalFormatting>
  <conditionalFormatting sqref="Q16">
    <cfRule type="cellIs" dxfId="438" priority="71" stopIfTrue="1" operator="notEqual">
      <formula>$S$163</formula>
    </cfRule>
  </conditionalFormatting>
  <conditionalFormatting sqref="Q17">
    <cfRule type="cellIs" dxfId="437" priority="65" stopIfTrue="1" operator="notEqual">
      <formula>$S$188</formula>
    </cfRule>
  </conditionalFormatting>
  <conditionalFormatting sqref="Q18">
    <cfRule type="cellIs" dxfId="436" priority="59" stopIfTrue="1" operator="notEqual">
      <formula>$S$213</formula>
    </cfRule>
  </conditionalFormatting>
  <conditionalFormatting sqref="Q19">
    <cfRule type="cellIs" dxfId="435" priority="53" stopIfTrue="1" operator="notEqual">
      <formula>$S$238</formula>
    </cfRule>
  </conditionalFormatting>
  <conditionalFormatting sqref="Q20">
    <cfRule type="cellIs" dxfId="434" priority="47" stopIfTrue="1" operator="notEqual">
      <formula>$S$263</formula>
    </cfRule>
  </conditionalFormatting>
  <conditionalFormatting sqref="Q21">
    <cfRule type="cellIs" dxfId="433" priority="93" operator="notEqual">
      <formula>$S$116</formula>
    </cfRule>
  </conditionalFormatting>
  <conditionalFormatting sqref="Q22">
    <cfRule type="cellIs" dxfId="432" priority="82" operator="notEqual">
      <formula>$S$141</formula>
    </cfRule>
  </conditionalFormatting>
  <conditionalFormatting sqref="Q23">
    <cfRule type="cellIs" dxfId="431" priority="70" stopIfTrue="1" operator="notEqual">
      <formula>$S$166</formula>
    </cfRule>
  </conditionalFormatting>
  <conditionalFormatting sqref="Q24">
    <cfRule type="cellIs" dxfId="430" priority="64" stopIfTrue="1" operator="notEqual">
      <formula>$S$191</formula>
    </cfRule>
  </conditionalFormatting>
  <conditionalFormatting sqref="Q25">
    <cfRule type="cellIs" dxfId="429" priority="58" stopIfTrue="1" operator="notEqual">
      <formula>$S$216</formula>
    </cfRule>
  </conditionalFormatting>
  <conditionalFormatting sqref="Q26">
    <cfRule type="cellIs" dxfId="428" priority="52" stopIfTrue="1" operator="notEqual">
      <formula>$S$241</formula>
    </cfRule>
  </conditionalFormatting>
  <conditionalFormatting sqref="Q27">
    <cfRule type="cellIs" dxfId="427" priority="46" stopIfTrue="1" operator="notEqual">
      <formula>$S$266</formula>
    </cfRule>
  </conditionalFormatting>
  <conditionalFormatting sqref="Q29">
    <cfRule type="cellIs" dxfId="426" priority="92" operator="notEqual">
      <formula>$S$119</formula>
    </cfRule>
  </conditionalFormatting>
  <conditionalFormatting sqref="Q30">
    <cfRule type="cellIs" dxfId="425" priority="81" stopIfTrue="1" operator="notEqual">
      <formula>$S$144</formula>
    </cfRule>
  </conditionalFormatting>
  <conditionalFormatting sqref="Q31">
    <cfRule type="cellIs" dxfId="424" priority="69" stopIfTrue="1" operator="notEqual">
      <formula>$S$169</formula>
    </cfRule>
  </conditionalFormatting>
  <conditionalFormatting sqref="Q32">
    <cfRule type="cellIs" dxfId="423" priority="63" stopIfTrue="1" operator="notEqual">
      <formula>$S$194</formula>
    </cfRule>
  </conditionalFormatting>
  <conditionalFormatting sqref="Q33">
    <cfRule type="cellIs" dxfId="422" priority="57" stopIfTrue="1" operator="notEqual">
      <formula>$S$219</formula>
    </cfRule>
  </conditionalFormatting>
  <conditionalFormatting sqref="Q34">
    <cfRule type="cellIs" dxfId="421" priority="51" stopIfTrue="1" operator="notEqual">
      <formula>$S$244</formula>
    </cfRule>
  </conditionalFormatting>
  <conditionalFormatting sqref="Q35">
    <cfRule type="cellIs" dxfId="420" priority="45" stopIfTrue="1" operator="notEqual">
      <formula>$S$269</formula>
    </cfRule>
  </conditionalFormatting>
  <conditionalFormatting sqref="Q36">
    <cfRule type="cellIs" dxfId="419" priority="91" operator="notEqual">
      <formula>$S$122</formula>
    </cfRule>
  </conditionalFormatting>
  <conditionalFormatting sqref="Q37">
    <cfRule type="cellIs" dxfId="418" priority="80" operator="notEqual">
      <formula>$S$147</formula>
    </cfRule>
  </conditionalFormatting>
  <conditionalFormatting sqref="Q38">
    <cfRule type="cellIs" dxfId="417" priority="68" stopIfTrue="1" operator="notEqual">
      <formula>$S$172</formula>
    </cfRule>
  </conditionalFormatting>
  <conditionalFormatting sqref="Q39">
    <cfRule type="cellIs" dxfId="416" priority="62" stopIfTrue="1" operator="notEqual">
      <formula>$S$197</formula>
    </cfRule>
  </conditionalFormatting>
  <conditionalFormatting sqref="Q40">
    <cfRule type="cellIs" dxfId="415" priority="56" stopIfTrue="1" operator="notEqual">
      <formula>$S$222</formula>
    </cfRule>
  </conditionalFormatting>
  <conditionalFormatting sqref="Q41">
    <cfRule type="cellIs" dxfId="414" priority="50" stopIfTrue="1" operator="notEqual">
      <formula>$S$247</formula>
    </cfRule>
  </conditionalFormatting>
  <conditionalFormatting sqref="Q42">
    <cfRule type="cellIs" dxfId="413" priority="44" stopIfTrue="1" operator="notEqual">
      <formula>$S$272</formula>
    </cfRule>
  </conditionalFormatting>
  <conditionalFormatting sqref="R7">
    <cfRule type="cellIs" dxfId="412" priority="95" operator="notEqual">
      <formula>$S$111</formula>
    </cfRule>
  </conditionalFormatting>
  <conditionalFormatting sqref="R8">
    <cfRule type="cellIs" dxfId="411" priority="78" operator="notEqual">
      <formula>$S$136</formula>
    </cfRule>
  </conditionalFormatting>
  <conditionalFormatting sqref="R9">
    <cfRule type="cellIs" dxfId="410" priority="36" operator="notEqual">
      <formula>$S$161</formula>
    </cfRule>
  </conditionalFormatting>
  <conditionalFormatting sqref="R10">
    <cfRule type="cellIs" dxfId="409" priority="30" operator="notEqual">
      <formula>$S$186</formula>
    </cfRule>
  </conditionalFormatting>
  <conditionalFormatting sqref="R11">
    <cfRule type="cellIs" dxfId="408" priority="24" operator="notEqual">
      <formula>$S$211</formula>
    </cfRule>
  </conditionalFormatting>
  <conditionalFormatting sqref="R12">
    <cfRule type="cellIs" dxfId="407" priority="18" operator="notEqual">
      <formula>$S$236</formula>
    </cfRule>
  </conditionalFormatting>
  <conditionalFormatting sqref="R13">
    <cfRule type="cellIs" dxfId="406" priority="12" operator="notEqual">
      <formula>$S$261</formula>
    </cfRule>
  </conditionalFormatting>
  <conditionalFormatting sqref="R14">
    <cfRule type="cellIs" dxfId="405" priority="89" operator="notEqual">
      <formula>$S$114</formula>
    </cfRule>
  </conditionalFormatting>
  <conditionalFormatting sqref="R15">
    <cfRule type="cellIs" dxfId="404" priority="77" stopIfTrue="1" operator="notEqual">
      <formula>$S$139</formula>
    </cfRule>
  </conditionalFormatting>
  <conditionalFormatting sqref="R16">
    <cfRule type="cellIs" dxfId="403" priority="35" stopIfTrue="1" operator="notEqual">
      <formula>$S$164</formula>
    </cfRule>
  </conditionalFormatting>
  <conditionalFormatting sqref="R17">
    <cfRule type="cellIs" dxfId="402" priority="29" stopIfTrue="1" operator="notEqual">
      <formula>$S$189</formula>
    </cfRule>
  </conditionalFormatting>
  <conditionalFormatting sqref="R18">
    <cfRule type="cellIs" dxfId="401" priority="23" stopIfTrue="1" operator="notEqual">
      <formula>$S$214</formula>
    </cfRule>
  </conditionalFormatting>
  <conditionalFormatting sqref="R19">
    <cfRule type="cellIs" dxfId="400" priority="17" stopIfTrue="1" operator="notEqual">
      <formula>$S$239</formula>
    </cfRule>
  </conditionalFormatting>
  <conditionalFormatting sqref="R20">
    <cfRule type="cellIs" dxfId="399" priority="11" stopIfTrue="1" operator="notEqual">
      <formula>$S$264</formula>
    </cfRule>
  </conditionalFormatting>
  <conditionalFormatting sqref="R21">
    <cfRule type="cellIs" dxfId="398" priority="88" operator="notEqual">
      <formula>$S$117</formula>
    </cfRule>
  </conditionalFormatting>
  <conditionalFormatting sqref="R22">
    <cfRule type="cellIs" dxfId="397" priority="76" stopIfTrue="1" operator="notEqual">
      <formula>$S$142</formula>
    </cfRule>
  </conditionalFormatting>
  <conditionalFormatting sqref="R23">
    <cfRule type="cellIs" dxfId="396" priority="34" stopIfTrue="1" operator="notEqual">
      <formula>$S$167</formula>
    </cfRule>
  </conditionalFormatting>
  <conditionalFormatting sqref="R24">
    <cfRule type="cellIs" dxfId="395" priority="28" stopIfTrue="1" operator="notEqual">
      <formula>$S$192</formula>
    </cfRule>
  </conditionalFormatting>
  <conditionalFormatting sqref="R25">
    <cfRule type="cellIs" dxfId="394" priority="22" stopIfTrue="1" operator="notEqual">
      <formula>$S$217</formula>
    </cfRule>
  </conditionalFormatting>
  <conditionalFormatting sqref="R26">
    <cfRule type="cellIs" dxfId="393" priority="16" stopIfTrue="1" operator="notEqual">
      <formula>$S$242</formula>
    </cfRule>
  </conditionalFormatting>
  <conditionalFormatting sqref="R27">
    <cfRule type="cellIs" dxfId="392" priority="10" stopIfTrue="1" operator="notEqual">
      <formula>$S$267</formula>
    </cfRule>
  </conditionalFormatting>
  <conditionalFormatting sqref="R29">
    <cfRule type="cellIs" dxfId="391" priority="87" operator="notEqual">
      <formula>$S$120</formula>
    </cfRule>
  </conditionalFormatting>
  <conditionalFormatting sqref="R30">
    <cfRule type="cellIs" dxfId="390" priority="75" operator="notEqual">
      <formula>$S$145</formula>
    </cfRule>
  </conditionalFormatting>
  <conditionalFormatting sqref="R31">
    <cfRule type="cellIs" dxfId="389" priority="33" stopIfTrue="1" operator="notEqual">
      <formula>$S$170</formula>
    </cfRule>
  </conditionalFormatting>
  <conditionalFormatting sqref="R32">
    <cfRule type="cellIs" dxfId="388" priority="27" stopIfTrue="1" operator="notEqual">
      <formula>$S$195</formula>
    </cfRule>
  </conditionalFormatting>
  <conditionalFormatting sqref="R33">
    <cfRule type="cellIs" dxfId="387" priority="21" stopIfTrue="1" operator="notEqual">
      <formula>$S$220</formula>
    </cfRule>
  </conditionalFormatting>
  <conditionalFormatting sqref="R34">
    <cfRule type="cellIs" dxfId="386" priority="15" stopIfTrue="1" operator="notEqual">
      <formula>$S$245</formula>
    </cfRule>
  </conditionalFormatting>
  <conditionalFormatting sqref="R35">
    <cfRule type="cellIs" dxfId="385" priority="9" stopIfTrue="1" operator="notEqual">
      <formula>$S$270</formula>
    </cfRule>
  </conditionalFormatting>
  <conditionalFormatting sqref="R36">
    <cfRule type="cellIs" dxfId="384" priority="86" operator="notEqual">
      <formula>$S$123</formula>
    </cfRule>
  </conditionalFormatting>
  <conditionalFormatting sqref="R37">
    <cfRule type="cellIs" dxfId="383" priority="74" stopIfTrue="1" operator="notEqual">
      <formula>$S$148</formula>
    </cfRule>
  </conditionalFormatting>
  <conditionalFormatting sqref="R38">
    <cfRule type="cellIs" dxfId="382" priority="32" stopIfTrue="1" operator="notEqual">
      <formula>$S$173</formula>
    </cfRule>
  </conditionalFormatting>
  <conditionalFormatting sqref="R39">
    <cfRule type="cellIs" dxfId="381" priority="26" stopIfTrue="1" operator="notEqual">
      <formula>$S$198</formula>
    </cfRule>
  </conditionalFormatting>
  <conditionalFormatting sqref="R40">
    <cfRule type="cellIs" dxfId="380" priority="20" stopIfTrue="1" operator="notEqual">
      <formula>$S$223</formula>
    </cfRule>
  </conditionalFormatting>
  <conditionalFormatting sqref="R41">
    <cfRule type="cellIs" dxfId="379" priority="14" stopIfTrue="1" operator="notEqual">
      <formula>$S$248</formula>
    </cfRule>
  </conditionalFormatting>
  <conditionalFormatting sqref="R42">
    <cfRule type="cellIs" dxfId="378" priority="8" stopIfTrue="1" operator="notEqual">
      <formula>$S$273</formula>
    </cfRule>
  </conditionalFormatting>
  <conditionalFormatting sqref="X110">
    <cfRule type="cellIs" dxfId="377" priority="152" operator="lessThan">
      <formula>$R$110</formula>
    </cfRule>
  </conditionalFormatting>
  <conditionalFormatting sqref="X113">
    <cfRule type="cellIs" dxfId="376" priority="151" operator="lessThan">
      <formula>$R$113</formula>
    </cfRule>
  </conditionalFormatting>
  <conditionalFormatting sqref="X116">
    <cfRule type="cellIs" dxfId="375" priority="150" operator="lessThan">
      <formula>$R$116</formula>
    </cfRule>
  </conditionalFormatting>
  <conditionalFormatting sqref="X119">
    <cfRule type="cellIs" dxfId="374" priority="149" operator="lessThan">
      <formula>$R$119</formula>
    </cfRule>
  </conditionalFormatting>
  <conditionalFormatting sqref="X122">
    <cfRule type="cellIs" dxfId="373" priority="127" operator="lessThan">
      <formula>$R$116</formula>
    </cfRule>
  </conditionalFormatting>
  <conditionalFormatting sqref="X125">
    <cfRule type="cellIs" dxfId="372" priority="148" operator="lessThan">
      <formula>$R$125</formula>
    </cfRule>
  </conditionalFormatting>
  <conditionalFormatting sqref="X135">
    <cfRule type="cellIs" dxfId="371" priority="137" operator="lessThan">
      <formula>$R$135</formula>
    </cfRule>
  </conditionalFormatting>
  <conditionalFormatting sqref="X138">
    <cfRule type="cellIs" dxfId="370" priority="136" operator="lessThan">
      <formula>$R$138</formula>
    </cfRule>
  </conditionalFormatting>
  <conditionalFormatting sqref="X141">
    <cfRule type="cellIs" dxfId="369" priority="135" operator="lessThan">
      <formula>$R$141</formula>
    </cfRule>
  </conditionalFormatting>
  <conditionalFormatting sqref="X144">
    <cfRule type="cellIs" dxfId="368" priority="134" operator="lessThan">
      <formula>$R$144</formula>
    </cfRule>
  </conditionalFormatting>
  <conditionalFormatting sqref="X147">
    <cfRule type="cellIs" dxfId="367" priority="125" operator="lessThan">
      <formula>$R$141</formula>
    </cfRule>
  </conditionalFormatting>
  <conditionalFormatting sqref="X150">
    <cfRule type="cellIs" dxfId="366" priority="133" operator="lessThan">
      <formula>$R$150</formula>
    </cfRule>
  </conditionalFormatting>
  <conditionalFormatting sqref="X160">
    <cfRule type="cellIs" dxfId="365" priority="147" operator="lessThan">
      <formula>$R$160</formula>
    </cfRule>
  </conditionalFormatting>
  <conditionalFormatting sqref="X163">
    <cfRule type="cellIs" dxfId="364" priority="146" operator="lessThan">
      <formula>$R$163</formula>
    </cfRule>
  </conditionalFormatting>
  <conditionalFormatting sqref="X166">
    <cfRule type="cellIs" dxfId="363" priority="145" operator="lessThan">
      <formula>$R$166</formula>
    </cfRule>
  </conditionalFormatting>
  <conditionalFormatting sqref="X169">
    <cfRule type="cellIs" dxfId="362" priority="144" operator="lessThan">
      <formula>$R$169</formula>
    </cfRule>
  </conditionalFormatting>
  <conditionalFormatting sqref="X172">
    <cfRule type="cellIs" dxfId="361" priority="123" operator="lessThan">
      <formula>$R$141</formula>
    </cfRule>
  </conditionalFormatting>
  <conditionalFormatting sqref="X175">
    <cfRule type="cellIs" dxfId="360" priority="143" operator="lessThan">
      <formula>$R$175</formula>
    </cfRule>
  </conditionalFormatting>
  <conditionalFormatting sqref="X185">
    <cfRule type="cellIs" dxfId="359" priority="157" operator="lessThan">
      <formula>$R$185</formula>
    </cfRule>
  </conditionalFormatting>
  <conditionalFormatting sqref="X188">
    <cfRule type="cellIs" dxfId="358" priority="156" operator="lessThan">
      <formula>$R$188</formula>
    </cfRule>
  </conditionalFormatting>
  <conditionalFormatting sqref="X191">
    <cfRule type="cellIs" dxfId="357" priority="155" operator="lessThan">
      <formula>$R$191</formula>
    </cfRule>
  </conditionalFormatting>
  <conditionalFormatting sqref="X194">
    <cfRule type="cellIs" dxfId="356" priority="154" operator="lessThan">
      <formula>$R$194</formula>
    </cfRule>
  </conditionalFormatting>
  <conditionalFormatting sqref="X197">
    <cfRule type="cellIs" dxfId="355" priority="121" operator="lessThan">
      <formula>$R$141</formula>
    </cfRule>
  </conditionalFormatting>
  <conditionalFormatting sqref="X200">
    <cfRule type="cellIs" dxfId="354" priority="153" operator="lessThan">
      <formula>$R$200</formula>
    </cfRule>
  </conditionalFormatting>
  <conditionalFormatting sqref="X210">
    <cfRule type="cellIs" dxfId="353" priority="142" operator="lessThan">
      <formula>$R$210</formula>
    </cfRule>
  </conditionalFormatting>
  <conditionalFormatting sqref="X213">
    <cfRule type="cellIs" dxfId="352" priority="141" operator="lessThan">
      <formula>$R$213</formula>
    </cfRule>
  </conditionalFormatting>
  <conditionalFormatting sqref="X216">
    <cfRule type="cellIs" dxfId="351" priority="140" operator="lessThan">
      <formula>$R$216</formula>
    </cfRule>
  </conditionalFormatting>
  <conditionalFormatting sqref="X219">
    <cfRule type="cellIs" dxfId="350" priority="139" operator="lessThan">
      <formula>$R$219</formula>
    </cfRule>
  </conditionalFormatting>
  <conditionalFormatting sqref="X222">
    <cfRule type="cellIs" dxfId="349" priority="119" operator="lessThan">
      <formula>$R$141</formula>
    </cfRule>
  </conditionalFormatting>
  <conditionalFormatting sqref="X225">
    <cfRule type="cellIs" dxfId="348" priority="138" operator="lessThan">
      <formula>$R$225</formula>
    </cfRule>
  </conditionalFormatting>
  <conditionalFormatting sqref="X235">
    <cfRule type="cellIs" dxfId="347" priority="117" operator="lessThan">
      <formula>$R$210</formula>
    </cfRule>
  </conditionalFormatting>
  <conditionalFormatting sqref="X238">
    <cfRule type="cellIs" dxfId="346" priority="116" operator="lessThan">
      <formula>$R$213</formula>
    </cfRule>
  </conditionalFormatting>
  <conditionalFormatting sqref="X241">
    <cfRule type="cellIs" dxfId="345" priority="115" operator="lessThan">
      <formula>$R$216</formula>
    </cfRule>
  </conditionalFormatting>
  <conditionalFormatting sqref="X244">
    <cfRule type="cellIs" dxfId="344" priority="114" operator="lessThan">
      <formula>$R$219</formula>
    </cfRule>
  </conditionalFormatting>
  <conditionalFormatting sqref="X247">
    <cfRule type="cellIs" dxfId="343" priority="112" operator="lessThan">
      <formula>$R$141</formula>
    </cfRule>
  </conditionalFormatting>
  <conditionalFormatting sqref="X250">
    <cfRule type="cellIs" dxfId="342" priority="113" operator="lessThan">
      <formula>$R$225</formula>
    </cfRule>
  </conditionalFormatting>
  <conditionalFormatting sqref="X260">
    <cfRule type="cellIs" dxfId="341" priority="110" operator="lessThan">
      <formula>$R$210</formula>
    </cfRule>
  </conditionalFormatting>
  <conditionalFormatting sqref="X263">
    <cfRule type="cellIs" dxfId="340" priority="109" operator="lessThan">
      <formula>$R$213</formula>
    </cfRule>
  </conditionalFormatting>
  <conditionalFormatting sqref="X266">
    <cfRule type="cellIs" dxfId="339" priority="108" operator="lessThan">
      <formula>$R$216</formula>
    </cfRule>
  </conditionalFormatting>
  <conditionalFormatting sqref="X269">
    <cfRule type="cellIs" dxfId="338" priority="107" operator="lessThan">
      <formula>$R$219</formula>
    </cfRule>
  </conditionalFormatting>
  <conditionalFormatting sqref="X272">
    <cfRule type="cellIs" dxfId="337" priority="105" operator="lessThan">
      <formula>$R$141</formula>
    </cfRule>
  </conditionalFormatting>
  <conditionalFormatting sqref="X275">
    <cfRule type="cellIs" dxfId="336" priority="106" operator="lessThan">
      <formula>$R$225</formula>
    </cfRule>
  </conditionalFormatting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8E36-463C-DB4A-BD0A-F4A90EB421F8}">
  <dimension ref="B2:Y277"/>
  <sheetViews>
    <sheetView zoomScale="150" zoomScaleNormal="150" zoomScaleSheetLayoutView="146" workbookViewId="0"/>
  </sheetViews>
  <sheetFormatPr baseColWidth="10" defaultColWidth="7.7109375" defaultRowHeight="17"/>
  <cols>
    <col min="1" max="3" width="2.28515625" style="18" customWidth="1"/>
    <col min="4" max="4" width="12.28515625" style="18" bestFit="1" customWidth="1"/>
    <col min="5" max="5" width="3.85546875" style="18" bestFit="1" customWidth="1"/>
    <col min="6" max="6" width="17.28515625" style="18" bestFit="1" customWidth="1"/>
    <col min="7" max="7" width="8.7109375" style="18" bestFit="1" customWidth="1"/>
    <col min="8" max="8" width="7.5703125" style="18" bestFit="1" customWidth="1"/>
    <col min="9" max="9" width="8" style="18" bestFit="1" customWidth="1"/>
    <col min="10" max="10" width="7.85546875" style="18" bestFit="1" customWidth="1"/>
    <col min="11" max="11" width="8.28515625" style="18" bestFit="1" customWidth="1"/>
    <col min="12" max="12" width="6.5703125" style="18" bestFit="1" customWidth="1"/>
    <col min="13" max="13" width="8.85546875" style="18" bestFit="1" customWidth="1"/>
    <col min="14" max="14" width="6.5703125" style="18" bestFit="1" customWidth="1"/>
    <col min="15" max="15" width="7.5703125" style="18" bestFit="1" customWidth="1"/>
    <col min="16" max="16" width="7.7109375" style="18" bestFit="1" customWidth="1"/>
    <col min="17" max="17" width="8.5703125" style="18" bestFit="1" customWidth="1"/>
    <col min="18" max="18" width="8" style="18" bestFit="1" customWidth="1"/>
    <col min="19" max="19" width="8.5703125" style="18" bestFit="1" customWidth="1"/>
    <col min="20" max="20" width="2.28515625" style="18" customWidth="1"/>
    <col min="21" max="21" width="10.5703125" style="18" bestFit="1" customWidth="1"/>
    <col min="22" max="22" width="12.28515625" style="18" bestFit="1" customWidth="1"/>
    <col min="23" max="23" width="2.28515625" style="18" customWidth="1"/>
    <col min="24" max="24" width="13.28515625" style="18" bestFit="1" customWidth="1"/>
    <col min="25" max="26" width="7.7109375" style="18"/>
    <col min="27" max="27" width="7.85546875" style="18" bestFit="1" customWidth="1"/>
    <col min="28" max="16384" width="7.7109375" style="18"/>
  </cols>
  <sheetData>
    <row r="2" spans="2:19">
      <c r="B2" s="18" t="s">
        <v>18</v>
      </c>
    </row>
    <row r="3" spans="2:19">
      <c r="D3" s="107" t="s">
        <v>148</v>
      </c>
      <c r="E3" s="107"/>
      <c r="F3" s="107"/>
      <c r="G3" s="20" t="s">
        <v>39</v>
      </c>
      <c r="H3" s="107" t="s">
        <v>147</v>
      </c>
      <c r="I3" s="107"/>
      <c r="J3" s="107"/>
      <c r="K3" s="107" t="s">
        <v>123</v>
      </c>
      <c r="L3" s="107"/>
      <c r="M3" s="107"/>
      <c r="N3" s="107"/>
      <c r="O3" s="107"/>
      <c r="P3" s="107"/>
      <c r="Q3" s="107" t="s">
        <v>133</v>
      </c>
      <c r="R3" s="107"/>
      <c r="S3" s="107"/>
    </row>
    <row r="4" spans="2:19">
      <c r="D4" s="107"/>
      <c r="E4" s="107"/>
      <c r="F4" s="107"/>
      <c r="G4" s="20" t="s">
        <v>129</v>
      </c>
      <c r="H4" s="107" t="s">
        <v>129</v>
      </c>
      <c r="I4" s="107"/>
      <c r="J4" s="107"/>
      <c r="K4" s="107" t="s">
        <v>59</v>
      </c>
      <c r="L4" s="107"/>
      <c r="M4" s="107"/>
      <c r="N4" s="107" t="s">
        <v>106</v>
      </c>
      <c r="O4" s="107"/>
      <c r="P4" s="107"/>
      <c r="Q4" s="107"/>
      <c r="R4" s="107"/>
      <c r="S4" s="107"/>
    </row>
    <row r="5" spans="2:19">
      <c r="D5" s="107" t="s">
        <v>136</v>
      </c>
      <c r="E5" s="107" t="s">
        <v>68</v>
      </c>
      <c r="F5" s="20" t="s">
        <v>113</v>
      </c>
      <c r="G5" s="107" t="s">
        <v>78</v>
      </c>
      <c r="H5" s="107" t="s">
        <v>78</v>
      </c>
      <c r="I5" s="107" t="s">
        <v>24</v>
      </c>
      <c r="J5" s="107" t="s">
        <v>25</v>
      </c>
      <c r="K5" s="107" t="s">
        <v>78</v>
      </c>
      <c r="L5" s="107" t="s">
        <v>24</v>
      </c>
      <c r="M5" s="107" t="s">
        <v>25</v>
      </c>
      <c r="N5" s="107" t="s">
        <v>78</v>
      </c>
      <c r="O5" s="107" t="s">
        <v>24</v>
      </c>
      <c r="P5" s="107" t="s">
        <v>25</v>
      </c>
      <c r="Q5" s="107" t="s">
        <v>78</v>
      </c>
      <c r="R5" s="107" t="s">
        <v>24</v>
      </c>
      <c r="S5" s="107" t="s">
        <v>69</v>
      </c>
    </row>
    <row r="6" spans="2:19">
      <c r="D6" s="107"/>
      <c r="E6" s="107"/>
      <c r="F6" s="20" t="s">
        <v>110</v>
      </c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</row>
    <row r="7" spans="2:19">
      <c r="D7" s="110">
        <v>1</v>
      </c>
      <c r="E7" s="107">
        <v>1</v>
      </c>
      <c r="F7" s="23"/>
      <c r="G7" s="24"/>
      <c r="H7" s="24"/>
      <c r="I7" s="24"/>
      <c r="J7" s="22">
        <f t="shared" ref="J7:J42" si="0">SUM(H7:I7)</f>
        <v>0</v>
      </c>
      <c r="K7" s="22">
        <v>0</v>
      </c>
      <c r="L7" s="22">
        <v>0</v>
      </c>
      <c r="M7" s="22">
        <f>SUM(K7:L7)</f>
        <v>0</v>
      </c>
      <c r="N7" s="22">
        <v>0</v>
      </c>
      <c r="O7" s="22">
        <v>0</v>
      </c>
      <c r="P7" s="22">
        <f t="shared" ref="P7:P42" si="1">SUM(N7:O7)</f>
        <v>0</v>
      </c>
      <c r="Q7" s="22">
        <f>G7+H7+K7+N7</f>
        <v>0</v>
      </c>
      <c r="R7" s="22">
        <f>I7+L7+O7</f>
        <v>0</v>
      </c>
      <c r="S7" s="22">
        <f>SUM(Q7:R7)</f>
        <v>0</v>
      </c>
    </row>
    <row r="8" spans="2:19">
      <c r="D8" s="112"/>
      <c r="E8" s="107"/>
      <c r="F8" s="23"/>
      <c r="G8" s="24"/>
      <c r="H8" s="62"/>
      <c r="I8" s="62"/>
      <c r="J8" s="59">
        <f t="shared" si="0"/>
        <v>0</v>
      </c>
      <c r="K8" s="22">
        <v>0</v>
      </c>
      <c r="L8" s="22">
        <v>0</v>
      </c>
      <c r="M8" s="22">
        <f t="shared" ref="M8:M42" si="2">SUM(K8:L8)</f>
        <v>0</v>
      </c>
      <c r="N8" s="22">
        <v>0</v>
      </c>
      <c r="O8" s="22">
        <v>0</v>
      </c>
      <c r="P8" s="22">
        <f t="shared" si="1"/>
        <v>0</v>
      </c>
      <c r="Q8" s="22">
        <f>G8+H8+K8+N8</f>
        <v>0</v>
      </c>
      <c r="R8" s="22">
        <f t="shared" ref="R8:R42" si="3">I8+L8+O8</f>
        <v>0</v>
      </c>
      <c r="S8" s="22">
        <f t="shared" ref="S8:S42" si="4">SUM(Q8:R8)</f>
        <v>0</v>
      </c>
    </row>
    <row r="9" spans="2:19">
      <c r="D9" s="112"/>
      <c r="E9" s="107"/>
      <c r="F9" s="23"/>
      <c r="G9" s="63"/>
      <c r="H9" s="71"/>
      <c r="I9" s="71"/>
      <c r="J9" s="44">
        <f t="shared" si="0"/>
        <v>0</v>
      </c>
      <c r="K9" s="42">
        <v>0</v>
      </c>
      <c r="L9" s="22">
        <v>0</v>
      </c>
      <c r="M9" s="22">
        <f t="shared" si="2"/>
        <v>0</v>
      </c>
      <c r="N9" s="22">
        <v>0</v>
      </c>
      <c r="O9" s="22">
        <v>0</v>
      </c>
      <c r="P9" s="22">
        <f t="shared" si="1"/>
        <v>0</v>
      </c>
      <c r="Q9" s="22">
        <f t="shared" ref="Q9:Q42" si="5">G9+H9+K9+N9</f>
        <v>0</v>
      </c>
      <c r="R9" s="22">
        <f t="shared" si="3"/>
        <v>0</v>
      </c>
      <c r="S9" s="22">
        <f t="shared" si="4"/>
        <v>0</v>
      </c>
    </row>
    <row r="10" spans="2:19">
      <c r="D10" s="112"/>
      <c r="E10" s="107"/>
      <c r="F10" s="23"/>
      <c r="G10" s="24"/>
      <c r="H10" s="54"/>
      <c r="I10" s="54"/>
      <c r="J10" s="53">
        <f t="shared" si="0"/>
        <v>0</v>
      </c>
      <c r="K10" s="22">
        <v>0</v>
      </c>
      <c r="L10" s="22">
        <v>0</v>
      </c>
      <c r="M10" s="22">
        <f t="shared" si="2"/>
        <v>0</v>
      </c>
      <c r="N10" s="22">
        <v>0</v>
      </c>
      <c r="O10" s="22">
        <v>0</v>
      </c>
      <c r="P10" s="22">
        <f t="shared" si="1"/>
        <v>0</v>
      </c>
      <c r="Q10" s="22">
        <f t="shared" si="5"/>
        <v>0</v>
      </c>
      <c r="R10" s="22">
        <f t="shared" si="3"/>
        <v>0</v>
      </c>
      <c r="S10" s="22">
        <f t="shared" si="4"/>
        <v>0</v>
      </c>
    </row>
    <row r="11" spans="2:19">
      <c r="D11" s="112"/>
      <c r="E11" s="107"/>
      <c r="F11" s="23"/>
      <c r="G11" s="24"/>
      <c r="H11" s="24"/>
      <c r="I11" s="24"/>
      <c r="J11" s="22">
        <f t="shared" si="0"/>
        <v>0</v>
      </c>
      <c r="K11" s="22">
        <v>0</v>
      </c>
      <c r="L11" s="22">
        <v>0</v>
      </c>
      <c r="M11" s="22">
        <f t="shared" si="2"/>
        <v>0</v>
      </c>
      <c r="N11" s="22">
        <v>0</v>
      </c>
      <c r="O11" s="22">
        <v>0</v>
      </c>
      <c r="P11" s="22">
        <f t="shared" si="1"/>
        <v>0</v>
      </c>
      <c r="Q11" s="22">
        <f t="shared" si="5"/>
        <v>0</v>
      </c>
      <c r="R11" s="22">
        <f t="shared" si="3"/>
        <v>0</v>
      </c>
      <c r="S11" s="22">
        <f t="shared" si="4"/>
        <v>0</v>
      </c>
    </row>
    <row r="12" spans="2:19">
      <c r="D12" s="112"/>
      <c r="E12" s="107"/>
      <c r="F12" s="23"/>
      <c r="G12" s="24"/>
      <c r="H12" s="24"/>
      <c r="I12" s="24"/>
      <c r="J12" s="22">
        <f t="shared" si="0"/>
        <v>0</v>
      </c>
      <c r="K12" s="22">
        <v>0</v>
      </c>
      <c r="L12" s="22">
        <v>0</v>
      </c>
      <c r="M12" s="22">
        <f t="shared" si="2"/>
        <v>0</v>
      </c>
      <c r="N12" s="22">
        <v>0</v>
      </c>
      <c r="O12" s="22">
        <v>0</v>
      </c>
      <c r="P12" s="22">
        <f t="shared" si="1"/>
        <v>0</v>
      </c>
      <c r="Q12" s="22">
        <f t="shared" si="5"/>
        <v>0</v>
      </c>
      <c r="R12" s="22">
        <f t="shared" si="3"/>
        <v>0</v>
      </c>
      <c r="S12" s="22">
        <f t="shared" si="4"/>
        <v>0</v>
      </c>
    </row>
    <row r="13" spans="2:19">
      <c r="D13" s="112"/>
      <c r="E13" s="107"/>
      <c r="F13" s="23"/>
      <c r="G13" s="24"/>
      <c r="H13" s="24"/>
      <c r="I13" s="24"/>
      <c r="J13" s="22">
        <f t="shared" si="0"/>
        <v>0</v>
      </c>
      <c r="K13" s="22">
        <v>0</v>
      </c>
      <c r="L13" s="22">
        <v>0</v>
      </c>
      <c r="M13" s="22">
        <f t="shared" si="2"/>
        <v>0</v>
      </c>
      <c r="N13" s="22">
        <v>0</v>
      </c>
      <c r="O13" s="22">
        <v>0</v>
      </c>
      <c r="P13" s="22">
        <f t="shared" si="1"/>
        <v>0</v>
      </c>
      <c r="Q13" s="22">
        <f t="shared" si="5"/>
        <v>0</v>
      </c>
      <c r="R13" s="22">
        <f t="shared" si="3"/>
        <v>0</v>
      </c>
      <c r="S13" s="22">
        <f t="shared" si="4"/>
        <v>0</v>
      </c>
    </row>
    <row r="14" spans="2:19">
      <c r="D14" s="112"/>
      <c r="E14" s="107">
        <v>2</v>
      </c>
      <c r="F14" s="23"/>
      <c r="G14" s="24"/>
      <c r="H14" s="24"/>
      <c r="I14" s="24"/>
      <c r="J14" s="22">
        <f t="shared" si="0"/>
        <v>0</v>
      </c>
      <c r="K14" s="22">
        <v>0</v>
      </c>
      <c r="L14" s="22">
        <v>0</v>
      </c>
      <c r="M14" s="22">
        <f t="shared" si="2"/>
        <v>0</v>
      </c>
      <c r="N14" s="22">
        <v>0</v>
      </c>
      <c r="O14" s="22">
        <v>0</v>
      </c>
      <c r="P14" s="22">
        <f t="shared" si="1"/>
        <v>0</v>
      </c>
      <c r="Q14" s="22">
        <f>G14+H14+K14+N14</f>
        <v>0</v>
      </c>
      <c r="R14" s="22">
        <f>I14+L14+O14</f>
        <v>0</v>
      </c>
      <c r="S14" s="22">
        <f t="shared" si="4"/>
        <v>0</v>
      </c>
    </row>
    <row r="15" spans="2:19">
      <c r="D15" s="112"/>
      <c r="E15" s="107"/>
      <c r="F15" s="23"/>
      <c r="G15" s="24"/>
      <c r="H15" s="62"/>
      <c r="I15" s="62"/>
      <c r="J15" s="22">
        <f t="shared" si="0"/>
        <v>0</v>
      </c>
      <c r="K15" s="22">
        <v>0</v>
      </c>
      <c r="L15" s="22">
        <v>0</v>
      </c>
      <c r="M15" s="22">
        <f t="shared" si="2"/>
        <v>0</v>
      </c>
      <c r="N15" s="22">
        <v>0</v>
      </c>
      <c r="O15" s="22">
        <v>0</v>
      </c>
      <c r="P15" s="22">
        <f t="shared" si="1"/>
        <v>0</v>
      </c>
      <c r="Q15" s="22">
        <f>G15+H15+K15+N15</f>
        <v>0</v>
      </c>
      <c r="R15" s="22">
        <f t="shared" si="3"/>
        <v>0</v>
      </c>
      <c r="S15" s="22">
        <f t="shared" si="4"/>
        <v>0</v>
      </c>
    </row>
    <row r="16" spans="2:19">
      <c r="D16" s="112"/>
      <c r="E16" s="107"/>
      <c r="F16" s="23"/>
      <c r="G16" s="64"/>
      <c r="H16" s="71"/>
      <c r="I16" s="71"/>
      <c r="J16" s="42">
        <f t="shared" si="0"/>
        <v>0</v>
      </c>
      <c r="K16" s="22">
        <v>0</v>
      </c>
      <c r="L16" s="22">
        <v>0</v>
      </c>
      <c r="M16" s="22">
        <f t="shared" si="2"/>
        <v>0</v>
      </c>
      <c r="N16" s="22">
        <v>0</v>
      </c>
      <c r="O16" s="22">
        <v>0</v>
      </c>
      <c r="P16" s="22">
        <f t="shared" si="1"/>
        <v>0</v>
      </c>
      <c r="Q16" s="22">
        <f t="shared" si="5"/>
        <v>0</v>
      </c>
      <c r="R16" s="22">
        <f t="shared" si="3"/>
        <v>0</v>
      </c>
      <c r="S16" s="22">
        <f t="shared" si="4"/>
        <v>0</v>
      </c>
    </row>
    <row r="17" spans="4:19">
      <c r="D17" s="112"/>
      <c r="E17" s="107"/>
      <c r="F17" s="41"/>
      <c r="G17" s="43"/>
      <c r="H17" s="57"/>
      <c r="I17" s="54"/>
      <c r="J17" s="22">
        <f t="shared" si="0"/>
        <v>0</v>
      </c>
      <c r="K17" s="22">
        <v>0</v>
      </c>
      <c r="L17" s="22">
        <v>0</v>
      </c>
      <c r="M17" s="22">
        <f t="shared" si="2"/>
        <v>0</v>
      </c>
      <c r="N17" s="22">
        <v>0</v>
      </c>
      <c r="O17" s="22">
        <v>0</v>
      </c>
      <c r="P17" s="22">
        <f t="shared" si="1"/>
        <v>0</v>
      </c>
      <c r="Q17" s="22">
        <f t="shared" si="5"/>
        <v>0</v>
      </c>
      <c r="R17" s="22">
        <f t="shared" si="3"/>
        <v>0</v>
      </c>
      <c r="S17" s="22">
        <f t="shared" si="4"/>
        <v>0</v>
      </c>
    </row>
    <row r="18" spans="4:19">
      <c r="D18" s="112"/>
      <c r="E18" s="107"/>
      <c r="F18" s="41"/>
      <c r="G18" s="43"/>
      <c r="H18" s="56"/>
      <c r="I18" s="24"/>
      <c r="J18" s="22">
        <f t="shared" si="0"/>
        <v>0</v>
      </c>
      <c r="K18" s="22">
        <v>0</v>
      </c>
      <c r="L18" s="22">
        <v>0</v>
      </c>
      <c r="M18" s="22">
        <f t="shared" si="2"/>
        <v>0</v>
      </c>
      <c r="N18" s="22">
        <v>0</v>
      </c>
      <c r="O18" s="22">
        <v>0</v>
      </c>
      <c r="P18" s="22">
        <f t="shared" si="1"/>
        <v>0</v>
      </c>
      <c r="Q18" s="22">
        <f t="shared" si="5"/>
        <v>0</v>
      </c>
      <c r="R18" s="22">
        <f t="shared" si="3"/>
        <v>0</v>
      </c>
      <c r="S18" s="22">
        <f t="shared" si="4"/>
        <v>0</v>
      </c>
    </row>
    <row r="19" spans="4:19">
      <c r="D19" s="112"/>
      <c r="E19" s="107"/>
      <c r="F19" s="41"/>
      <c r="G19" s="43"/>
      <c r="H19" s="56"/>
      <c r="I19" s="24"/>
      <c r="J19" s="22">
        <f t="shared" si="0"/>
        <v>0</v>
      </c>
      <c r="K19" s="22">
        <v>0</v>
      </c>
      <c r="L19" s="22">
        <v>0</v>
      </c>
      <c r="M19" s="22">
        <f t="shared" si="2"/>
        <v>0</v>
      </c>
      <c r="N19" s="22">
        <v>0</v>
      </c>
      <c r="O19" s="22">
        <v>0</v>
      </c>
      <c r="P19" s="22">
        <f t="shared" si="1"/>
        <v>0</v>
      </c>
      <c r="Q19" s="22">
        <f t="shared" si="5"/>
        <v>0</v>
      </c>
      <c r="R19" s="22">
        <f t="shared" si="3"/>
        <v>0</v>
      </c>
      <c r="S19" s="22">
        <f t="shared" si="4"/>
        <v>0</v>
      </c>
    </row>
    <row r="20" spans="4:19">
      <c r="D20" s="112"/>
      <c r="E20" s="107"/>
      <c r="F20" s="41"/>
      <c r="G20" s="43"/>
      <c r="H20" s="56"/>
      <c r="I20" s="24"/>
      <c r="J20" s="22">
        <f t="shared" si="0"/>
        <v>0</v>
      </c>
      <c r="K20" s="22">
        <v>0</v>
      </c>
      <c r="L20" s="22">
        <v>0</v>
      </c>
      <c r="M20" s="22">
        <f t="shared" si="2"/>
        <v>0</v>
      </c>
      <c r="N20" s="22">
        <v>0</v>
      </c>
      <c r="O20" s="22">
        <v>0</v>
      </c>
      <c r="P20" s="22">
        <f t="shared" si="1"/>
        <v>0</v>
      </c>
      <c r="Q20" s="22">
        <f t="shared" si="5"/>
        <v>0</v>
      </c>
      <c r="R20" s="22">
        <f t="shared" si="3"/>
        <v>0</v>
      </c>
      <c r="S20" s="22">
        <f t="shared" si="4"/>
        <v>0</v>
      </c>
    </row>
    <row r="21" spans="4:19">
      <c r="D21" s="112"/>
      <c r="E21" s="107">
        <v>3</v>
      </c>
      <c r="F21" s="41"/>
      <c r="G21" s="43"/>
      <c r="H21" s="56"/>
      <c r="I21" s="24"/>
      <c r="J21" s="22">
        <f t="shared" si="0"/>
        <v>0</v>
      </c>
      <c r="K21" s="22">
        <v>0</v>
      </c>
      <c r="L21" s="22">
        <v>0</v>
      </c>
      <c r="M21" s="22">
        <f t="shared" si="2"/>
        <v>0</v>
      </c>
      <c r="N21" s="22">
        <v>0</v>
      </c>
      <c r="O21" s="22">
        <v>0</v>
      </c>
      <c r="P21" s="22">
        <f t="shared" si="1"/>
        <v>0</v>
      </c>
      <c r="Q21" s="22">
        <f>G21+H21+K21+N21</f>
        <v>0</v>
      </c>
      <c r="R21" s="22">
        <f>I21+L21+O21</f>
        <v>0</v>
      </c>
      <c r="S21" s="22">
        <f t="shared" si="4"/>
        <v>0</v>
      </c>
    </row>
    <row r="22" spans="4:19">
      <c r="D22" s="112"/>
      <c r="E22" s="107"/>
      <c r="F22" s="41"/>
      <c r="G22" s="43"/>
      <c r="H22" s="65"/>
      <c r="I22" s="62"/>
      <c r="J22" s="22">
        <f t="shared" si="0"/>
        <v>0</v>
      </c>
      <c r="K22" s="22">
        <v>0</v>
      </c>
      <c r="L22" s="22">
        <v>0</v>
      </c>
      <c r="M22" s="22">
        <f t="shared" si="2"/>
        <v>0</v>
      </c>
      <c r="N22" s="22">
        <v>0</v>
      </c>
      <c r="O22" s="22">
        <v>0</v>
      </c>
      <c r="P22" s="22">
        <f t="shared" si="1"/>
        <v>0</v>
      </c>
      <c r="Q22" s="22">
        <f>G22+H22+K22+N22</f>
        <v>0</v>
      </c>
      <c r="R22" s="22">
        <f t="shared" si="3"/>
        <v>0</v>
      </c>
      <c r="S22" s="22">
        <f t="shared" si="4"/>
        <v>0</v>
      </c>
    </row>
    <row r="23" spans="4:19">
      <c r="D23" s="112"/>
      <c r="E23" s="107"/>
      <c r="F23" s="41"/>
      <c r="G23" s="43"/>
      <c r="H23" s="71"/>
      <c r="I23" s="71"/>
      <c r="J23" s="42">
        <f t="shared" si="0"/>
        <v>0</v>
      </c>
      <c r="K23" s="22">
        <v>0</v>
      </c>
      <c r="L23" s="22">
        <v>0</v>
      </c>
      <c r="M23" s="22">
        <f t="shared" si="2"/>
        <v>0</v>
      </c>
      <c r="N23" s="22">
        <v>0</v>
      </c>
      <c r="O23" s="22">
        <v>0</v>
      </c>
      <c r="P23" s="22">
        <f t="shared" si="1"/>
        <v>0</v>
      </c>
      <c r="Q23" s="22">
        <f t="shared" si="5"/>
        <v>0</v>
      </c>
      <c r="R23" s="22">
        <f t="shared" si="3"/>
        <v>0</v>
      </c>
      <c r="S23" s="22">
        <f t="shared" si="4"/>
        <v>0</v>
      </c>
    </row>
    <row r="24" spans="4:19">
      <c r="D24" s="112"/>
      <c r="E24" s="107"/>
      <c r="F24" s="41"/>
      <c r="G24" s="43"/>
      <c r="H24" s="66"/>
      <c r="I24" s="67"/>
      <c r="J24" s="42">
        <f t="shared" si="0"/>
        <v>0</v>
      </c>
      <c r="K24" s="22">
        <v>0</v>
      </c>
      <c r="L24" s="22">
        <v>0</v>
      </c>
      <c r="M24" s="22">
        <f t="shared" si="2"/>
        <v>0</v>
      </c>
      <c r="N24" s="22">
        <v>0</v>
      </c>
      <c r="O24" s="22">
        <v>0</v>
      </c>
      <c r="P24" s="22">
        <f t="shared" si="1"/>
        <v>0</v>
      </c>
      <c r="Q24" s="22">
        <f t="shared" si="5"/>
        <v>0</v>
      </c>
      <c r="R24" s="22">
        <f t="shared" si="3"/>
        <v>0</v>
      </c>
      <c r="S24" s="22">
        <f t="shared" si="4"/>
        <v>0</v>
      </c>
    </row>
    <row r="25" spans="4:19">
      <c r="D25" s="112"/>
      <c r="E25" s="107"/>
      <c r="F25" s="41"/>
      <c r="G25" s="43"/>
      <c r="H25" s="57"/>
      <c r="I25" s="54"/>
      <c r="J25" s="22">
        <f t="shared" si="0"/>
        <v>0</v>
      </c>
      <c r="K25" s="22">
        <v>0</v>
      </c>
      <c r="L25" s="22">
        <v>0</v>
      </c>
      <c r="M25" s="22">
        <f t="shared" si="2"/>
        <v>0</v>
      </c>
      <c r="N25" s="22">
        <v>0</v>
      </c>
      <c r="O25" s="22">
        <v>0</v>
      </c>
      <c r="P25" s="22">
        <f t="shared" si="1"/>
        <v>0</v>
      </c>
      <c r="Q25" s="22">
        <f t="shared" si="5"/>
        <v>0</v>
      </c>
      <c r="R25" s="22">
        <f t="shared" si="3"/>
        <v>0</v>
      </c>
      <c r="S25" s="22">
        <f t="shared" si="4"/>
        <v>0</v>
      </c>
    </row>
    <row r="26" spans="4:19">
      <c r="D26" s="112"/>
      <c r="E26" s="107"/>
      <c r="F26" s="41"/>
      <c r="G26" s="43"/>
      <c r="H26" s="56"/>
      <c r="I26" s="24"/>
      <c r="J26" s="22">
        <f t="shared" si="0"/>
        <v>0</v>
      </c>
      <c r="K26" s="22">
        <v>0</v>
      </c>
      <c r="L26" s="22">
        <v>0</v>
      </c>
      <c r="M26" s="22">
        <f t="shared" si="2"/>
        <v>0</v>
      </c>
      <c r="N26" s="22">
        <v>0</v>
      </c>
      <c r="O26" s="22">
        <v>0</v>
      </c>
      <c r="P26" s="22">
        <f t="shared" si="1"/>
        <v>0</v>
      </c>
      <c r="Q26" s="22">
        <f t="shared" si="5"/>
        <v>0</v>
      </c>
      <c r="R26" s="22">
        <f t="shared" si="3"/>
        <v>0</v>
      </c>
      <c r="S26" s="22">
        <f t="shared" si="4"/>
        <v>0</v>
      </c>
    </row>
    <row r="27" spans="4:19">
      <c r="D27" s="112"/>
      <c r="E27" s="107"/>
      <c r="F27" s="41"/>
      <c r="G27" s="43"/>
      <c r="H27" s="56"/>
      <c r="I27" s="24"/>
      <c r="J27" s="22">
        <f t="shared" si="0"/>
        <v>0</v>
      </c>
      <c r="K27" s="22">
        <v>0</v>
      </c>
      <c r="L27" s="22">
        <v>0</v>
      </c>
      <c r="M27" s="22">
        <f t="shared" si="2"/>
        <v>0</v>
      </c>
      <c r="N27" s="22">
        <v>0</v>
      </c>
      <c r="O27" s="22">
        <v>0</v>
      </c>
      <c r="P27" s="22">
        <f t="shared" si="1"/>
        <v>0</v>
      </c>
      <c r="Q27" s="22">
        <f t="shared" si="5"/>
        <v>0</v>
      </c>
      <c r="R27" s="22">
        <f t="shared" si="3"/>
        <v>0</v>
      </c>
      <c r="S27" s="22">
        <f t="shared" si="4"/>
        <v>0</v>
      </c>
    </row>
    <row r="28" spans="4:19">
      <c r="D28" s="111"/>
      <c r="E28" s="107" t="s">
        <v>25</v>
      </c>
      <c r="F28" s="124"/>
      <c r="G28" s="44">
        <f t="shared" ref="G28:S28" si="6">SUM(G7:G27)</f>
        <v>0</v>
      </c>
      <c r="H28" s="42">
        <f t="shared" si="6"/>
        <v>0</v>
      </c>
      <c r="I28" s="22">
        <f t="shared" si="6"/>
        <v>0</v>
      </c>
      <c r="J28" s="22">
        <f t="shared" si="6"/>
        <v>0</v>
      </c>
      <c r="K28" s="22">
        <f t="shared" si="6"/>
        <v>0</v>
      </c>
      <c r="L28" s="22">
        <f t="shared" si="6"/>
        <v>0</v>
      </c>
      <c r="M28" s="22">
        <f t="shared" si="6"/>
        <v>0</v>
      </c>
      <c r="N28" s="22">
        <f t="shared" si="6"/>
        <v>0</v>
      </c>
      <c r="O28" s="22">
        <f t="shared" si="6"/>
        <v>0</v>
      </c>
      <c r="P28" s="22">
        <f t="shared" si="6"/>
        <v>0</v>
      </c>
      <c r="Q28" s="22">
        <f t="shared" si="6"/>
        <v>0</v>
      </c>
      <c r="R28" s="22">
        <f t="shared" si="6"/>
        <v>0</v>
      </c>
      <c r="S28" s="22">
        <f t="shared" si="6"/>
        <v>0</v>
      </c>
    </row>
    <row r="29" spans="4:19">
      <c r="D29" s="110">
        <v>2</v>
      </c>
      <c r="E29" s="107">
        <v>4</v>
      </c>
      <c r="F29" s="23"/>
      <c r="G29" s="54"/>
      <c r="H29" s="24"/>
      <c r="I29" s="24"/>
      <c r="J29" s="22">
        <f t="shared" si="0"/>
        <v>0</v>
      </c>
      <c r="K29" s="22">
        <v>0</v>
      </c>
      <c r="L29" s="22">
        <v>0</v>
      </c>
      <c r="M29" s="22">
        <f t="shared" si="2"/>
        <v>0</v>
      </c>
      <c r="N29" s="22">
        <v>0</v>
      </c>
      <c r="O29" s="22">
        <v>0</v>
      </c>
      <c r="P29" s="22">
        <f t="shared" si="1"/>
        <v>0</v>
      </c>
      <c r="Q29" s="22">
        <f>G29+H29+K29+N29</f>
        <v>0</v>
      </c>
      <c r="R29" s="22">
        <f>I29+L29+O29</f>
        <v>0</v>
      </c>
      <c r="S29" s="22">
        <f t="shared" si="4"/>
        <v>0</v>
      </c>
    </row>
    <row r="30" spans="4:19">
      <c r="D30" s="112"/>
      <c r="E30" s="107"/>
      <c r="F30" s="23"/>
      <c r="G30" s="24"/>
      <c r="H30" s="62"/>
      <c r="I30" s="62"/>
      <c r="J30" s="22">
        <f t="shared" si="0"/>
        <v>0</v>
      </c>
      <c r="K30" s="22">
        <v>0</v>
      </c>
      <c r="L30" s="22">
        <v>0</v>
      </c>
      <c r="M30" s="22">
        <f t="shared" si="2"/>
        <v>0</v>
      </c>
      <c r="N30" s="22">
        <v>0</v>
      </c>
      <c r="O30" s="22">
        <v>0</v>
      </c>
      <c r="P30" s="22">
        <f t="shared" si="1"/>
        <v>0</v>
      </c>
      <c r="Q30" s="22">
        <f>G30+H30+K30+N30</f>
        <v>0</v>
      </c>
      <c r="R30" s="22">
        <f t="shared" si="3"/>
        <v>0</v>
      </c>
      <c r="S30" s="22">
        <f t="shared" si="4"/>
        <v>0</v>
      </c>
    </row>
    <row r="31" spans="4:19">
      <c r="D31" s="112"/>
      <c r="E31" s="107"/>
      <c r="F31" s="23"/>
      <c r="G31" s="68"/>
      <c r="H31" s="71"/>
      <c r="I31" s="71"/>
      <c r="J31" s="42">
        <f t="shared" si="0"/>
        <v>0</v>
      </c>
      <c r="K31" s="22">
        <v>0</v>
      </c>
      <c r="L31" s="22">
        <v>0</v>
      </c>
      <c r="M31" s="22">
        <f t="shared" si="2"/>
        <v>0</v>
      </c>
      <c r="N31" s="22">
        <v>0</v>
      </c>
      <c r="O31" s="22">
        <v>0</v>
      </c>
      <c r="P31" s="22">
        <f t="shared" si="1"/>
        <v>0</v>
      </c>
      <c r="Q31" s="22">
        <f t="shared" si="5"/>
        <v>0</v>
      </c>
      <c r="R31" s="22">
        <f t="shared" si="3"/>
        <v>0</v>
      </c>
      <c r="S31" s="22">
        <f t="shared" si="4"/>
        <v>0</v>
      </c>
    </row>
    <row r="32" spans="4:19">
      <c r="D32" s="112"/>
      <c r="E32" s="107"/>
      <c r="F32" s="41"/>
      <c r="G32" s="43"/>
      <c r="H32" s="66"/>
      <c r="I32" s="67"/>
      <c r="J32" s="42">
        <f t="shared" si="0"/>
        <v>0</v>
      </c>
      <c r="K32" s="22">
        <v>0</v>
      </c>
      <c r="L32" s="22">
        <v>0</v>
      </c>
      <c r="M32" s="22">
        <f t="shared" si="2"/>
        <v>0</v>
      </c>
      <c r="N32" s="22">
        <v>0</v>
      </c>
      <c r="O32" s="22">
        <v>0</v>
      </c>
      <c r="P32" s="22">
        <f t="shared" si="1"/>
        <v>0</v>
      </c>
      <c r="Q32" s="22">
        <f t="shared" si="5"/>
        <v>0</v>
      </c>
      <c r="R32" s="22">
        <f t="shared" si="3"/>
        <v>0</v>
      </c>
      <c r="S32" s="22">
        <f t="shared" si="4"/>
        <v>0</v>
      </c>
    </row>
    <row r="33" spans="2:22">
      <c r="D33" s="112"/>
      <c r="E33" s="107"/>
      <c r="F33" s="23"/>
      <c r="G33" s="54"/>
      <c r="H33" s="54"/>
      <c r="I33" s="54"/>
      <c r="J33" s="22">
        <f t="shared" si="0"/>
        <v>0</v>
      </c>
      <c r="K33" s="22">
        <v>0</v>
      </c>
      <c r="L33" s="22">
        <v>0</v>
      </c>
      <c r="M33" s="22">
        <f t="shared" si="2"/>
        <v>0</v>
      </c>
      <c r="N33" s="22">
        <v>0</v>
      </c>
      <c r="O33" s="22">
        <v>0</v>
      </c>
      <c r="P33" s="22">
        <f t="shared" si="1"/>
        <v>0</v>
      </c>
      <c r="Q33" s="22">
        <f t="shared" si="5"/>
        <v>0</v>
      </c>
      <c r="R33" s="22">
        <f t="shared" si="3"/>
        <v>0</v>
      </c>
      <c r="S33" s="22">
        <f t="shared" si="4"/>
        <v>0</v>
      </c>
    </row>
    <row r="34" spans="2:22">
      <c r="D34" s="112"/>
      <c r="E34" s="107"/>
      <c r="F34" s="23"/>
      <c r="G34" s="24"/>
      <c r="H34" s="56"/>
      <c r="I34" s="24"/>
      <c r="J34" s="22">
        <f t="shared" si="0"/>
        <v>0</v>
      </c>
      <c r="K34" s="22">
        <v>0</v>
      </c>
      <c r="L34" s="22">
        <v>0</v>
      </c>
      <c r="M34" s="22">
        <f t="shared" si="2"/>
        <v>0</v>
      </c>
      <c r="N34" s="22">
        <v>0</v>
      </c>
      <c r="O34" s="22">
        <v>0</v>
      </c>
      <c r="P34" s="22">
        <f t="shared" si="1"/>
        <v>0</v>
      </c>
      <c r="Q34" s="22">
        <f t="shared" si="5"/>
        <v>0</v>
      </c>
      <c r="R34" s="22">
        <f t="shared" si="3"/>
        <v>0</v>
      </c>
      <c r="S34" s="22">
        <f t="shared" si="4"/>
        <v>0</v>
      </c>
    </row>
    <row r="35" spans="2:22">
      <c r="D35" s="112"/>
      <c r="E35" s="107"/>
      <c r="F35" s="23"/>
      <c r="G35" s="24"/>
      <c r="H35" s="24"/>
      <c r="I35" s="24"/>
      <c r="J35" s="22">
        <f t="shared" si="0"/>
        <v>0</v>
      </c>
      <c r="K35" s="22">
        <v>0</v>
      </c>
      <c r="L35" s="22">
        <v>0</v>
      </c>
      <c r="M35" s="22">
        <f t="shared" si="2"/>
        <v>0</v>
      </c>
      <c r="N35" s="22">
        <v>0</v>
      </c>
      <c r="O35" s="22">
        <v>0</v>
      </c>
      <c r="P35" s="22">
        <f t="shared" si="1"/>
        <v>0</v>
      </c>
      <c r="Q35" s="22">
        <f t="shared" si="5"/>
        <v>0</v>
      </c>
      <c r="R35" s="22">
        <f t="shared" si="3"/>
        <v>0</v>
      </c>
      <c r="S35" s="22">
        <f t="shared" si="4"/>
        <v>0</v>
      </c>
    </row>
    <row r="36" spans="2:22">
      <c r="D36" s="112"/>
      <c r="E36" s="107">
        <v>5</v>
      </c>
      <c r="F36" s="23"/>
      <c r="G36" s="24"/>
      <c r="H36" s="24"/>
      <c r="I36" s="24"/>
      <c r="J36" s="22">
        <f t="shared" si="0"/>
        <v>0</v>
      </c>
      <c r="K36" s="22">
        <v>0</v>
      </c>
      <c r="L36" s="22">
        <v>0</v>
      </c>
      <c r="M36" s="22">
        <f t="shared" si="2"/>
        <v>0</v>
      </c>
      <c r="N36" s="22">
        <v>0</v>
      </c>
      <c r="O36" s="22">
        <v>0</v>
      </c>
      <c r="P36" s="22">
        <f t="shared" si="1"/>
        <v>0</v>
      </c>
      <c r="Q36" s="22">
        <f>G36+H36+K36+N36</f>
        <v>0</v>
      </c>
      <c r="R36" s="22">
        <f>I36+L36+O36</f>
        <v>0</v>
      </c>
      <c r="S36" s="22">
        <f t="shared" si="4"/>
        <v>0</v>
      </c>
    </row>
    <row r="37" spans="2:22">
      <c r="D37" s="112"/>
      <c r="E37" s="107"/>
      <c r="F37" s="23"/>
      <c r="G37" s="24"/>
      <c r="H37" s="62"/>
      <c r="I37" s="62"/>
      <c r="J37" s="22">
        <f t="shared" si="0"/>
        <v>0</v>
      </c>
      <c r="K37" s="22">
        <v>0</v>
      </c>
      <c r="L37" s="22">
        <v>0</v>
      </c>
      <c r="M37" s="22">
        <f t="shared" si="2"/>
        <v>0</v>
      </c>
      <c r="N37" s="22">
        <v>0</v>
      </c>
      <c r="O37" s="22">
        <v>0</v>
      </c>
      <c r="P37" s="22">
        <f t="shared" si="1"/>
        <v>0</v>
      </c>
      <c r="Q37" s="22">
        <f>G37+H37+K37+N37</f>
        <v>0</v>
      </c>
      <c r="R37" s="22">
        <f t="shared" si="3"/>
        <v>0</v>
      </c>
      <c r="S37" s="22">
        <f t="shared" si="4"/>
        <v>0</v>
      </c>
    </row>
    <row r="38" spans="2:22">
      <c r="D38" s="112"/>
      <c r="E38" s="107"/>
      <c r="F38" s="23"/>
      <c r="G38" s="68"/>
      <c r="H38" s="72"/>
      <c r="I38" s="72"/>
      <c r="J38" s="42">
        <f t="shared" si="0"/>
        <v>0</v>
      </c>
      <c r="K38" s="22">
        <v>0</v>
      </c>
      <c r="L38" s="22">
        <v>0</v>
      </c>
      <c r="M38" s="22">
        <f t="shared" si="2"/>
        <v>0</v>
      </c>
      <c r="N38" s="22">
        <v>0</v>
      </c>
      <c r="O38" s="22">
        <v>0</v>
      </c>
      <c r="P38" s="22">
        <f t="shared" si="1"/>
        <v>0</v>
      </c>
      <c r="Q38" s="22">
        <f t="shared" si="5"/>
        <v>0</v>
      </c>
      <c r="R38" s="22">
        <f t="shared" si="3"/>
        <v>0</v>
      </c>
      <c r="S38" s="22">
        <f t="shared" si="4"/>
        <v>0</v>
      </c>
    </row>
    <row r="39" spans="2:22">
      <c r="D39" s="112"/>
      <c r="E39" s="107"/>
      <c r="F39" s="41"/>
      <c r="G39" s="43"/>
      <c r="H39" s="66"/>
      <c r="I39" s="67"/>
      <c r="J39" s="42">
        <f t="shared" si="0"/>
        <v>0</v>
      </c>
      <c r="K39" s="22">
        <v>0</v>
      </c>
      <c r="L39" s="22">
        <v>0</v>
      </c>
      <c r="M39" s="22">
        <f t="shared" si="2"/>
        <v>0</v>
      </c>
      <c r="N39" s="22">
        <v>0</v>
      </c>
      <c r="O39" s="22">
        <v>0</v>
      </c>
      <c r="P39" s="22">
        <f t="shared" si="1"/>
        <v>0</v>
      </c>
      <c r="Q39" s="22">
        <f t="shared" si="5"/>
        <v>0</v>
      </c>
      <c r="R39" s="22">
        <f t="shared" si="3"/>
        <v>0</v>
      </c>
      <c r="S39" s="22">
        <f t="shared" si="4"/>
        <v>0</v>
      </c>
    </row>
    <row r="40" spans="2:22">
      <c r="D40" s="112"/>
      <c r="E40" s="107"/>
      <c r="F40" s="23"/>
      <c r="G40" s="54"/>
      <c r="H40" s="54"/>
      <c r="I40" s="54"/>
      <c r="J40" s="22">
        <f t="shared" si="0"/>
        <v>0</v>
      </c>
      <c r="K40" s="22">
        <v>0</v>
      </c>
      <c r="L40" s="22">
        <v>0</v>
      </c>
      <c r="M40" s="22">
        <f t="shared" si="2"/>
        <v>0</v>
      </c>
      <c r="N40" s="22">
        <v>0</v>
      </c>
      <c r="O40" s="22">
        <v>0</v>
      </c>
      <c r="P40" s="22">
        <f t="shared" si="1"/>
        <v>0</v>
      </c>
      <c r="Q40" s="22">
        <f t="shared" si="5"/>
        <v>0</v>
      </c>
      <c r="R40" s="22">
        <f t="shared" si="3"/>
        <v>0</v>
      </c>
      <c r="S40" s="22">
        <f t="shared" si="4"/>
        <v>0</v>
      </c>
    </row>
    <row r="41" spans="2:22">
      <c r="D41" s="112"/>
      <c r="E41" s="107"/>
      <c r="F41" s="23"/>
      <c r="G41" s="24"/>
      <c r="H41" s="56"/>
      <c r="I41" s="24"/>
      <c r="J41" s="22">
        <f t="shared" si="0"/>
        <v>0</v>
      </c>
      <c r="K41" s="22">
        <v>0</v>
      </c>
      <c r="L41" s="22">
        <v>0</v>
      </c>
      <c r="M41" s="22">
        <f t="shared" si="2"/>
        <v>0</v>
      </c>
      <c r="N41" s="22">
        <v>0</v>
      </c>
      <c r="O41" s="22">
        <v>0</v>
      </c>
      <c r="P41" s="22">
        <f t="shared" si="1"/>
        <v>0</v>
      </c>
      <c r="Q41" s="22">
        <f t="shared" si="5"/>
        <v>0</v>
      </c>
      <c r="R41" s="22">
        <f t="shared" si="3"/>
        <v>0</v>
      </c>
      <c r="S41" s="22">
        <f t="shared" si="4"/>
        <v>0</v>
      </c>
    </row>
    <row r="42" spans="2:22">
      <c r="D42" s="112"/>
      <c r="E42" s="107"/>
      <c r="F42" s="23"/>
      <c r="G42" s="24"/>
      <c r="H42" s="24"/>
      <c r="I42" s="24"/>
      <c r="J42" s="22">
        <f t="shared" si="0"/>
        <v>0</v>
      </c>
      <c r="K42" s="22">
        <v>0</v>
      </c>
      <c r="L42" s="22">
        <v>0</v>
      </c>
      <c r="M42" s="22">
        <f t="shared" si="2"/>
        <v>0</v>
      </c>
      <c r="N42" s="22">
        <v>0</v>
      </c>
      <c r="O42" s="22">
        <v>0</v>
      </c>
      <c r="P42" s="22">
        <f t="shared" si="1"/>
        <v>0</v>
      </c>
      <c r="Q42" s="22">
        <f t="shared" si="5"/>
        <v>0</v>
      </c>
      <c r="R42" s="22">
        <f t="shared" si="3"/>
        <v>0</v>
      </c>
      <c r="S42" s="22">
        <f t="shared" si="4"/>
        <v>0</v>
      </c>
    </row>
    <row r="43" spans="2:22">
      <c r="D43" s="111"/>
      <c r="E43" s="107" t="s">
        <v>25</v>
      </c>
      <c r="F43" s="107"/>
      <c r="G43" s="22">
        <f t="shared" ref="G43:S43" si="7">SUM(G29:G42)</f>
        <v>0</v>
      </c>
      <c r="H43" s="22">
        <f t="shared" si="7"/>
        <v>0</v>
      </c>
      <c r="I43" s="22">
        <f t="shared" si="7"/>
        <v>0</v>
      </c>
      <c r="J43" s="22">
        <f t="shared" si="7"/>
        <v>0</v>
      </c>
      <c r="K43" s="22">
        <f t="shared" si="7"/>
        <v>0</v>
      </c>
      <c r="L43" s="22">
        <f t="shared" si="7"/>
        <v>0</v>
      </c>
      <c r="M43" s="22">
        <f t="shared" si="7"/>
        <v>0</v>
      </c>
      <c r="N43" s="22">
        <f t="shared" si="7"/>
        <v>0</v>
      </c>
      <c r="O43" s="22">
        <f t="shared" si="7"/>
        <v>0</v>
      </c>
      <c r="P43" s="22">
        <f t="shared" si="7"/>
        <v>0</v>
      </c>
      <c r="Q43" s="22">
        <f t="shared" si="7"/>
        <v>0</v>
      </c>
      <c r="R43" s="22">
        <f t="shared" si="7"/>
        <v>0</v>
      </c>
      <c r="S43" s="22">
        <f t="shared" si="7"/>
        <v>0</v>
      </c>
    </row>
    <row r="44" spans="2:22">
      <c r="D44" s="107" t="s">
        <v>43</v>
      </c>
      <c r="E44" s="107"/>
      <c r="F44" s="107"/>
      <c r="G44" s="22">
        <f t="shared" ref="G44:S44" si="8">G28+G43</f>
        <v>0</v>
      </c>
      <c r="H44" s="22">
        <f t="shared" si="8"/>
        <v>0</v>
      </c>
      <c r="I44" s="22">
        <f t="shared" si="8"/>
        <v>0</v>
      </c>
      <c r="J44" s="22">
        <f t="shared" si="8"/>
        <v>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0</v>
      </c>
      <c r="R44" s="22">
        <f t="shared" si="8"/>
        <v>0</v>
      </c>
      <c r="S44" s="22">
        <f t="shared" si="8"/>
        <v>0</v>
      </c>
    </row>
    <row r="46" spans="2:22">
      <c r="B46" s="119" t="s">
        <v>60</v>
      </c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</row>
    <row r="47" spans="2:22">
      <c r="C47" s="119" t="s">
        <v>50</v>
      </c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</row>
    <row r="48" spans="2:22">
      <c r="U48" s="108" t="s">
        <v>143</v>
      </c>
      <c r="V48" s="108"/>
    </row>
    <row r="49" spans="4:22">
      <c r="D49" s="107" t="s">
        <v>113</v>
      </c>
      <c r="E49" s="107"/>
      <c r="F49" s="107" t="s">
        <v>129</v>
      </c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9" t="s">
        <v>117</v>
      </c>
      <c r="U49" s="107" t="s">
        <v>107</v>
      </c>
      <c r="V49" s="107" t="s">
        <v>19</v>
      </c>
    </row>
    <row r="50" spans="4:22">
      <c r="D50" s="107"/>
      <c r="E50" s="107"/>
      <c r="F50" s="107" t="s">
        <v>46</v>
      </c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 t="s">
        <v>134</v>
      </c>
      <c r="S50" s="107" t="s">
        <v>69</v>
      </c>
      <c r="T50" s="109"/>
      <c r="U50" s="107"/>
      <c r="V50" s="107"/>
    </row>
    <row r="51" spans="4:22">
      <c r="D51" s="107"/>
      <c r="E51" s="107"/>
      <c r="F51" s="107" t="s">
        <v>121</v>
      </c>
      <c r="G51" s="107" t="s">
        <v>52</v>
      </c>
      <c r="H51" s="107"/>
      <c r="I51" s="107" t="s">
        <v>76</v>
      </c>
      <c r="J51" s="107"/>
      <c r="K51" s="107" t="s">
        <v>149</v>
      </c>
      <c r="L51" s="107" t="s">
        <v>105</v>
      </c>
      <c r="M51" s="107" t="s">
        <v>88</v>
      </c>
      <c r="N51" s="107" t="s">
        <v>35</v>
      </c>
      <c r="O51" s="107" t="s">
        <v>33</v>
      </c>
      <c r="P51" s="107" t="s">
        <v>30</v>
      </c>
      <c r="Q51" s="107" t="s">
        <v>25</v>
      </c>
      <c r="R51" s="107"/>
      <c r="S51" s="107"/>
      <c r="T51" s="109"/>
      <c r="U51" s="107"/>
      <c r="V51" s="107"/>
    </row>
    <row r="52" spans="4:22">
      <c r="D52" s="107"/>
      <c r="E52" s="107"/>
      <c r="F52" s="107"/>
      <c r="G52" s="20" t="s">
        <v>83</v>
      </c>
      <c r="H52" s="20" t="s">
        <v>102</v>
      </c>
      <c r="I52" s="20" t="s">
        <v>83</v>
      </c>
      <c r="J52" s="20" t="s">
        <v>102</v>
      </c>
      <c r="K52" s="107"/>
      <c r="L52" s="107"/>
      <c r="M52" s="107"/>
      <c r="N52" s="107"/>
      <c r="O52" s="107"/>
      <c r="P52" s="107"/>
      <c r="Q52" s="107"/>
      <c r="R52" s="107"/>
      <c r="S52" s="107"/>
      <c r="T52" s="109"/>
      <c r="U52" s="107"/>
      <c r="V52" s="107"/>
    </row>
    <row r="53" spans="4:22">
      <c r="D53" s="117"/>
      <c r="E53" s="21" t="s">
        <v>78</v>
      </c>
      <c r="F53" s="22">
        <f>F125</f>
        <v>0</v>
      </c>
      <c r="G53" s="22">
        <f t="shared" ref="G53:S53" si="9">G125</f>
        <v>0</v>
      </c>
      <c r="H53" s="22">
        <f t="shared" si="9"/>
        <v>0</v>
      </c>
      <c r="I53" s="22">
        <f t="shared" si="9"/>
        <v>0</v>
      </c>
      <c r="J53" s="22">
        <f t="shared" si="9"/>
        <v>0</v>
      </c>
      <c r="K53" s="22">
        <f t="shared" si="9"/>
        <v>0</v>
      </c>
      <c r="L53" s="22">
        <f t="shared" si="9"/>
        <v>0</v>
      </c>
      <c r="M53" s="22">
        <f t="shared" si="9"/>
        <v>0</v>
      </c>
      <c r="N53" s="22">
        <f t="shared" si="9"/>
        <v>0</v>
      </c>
      <c r="O53" s="22">
        <f t="shared" si="9"/>
        <v>0</v>
      </c>
      <c r="P53" s="22">
        <f t="shared" si="9"/>
        <v>0</v>
      </c>
      <c r="Q53" s="22">
        <f t="shared" si="9"/>
        <v>0</v>
      </c>
      <c r="R53" s="22">
        <f t="shared" si="9"/>
        <v>0</v>
      </c>
      <c r="S53" s="22">
        <f t="shared" si="9"/>
        <v>0</v>
      </c>
      <c r="T53" s="109" t="s">
        <v>117</v>
      </c>
      <c r="U53" s="113" t="s">
        <v>117</v>
      </c>
      <c r="V53" s="113" t="s">
        <v>117</v>
      </c>
    </row>
    <row r="54" spans="4:22">
      <c r="D54" s="117"/>
      <c r="E54" s="21" t="s">
        <v>24</v>
      </c>
      <c r="F54" s="22">
        <f t="shared" ref="F54:S55" si="10">F126</f>
        <v>0</v>
      </c>
      <c r="G54" s="22">
        <f t="shared" si="10"/>
        <v>0</v>
      </c>
      <c r="H54" s="22">
        <f t="shared" si="10"/>
        <v>0</v>
      </c>
      <c r="I54" s="22">
        <f t="shared" si="10"/>
        <v>0</v>
      </c>
      <c r="J54" s="22">
        <f t="shared" si="10"/>
        <v>0</v>
      </c>
      <c r="K54" s="22">
        <f t="shared" si="10"/>
        <v>0</v>
      </c>
      <c r="L54" s="22">
        <f t="shared" si="10"/>
        <v>0</v>
      </c>
      <c r="M54" s="22">
        <f t="shared" si="10"/>
        <v>0</v>
      </c>
      <c r="N54" s="22">
        <f t="shared" si="10"/>
        <v>0</v>
      </c>
      <c r="O54" s="22">
        <f t="shared" si="10"/>
        <v>0</v>
      </c>
      <c r="P54" s="22">
        <f t="shared" si="10"/>
        <v>0</v>
      </c>
      <c r="Q54" s="22">
        <f t="shared" si="10"/>
        <v>0</v>
      </c>
      <c r="R54" s="22">
        <f t="shared" si="10"/>
        <v>0</v>
      </c>
      <c r="S54" s="22">
        <f t="shared" si="10"/>
        <v>0</v>
      </c>
      <c r="T54" s="109"/>
      <c r="U54" s="113"/>
      <c r="V54" s="113"/>
    </row>
    <row r="55" spans="4:22">
      <c r="D55" s="117"/>
      <c r="E55" s="21" t="s">
        <v>25</v>
      </c>
      <c r="F55" s="22">
        <f t="shared" si="10"/>
        <v>0</v>
      </c>
      <c r="G55" s="22">
        <f t="shared" si="10"/>
        <v>0</v>
      </c>
      <c r="H55" s="22">
        <f t="shared" si="10"/>
        <v>0</v>
      </c>
      <c r="I55" s="22">
        <f t="shared" si="10"/>
        <v>0</v>
      </c>
      <c r="J55" s="22">
        <f t="shared" si="10"/>
        <v>0</v>
      </c>
      <c r="K55" s="22">
        <f t="shared" si="10"/>
        <v>0</v>
      </c>
      <c r="L55" s="22">
        <f t="shared" si="10"/>
        <v>0</v>
      </c>
      <c r="M55" s="22">
        <f t="shared" si="10"/>
        <v>0</v>
      </c>
      <c r="N55" s="22">
        <f t="shared" si="10"/>
        <v>0</v>
      </c>
      <c r="O55" s="22">
        <f t="shared" si="10"/>
        <v>0</v>
      </c>
      <c r="P55" s="22">
        <f t="shared" si="10"/>
        <v>0</v>
      </c>
      <c r="Q55" s="22">
        <f t="shared" si="10"/>
        <v>0</v>
      </c>
      <c r="R55" s="22">
        <f t="shared" si="10"/>
        <v>0</v>
      </c>
      <c r="S55" s="22">
        <f t="shared" si="10"/>
        <v>0</v>
      </c>
      <c r="T55" s="109"/>
      <c r="U55" s="113"/>
      <c r="V55" s="113"/>
    </row>
    <row r="56" spans="4:22">
      <c r="D56" s="117"/>
      <c r="E56" s="21" t="s">
        <v>78</v>
      </c>
      <c r="F56" s="22">
        <f>F150</f>
        <v>0</v>
      </c>
      <c r="G56" s="22">
        <f t="shared" ref="G56:S56" si="11">G150</f>
        <v>0</v>
      </c>
      <c r="H56" s="22">
        <f t="shared" si="11"/>
        <v>0</v>
      </c>
      <c r="I56" s="22">
        <f t="shared" si="11"/>
        <v>0</v>
      </c>
      <c r="J56" s="22">
        <f t="shared" si="11"/>
        <v>0</v>
      </c>
      <c r="K56" s="22">
        <f t="shared" si="11"/>
        <v>0</v>
      </c>
      <c r="L56" s="22">
        <f t="shared" si="11"/>
        <v>0</v>
      </c>
      <c r="M56" s="22">
        <f t="shared" si="11"/>
        <v>0</v>
      </c>
      <c r="N56" s="22">
        <f t="shared" si="11"/>
        <v>0</v>
      </c>
      <c r="O56" s="22">
        <f t="shared" si="11"/>
        <v>0</v>
      </c>
      <c r="P56" s="22">
        <f t="shared" si="11"/>
        <v>0</v>
      </c>
      <c r="Q56" s="22">
        <f t="shared" si="11"/>
        <v>0</v>
      </c>
      <c r="R56" s="22">
        <f t="shared" si="11"/>
        <v>0</v>
      </c>
      <c r="S56" s="22">
        <f t="shared" si="11"/>
        <v>0</v>
      </c>
      <c r="T56" s="109" t="s">
        <v>117</v>
      </c>
      <c r="U56" s="113" t="s">
        <v>117</v>
      </c>
      <c r="V56" s="113" t="s">
        <v>117</v>
      </c>
    </row>
    <row r="57" spans="4:22">
      <c r="D57" s="117"/>
      <c r="E57" s="21" t="s">
        <v>24</v>
      </c>
      <c r="F57" s="22">
        <f t="shared" ref="F57:S58" si="12">F151</f>
        <v>0</v>
      </c>
      <c r="G57" s="22">
        <f t="shared" si="12"/>
        <v>0</v>
      </c>
      <c r="H57" s="22">
        <f t="shared" si="12"/>
        <v>0</v>
      </c>
      <c r="I57" s="22">
        <f t="shared" si="12"/>
        <v>0</v>
      </c>
      <c r="J57" s="22">
        <f t="shared" si="12"/>
        <v>0</v>
      </c>
      <c r="K57" s="22">
        <f t="shared" si="12"/>
        <v>0</v>
      </c>
      <c r="L57" s="22">
        <f t="shared" si="12"/>
        <v>0</v>
      </c>
      <c r="M57" s="22">
        <f t="shared" si="12"/>
        <v>0</v>
      </c>
      <c r="N57" s="22">
        <f t="shared" si="12"/>
        <v>0</v>
      </c>
      <c r="O57" s="22">
        <f t="shared" si="12"/>
        <v>0</v>
      </c>
      <c r="P57" s="22">
        <f t="shared" si="12"/>
        <v>0</v>
      </c>
      <c r="Q57" s="22">
        <f t="shared" si="12"/>
        <v>0</v>
      </c>
      <c r="R57" s="22">
        <f t="shared" si="12"/>
        <v>0</v>
      </c>
      <c r="S57" s="22">
        <f t="shared" si="12"/>
        <v>0</v>
      </c>
      <c r="T57" s="109"/>
      <c r="U57" s="113"/>
      <c r="V57" s="113"/>
    </row>
    <row r="58" spans="4:22">
      <c r="D58" s="117"/>
      <c r="E58" s="21" t="s">
        <v>25</v>
      </c>
      <c r="F58" s="22">
        <f t="shared" si="12"/>
        <v>0</v>
      </c>
      <c r="G58" s="22">
        <f t="shared" si="12"/>
        <v>0</v>
      </c>
      <c r="H58" s="22">
        <f t="shared" si="12"/>
        <v>0</v>
      </c>
      <c r="I58" s="22">
        <f t="shared" si="12"/>
        <v>0</v>
      </c>
      <c r="J58" s="22">
        <f t="shared" si="12"/>
        <v>0</v>
      </c>
      <c r="K58" s="22">
        <f t="shared" si="12"/>
        <v>0</v>
      </c>
      <c r="L58" s="22">
        <f t="shared" si="12"/>
        <v>0</v>
      </c>
      <c r="M58" s="22">
        <f t="shared" si="12"/>
        <v>0</v>
      </c>
      <c r="N58" s="22">
        <f t="shared" si="12"/>
        <v>0</v>
      </c>
      <c r="O58" s="22">
        <f t="shared" si="12"/>
        <v>0</v>
      </c>
      <c r="P58" s="22">
        <f t="shared" si="12"/>
        <v>0</v>
      </c>
      <c r="Q58" s="22">
        <f t="shared" si="12"/>
        <v>0</v>
      </c>
      <c r="R58" s="22">
        <f t="shared" si="12"/>
        <v>0</v>
      </c>
      <c r="S58" s="22">
        <f t="shared" si="12"/>
        <v>0</v>
      </c>
      <c r="T58" s="109"/>
      <c r="U58" s="113"/>
      <c r="V58" s="113"/>
    </row>
    <row r="59" spans="4:22">
      <c r="D59" s="117"/>
      <c r="E59" s="21" t="s">
        <v>78</v>
      </c>
      <c r="F59" s="22">
        <f>F175</f>
        <v>0</v>
      </c>
      <c r="G59" s="22">
        <f t="shared" ref="G59:S59" si="13">G175</f>
        <v>0</v>
      </c>
      <c r="H59" s="22">
        <f t="shared" si="13"/>
        <v>0</v>
      </c>
      <c r="I59" s="22">
        <f t="shared" si="13"/>
        <v>0</v>
      </c>
      <c r="J59" s="22">
        <f t="shared" si="13"/>
        <v>0</v>
      </c>
      <c r="K59" s="22">
        <f t="shared" si="13"/>
        <v>0</v>
      </c>
      <c r="L59" s="22">
        <f t="shared" si="13"/>
        <v>0</v>
      </c>
      <c r="M59" s="22">
        <f t="shared" si="13"/>
        <v>0</v>
      </c>
      <c r="N59" s="22">
        <f t="shared" si="13"/>
        <v>0</v>
      </c>
      <c r="O59" s="22">
        <f t="shared" si="13"/>
        <v>0</v>
      </c>
      <c r="P59" s="22">
        <f t="shared" si="13"/>
        <v>0</v>
      </c>
      <c r="Q59" s="22">
        <f t="shared" si="13"/>
        <v>0</v>
      </c>
      <c r="R59" s="22">
        <f t="shared" si="13"/>
        <v>0</v>
      </c>
      <c r="S59" s="22">
        <f t="shared" si="13"/>
        <v>0</v>
      </c>
      <c r="T59" s="109" t="s">
        <v>117</v>
      </c>
      <c r="U59" s="113" t="s">
        <v>117</v>
      </c>
      <c r="V59" s="113" t="s">
        <v>117</v>
      </c>
    </row>
    <row r="60" spans="4:22">
      <c r="D60" s="117"/>
      <c r="E60" s="21" t="s">
        <v>24</v>
      </c>
      <c r="F60" s="22">
        <f t="shared" ref="F60:S61" si="14">F176</f>
        <v>0</v>
      </c>
      <c r="G60" s="22">
        <f t="shared" si="14"/>
        <v>0</v>
      </c>
      <c r="H60" s="22">
        <f t="shared" si="14"/>
        <v>0</v>
      </c>
      <c r="I60" s="22">
        <f t="shared" si="14"/>
        <v>0</v>
      </c>
      <c r="J60" s="22">
        <f t="shared" si="14"/>
        <v>0</v>
      </c>
      <c r="K60" s="22">
        <f t="shared" si="14"/>
        <v>0</v>
      </c>
      <c r="L60" s="22">
        <f t="shared" si="14"/>
        <v>0</v>
      </c>
      <c r="M60" s="22">
        <f t="shared" si="14"/>
        <v>0</v>
      </c>
      <c r="N60" s="22">
        <f t="shared" si="14"/>
        <v>0</v>
      </c>
      <c r="O60" s="22">
        <f t="shared" si="14"/>
        <v>0</v>
      </c>
      <c r="P60" s="22">
        <f t="shared" si="14"/>
        <v>0</v>
      </c>
      <c r="Q60" s="22">
        <f t="shared" si="14"/>
        <v>0</v>
      </c>
      <c r="R60" s="22">
        <f t="shared" si="14"/>
        <v>0</v>
      </c>
      <c r="S60" s="22">
        <f t="shared" si="14"/>
        <v>0</v>
      </c>
      <c r="T60" s="109"/>
      <c r="U60" s="113"/>
      <c r="V60" s="113"/>
    </row>
    <row r="61" spans="4:22">
      <c r="D61" s="117"/>
      <c r="E61" s="21" t="s">
        <v>25</v>
      </c>
      <c r="F61" s="22">
        <f t="shared" si="14"/>
        <v>0</v>
      </c>
      <c r="G61" s="22">
        <f t="shared" si="14"/>
        <v>0</v>
      </c>
      <c r="H61" s="22">
        <f t="shared" si="14"/>
        <v>0</v>
      </c>
      <c r="I61" s="22">
        <f t="shared" si="14"/>
        <v>0</v>
      </c>
      <c r="J61" s="22">
        <f t="shared" si="14"/>
        <v>0</v>
      </c>
      <c r="K61" s="22">
        <f t="shared" si="14"/>
        <v>0</v>
      </c>
      <c r="L61" s="22">
        <f t="shared" si="14"/>
        <v>0</v>
      </c>
      <c r="M61" s="22">
        <f t="shared" si="14"/>
        <v>0</v>
      </c>
      <c r="N61" s="22">
        <f t="shared" si="14"/>
        <v>0</v>
      </c>
      <c r="O61" s="22">
        <f t="shared" si="14"/>
        <v>0</v>
      </c>
      <c r="P61" s="22">
        <f t="shared" si="14"/>
        <v>0</v>
      </c>
      <c r="Q61" s="22">
        <f t="shared" si="14"/>
        <v>0</v>
      </c>
      <c r="R61" s="22">
        <f t="shared" si="14"/>
        <v>0</v>
      </c>
      <c r="S61" s="22">
        <f t="shared" si="14"/>
        <v>0</v>
      </c>
      <c r="T61" s="109"/>
      <c r="U61" s="113"/>
      <c r="V61" s="113"/>
    </row>
    <row r="62" spans="4:22">
      <c r="D62" s="117"/>
      <c r="E62" s="21" t="s">
        <v>78</v>
      </c>
      <c r="F62" s="22">
        <f>F200</f>
        <v>0</v>
      </c>
      <c r="G62" s="22">
        <f t="shared" ref="G62:S62" si="15">G200</f>
        <v>0</v>
      </c>
      <c r="H62" s="22">
        <f t="shared" si="15"/>
        <v>0</v>
      </c>
      <c r="I62" s="22">
        <f t="shared" si="15"/>
        <v>0</v>
      </c>
      <c r="J62" s="22">
        <f t="shared" si="15"/>
        <v>0</v>
      </c>
      <c r="K62" s="22">
        <f t="shared" si="15"/>
        <v>0</v>
      </c>
      <c r="L62" s="22">
        <f t="shared" si="15"/>
        <v>0</v>
      </c>
      <c r="M62" s="22">
        <f t="shared" si="15"/>
        <v>0</v>
      </c>
      <c r="N62" s="22">
        <f t="shared" si="15"/>
        <v>0</v>
      </c>
      <c r="O62" s="22">
        <f t="shared" si="15"/>
        <v>0</v>
      </c>
      <c r="P62" s="22">
        <f t="shared" si="15"/>
        <v>0</v>
      </c>
      <c r="Q62" s="22">
        <f t="shared" si="15"/>
        <v>0</v>
      </c>
      <c r="R62" s="22">
        <f t="shared" si="15"/>
        <v>0</v>
      </c>
      <c r="S62" s="22">
        <f t="shared" si="15"/>
        <v>0</v>
      </c>
      <c r="T62" s="109" t="s">
        <v>117</v>
      </c>
      <c r="U62" s="113" t="s">
        <v>117</v>
      </c>
      <c r="V62" s="113" t="s">
        <v>117</v>
      </c>
    </row>
    <row r="63" spans="4:22">
      <c r="D63" s="117"/>
      <c r="E63" s="21" t="s">
        <v>24</v>
      </c>
      <c r="F63" s="22">
        <f t="shared" ref="F63:S64" si="16">F201</f>
        <v>0</v>
      </c>
      <c r="G63" s="22">
        <f t="shared" si="16"/>
        <v>0</v>
      </c>
      <c r="H63" s="22">
        <f t="shared" si="16"/>
        <v>0</v>
      </c>
      <c r="I63" s="22">
        <f t="shared" si="16"/>
        <v>0</v>
      </c>
      <c r="J63" s="22">
        <f t="shared" si="16"/>
        <v>0</v>
      </c>
      <c r="K63" s="22">
        <f t="shared" si="16"/>
        <v>0</v>
      </c>
      <c r="L63" s="22">
        <f t="shared" si="16"/>
        <v>0</v>
      </c>
      <c r="M63" s="22">
        <f t="shared" si="16"/>
        <v>0</v>
      </c>
      <c r="N63" s="22">
        <f t="shared" si="16"/>
        <v>0</v>
      </c>
      <c r="O63" s="22">
        <f t="shared" si="16"/>
        <v>0</v>
      </c>
      <c r="P63" s="22">
        <f t="shared" si="16"/>
        <v>0</v>
      </c>
      <c r="Q63" s="22">
        <f t="shared" si="16"/>
        <v>0</v>
      </c>
      <c r="R63" s="22">
        <f t="shared" si="16"/>
        <v>0</v>
      </c>
      <c r="S63" s="22">
        <f t="shared" si="16"/>
        <v>0</v>
      </c>
      <c r="T63" s="109"/>
      <c r="U63" s="113"/>
      <c r="V63" s="113"/>
    </row>
    <row r="64" spans="4:22">
      <c r="D64" s="117"/>
      <c r="E64" s="21" t="s">
        <v>25</v>
      </c>
      <c r="F64" s="22">
        <f t="shared" si="16"/>
        <v>0</v>
      </c>
      <c r="G64" s="22">
        <f t="shared" si="16"/>
        <v>0</v>
      </c>
      <c r="H64" s="22">
        <f t="shared" si="16"/>
        <v>0</v>
      </c>
      <c r="I64" s="22">
        <f t="shared" si="16"/>
        <v>0</v>
      </c>
      <c r="J64" s="22">
        <f t="shared" si="16"/>
        <v>0</v>
      </c>
      <c r="K64" s="22">
        <f t="shared" si="16"/>
        <v>0</v>
      </c>
      <c r="L64" s="22">
        <f t="shared" si="16"/>
        <v>0</v>
      </c>
      <c r="M64" s="22">
        <f t="shared" si="16"/>
        <v>0</v>
      </c>
      <c r="N64" s="22">
        <f t="shared" si="16"/>
        <v>0</v>
      </c>
      <c r="O64" s="22">
        <f t="shared" si="16"/>
        <v>0</v>
      </c>
      <c r="P64" s="22">
        <f t="shared" si="16"/>
        <v>0</v>
      </c>
      <c r="Q64" s="22">
        <f t="shared" si="16"/>
        <v>0</v>
      </c>
      <c r="R64" s="22">
        <f t="shared" si="16"/>
        <v>0</v>
      </c>
      <c r="S64" s="22">
        <f t="shared" si="16"/>
        <v>0</v>
      </c>
      <c r="T64" s="109"/>
      <c r="U64" s="113"/>
      <c r="V64" s="113"/>
    </row>
    <row r="65" spans="3:22">
      <c r="D65" s="117"/>
      <c r="E65" s="21" t="s">
        <v>78</v>
      </c>
      <c r="F65" s="22">
        <f>F225</f>
        <v>0</v>
      </c>
      <c r="G65" s="22">
        <f t="shared" ref="G65:S65" si="17">G225</f>
        <v>0</v>
      </c>
      <c r="H65" s="22">
        <f t="shared" si="17"/>
        <v>0</v>
      </c>
      <c r="I65" s="22">
        <f t="shared" si="17"/>
        <v>0</v>
      </c>
      <c r="J65" s="22">
        <f t="shared" si="17"/>
        <v>0</v>
      </c>
      <c r="K65" s="22">
        <f t="shared" si="17"/>
        <v>0</v>
      </c>
      <c r="L65" s="22">
        <f t="shared" si="17"/>
        <v>0</v>
      </c>
      <c r="M65" s="22">
        <f t="shared" si="17"/>
        <v>0</v>
      </c>
      <c r="N65" s="22">
        <f t="shared" si="17"/>
        <v>0</v>
      </c>
      <c r="O65" s="22">
        <f t="shared" si="17"/>
        <v>0</v>
      </c>
      <c r="P65" s="22">
        <f t="shared" si="17"/>
        <v>0</v>
      </c>
      <c r="Q65" s="22">
        <f t="shared" si="17"/>
        <v>0</v>
      </c>
      <c r="R65" s="22">
        <f t="shared" si="17"/>
        <v>0</v>
      </c>
      <c r="S65" s="22">
        <f t="shared" si="17"/>
        <v>0</v>
      </c>
      <c r="T65" s="109" t="s">
        <v>117</v>
      </c>
      <c r="U65" s="113" t="s">
        <v>117</v>
      </c>
      <c r="V65" s="113" t="s">
        <v>117</v>
      </c>
    </row>
    <row r="66" spans="3:22">
      <c r="D66" s="117"/>
      <c r="E66" s="21" t="s">
        <v>24</v>
      </c>
      <c r="F66" s="22">
        <f t="shared" ref="F66:S67" si="18">F226</f>
        <v>0</v>
      </c>
      <c r="G66" s="22">
        <f t="shared" si="18"/>
        <v>0</v>
      </c>
      <c r="H66" s="22">
        <f t="shared" si="18"/>
        <v>0</v>
      </c>
      <c r="I66" s="22">
        <f t="shared" si="18"/>
        <v>0</v>
      </c>
      <c r="J66" s="22">
        <f t="shared" si="18"/>
        <v>0</v>
      </c>
      <c r="K66" s="22">
        <f t="shared" si="18"/>
        <v>0</v>
      </c>
      <c r="L66" s="22">
        <f t="shared" si="18"/>
        <v>0</v>
      </c>
      <c r="M66" s="22">
        <f t="shared" si="18"/>
        <v>0</v>
      </c>
      <c r="N66" s="22">
        <f t="shared" si="18"/>
        <v>0</v>
      </c>
      <c r="O66" s="22">
        <f t="shared" si="18"/>
        <v>0</v>
      </c>
      <c r="P66" s="22">
        <f t="shared" si="18"/>
        <v>0</v>
      </c>
      <c r="Q66" s="22">
        <f t="shared" si="18"/>
        <v>0</v>
      </c>
      <c r="R66" s="22">
        <f t="shared" si="18"/>
        <v>0</v>
      </c>
      <c r="S66" s="22">
        <f t="shared" si="18"/>
        <v>0</v>
      </c>
      <c r="T66" s="109"/>
      <c r="U66" s="113"/>
      <c r="V66" s="113"/>
    </row>
    <row r="67" spans="3:22">
      <c r="D67" s="117"/>
      <c r="E67" s="21" t="s">
        <v>25</v>
      </c>
      <c r="F67" s="22">
        <f t="shared" si="18"/>
        <v>0</v>
      </c>
      <c r="G67" s="22">
        <f t="shared" si="18"/>
        <v>0</v>
      </c>
      <c r="H67" s="22">
        <f t="shared" si="18"/>
        <v>0</v>
      </c>
      <c r="I67" s="22">
        <f t="shared" si="18"/>
        <v>0</v>
      </c>
      <c r="J67" s="22">
        <f t="shared" si="18"/>
        <v>0</v>
      </c>
      <c r="K67" s="22">
        <f t="shared" si="18"/>
        <v>0</v>
      </c>
      <c r="L67" s="22">
        <f t="shared" si="18"/>
        <v>0</v>
      </c>
      <c r="M67" s="22">
        <f t="shared" si="18"/>
        <v>0</v>
      </c>
      <c r="N67" s="22">
        <f t="shared" si="18"/>
        <v>0</v>
      </c>
      <c r="O67" s="22">
        <f t="shared" si="18"/>
        <v>0</v>
      </c>
      <c r="P67" s="22">
        <f t="shared" si="18"/>
        <v>0</v>
      </c>
      <c r="Q67" s="22">
        <f t="shared" si="18"/>
        <v>0</v>
      </c>
      <c r="R67" s="22">
        <f t="shared" si="18"/>
        <v>0</v>
      </c>
      <c r="S67" s="22">
        <f t="shared" si="18"/>
        <v>0</v>
      </c>
      <c r="T67" s="109"/>
      <c r="U67" s="113"/>
      <c r="V67" s="113"/>
    </row>
    <row r="68" spans="3:22">
      <c r="D68" s="117"/>
      <c r="E68" s="21" t="s">
        <v>78</v>
      </c>
      <c r="F68" s="22">
        <f>F250</f>
        <v>0</v>
      </c>
      <c r="G68" s="22">
        <f t="shared" ref="G68:S68" si="19">G250</f>
        <v>0</v>
      </c>
      <c r="H68" s="22">
        <f t="shared" si="19"/>
        <v>0</v>
      </c>
      <c r="I68" s="22">
        <f t="shared" si="19"/>
        <v>0</v>
      </c>
      <c r="J68" s="22">
        <f t="shared" si="19"/>
        <v>0</v>
      </c>
      <c r="K68" s="22">
        <f t="shared" si="19"/>
        <v>0</v>
      </c>
      <c r="L68" s="22">
        <f t="shared" si="19"/>
        <v>0</v>
      </c>
      <c r="M68" s="22">
        <f t="shared" si="19"/>
        <v>0</v>
      </c>
      <c r="N68" s="22">
        <f t="shared" si="19"/>
        <v>0</v>
      </c>
      <c r="O68" s="22">
        <f t="shared" si="19"/>
        <v>0</v>
      </c>
      <c r="P68" s="22">
        <f t="shared" si="19"/>
        <v>0</v>
      </c>
      <c r="Q68" s="22">
        <f t="shared" si="19"/>
        <v>0</v>
      </c>
      <c r="R68" s="22">
        <f t="shared" si="19"/>
        <v>0</v>
      </c>
      <c r="S68" s="22">
        <f t="shared" si="19"/>
        <v>0</v>
      </c>
      <c r="T68" s="109" t="s">
        <v>117</v>
      </c>
      <c r="U68" s="113" t="s">
        <v>117</v>
      </c>
      <c r="V68" s="113" t="s">
        <v>117</v>
      </c>
    </row>
    <row r="69" spans="3:22">
      <c r="D69" s="117"/>
      <c r="E69" s="21" t="s">
        <v>24</v>
      </c>
      <c r="F69" s="22">
        <f t="shared" ref="F69:S70" si="20">F251</f>
        <v>0</v>
      </c>
      <c r="G69" s="22">
        <f t="shared" si="20"/>
        <v>0</v>
      </c>
      <c r="H69" s="22">
        <f t="shared" si="20"/>
        <v>0</v>
      </c>
      <c r="I69" s="22">
        <f t="shared" si="20"/>
        <v>0</v>
      </c>
      <c r="J69" s="22">
        <f t="shared" si="20"/>
        <v>0</v>
      </c>
      <c r="K69" s="22">
        <f t="shared" si="20"/>
        <v>0</v>
      </c>
      <c r="L69" s="22">
        <f t="shared" si="20"/>
        <v>0</v>
      </c>
      <c r="M69" s="22">
        <f t="shared" si="20"/>
        <v>0</v>
      </c>
      <c r="N69" s="22">
        <f t="shared" si="20"/>
        <v>0</v>
      </c>
      <c r="O69" s="22">
        <f t="shared" si="20"/>
        <v>0</v>
      </c>
      <c r="P69" s="22">
        <f t="shared" si="20"/>
        <v>0</v>
      </c>
      <c r="Q69" s="22">
        <f t="shared" si="20"/>
        <v>0</v>
      </c>
      <c r="R69" s="22">
        <f t="shared" si="20"/>
        <v>0</v>
      </c>
      <c r="S69" s="22">
        <f t="shared" si="20"/>
        <v>0</v>
      </c>
      <c r="T69" s="109"/>
      <c r="U69" s="113"/>
      <c r="V69" s="113"/>
    </row>
    <row r="70" spans="3:22">
      <c r="D70" s="117"/>
      <c r="E70" s="21" t="s">
        <v>25</v>
      </c>
      <c r="F70" s="22">
        <f t="shared" si="20"/>
        <v>0</v>
      </c>
      <c r="G70" s="22">
        <f t="shared" si="20"/>
        <v>0</v>
      </c>
      <c r="H70" s="22">
        <f t="shared" si="20"/>
        <v>0</v>
      </c>
      <c r="I70" s="22">
        <f t="shared" si="20"/>
        <v>0</v>
      </c>
      <c r="J70" s="22">
        <f t="shared" si="20"/>
        <v>0</v>
      </c>
      <c r="K70" s="22">
        <f t="shared" si="20"/>
        <v>0</v>
      </c>
      <c r="L70" s="22">
        <f t="shared" si="20"/>
        <v>0</v>
      </c>
      <c r="M70" s="22">
        <f t="shared" si="20"/>
        <v>0</v>
      </c>
      <c r="N70" s="22">
        <f t="shared" si="20"/>
        <v>0</v>
      </c>
      <c r="O70" s="22">
        <f t="shared" si="20"/>
        <v>0</v>
      </c>
      <c r="P70" s="22">
        <f t="shared" si="20"/>
        <v>0</v>
      </c>
      <c r="Q70" s="22">
        <f t="shared" si="20"/>
        <v>0</v>
      </c>
      <c r="R70" s="22">
        <f t="shared" si="20"/>
        <v>0</v>
      </c>
      <c r="S70" s="22">
        <f t="shared" si="20"/>
        <v>0</v>
      </c>
      <c r="T70" s="109"/>
      <c r="U70" s="113"/>
      <c r="V70" s="113"/>
    </row>
    <row r="71" spans="3:22">
      <c r="D71" s="117"/>
      <c r="E71" s="21" t="s">
        <v>78</v>
      </c>
      <c r="F71" s="22">
        <f>F275</f>
        <v>0</v>
      </c>
      <c r="G71" s="22">
        <f t="shared" ref="G71:S71" si="21">G275</f>
        <v>0</v>
      </c>
      <c r="H71" s="22">
        <f t="shared" si="21"/>
        <v>0</v>
      </c>
      <c r="I71" s="22">
        <f t="shared" si="21"/>
        <v>0</v>
      </c>
      <c r="J71" s="22">
        <f t="shared" si="21"/>
        <v>0</v>
      </c>
      <c r="K71" s="22">
        <f t="shared" si="21"/>
        <v>0</v>
      </c>
      <c r="L71" s="22">
        <f t="shared" si="21"/>
        <v>0</v>
      </c>
      <c r="M71" s="22">
        <f t="shared" si="21"/>
        <v>0</v>
      </c>
      <c r="N71" s="22">
        <f t="shared" si="21"/>
        <v>0</v>
      </c>
      <c r="O71" s="22">
        <f t="shared" si="21"/>
        <v>0</v>
      </c>
      <c r="P71" s="22">
        <f t="shared" si="21"/>
        <v>0</v>
      </c>
      <c r="Q71" s="22">
        <f t="shared" si="21"/>
        <v>0</v>
      </c>
      <c r="R71" s="22">
        <f t="shared" si="21"/>
        <v>0</v>
      </c>
      <c r="S71" s="22">
        <f t="shared" si="21"/>
        <v>0</v>
      </c>
      <c r="T71" s="109" t="s">
        <v>117</v>
      </c>
      <c r="U71" s="113" t="s">
        <v>117</v>
      </c>
      <c r="V71" s="113" t="s">
        <v>117</v>
      </c>
    </row>
    <row r="72" spans="3:22">
      <c r="D72" s="117"/>
      <c r="E72" s="21" t="s">
        <v>24</v>
      </c>
      <c r="F72" s="22">
        <f t="shared" ref="F72:S73" si="22">F276</f>
        <v>0</v>
      </c>
      <c r="G72" s="22">
        <f t="shared" si="22"/>
        <v>0</v>
      </c>
      <c r="H72" s="22">
        <f t="shared" si="22"/>
        <v>0</v>
      </c>
      <c r="I72" s="22">
        <f t="shared" si="22"/>
        <v>0</v>
      </c>
      <c r="J72" s="22">
        <f t="shared" si="22"/>
        <v>0</v>
      </c>
      <c r="K72" s="22">
        <f t="shared" si="22"/>
        <v>0</v>
      </c>
      <c r="L72" s="22">
        <f t="shared" si="22"/>
        <v>0</v>
      </c>
      <c r="M72" s="22">
        <f t="shared" si="22"/>
        <v>0</v>
      </c>
      <c r="N72" s="22">
        <f t="shared" si="22"/>
        <v>0</v>
      </c>
      <c r="O72" s="22">
        <f t="shared" si="22"/>
        <v>0</v>
      </c>
      <c r="P72" s="22">
        <f t="shared" si="22"/>
        <v>0</v>
      </c>
      <c r="Q72" s="22">
        <f t="shared" si="22"/>
        <v>0</v>
      </c>
      <c r="R72" s="22">
        <f t="shared" si="22"/>
        <v>0</v>
      </c>
      <c r="S72" s="22">
        <f t="shared" si="22"/>
        <v>0</v>
      </c>
      <c r="T72" s="109"/>
      <c r="U72" s="113"/>
      <c r="V72" s="113"/>
    </row>
    <row r="73" spans="3:22">
      <c r="D73" s="117"/>
      <c r="E73" s="21" t="s">
        <v>25</v>
      </c>
      <c r="F73" s="22">
        <f t="shared" si="22"/>
        <v>0</v>
      </c>
      <c r="G73" s="22">
        <f t="shared" si="22"/>
        <v>0</v>
      </c>
      <c r="H73" s="22">
        <f t="shared" si="22"/>
        <v>0</v>
      </c>
      <c r="I73" s="22">
        <f t="shared" si="22"/>
        <v>0</v>
      </c>
      <c r="J73" s="22">
        <f t="shared" si="22"/>
        <v>0</v>
      </c>
      <c r="K73" s="22">
        <f t="shared" si="22"/>
        <v>0</v>
      </c>
      <c r="L73" s="22">
        <f t="shared" si="22"/>
        <v>0</v>
      </c>
      <c r="M73" s="22">
        <f t="shared" si="22"/>
        <v>0</v>
      </c>
      <c r="N73" s="22">
        <f t="shared" si="22"/>
        <v>0</v>
      </c>
      <c r="O73" s="22">
        <f t="shared" si="22"/>
        <v>0</v>
      </c>
      <c r="P73" s="22">
        <f t="shared" si="22"/>
        <v>0</v>
      </c>
      <c r="Q73" s="22">
        <f t="shared" si="22"/>
        <v>0</v>
      </c>
      <c r="R73" s="22">
        <f t="shared" si="22"/>
        <v>0</v>
      </c>
      <c r="S73" s="22">
        <f t="shared" si="22"/>
        <v>0</v>
      </c>
      <c r="T73" s="109"/>
      <c r="U73" s="113"/>
      <c r="V73" s="113"/>
    </row>
    <row r="74" spans="3:22">
      <c r="D74" s="126" t="s">
        <v>43</v>
      </c>
      <c r="E74" s="21" t="s">
        <v>78</v>
      </c>
      <c r="F74" s="22">
        <f>F53+F56+F59+F62+F65+F68+F71</f>
        <v>0</v>
      </c>
      <c r="G74" s="22">
        <f t="shared" ref="G74:S76" si="23">G53+G56+G59+G62+G65+G68+G71</f>
        <v>0</v>
      </c>
      <c r="H74" s="22">
        <f t="shared" si="23"/>
        <v>0</v>
      </c>
      <c r="I74" s="22">
        <f t="shared" si="23"/>
        <v>0</v>
      </c>
      <c r="J74" s="22">
        <f t="shared" si="23"/>
        <v>0</v>
      </c>
      <c r="K74" s="22">
        <f t="shared" si="23"/>
        <v>0</v>
      </c>
      <c r="L74" s="22">
        <f t="shared" si="23"/>
        <v>0</v>
      </c>
      <c r="M74" s="22">
        <f t="shared" si="23"/>
        <v>0</v>
      </c>
      <c r="N74" s="22">
        <f t="shared" si="23"/>
        <v>0</v>
      </c>
      <c r="O74" s="22">
        <f t="shared" si="23"/>
        <v>0</v>
      </c>
      <c r="P74" s="22">
        <f t="shared" si="23"/>
        <v>0</v>
      </c>
      <c r="Q74" s="22">
        <f t="shared" si="23"/>
        <v>0</v>
      </c>
      <c r="R74" s="22">
        <f t="shared" si="23"/>
        <v>0</v>
      </c>
      <c r="S74" s="22">
        <f t="shared" si="23"/>
        <v>0</v>
      </c>
      <c r="T74" s="109" t="s">
        <v>117</v>
      </c>
      <c r="U74" s="113" t="s">
        <v>117</v>
      </c>
      <c r="V74" s="113" t="s">
        <v>117</v>
      </c>
    </row>
    <row r="75" spans="3:22">
      <c r="D75" s="126"/>
      <c r="E75" s="21" t="s">
        <v>24</v>
      </c>
      <c r="F75" s="22">
        <f>F54+F57+F60+F63+F66+F69+F72</f>
        <v>0</v>
      </c>
      <c r="G75" s="22">
        <f t="shared" si="23"/>
        <v>0</v>
      </c>
      <c r="H75" s="22">
        <f t="shared" si="23"/>
        <v>0</v>
      </c>
      <c r="I75" s="22">
        <f t="shared" si="23"/>
        <v>0</v>
      </c>
      <c r="J75" s="22">
        <f t="shared" si="23"/>
        <v>0</v>
      </c>
      <c r="K75" s="22">
        <f t="shared" si="23"/>
        <v>0</v>
      </c>
      <c r="L75" s="22">
        <f t="shared" si="23"/>
        <v>0</v>
      </c>
      <c r="M75" s="22">
        <f t="shared" si="23"/>
        <v>0</v>
      </c>
      <c r="N75" s="22">
        <f t="shared" si="23"/>
        <v>0</v>
      </c>
      <c r="O75" s="22">
        <f t="shared" si="23"/>
        <v>0</v>
      </c>
      <c r="P75" s="22">
        <f t="shared" si="23"/>
        <v>0</v>
      </c>
      <c r="Q75" s="22">
        <f t="shared" si="23"/>
        <v>0</v>
      </c>
      <c r="R75" s="22">
        <f t="shared" si="23"/>
        <v>0</v>
      </c>
      <c r="S75" s="22">
        <f t="shared" si="23"/>
        <v>0</v>
      </c>
      <c r="T75" s="109"/>
      <c r="U75" s="113"/>
      <c r="V75" s="113"/>
    </row>
    <row r="76" spans="3:22">
      <c r="D76" s="126"/>
      <c r="E76" s="21" t="s">
        <v>69</v>
      </c>
      <c r="F76" s="22">
        <f>F55+F58+F61+F64+F67+F70+F73</f>
        <v>0</v>
      </c>
      <c r="G76" s="22">
        <f t="shared" si="23"/>
        <v>0</v>
      </c>
      <c r="H76" s="22">
        <f t="shared" si="23"/>
        <v>0</v>
      </c>
      <c r="I76" s="22">
        <f t="shared" si="23"/>
        <v>0</v>
      </c>
      <c r="J76" s="22">
        <f t="shared" si="23"/>
        <v>0</v>
      </c>
      <c r="K76" s="22">
        <f t="shared" si="23"/>
        <v>0</v>
      </c>
      <c r="L76" s="22">
        <f t="shared" si="23"/>
        <v>0</v>
      </c>
      <c r="M76" s="22">
        <f t="shared" si="23"/>
        <v>0</v>
      </c>
      <c r="N76" s="22">
        <f t="shared" si="23"/>
        <v>0</v>
      </c>
      <c r="O76" s="22">
        <f t="shared" si="23"/>
        <v>0</v>
      </c>
      <c r="P76" s="22">
        <f t="shared" si="23"/>
        <v>0</v>
      </c>
      <c r="Q76" s="22">
        <f t="shared" si="23"/>
        <v>0</v>
      </c>
      <c r="R76" s="22">
        <f t="shared" si="23"/>
        <v>0</v>
      </c>
      <c r="S76" s="22">
        <f t="shared" si="23"/>
        <v>0</v>
      </c>
      <c r="T76" s="109"/>
      <c r="U76" s="113"/>
      <c r="V76" s="113"/>
    </row>
    <row r="78" spans="3:22">
      <c r="C78" s="119" t="s">
        <v>16</v>
      </c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</row>
    <row r="79" spans="3:22">
      <c r="U79" s="108" t="s">
        <v>143</v>
      </c>
      <c r="V79" s="108"/>
    </row>
    <row r="80" spans="3:22">
      <c r="D80" s="107" t="s">
        <v>68</v>
      </c>
      <c r="E80" s="107"/>
      <c r="F80" s="107" t="s">
        <v>129</v>
      </c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9" t="s">
        <v>117</v>
      </c>
      <c r="U80" s="107" t="s">
        <v>107</v>
      </c>
      <c r="V80" s="107" t="s">
        <v>19</v>
      </c>
    </row>
    <row r="81" spans="4:22">
      <c r="D81" s="107"/>
      <c r="E81" s="107"/>
      <c r="F81" s="107" t="s">
        <v>46</v>
      </c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 t="s">
        <v>134</v>
      </c>
      <c r="S81" s="107" t="s">
        <v>69</v>
      </c>
      <c r="T81" s="109"/>
      <c r="U81" s="107"/>
      <c r="V81" s="107"/>
    </row>
    <row r="82" spans="4:22">
      <c r="D82" s="107"/>
      <c r="E82" s="107"/>
      <c r="F82" s="107" t="s">
        <v>121</v>
      </c>
      <c r="G82" s="107" t="s">
        <v>52</v>
      </c>
      <c r="H82" s="107"/>
      <c r="I82" s="107" t="s">
        <v>76</v>
      </c>
      <c r="J82" s="107"/>
      <c r="K82" s="107" t="s">
        <v>149</v>
      </c>
      <c r="L82" s="107" t="s">
        <v>105</v>
      </c>
      <c r="M82" s="107" t="s">
        <v>88</v>
      </c>
      <c r="N82" s="107" t="s">
        <v>35</v>
      </c>
      <c r="O82" s="107" t="s">
        <v>33</v>
      </c>
      <c r="P82" s="107" t="s">
        <v>30</v>
      </c>
      <c r="Q82" s="107" t="s">
        <v>25</v>
      </c>
      <c r="R82" s="107"/>
      <c r="S82" s="107"/>
      <c r="T82" s="109"/>
      <c r="U82" s="107"/>
      <c r="V82" s="107"/>
    </row>
    <row r="83" spans="4:22">
      <c r="D83" s="107"/>
      <c r="E83" s="107"/>
      <c r="F83" s="107"/>
      <c r="G83" s="20" t="s">
        <v>83</v>
      </c>
      <c r="H83" s="20" t="s">
        <v>102</v>
      </c>
      <c r="I83" s="20" t="s">
        <v>83</v>
      </c>
      <c r="J83" s="20" t="s">
        <v>102</v>
      </c>
      <c r="K83" s="107"/>
      <c r="L83" s="107"/>
      <c r="M83" s="107"/>
      <c r="N83" s="107"/>
      <c r="O83" s="107"/>
      <c r="P83" s="107"/>
      <c r="Q83" s="107"/>
      <c r="R83" s="107"/>
      <c r="S83" s="107"/>
      <c r="T83" s="109"/>
      <c r="U83" s="107"/>
      <c r="V83" s="107"/>
    </row>
    <row r="84" spans="4:22">
      <c r="D84" s="126">
        <v>1</v>
      </c>
      <c r="E84" s="21" t="s">
        <v>78</v>
      </c>
      <c r="F84" s="22">
        <f t="shared" ref="F84:S84" si="24">F110+F135+F160+F185+F210+F235+F260</f>
        <v>0</v>
      </c>
      <c r="G84" s="22">
        <f t="shared" si="24"/>
        <v>0</v>
      </c>
      <c r="H84" s="22">
        <f t="shared" si="24"/>
        <v>0</v>
      </c>
      <c r="I84" s="22">
        <f t="shared" si="24"/>
        <v>0</v>
      </c>
      <c r="J84" s="22">
        <f t="shared" si="24"/>
        <v>0</v>
      </c>
      <c r="K84" s="22">
        <f t="shared" si="24"/>
        <v>0</v>
      </c>
      <c r="L84" s="22">
        <f t="shared" si="24"/>
        <v>0</v>
      </c>
      <c r="M84" s="22">
        <f t="shared" si="24"/>
        <v>0</v>
      </c>
      <c r="N84" s="22">
        <f t="shared" si="24"/>
        <v>0</v>
      </c>
      <c r="O84" s="22">
        <f t="shared" si="24"/>
        <v>0</v>
      </c>
      <c r="P84" s="22">
        <f t="shared" si="24"/>
        <v>0</v>
      </c>
      <c r="Q84" s="22">
        <f t="shared" si="24"/>
        <v>0</v>
      </c>
      <c r="R84" s="22">
        <f t="shared" si="24"/>
        <v>0</v>
      </c>
      <c r="S84" s="22">
        <f t="shared" si="24"/>
        <v>0</v>
      </c>
      <c r="T84" s="109" t="s">
        <v>117</v>
      </c>
      <c r="U84" s="113" t="s">
        <v>117</v>
      </c>
      <c r="V84" s="113" t="s">
        <v>117</v>
      </c>
    </row>
    <row r="85" spans="4:22">
      <c r="D85" s="126"/>
      <c r="E85" s="21" t="s">
        <v>24</v>
      </c>
      <c r="F85" s="22">
        <f t="shared" ref="F85:S85" si="25">F111+F136+F161+F186+F211+F236+F261</f>
        <v>0</v>
      </c>
      <c r="G85" s="22">
        <f t="shared" si="25"/>
        <v>0</v>
      </c>
      <c r="H85" s="22">
        <f t="shared" si="25"/>
        <v>0</v>
      </c>
      <c r="I85" s="22">
        <f t="shared" si="25"/>
        <v>0</v>
      </c>
      <c r="J85" s="22">
        <f t="shared" si="25"/>
        <v>0</v>
      </c>
      <c r="K85" s="22">
        <f t="shared" si="25"/>
        <v>0</v>
      </c>
      <c r="L85" s="22">
        <f t="shared" si="25"/>
        <v>0</v>
      </c>
      <c r="M85" s="22">
        <f t="shared" si="25"/>
        <v>0</v>
      </c>
      <c r="N85" s="22">
        <f t="shared" si="25"/>
        <v>0</v>
      </c>
      <c r="O85" s="22">
        <f t="shared" si="25"/>
        <v>0</v>
      </c>
      <c r="P85" s="22">
        <f t="shared" si="25"/>
        <v>0</v>
      </c>
      <c r="Q85" s="22">
        <f t="shared" si="25"/>
        <v>0</v>
      </c>
      <c r="R85" s="22">
        <f t="shared" si="25"/>
        <v>0</v>
      </c>
      <c r="S85" s="22">
        <f t="shared" si="25"/>
        <v>0</v>
      </c>
      <c r="T85" s="109"/>
      <c r="U85" s="113"/>
      <c r="V85" s="113"/>
    </row>
    <row r="86" spans="4:22">
      <c r="D86" s="126"/>
      <c r="E86" s="21" t="s">
        <v>25</v>
      </c>
      <c r="F86" s="22">
        <f t="shared" ref="F86:S86" si="26">F112+F137+F162+F187+F212+F237+F262</f>
        <v>0</v>
      </c>
      <c r="G86" s="22">
        <f t="shared" si="26"/>
        <v>0</v>
      </c>
      <c r="H86" s="22">
        <f t="shared" si="26"/>
        <v>0</v>
      </c>
      <c r="I86" s="22">
        <f t="shared" si="26"/>
        <v>0</v>
      </c>
      <c r="J86" s="22">
        <f t="shared" si="26"/>
        <v>0</v>
      </c>
      <c r="K86" s="22">
        <f t="shared" si="26"/>
        <v>0</v>
      </c>
      <c r="L86" s="22">
        <f t="shared" si="26"/>
        <v>0</v>
      </c>
      <c r="M86" s="22">
        <f t="shared" si="26"/>
        <v>0</v>
      </c>
      <c r="N86" s="22">
        <f t="shared" si="26"/>
        <v>0</v>
      </c>
      <c r="O86" s="22">
        <f t="shared" si="26"/>
        <v>0</v>
      </c>
      <c r="P86" s="22">
        <f t="shared" si="26"/>
        <v>0</v>
      </c>
      <c r="Q86" s="22">
        <f t="shared" si="26"/>
        <v>0</v>
      </c>
      <c r="R86" s="22">
        <f t="shared" si="26"/>
        <v>0</v>
      </c>
      <c r="S86" s="22">
        <f t="shared" si="26"/>
        <v>0</v>
      </c>
      <c r="T86" s="109"/>
      <c r="U86" s="113"/>
      <c r="V86" s="113"/>
    </row>
    <row r="87" spans="4:22">
      <c r="D87" s="126">
        <v>2</v>
      </c>
      <c r="E87" s="21" t="s">
        <v>78</v>
      </c>
      <c r="F87" s="22">
        <f t="shared" ref="F87:S87" si="27">F113+F138+F163+F188+F213+F238+F263</f>
        <v>0</v>
      </c>
      <c r="G87" s="22">
        <f t="shared" si="27"/>
        <v>0</v>
      </c>
      <c r="H87" s="22">
        <f t="shared" si="27"/>
        <v>0</v>
      </c>
      <c r="I87" s="22">
        <f t="shared" si="27"/>
        <v>0</v>
      </c>
      <c r="J87" s="22">
        <f t="shared" si="27"/>
        <v>0</v>
      </c>
      <c r="K87" s="22">
        <f t="shared" si="27"/>
        <v>0</v>
      </c>
      <c r="L87" s="22">
        <f t="shared" si="27"/>
        <v>0</v>
      </c>
      <c r="M87" s="22">
        <f t="shared" si="27"/>
        <v>0</v>
      </c>
      <c r="N87" s="22">
        <f t="shared" si="27"/>
        <v>0</v>
      </c>
      <c r="O87" s="22">
        <f t="shared" si="27"/>
        <v>0</v>
      </c>
      <c r="P87" s="22">
        <f t="shared" si="27"/>
        <v>0</v>
      </c>
      <c r="Q87" s="22">
        <f t="shared" si="27"/>
        <v>0</v>
      </c>
      <c r="R87" s="22">
        <f t="shared" si="27"/>
        <v>0</v>
      </c>
      <c r="S87" s="22">
        <f t="shared" si="27"/>
        <v>0</v>
      </c>
      <c r="T87" s="109" t="s">
        <v>117</v>
      </c>
      <c r="U87" s="113" t="s">
        <v>117</v>
      </c>
      <c r="V87" s="113" t="s">
        <v>117</v>
      </c>
    </row>
    <row r="88" spans="4:22">
      <c r="D88" s="126"/>
      <c r="E88" s="21" t="s">
        <v>24</v>
      </c>
      <c r="F88" s="22">
        <f t="shared" ref="F88:S88" si="28">F114+F139+F164+F189+F214+F239+F264</f>
        <v>0</v>
      </c>
      <c r="G88" s="22">
        <f t="shared" si="28"/>
        <v>0</v>
      </c>
      <c r="H88" s="22">
        <f t="shared" si="28"/>
        <v>0</v>
      </c>
      <c r="I88" s="22">
        <f t="shared" si="28"/>
        <v>0</v>
      </c>
      <c r="J88" s="22">
        <f t="shared" si="28"/>
        <v>0</v>
      </c>
      <c r="K88" s="22">
        <f t="shared" si="28"/>
        <v>0</v>
      </c>
      <c r="L88" s="22">
        <f t="shared" si="28"/>
        <v>0</v>
      </c>
      <c r="M88" s="22">
        <f t="shared" si="28"/>
        <v>0</v>
      </c>
      <c r="N88" s="22">
        <f t="shared" si="28"/>
        <v>0</v>
      </c>
      <c r="O88" s="22">
        <f t="shared" si="28"/>
        <v>0</v>
      </c>
      <c r="P88" s="22">
        <f t="shared" si="28"/>
        <v>0</v>
      </c>
      <c r="Q88" s="22">
        <f t="shared" si="28"/>
        <v>0</v>
      </c>
      <c r="R88" s="22">
        <f t="shared" si="28"/>
        <v>0</v>
      </c>
      <c r="S88" s="22">
        <f t="shared" si="28"/>
        <v>0</v>
      </c>
      <c r="T88" s="109"/>
      <c r="U88" s="113"/>
      <c r="V88" s="113"/>
    </row>
    <row r="89" spans="4:22">
      <c r="D89" s="126"/>
      <c r="E89" s="21" t="s">
        <v>25</v>
      </c>
      <c r="F89" s="22">
        <f t="shared" ref="F89:S89" si="29">F115+F140+F165+F190+F215+F240+F265</f>
        <v>0</v>
      </c>
      <c r="G89" s="22">
        <f t="shared" si="29"/>
        <v>0</v>
      </c>
      <c r="H89" s="22">
        <f t="shared" si="29"/>
        <v>0</v>
      </c>
      <c r="I89" s="22">
        <f t="shared" si="29"/>
        <v>0</v>
      </c>
      <c r="J89" s="22">
        <f t="shared" si="29"/>
        <v>0</v>
      </c>
      <c r="K89" s="22">
        <f t="shared" si="29"/>
        <v>0</v>
      </c>
      <c r="L89" s="22">
        <f t="shared" si="29"/>
        <v>0</v>
      </c>
      <c r="M89" s="22">
        <f t="shared" si="29"/>
        <v>0</v>
      </c>
      <c r="N89" s="22">
        <f t="shared" si="29"/>
        <v>0</v>
      </c>
      <c r="O89" s="22">
        <f t="shared" si="29"/>
        <v>0</v>
      </c>
      <c r="P89" s="22">
        <f t="shared" si="29"/>
        <v>0</v>
      </c>
      <c r="Q89" s="22">
        <f t="shared" si="29"/>
        <v>0</v>
      </c>
      <c r="R89" s="22">
        <f t="shared" si="29"/>
        <v>0</v>
      </c>
      <c r="S89" s="22">
        <f t="shared" si="29"/>
        <v>0</v>
      </c>
      <c r="T89" s="109"/>
      <c r="U89" s="113"/>
      <c r="V89" s="113"/>
    </row>
    <row r="90" spans="4:22">
      <c r="D90" s="126">
        <v>3</v>
      </c>
      <c r="E90" s="21" t="s">
        <v>78</v>
      </c>
      <c r="F90" s="22">
        <f t="shared" ref="F90:S90" si="30">F116+F141+F166+F191+F216+F241+F266</f>
        <v>0</v>
      </c>
      <c r="G90" s="22">
        <f t="shared" si="30"/>
        <v>0</v>
      </c>
      <c r="H90" s="22">
        <f t="shared" si="30"/>
        <v>0</v>
      </c>
      <c r="I90" s="22">
        <f t="shared" si="30"/>
        <v>0</v>
      </c>
      <c r="J90" s="22">
        <f t="shared" si="30"/>
        <v>0</v>
      </c>
      <c r="K90" s="22">
        <f t="shared" si="30"/>
        <v>0</v>
      </c>
      <c r="L90" s="22">
        <f t="shared" si="30"/>
        <v>0</v>
      </c>
      <c r="M90" s="22">
        <f t="shared" si="30"/>
        <v>0</v>
      </c>
      <c r="N90" s="22">
        <f t="shared" si="30"/>
        <v>0</v>
      </c>
      <c r="O90" s="22">
        <f t="shared" si="30"/>
        <v>0</v>
      </c>
      <c r="P90" s="22">
        <f t="shared" si="30"/>
        <v>0</v>
      </c>
      <c r="Q90" s="22">
        <f t="shared" si="30"/>
        <v>0</v>
      </c>
      <c r="R90" s="22">
        <f t="shared" si="30"/>
        <v>0</v>
      </c>
      <c r="S90" s="22">
        <f t="shared" si="30"/>
        <v>0</v>
      </c>
      <c r="T90" s="109" t="s">
        <v>117</v>
      </c>
      <c r="U90" s="113" t="s">
        <v>117</v>
      </c>
      <c r="V90" s="113" t="s">
        <v>117</v>
      </c>
    </row>
    <row r="91" spans="4:22">
      <c r="D91" s="126"/>
      <c r="E91" s="21" t="s">
        <v>24</v>
      </c>
      <c r="F91" s="22">
        <f t="shared" ref="F91:S91" si="31">F117+F142+F167+F192+F217+F242+F267</f>
        <v>0</v>
      </c>
      <c r="G91" s="22">
        <f t="shared" si="31"/>
        <v>0</v>
      </c>
      <c r="H91" s="22">
        <f t="shared" si="31"/>
        <v>0</v>
      </c>
      <c r="I91" s="22">
        <f t="shared" si="31"/>
        <v>0</v>
      </c>
      <c r="J91" s="22">
        <f t="shared" si="31"/>
        <v>0</v>
      </c>
      <c r="K91" s="22">
        <f t="shared" si="31"/>
        <v>0</v>
      </c>
      <c r="L91" s="22">
        <f t="shared" si="31"/>
        <v>0</v>
      </c>
      <c r="M91" s="22">
        <f t="shared" si="31"/>
        <v>0</v>
      </c>
      <c r="N91" s="22">
        <f t="shared" si="31"/>
        <v>0</v>
      </c>
      <c r="O91" s="22">
        <f t="shared" si="31"/>
        <v>0</v>
      </c>
      <c r="P91" s="22">
        <f t="shared" si="31"/>
        <v>0</v>
      </c>
      <c r="Q91" s="22">
        <f t="shared" si="31"/>
        <v>0</v>
      </c>
      <c r="R91" s="22">
        <f t="shared" si="31"/>
        <v>0</v>
      </c>
      <c r="S91" s="22">
        <f t="shared" si="31"/>
        <v>0</v>
      </c>
      <c r="T91" s="109"/>
      <c r="U91" s="113"/>
      <c r="V91" s="113"/>
    </row>
    <row r="92" spans="4:22">
      <c r="D92" s="126"/>
      <c r="E92" s="21" t="s">
        <v>25</v>
      </c>
      <c r="F92" s="22">
        <f t="shared" ref="F92:S92" si="32">F118+F143+F168+F193+F218+F243+F268</f>
        <v>0</v>
      </c>
      <c r="G92" s="22">
        <f t="shared" si="32"/>
        <v>0</v>
      </c>
      <c r="H92" s="22">
        <f t="shared" si="32"/>
        <v>0</v>
      </c>
      <c r="I92" s="22">
        <f t="shared" si="32"/>
        <v>0</v>
      </c>
      <c r="J92" s="22">
        <f t="shared" si="32"/>
        <v>0</v>
      </c>
      <c r="K92" s="22">
        <f t="shared" si="32"/>
        <v>0</v>
      </c>
      <c r="L92" s="22">
        <f t="shared" si="32"/>
        <v>0</v>
      </c>
      <c r="M92" s="22">
        <f t="shared" si="32"/>
        <v>0</v>
      </c>
      <c r="N92" s="22">
        <f t="shared" si="32"/>
        <v>0</v>
      </c>
      <c r="O92" s="22">
        <f t="shared" si="32"/>
        <v>0</v>
      </c>
      <c r="P92" s="22">
        <f t="shared" si="32"/>
        <v>0</v>
      </c>
      <c r="Q92" s="22">
        <f t="shared" si="32"/>
        <v>0</v>
      </c>
      <c r="R92" s="22">
        <f t="shared" si="32"/>
        <v>0</v>
      </c>
      <c r="S92" s="22">
        <f t="shared" si="32"/>
        <v>0</v>
      </c>
      <c r="T92" s="109"/>
      <c r="U92" s="113"/>
      <c r="V92" s="113"/>
    </row>
    <row r="93" spans="4:22">
      <c r="D93" s="126">
        <v>4</v>
      </c>
      <c r="E93" s="21" t="s">
        <v>78</v>
      </c>
      <c r="F93" s="22">
        <f t="shared" ref="F93:S93" si="33">F119+F144+F169+F194+F219+F244+F269</f>
        <v>0</v>
      </c>
      <c r="G93" s="22">
        <f t="shared" si="33"/>
        <v>0</v>
      </c>
      <c r="H93" s="22">
        <f t="shared" si="33"/>
        <v>0</v>
      </c>
      <c r="I93" s="22">
        <f t="shared" si="33"/>
        <v>0</v>
      </c>
      <c r="J93" s="22">
        <f t="shared" si="33"/>
        <v>0</v>
      </c>
      <c r="K93" s="22">
        <f t="shared" si="33"/>
        <v>0</v>
      </c>
      <c r="L93" s="22">
        <f t="shared" si="33"/>
        <v>0</v>
      </c>
      <c r="M93" s="22">
        <f t="shared" si="33"/>
        <v>0</v>
      </c>
      <c r="N93" s="22">
        <f t="shared" si="33"/>
        <v>0</v>
      </c>
      <c r="O93" s="22">
        <f t="shared" si="33"/>
        <v>0</v>
      </c>
      <c r="P93" s="22">
        <f t="shared" si="33"/>
        <v>0</v>
      </c>
      <c r="Q93" s="22">
        <f t="shared" si="33"/>
        <v>0</v>
      </c>
      <c r="R93" s="22">
        <f t="shared" si="33"/>
        <v>0</v>
      </c>
      <c r="S93" s="22">
        <f t="shared" si="33"/>
        <v>0</v>
      </c>
      <c r="T93" s="109" t="s">
        <v>117</v>
      </c>
      <c r="U93" s="113" t="s">
        <v>117</v>
      </c>
      <c r="V93" s="113" t="s">
        <v>117</v>
      </c>
    </row>
    <row r="94" spans="4:22">
      <c r="D94" s="126"/>
      <c r="E94" s="21" t="s">
        <v>24</v>
      </c>
      <c r="F94" s="22">
        <f t="shared" ref="F94:S94" si="34">F120+F145+F170+F195+F220+F245+F270</f>
        <v>0</v>
      </c>
      <c r="G94" s="22">
        <f t="shared" si="34"/>
        <v>0</v>
      </c>
      <c r="H94" s="22">
        <f t="shared" si="34"/>
        <v>0</v>
      </c>
      <c r="I94" s="22">
        <f t="shared" si="34"/>
        <v>0</v>
      </c>
      <c r="J94" s="22">
        <f t="shared" si="34"/>
        <v>0</v>
      </c>
      <c r="K94" s="22">
        <f t="shared" si="34"/>
        <v>0</v>
      </c>
      <c r="L94" s="22">
        <f t="shared" si="34"/>
        <v>0</v>
      </c>
      <c r="M94" s="22">
        <f t="shared" si="34"/>
        <v>0</v>
      </c>
      <c r="N94" s="22">
        <f t="shared" si="34"/>
        <v>0</v>
      </c>
      <c r="O94" s="22">
        <f t="shared" si="34"/>
        <v>0</v>
      </c>
      <c r="P94" s="22">
        <f t="shared" si="34"/>
        <v>0</v>
      </c>
      <c r="Q94" s="22">
        <f t="shared" si="34"/>
        <v>0</v>
      </c>
      <c r="R94" s="22">
        <f t="shared" si="34"/>
        <v>0</v>
      </c>
      <c r="S94" s="22">
        <f t="shared" si="34"/>
        <v>0</v>
      </c>
      <c r="T94" s="109"/>
      <c r="U94" s="113"/>
      <c r="V94" s="113"/>
    </row>
    <row r="95" spans="4:22">
      <c r="D95" s="126"/>
      <c r="E95" s="21" t="s">
        <v>25</v>
      </c>
      <c r="F95" s="22">
        <f t="shared" ref="F95:S95" si="35">F121+F146+F171+F196+F221+F246+F271</f>
        <v>0</v>
      </c>
      <c r="G95" s="22">
        <f t="shared" si="35"/>
        <v>0</v>
      </c>
      <c r="H95" s="22">
        <f t="shared" si="35"/>
        <v>0</v>
      </c>
      <c r="I95" s="22">
        <f t="shared" si="35"/>
        <v>0</v>
      </c>
      <c r="J95" s="22">
        <f t="shared" si="35"/>
        <v>0</v>
      </c>
      <c r="K95" s="22">
        <f t="shared" si="35"/>
        <v>0</v>
      </c>
      <c r="L95" s="22">
        <f t="shared" si="35"/>
        <v>0</v>
      </c>
      <c r="M95" s="22">
        <f t="shared" si="35"/>
        <v>0</v>
      </c>
      <c r="N95" s="22">
        <f t="shared" si="35"/>
        <v>0</v>
      </c>
      <c r="O95" s="22">
        <f t="shared" si="35"/>
        <v>0</v>
      </c>
      <c r="P95" s="22">
        <f t="shared" si="35"/>
        <v>0</v>
      </c>
      <c r="Q95" s="22">
        <f t="shared" si="35"/>
        <v>0</v>
      </c>
      <c r="R95" s="22">
        <f t="shared" si="35"/>
        <v>0</v>
      </c>
      <c r="S95" s="22">
        <f t="shared" si="35"/>
        <v>0</v>
      </c>
      <c r="T95" s="109"/>
      <c r="U95" s="113"/>
      <c r="V95" s="113"/>
    </row>
    <row r="96" spans="4:22">
      <c r="D96" s="126">
        <v>5</v>
      </c>
      <c r="E96" s="21" t="s">
        <v>78</v>
      </c>
      <c r="F96" s="22">
        <f t="shared" ref="F96:S96" si="36">F122+F147+F172+F197+F222+F247+F272</f>
        <v>0</v>
      </c>
      <c r="G96" s="22">
        <f t="shared" si="36"/>
        <v>0</v>
      </c>
      <c r="H96" s="22">
        <f t="shared" si="36"/>
        <v>0</v>
      </c>
      <c r="I96" s="22">
        <f t="shared" si="36"/>
        <v>0</v>
      </c>
      <c r="J96" s="22">
        <f t="shared" si="36"/>
        <v>0</v>
      </c>
      <c r="K96" s="22">
        <f t="shared" si="36"/>
        <v>0</v>
      </c>
      <c r="L96" s="22">
        <f t="shared" si="36"/>
        <v>0</v>
      </c>
      <c r="M96" s="22">
        <f t="shared" si="36"/>
        <v>0</v>
      </c>
      <c r="N96" s="22">
        <f t="shared" si="36"/>
        <v>0</v>
      </c>
      <c r="O96" s="22">
        <f t="shared" si="36"/>
        <v>0</v>
      </c>
      <c r="P96" s="22">
        <f t="shared" si="36"/>
        <v>0</v>
      </c>
      <c r="Q96" s="22">
        <f t="shared" si="36"/>
        <v>0</v>
      </c>
      <c r="R96" s="22">
        <f t="shared" si="36"/>
        <v>0</v>
      </c>
      <c r="S96" s="22">
        <f t="shared" si="36"/>
        <v>0</v>
      </c>
      <c r="T96" s="109" t="s">
        <v>117</v>
      </c>
      <c r="U96" s="113" t="s">
        <v>117</v>
      </c>
      <c r="V96" s="113" t="s">
        <v>117</v>
      </c>
    </row>
    <row r="97" spans="3:24">
      <c r="D97" s="126"/>
      <c r="E97" s="21" t="s">
        <v>24</v>
      </c>
      <c r="F97" s="22">
        <f t="shared" ref="F97:S97" si="37">F123+F148+F173+F198+F223+F248+F273</f>
        <v>0</v>
      </c>
      <c r="G97" s="22">
        <f t="shared" si="37"/>
        <v>0</v>
      </c>
      <c r="H97" s="22">
        <f t="shared" si="37"/>
        <v>0</v>
      </c>
      <c r="I97" s="22">
        <f t="shared" si="37"/>
        <v>0</v>
      </c>
      <c r="J97" s="22">
        <f t="shared" si="37"/>
        <v>0</v>
      </c>
      <c r="K97" s="22">
        <f t="shared" si="37"/>
        <v>0</v>
      </c>
      <c r="L97" s="22">
        <f t="shared" si="37"/>
        <v>0</v>
      </c>
      <c r="M97" s="22">
        <f t="shared" si="37"/>
        <v>0</v>
      </c>
      <c r="N97" s="22">
        <f t="shared" si="37"/>
        <v>0</v>
      </c>
      <c r="O97" s="22">
        <f t="shared" si="37"/>
        <v>0</v>
      </c>
      <c r="P97" s="22">
        <f t="shared" si="37"/>
        <v>0</v>
      </c>
      <c r="Q97" s="22">
        <f t="shared" si="37"/>
        <v>0</v>
      </c>
      <c r="R97" s="22">
        <f t="shared" si="37"/>
        <v>0</v>
      </c>
      <c r="S97" s="22">
        <f t="shared" si="37"/>
        <v>0</v>
      </c>
      <c r="T97" s="109"/>
      <c r="U97" s="113"/>
      <c r="V97" s="113"/>
    </row>
    <row r="98" spans="3:24">
      <c r="D98" s="126"/>
      <c r="E98" s="21" t="s">
        <v>25</v>
      </c>
      <c r="F98" s="22">
        <f t="shared" ref="F98:S98" si="38">F124+F149+F174+F199+F224+F249+F274</f>
        <v>0</v>
      </c>
      <c r="G98" s="22">
        <f t="shared" si="38"/>
        <v>0</v>
      </c>
      <c r="H98" s="22">
        <f t="shared" si="38"/>
        <v>0</v>
      </c>
      <c r="I98" s="22">
        <f t="shared" si="38"/>
        <v>0</v>
      </c>
      <c r="J98" s="22">
        <f t="shared" si="38"/>
        <v>0</v>
      </c>
      <c r="K98" s="22">
        <f t="shared" si="38"/>
        <v>0</v>
      </c>
      <c r="L98" s="22">
        <f t="shared" si="38"/>
        <v>0</v>
      </c>
      <c r="M98" s="22">
        <f t="shared" si="38"/>
        <v>0</v>
      </c>
      <c r="N98" s="22">
        <f t="shared" si="38"/>
        <v>0</v>
      </c>
      <c r="O98" s="22">
        <f t="shared" si="38"/>
        <v>0</v>
      </c>
      <c r="P98" s="22">
        <f t="shared" si="38"/>
        <v>0</v>
      </c>
      <c r="Q98" s="22">
        <f t="shared" si="38"/>
        <v>0</v>
      </c>
      <c r="R98" s="22">
        <f t="shared" si="38"/>
        <v>0</v>
      </c>
      <c r="S98" s="22">
        <f t="shared" si="38"/>
        <v>0</v>
      </c>
      <c r="T98" s="109"/>
      <c r="U98" s="113"/>
      <c r="V98" s="113"/>
    </row>
    <row r="99" spans="3:24">
      <c r="D99" s="126" t="s">
        <v>43</v>
      </c>
      <c r="E99" s="21" t="s">
        <v>78</v>
      </c>
      <c r="F99" s="22">
        <f t="shared" ref="F99:S99" si="39">F125+F150+F175+F200+F225+F250+F275</f>
        <v>0</v>
      </c>
      <c r="G99" s="22">
        <f t="shared" si="39"/>
        <v>0</v>
      </c>
      <c r="H99" s="22">
        <f t="shared" si="39"/>
        <v>0</v>
      </c>
      <c r="I99" s="22">
        <f t="shared" si="39"/>
        <v>0</v>
      </c>
      <c r="J99" s="22">
        <f t="shared" si="39"/>
        <v>0</v>
      </c>
      <c r="K99" s="22">
        <f t="shared" si="39"/>
        <v>0</v>
      </c>
      <c r="L99" s="22">
        <f t="shared" si="39"/>
        <v>0</v>
      </c>
      <c r="M99" s="22">
        <f t="shared" si="39"/>
        <v>0</v>
      </c>
      <c r="N99" s="22">
        <f t="shared" si="39"/>
        <v>0</v>
      </c>
      <c r="O99" s="22">
        <f t="shared" si="39"/>
        <v>0</v>
      </c>
      <c r="P99" s="22">
        <f t="shared" si="39"/>
        <v>0</v>
      </c>
      <c r="Q99" s="22">
        <f t="shared" si="39"/>
        <v>0</v>
      </c>
      <c r="R99" s="22">
        <f t="shared" si="39"/>
        <v>0</v>
      </c>
      <c r="S99" s="22">
        <f t="shared" si="39"/>
        <v>0</v>
      </c>
      <c r="T99" s="109" t="s">
        <v>117</v>
      </c>
      <c r="U99" s="113" t="s">
        <v>117</v>
      </c>
      <c r="V99" s="113" t="s">
        <v>117</v>
      </c>
    </row>
    <row r="100" spans="3:24">
      <c r="D100" s="126"/>
      <c r="E100" s="21" t="s">
        <v>24</v>
      </c>
      <c r="F100" s="22">
        <f t="shared" ref="F100:S100" si="40">F126+F151+F176+F201+F226+F251+F276</f>
        <v>0</v>
      </c>
      <c r="G100" s="22">
        <f t="shared" si="40"/>
        <v>0</v>
      </c>
      <c r="H100" s="22">
        <f t="shared" si="40"/>
        <v>0</v>
      </c>
      <c r="I100" s="22">
        <f t="shared" si="40"/>
        <v>0</v>
      </c>
      <c r="J100" s="22">
        <f t="shared" si="40"/>
        <v>0</v>
      </c>
      <c r="K100" s="22">
        <f t="shared" si="40"/>
        <v>0</v>
      </c>
      <c r="L100" s="22">
        <f t="shared" si="40"/>
        <v>0</v>
      </c>
      <c r="M100" s="22">
        <f t="shared" si="40"/>
        <v>0</v>
      </c>
      <c r="N100" s="22">
        <f t="shared" si="40"/>
        <v>0</v>
      </c>
      <c r="O100" s="22">
        <f t="shared" si="40"/>
        <v>0</v>
      </c>
      <c r="P100" s="22">
        <f t="shared" si="40"/>
        <v>0</v>
      </c>
      <c r="Q100" s="22">
        <f t="shared" si="40"/>
        <v>0</v>
      </c>
      <c r="R100" s="22">
        <f t="shared" si="40"/>
        <v>0</v>
      </c>
      <c r="S100" s="22">
        <f t="shared" si="40"/>
        <v>0</v>
      </c>
      <c r="T100" s="109"/>
      <c r="U100" s="113"/>
      <c r="V100" s="113"/>
    </row>
    <row r="101" spans="3:24">
      <c r="D101" s="126"/>
      <c r="E101" s="21" t="s">
        <v>69</v>
      </c>
      <c r="F101" s="22">
        <f t="shared" ref="F101:S101" si="41">F127+F152+F177+F202+F227+F252+F277</f>
        <v>0</v>
      </c>
      <c r="G101" s="22">
        <f t="shared" si="41"/>
        <v>0</v>
      </c>
      <c r="H101" s="22">
        <f t="shared" si="41"/>
        <v>0</v>
      </c>
      <c r="I101" s="22">
        <f t="shared" si="41"/>
        <v>0</v>
      </c>
      <c r="J101" s="22">
        <f t="shared" si="41"/>
        <v>0</v>
      </c>
      <c r="K101" s="22">
        <f t="shared" si="41"/>
        <v>0</v>
      </c>
      <c r="L101" s="22">
        <f t="shared" si="41"/>
        <v>0</v>
      </c>
      <c r="M101" s="22">
        <f t="shared" si="41"/>
        <v>0</v>
      </c>
      <c r="N101" s="22">
        <f t="shared" si="41"/>
        <v>0</v>
      </c>
      <c r="O101" s="22">
        <f t="shared" si="41"/>
        <v>0</v>
      </c>
      <c r="P101" s="22">
        <f t="shared" si="41"/>
        <v>0</v>
      </c>
      <c r="Q101" s="22">
        <f t="shared" si="41"/>
        <v>0</v>
      </c>
      <c r="R101" s="22">
        <f t="shared" si="41"/>
        <v>0</v>
      </c>
      <c r="S101" s="22">
        <f t="shared" si="41"/>
        <v>0</v>
      </c>
      <c r="T101" s="109"/>
      <c r="U101" s="113"/>
      <c r="V101" s="113"/>
    </row>
    <row r="103" spans="3:24">
      <c r="C103" s="119" t="s">
        <v>137</v>
      </c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</row>
    <row r="104" spans="3:24">
      <c r="D104" s="119" t="s">
        <v>158</v>
      </c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</row>
    <row r="105" spans="3:24">
      <c r="U105" s="108" t="s">
        <v>143</v>
      </c>
      <c r="V105" s="108"/>
    </row>
    <row r="106" spans="3:24">
      <c r="D106" s="107" t="s">
        <v>68</v>
      </c>
      <c r="E106" s="107"/>
      <c r="F106" s="107" t="s">
        <v>129</v>
      </c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9" t="s">
        <v>117</v>
      </c>
      <c r="U106" s="107" t="s">
        <v>107</v>
      </c>
      <c r="V106" s="107" t="s">
        <v>19</v>
      </c>
    </row>
    <row r="107" spans="3:24">
      <c r="D107" s="107"/>
      <c r="E107" s="107"/>
      <c r="F107" s="107" t="s">
        <v>46</v>
      </c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 t="s">
        <v>134</v>
      </c>
      <c r="S107" s="107" t="s">
        <v>69</v>
      </c>
      <c r="T107" s="109"/>
      <c r="U107" s="107"/>
      <c r="V107" s="107"/>
    </row>
    <row r="108" spans="3:24">
      <c r="D108" s="107"/>
      <c r="E108" s="107"/>
      <c r="F108" s="107" t="s">
        <v>121</v>
      </c>
      <c r="G108" s="107" t="s">
        <v>52</v>
      </c>
      <c r="H108" s="107"/>
      <c r="I108" s="107" t="s">
        <v>76</v>
      </c>
      <c r="J108" s="107"/>
      <c r="K108" s="107" t="s">
        <v>149</v>
      </c>
      <c r="L108" s="107" t="s">
        <v>105</v>
      </c>
      <c r="M108" s="107" t="s">
        <v>88</v>
      </c>
      <c r="N108" s="107" t="s">
        <v>35</v>
      </c>
      <c r="O108" s="107" t="s">
        <v>33</v>
      </c>
      <c r="P108" s="107" t="s">
        <v>30</v>
      </c>
      <c r="Q108" s="107" t="s">
        <v>25</v>
      </c>
      <c r="R108" s="107"/>
      <c r="S108" s="107"/>
      <c r="T108" s="109"/>
      <c r="U108" s="107"/>
      <c r="V108" s="107"/>
    </row>
    <row r="109" spans="3:24">
      <c r="D109" s="107"/>
      <c r="E109" s="107"/>
      <c r="F109" s="107"/>
      <c r="G109" s="20" t="s">
        <v>83</v>
      </c>
      <c r="H109" s="20" t="s">
        <v>102</v>
      </c>
      <c r="I109" s="20" t="s">
        <v>83</v>
      </c>
      <c r="J109" s="20" t="s">
        <v>102</v>
      </c>
      <c r="K109" s="107"/>
      <c r="L109" s="107"/>
      <c r="M109" s="107"/>
      <c r="N109" s="107"/>
      <c r="O109" s="107"/>
      <c r="P109" s="107"/>
      <c r="Q109" s="107"/>
      <c r="R109" s="107"/>
      <c r="S109" s="107"/>
      <c r="T109" s="109"/>
      <c r="U109" s="107"/>
      <c r="V109" s="107"/>
    </row>
    <row r="110" spans="3:24">
      <c r="D110" s="126">
        <v>1</v>
      </c>
      <c r="E110" s="21" t="s">
        <v>78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2">
        <f>SUM(F110:P110)</f>
        <v>0</v>
      </c>
      <c r="R110" s="24"/>
      <c r="S110" s="22">
        <f>Q110+R110</f>
        <v>0</v>
      </c>
      <c r="T110" s="109" t="s">
        <v>117</v>
      </c>
      <c r="U110" s="113" t="s">
        <v>117</v>
      </c>
      <c r="V110" s="113" t="s">
        <v>117</v>
      </c>
      <c r="X110" s="19">
        <f>Q110*0.2313</f>
        <v>0</v>
      </c>
    </row>
    <row r="111" spans="3:24">
      <c r="D111" s="126"/>
      <c r="E111" s="21" t="s">
        <v>24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2">
        <f>SUM(F111:P111)</f>
        <v>0</v>
      </c>
      <c r="R111" s="24"/>
      <c r="S111" s="22">
        <f>Q111+R111</f>
        <v>0</v>
      </c>
      <c r="T111" s="109"/>
      <c r="U111" s="113"/>
      <c r="V111" s="113"/>
      <c r="X111" s="19"/>
    </row>
    <row r="112" spans="3:24">
      <c r="D112" s="126"/>
      <c r="E112" s="21" t="s">
        <v>25</v>
      </c>
      <c r="F112" s="22">
        <f t="shared" ref="F112:P112" si="42">SUM(F110:F111)</f>
        <v>0</v>
      </c>
      <c r="G112" s="22">
        <f t="shared" si="42"/>
        <v>0</v>
      </c>
      <c r="H112" s="22">
        <f t="shared" si="42"/>
        <v>0</v>
      </c>
      <c r="I112" s="22">
        <f t="shared" si="42"/>
        <v>0</v>
      </c>
      <c r="J112" s="22">
        <f t="shared" si="42"/>
        <v>0</v>
      </c>
      <c r="K112" s="22">
        <f t="shared" si="42"/>
        <v>0</v>
      </c>
      <c r="L112" s="22">
        <f t="shared" si="42"/>
        <v>0</v>
      </c>
      <c r="M112" s="22">
        <f t="shared" si="42"/>
        <v>0</v>
      </c>
      <c r="N112" s="22">
        <f t="shared" si="42"/>
        <v>0</v>
      </c>
      <c r="O112" s="22">
        <f t="shared" si="42"/>
        <v>0</v>
      </c>
      <c r="P112" s="22">
        <f t="shared" si="42"/>
        <v>0</v>
      </c>
      <c r="Q112" s="22">
        <f>SUM(Q110:Q111)</f>
        <v>0</v>
      </c>
      <c r="R112" s="22">
        <f t="shared" ref="R112" si="43">SUM(R110:R111)</f>
        <v>0</v>
      </c>
      <c r="S112" s="22">
        <f>SUM(S110:S111)</f>
        <v>0</v>
      </c>
      <c r="T112" s="109"/>
      <c r="U112" s="113"/>
      <c r="V112" s="113"/>
      <c r="X112" s="19"/>
    </row>
    <row r="113" spans="4:25">
      <c r="D113" s="126">
        <v>2</v>
      </c>
      <c r="E113" s="21" t="s">
        <v>78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2">
        <f>SUM(F113:P113)</f>
        <v>0</v>
      </c>
      <c r="R113" s="24"/>
      <c r="S113" s="22">
        <f t="shared" ref="S113:S114" si="44">Q113+R113</f>
        <v>0</v>
      </c>
      <c r="T113" s="109" t="s">
        <v>117</v>
      </c>
      <c r="U113" s="113" t="s">
        <v>117</v>
      </c>
      <c r="V113" s="113" t="s">
        <v>117</v>
      </c>
      <c r="X113" s="19">
        <f>Q113*0.2313</f>
        <v>0</v>
      </c>
    </row>
    <row r="114" spans="4:25">
      <c r="D114" s="126"/>
      <c r="E114" s="21" t="s">
        <v>24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2">
        <f>SUM(F114:P114)</f>
        <v>0</v>
      </c>
      <c r="R114" s="24"/>
      <c r="S114" s="22">
        <f t="shared" si="44"/>
        <v>0</v>
      </c>
      <c r="T114" s="109"/>
      <c r="U114" s="113"/>
      <c r="V114" s="113"/>
      <c r="X114" s="19"/>
    </row>
    <row r="115" spans="4:25">
      <c r="D115" s="126"/>
      <c r="E115" s="21" t="s">
        <v>25</v>
      </c>
      <c r="F115" s="22">
        <f>SUM(F113:F114)</f>
        <v>0</v>
      </c>
      <c r="G115" s="22">
        <f t="shared" ref="G115:R115" si="45">SUM(G113:G114)</f>
        <v>0</v>
      </c>
      <c r="H115" s="22">
        <f t="shared" si="45"/>
        <v>0</v>
      </c>
      <c r="I115" s="22">
        <f t="shared" si="45"/>
        <v>0</v>
      </c>
      <c r="J115" s="22">
        <f t="shared" si="45"/>
        <v>0</v>
      </c>
      <c r="K115" s="22">
        <f t="shared" si="45"/>
        <v>0</v>
      </c>
      <c r="L115" s="22">
        <f t="shared" si="45"/>
        <v>0</v>
      </c>
      <c r="M115" s="22">
        <f t="shared" si="45"/>
        <v>0</v>
      </c>
      <c r="N115" s="22">
        <f t="shared" si="45"/>
        <v>0</v>
      </c>
      <c r="O115" s="22">
        <f t="shared" si="45"/>
        <v>0</v>
      </c>
      <c r="P115" s="22">
        <f t="shared" si="45"/>
        <v>0</v>
      </c>
      <c r="Q115" s="22">
        <f t="shared" si="45"/>
        <v>0</v>
      </c>
      <c r="R115" s="22">
        <f t="shared" si="45"/>
        <v>0</v>
      </c>
      <c r="S115" s="22">
        <f>SUM(S113:S114)</f>
        <v>0</v>
      </c>
      <c r="T115" s="109"/>
      <c r="U115" s="113"/>
      <c r="V115" s="113"/>
      <c r="X115" s="19"/>
    </row>
    <row r="116" spans="4:25">
      <c r="D116" s="126">
        <v>3</v>
      </c>
      <c r="E116" s="21" t="s">
        <v>78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2">
        <f>SUM(F116:P116)</f>
        <v>0</v>
      </c>
      <c r="R116" s="24"/>
      <c r="S116" s="22">
        <f t="shared" ref="S116:S117" si="46">Q116+R116</f>
        <v>0</v>
      </c>
      <c r="T116" s="109" t="s">
        <v>117</v>
      </c>
      <c r="U116" s="113" t="s">
        <v>117</v>
      </c>
      <c r="V116" s="113" t="s">
        <v>117</v>
      </c>
      <c r="X116" s="19">
        <f>Q116*0.2313</f>
        <v>0</v>
      </c>
    </row>
    <row r="117" spans="4:25">
      <c r="D117" s="126"/>
      <c r="E117" s="21" t="s">
        <v>24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2">
        <f>SUM(F117:P117)</f>
        <v>0</v>
      </c>
      <c r="R117" s="24"/>
      <c r="S117" s="22">
        <f t="shared" si="46"/>
        <v>0</v>
      </c>
      <c r="T117" s="109"/>
      <c r="U117" s="113"/>
      <c r="V117" s="113"/>
      <c r="X117" s="19"/>
    </row>
    <row r="118" spans="4:25">
      <c r="D118" s="126"/>
      <c r="E118" s="21" t="s">
        <v>25</v>
      </c>
      <c r="F118" s="22">
        <f>SUM(F116:F117)</f>
        <v>0</v>
      </c>
      <c r="G118" s="22">
        <f t="shared" ref="G118:R118" si="47">SUM(G116:G117)</f>
        <v>0</v>
      </c>
      <c r="H118" s="22">
        <f t="shared" si="47"/>
        <v>0</v>
      </c>
      <c r="I118" s="22">
        <f t="shared" si="47"/>
        <v>0</v>
      </c>
      <c r="J118" s="22">
        <f t="shared" si="47"/>
        <v>0</v>
      </c>
      <c r="K118" s="22">
        <f t="shared" si="47"/>
        <v>0</v>
      </c>
      <c r="L118" s="22">
        <f t="shared" si="47"/>
        <v>0</v>
      </c>
      <c r="M118" s="22">
        <f t="shared" si="47"/>
        <v>0</v>
      </c>
      <c r="N118" s="22">
        <f t="shared" si="47"/>
        <v>0</v>
      </c>
      <c r="O118" s="22">
        <f t="shared" si="47"/>
        <v>0</v>
      </c>
      <c r="P118" s="22">
        <f t="shared" si="47"/>
        <v>0</v>
      </c>
      <c r="Q118" s="22">
        <f t="shared" si="47"/>
        <v>0</v>
      </c>
      <c r="R118" s="22">
        <f t="shared" si="47"/>
        <v>0</v>
      </c>
      <c r="S118" s="22">
        <f>SUM(S116:S117)</f>
        <v>0</v>
      </c>
      <c r="T118" s="109"/>
      <c r="U118" s="113"/>
      <c r="V118" s="113"/>
      <c r="X118" s="19"/>
    </row>
    <row r="119" spans="4:25">
      <c r="D119" s="126">
        <v>4</v>
      </c>
      <c r="E119" s="21" t="s">
        <v>78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2">
        <f>SUM(F119:P119)</f>
        <v>0</v>
      </c>
      <c r="R119" s="24"/>
      <c r="S119" s="22">
        <f t="shared" ref="S119:S120" si="48">Q119+R119</f>
        <v>0</v>
      </c>
      <c r="T119" s="109" t="s">
        <v>117</v>
      </c>
      <c r="U119" s="113" t="s">
        <v>117</v>
      </c>
      <c r="V119" s="113" t="s">
        <v>117</v>
      </c>
      <c r="X119" s="19">
        <f>Q119*0.2313</f>
        <v>0</v>
      </c>
      <c r="Y119" s="69"/>
    </row>
    <row r="120" spans="4:25">
      <c r="D120" s="126"/>
      <c r="E120" s="21" t="s">
        <v>24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2">
        <f>SUM(F120:P120)</f>
        <v>0</v>
      </c>
      <c r="R120" s="24"/>
      <c r="S120" s="22">
        <f t="shared" si="48"/>
        <v>0</v>
      </c>
      <c r="T120" s="109"/>
      <c r="U120" s="113"/>
      <c r="V120" s="113"/>
      <c r="X120" s="19"/>
    </row>
    <row r="121" spans="4:25">
      <c r="D121" s="126"/>
      <c r="E121" s="21" t="s">
        <v>25</v>
      </c>
      <c r="F121" s="22">
        <f>SUM(F119:F120)</f>
        <v>0</v>
      </c>
      <c r="G121" s="22">
        <f t="shared" ref="G121:R121" si="49">SUM(G119:G120)</f>
        <v>0</v>
      </c>
      <c r="H121" s="22">
        <f t="shared" si="49"/>
        <v>0</v>
      </c>
      <c r="I121" s="22">
        <f t="shared" si="49"/>
        <v>0</v>
      </c>
      <c r="J121" s="22">
        <f t="shared" si="49"/>
        <v>0</v>
      </c>
      <c r="K121" s="22">
        <f t="shared" si="49"/>
        <v>0</v>
      </c>
      <c r="L121" s="22">
        <f t="shared" si="49"/>
        <v>0</v>
      </c>
      <c r="M121" s="22">
        <f t="shared" si="49"/>
        <v>0</v>
      </c>
      <c r="N121" s="22">
        <f t="shared" si="49"/>
        <v>0</v>
      </c>
      <c r="O121" s="22">
        <f t="shared" si="49"/>
        <v>0</v>
      </c>
      <c r="P121" s="22">
        <f t="shared" si="49"/>
        <v>0</v>
      </c>
      <c r="Q121" s="22">
        <f t="shared" si="49"/>
        <v>0</v>
      </c>
      <c r="R121" s="22">
        <f t="shared" si="49"/>
        <v>0</v>
      </c>
      <c r="S121" s="22">
        <f>SUM(S119:S120)</f>
        <v>0</v>
      </c>
      <c r="T121" s="109"/>
      <c r="U121" s="113"/>
      <c r="V121" s="113"/>
      <c r="X121" s="19"/>
    </row>
    <row r="122" spans="4:25">
      <c r="D122" s="126">
        <v>5</v>
      </c>
      <c r="E122" s="21" t="s">
        <v>78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2">
        <f>SUM(F122:P122)</f>
        <v>0</v>
      </c>
      <c r="R122" s="24"/>
      <c r="S122" s="22">
        <f t="shared" ref="S122:S123" si="50">Q122+R122</f>
        <v>0</v>
      </c>
      <c r="T122" s="109" t="s">
        <v>117</v>
      </c>
      <c r="U122" s="113" t="s">
        <v>117</v>
      </c>
      <c r="V122" s="113" t="s">
        <v>117</v>
      </c>
      <c r="X122" s="19">
        <f>Q122*0.2313</f>
        <v>0</v>
      </c>
    </row>
    <row r="123" spans="4:25">
      <c r="D123" s="126"/>
      <c r="E123" s="21" t="s">
        <v>24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2">
        <f>SUM(F123:P123)</f>
        <v>0</v>
      </c>
      <c r="R123" s="24"/>
      <c r="S123" s="22">
        <f t="shared" si="50"/>
        <v>0</v>
      </c>
      <c r="T123" s="109"/>
      <c r="U123" s="113"/>
      <c r="V123" s="113"/>
      <c r="X123" s="19"/>
    </row>
    <row r="124" spans="4:25">
      <c r="D124" s="126"/>
      <c r="E124" s="21" t="s">
        <v>25</v>
      </c>
      <c r="F124" s="22">
        <f>SUM(F122:F123)</f>
        <v>0</v>
      </c>
      <c r="G124" s="22">
        <f t="shared" ref="G124:Q124" si="51">SUM(G122:G123)</f>
        <v>0</v>
      </c>
      <c r="H124" s="22">
        <f t="shared" si="51"/>
        <v>0</v>
      </c>
      <c r="I124" s="22">
        <f t="shared" si="51"/>
        <v>0</v>
      </c>
      <c r="J124" s="22">
        <f t="shared" si="51"/>
        <v>0</v>
      </c>
      <c r="K124" s="22">
        <f t="shared" si="51"/>
        <v>0</v>
      </c>
      <c r="L124" s="22">
        <f t="shared" si="51"/>
        <v>0</v>
      </c>
      <c r="M124" s="22">
        <f t="shared" si="51"/>
        <v>0</v>
      </c>
      <c r="N124" s="22">
        <f t="shared" si="51"/>
        <v>0</v>
      </c>
      <c r="O124" s="22">
        <f t="shared" si="51"/>
        <v>0</v>
      </c>
      <c r="P124" s="22">
        <f t="shared" si="51"/>
        <v>0</v>
      </c>
      <c r="Q124" s="22">
        <f t="shared" si="51"/>
        <v>0</v>
      </c>
      <c r="R124" s="22">
        <f>SUM(R122:R123)</f>
        <v>0</v>
      </c>
      <c r="S124" s="22">
        <f>SUM(S122:S123)</f>
        <v>0</v>
      </c>
      <c r="T124" s="109"/>
      <c r="U124" s="113"/>
      <c r="V124" s="113"/>
      <c r="X124" s="19"/>
    </row>
    <row r="125" spans="4:25">
      <c r="D125" s="126" t="s">
        <v>43</v>
      </c>
      <c r="E125" s="21" t="s">
        <v>78</v>
      </c>
      <c r="F125" s="22">
        <f>F110+F113+F116+F119+F122</f>
        <v>0</v>
      </c>
      <c r="G125" s="22">
        <f t="shared" ref="G125:S125" si="52">G110+G113+G116+G119+G122</f>
        <v>0</v>
      </c>
      <c r="H125" s="22">
        <f t="shared" si="52"/>
        <v>0</v>
      </c>
      <c r="I125" s="22">
        <f t="shared" si="52"/>
        <v>0</v>
      </c>
      <c r="J125" s="22">
        <f t="shared" si="52"/>
        <v>0</v>
      </c>
      <c r="K125" s="22">
        <f t="shared" si="52"/>
        <v>0</v>
      </c>
      <c r="L125" s="22">
        <f t="shared" si="52"/>
        <v>0</v>
      </c>
      <c r="M125" s="22">
        <f t="shared" si="52"/>
        <v>0</v>
      </c>
      <c r="N125" s="22">
        <f t="shared" si="52"/>
        <v>0</v>
      </c>
      <c r="O125" s="22">
        <f t="shared" si="52"/>
        <v>0</v>
      </c>
      <c r="P125" s="22">
        <f t="shared" si="52"/>
        <v>0</v>
      </c>
      <c r="Q125" s="22">
        <f t="shared" si="52"/>
        <v>0</v>
      </c>
      <c r="R125" s="22">
        <f t="shared" si="52"/>
        <v>0</v>
      </c>
      <c r="S125" s="22">
        <f t="shared" si="52"/>
        <v>0</v>
      </c>
      <c r="T125" s="109" t="s">
        <v>117</v>
      </c>
      <c r="U125" s="113" t="s">
        <v>117</v>
      </c>
      <c r="V125" s="113" t="s">
        <v>117</v>
      </c>
      <c r="X125" s="19">
        <f>Q125*0.2313</f>
        <v>0</v>
      </c>
    </row>
    <row r="126" spans="4:25">
      <c r="D126" s="126"/>
      <c r="E126" s="21" t="s">
        <v>24</v>
      </c>
      <c r="F126" s="22">
        <f t="shared" ref="F126:S127" si="53">F111+F114+F117+F120+F123</f>
        <v>0</v>
      </c>
      <c r="G126" s="22">
        <f t="shared" si="53"/>
        <v>0</v>
      </c>
      <c r="H126" s="22">
        <f t="shared" si="53"/>
        <v>0</v>
      </c>
      <c r="I126" s="22">
        <f t="shared" si="53"/>
        <v>0</v>
      </c>
      <c r="J126" s="22">
        <f t="shared" si="53"/>
        <v>0</v>
      </c>
      <c r="K126" s="22">
        <f t="shared" si="53"/>
        <v>0</v>
      </c>
      <c r="L126" s="22">
        <f t="shared" si="53"/>
        <v>0</v>
      </c>
      <c r="M126" s="22">
        <f t="shared" si="53"/>
        <v>0</v>
      </c>
      <c r="N126" s="22">
        <f t="shared" si="53"/>
        <v>0</v>
      </c>
      <c r="O126" s="22">
        <f t="shared" si="53"/>
        <v>0</v>
      </c>
      <c r="P126" s="22">
        <f t="shared" si="53"/>
        <v>0</v>
      </c>
      <c r="Q126" s="22">
        <f t="shared" si="53"/>
        <v>0</v>
      </c>
      <c r="R126" s="22">
        <f t="shared" si="53"/>
        <v>0</v>
      </c>
      <c r="S126" s="22">
        <f t="shared" si="53"/>
        <v>0</v>
      </c>
      <c r="T126" s="109"/>
      <c r="U126" s="113"/>
      <c r="V126" s="113"/>
    </row>
    <row r="127" spans="4:25">
      <c r="D127" s="126"/>
      <c r="E127" s="21" t="s">
        <v>69</v>
      </c>
      <c r="F127" s="22">
        <f t="shared" si="53"/>
        <v>0</v>
      </c>
      <c r="G127" s="22">
        <f t="shared" si="53"/>
        <v>0</v>
      </c>
      <c r="H127" s="22">
        <f t="shared" si="53"/>
        <v>0</v>
      </c>
      <c r="I127" s="22">
        <f t="shared" si="53"/>
        <v>0</v>
      </c>
      <c r="J127" s="22">
        <f t="shared" si="53"/>
        <v>0</v>
      </c>
      <c r="K127" s="22">
        <f t="shared" si="53"/>
        <v>0</v>
      </c>
      <c r="L127" s="22">
        <f t="shared" si="53"/>
        <v>0</v>
      </c>
      <c r="M127" s="22">
        <f t="shared" si="53"/>
        <v>0</v>
      </c>
      <c r="N127" s="22">
        <f t="shared" si="53"/>
        <v>0</v>
      </c>
      <c r="O127" s="22">
        <f t="shared" si="53"/>
        <v>0</v>
      </c>
      <c r="P127" s="22">
        <f t="shared" si="53"/>
        <v>0</v>
      </c>
      <c r="Q127" s="22">
        <f t="shared" si="53"/>
        <v>0</v>
      </c>
      <c r="R127" s="22">
        <f t="shared" si="53"/>
        <v>0</v>
      </c>
      <c r="S127" s="22">
        <f t="shared" si="53"/>
        <v>0</v>
      </c>
      <c r="T127" s="109"/>
      <c r="U127" s="113"/>
      <c r="V127" s="113"/>
    </row>
    <row r="129" spans="4:24">
      <c r="D129" s="119" t="s">
        <v>159</v>
      </c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</row>
    <row r="130" spans="4:24">
      <c r="U130" s="108" t="s">
        <v>143</v>
      </c>
      <c r="V130" s="108"/>
    </row>
    <row r="131" spans="4:24">
      <c r="D131" s="107" t="s">
        <v>68</v>
      </c>
      <c r="E131" s="107"/>
      <c r="F131" s="107" t="s">
        <v>129</v>
      </c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9" t="s">
        <v>117</v>
      </c>
      <c r="U131" s="107" t="s">
        <v>107</v>
      </c>
      <c r="V131" s="107" t="s">
        <v>19</v>
      </c>
    </row>
    <row r="132" spans="4:24">
      <c r="D132" s="107"/>
      <c r="E132" s="107"/>
      <c r="F132" s="107" t="s">
        <v>46</v>
      </c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 t="s">
        <v>134</v>
      </c>
      <c r="S132" s="107" t="s">
        <v>69</v>
      </c>
      <c r="T132" s="109"/>
      <c r="U132" s="107"/>
      <c r="V132" s="107"/>
    </row>
    <row r="133" spans="4:24">
      <c r="D133" s="107"/>
      <c r="E133" s="107"/>
      <c r="F133" s="107" t="s">
        <v>121</v>
      </c>
      <c r="G133" s="107" t="s">
        <v>52</v>
      </c>
      <c r="H133" s="107"/>
      <c r="I133" s="107" t="s">
        <v>76</v>
      </c>
      <c r="J133" s="107"/>
      <c r="K133" s="107" t="s">
        <v>149</v>
      </c>
      <c r="L133" s="107" t="s">
        <v>105</v>
      </c>
      <c r="M133" s="107" t="s">
        <v>88</v>
      </c>
      <c r="N133" s="107" t="s">
        <v>35</v>
      </c>
      <c r="O133" s="107" t="s">
        <v>33</v>
      </c>
      <c r="P133" s="107" t="s">
        <v>30</v>
      </c>
      <c r="Q133" s="107" t="s">
        <v>25</v>
      </c>
      <c r="R133" s="107"/>
      <c r="S133" s="107"/>
      <c r="T133" s="109"/>
      <c r="U133" s="107"/>
      <c r="V133" s="107"/>
    </row>
    <row r="134" spans="4:24">
      <c r="D134" s="107"/>
      <c r="E134" s="107"/>
      <c r="F134" s="107"/>
      <c r="G134" s="20" t="s">
        <v>83</v>
      </c>
      <c r="H134" s="20" t="s">
        <v>102</v>
      </c>
      <c r="I134" s="20" t="s">
        <v>83</v>
      </c>
      <c r="J134" s="20" t="s">
        <v>102</v>
      </c>
      <c r="K134" s="107"/>
      <c r="L134" s="107"/>
      <c r="M134" s="107"/>
      <c r="N134" s="107"/>
      <c r="O134" s="107"/>
      <c r="P134" s="107"/>
      <c r="Q134" s="107"/>
      <c r="R134" s="107"/>
      <c r="S134" s="107"/>
      <c r="T134" s="109"/>
      <c r="U134" s="107"/>
      <c r="V134" s="107"/>
    </row>
    <row r="135" spans="4:24">
      <c r="D135" s="126">
        <v>1</v>
      </c>
      <c r="E135" s="21" t="s">
        <v>78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2">
        <f>SUM(F135:P135)</f>
        <v>0</v>
      </c>
      <c r="R135" s="24"/>
      <c r="S135" s="22">
        <f>Q135+R135</f>
        <v>0</v>
      </c>
      <c r="T135" s="109" t="s">
        <v>117</v>
      </c>
      <c r="U135" s="113" t="s">
        <v>117</v>
      </c>
      <c r="V135" s="113" t="s">
        <v>117</v>
      </c>
      <c r="X135" s="19">
        <f>Q135*0.2205</f>
        <v>0</v>
      </c>
    </row>
    <row r="136" spans="4:24">
      <c r="D136" s="126"/>
      <c r="E136" s="21" t="s">
        <v>24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2">
        <f>SUM(F136:P136)</f>
        <v>0</v>
      </c>
      <c r="R136" s="24"/>
      <c r="S136" s="22">
        <f>Q136+R136</f>
        <v>0</v>
      </c>
      <c r="T136" s="109"/>
      <c r="U136" s="113"/>
      <c r="V136" s="113"/>
    </row>
    <row r="137" spans="4:24">
      <c r="D137" s="126"/>
      <c r="E137" s="21" t="s">
        <v>25</v>
      </c>
      <c r="F137" s="22">
        <f t="shared" ref="F137:P137" si="54">SUM(F135:F136)</f>
        <v>0</v>
      </c>
      <c r="G137" s="22">
        <f t="shared" si="54"/>
        <v>0</v>
      </c>
      <c r="H137" s="22">
        <f t="shared" si="54"/>
        <v>0</v>
      </c>
      <c r="I137" s="22">
        <f t="shared" si="54"/>
        <v>0</v>
      </c>
      <c r="J137" s="22">
        <f t="shared" si="54"/>
        <v>0</v>
      </c>
      <c r="K137" s="22">
        <f t="shared" si="54"/>
        <v>0</v>
      </c>
      <c r="L137" s="22">
        <f t="shared" si="54"/>
        <v>0</v>
      </c>
      <c r="M137" s="22">
        <f t="shared" si="54"/>
        <v>0</v>
      </c>
      <c r="N137" s="22">
        <f t="shared" si="54"/>
        <v>0</v>
      </c>
      <c r="O137" s="22">
        <f t="shared" si="54"/>
        <v>0</v>
      </c>
      <c r="P137" s="22">
        <f t="shared" si="54"/>
        <v>0</v>
      </c>
      <c r="Q137" s="22">
        <f>SUM(Q135:Q136)</f>
        <v>0</v>
      </c>
      <c r="R137" s="22">
        <f t="shared" ref="R137" si="55">SUM(R135:R136)</f>
        <v>0</v>
      </c>
      <c r="S137" s="22">
        <f>SUM(S135:S136)</f>
        <v>0</v>
      </c>
      <c r="T137" s="109"/>
      <c r="U137" s="113"/>
      <c r="V137" s="113"/>
    </row>
    <row r="138" spans="4:24">
      <c r="D138" s="126">
        <v>2</v>
      </c>
      <c r="E138" s="21" t="s">
        <v>78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2">
        <f>SUM(F138:P138)</f>
        <v>0</v>
      </c>
      <c r="R138" s="24"/>
      <c r="S138" s="22">
        <f t="shared" ref="S138:S139" si="56">Q138+R138</f>
        <v>0</v>
      </c>
      <c r="T138" s="109" t="s">
        <v>117</v>
      </c>
      <c r="U138" s="113" t="s">
        <v>117</v>
      </c>
      <c r="V138" s="113" t="s">
        <v>117</v>
      </c>
      <c r="X138" s="19">
        <f>Q138*0.2205</f>
        <v>0</v>
      </c>
    </row>
    <row r="139" spans="4:24">
      <c r="D139" s="126"/>
      <c r="E139" s="21" t="s">
        <v>24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2">
        <f>SUM(F139:P139)</f>
        <v>0</v>
      </c>
      <c r="R139" s="24"/>
      <c r="S139" s="22">
        <f t="shared" si="56"/>
        <v>0</v>
      </c>
      <c r="T139" s="109"/>
      <c r="U139" s="113"/>
      <c r="V139" s="113"/>
    </row>
    <row r="140" spans="4:24">
      <c r="D140" s="126"/>
      <c r="E140" s="21" t="s">
        <v>25</v>
      </c>
      <c r="F140" s="22">
        <f>SUM(F138:F139)</f>
        <v>0</v>
      </c>
      <c r="G140" s="22">
        <f t="shared" ref="G140:R140" si="57">SUM(G138:G139)</f>
        <v>0</v>
      </c>
      <c r="H140" s="22">
        <f t="shared" si="57"/>
        <v>0</v>
      </c>
      <c r="I140" s="22">
        <f t="shared" si="57"/>
        <v>0</v>
      </c>
      <c r="J140" s="22">
        <f t="shared" si="57"/>
        <v>0</v>
      </c>
      <c r="K140" s="22">
        <f t="shared" si="57"/>
        <v>0</v>
      </c>
      <c r="L140" s="22">
        <f t="shared" si="57"/>
        <v>0</v>
      </c>
      <c r="M140" s="22">
        <f t="shared" si="57"/>
        <v>0</v>
      </c>
      <c r="N140" s="22">
        <f t="shared" si="57"/>
        <v>0</v>
      </c>
      <c r="O140" s="22">
        <f t="shared" si="57"/>
        <v>0</v>
      </c>
      <c r="P140" s="22">
        <f t="shared" si="57"/>
        <v>0</v>
      </c>
      <c r="Q140" s="22">
        <f t="shared" si="57"/>
        <v>0</v>
      </c>
      <c r="R140" s="22">
        <f t="shared" si="57"/>
        <v>0</v>
      </c>
      <c r="S140" s="22">
        <f>SUM(S138:S139)</f>
        <v>0</v>
      </c>
      <c r="T140" s="109"/>
      <c r="U140" s="113"/>
      <c r="V140" s="113"/>
    </row>
    <row r="141" spans="4:24">
      <c r="D141" s="126">
        <v>3</v>
      </c>
      <c r="E141" s="21" t="s">
        <v>78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2">
        <f>SUM(F141:P141)</f>
        <v>0</v>
      </c>
      <c r="R141" s="24"/>
      <c r="S141" s="22">
        <f t="shared" ref="S141:S142" si="58">Q141+R141</f>
        <v>0</v>
      </c>
      <c r="T141" s="109" t="s">
        <v>117</v>
      </c>
      <c r="U141" s="113" t="s">
        <v>117</v>
      </c>
      <c r="V141" s="113" t="s">
        <v>117</v>
      </c>
      <c r="X141" s="19">
        <f>Q141*0.2205</f>
        <v>0</v>
      </c>
    </row>
    <row r="142" spans="4:24">
      <c r="D142" s="126"/>
      <c r="E142" s="21" t="s">
        <v>24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2">
        <f>SUM(F142:P142)</f>
        <v>0</v>
      </c>
      <c r="R142" s="24"/>
      <c r="S142" s="22">
        <f t="shared" si="58"/>
        <v>0</v>
      </c>
      <c r="T142" s="109"/>
      <c r="U142" s="113"/>
      <c r="V142" s="113"/>
    </row>
    <row r="143" spans="4:24">
      <c r="D143" s="126"/>
      <c r="E143" s="21" t="s">
        <v>25</v>
      </c>
      <c r="F143" s="22">
        <f>SUM(F141:F142)</f>
        <v>0</v>
      </c>
      <c r="G143" s="22">
        <f t="shared" ref="G143:R143" si="59">SUM(G141:G142)</f>
        <v>0</v>
      </c>
      <c r="H143" s="22">
        <f t="shared" si="59"/>
        <v>0</v>
      </c>
      <c r="I143" s="22">
        <f t="shared" si="59"/>
        <v>0</v>
      </c>
      <c r="J143" s="22">
        <f t="shared" si="59"/>
        <v>0</v>
      </c>
      <c r="K143" s="22">
        <f t="shared" si="59"/>
        <v>0</v>
      </c>
      <c r="L143" s="22">
        <f t="shared" si="59"/>
        <v>0</v>
      </c>
      <c r="M143" s="22">
        <f t="shared" si="59"/>
        <v>0</v>
      </c>
      <c r="N143" s="22">
        <f t="shared" si="59"/>
        <v>0</v>
      </c>
      <c r="O143" s="22">
        <f t="shared" si="59"/>
        <v>0</v>
      </c>
      <c r="P143" s="22">
        <f t="shared" si="59"/>
        <v>0</v>
      </c>
      <c r="Q143" s="22">
        <f t="shared" si="59"/>
        <v>0</v>
      </c>
      <c r="R143" s="22">
        <f t="shared" si="59"/>
        <v>0</v>
      </c>
      <c r="S143" s="22">
        <f>SUM(S141:S142)</f>
        <v>0</v>
      </c>
      <c r="T143" s="109"/>
      <c r="U143" s="113"/>
      <c r="V143" s="113"/>
    </row>
    <row r="144" spans="4:24">
      <c r="D144" s="126">
        <v>4</v>
      </c>
      <c r="E144" s="21" t="s">
        <v>78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2">
        <f>SUM(F144:P144)</f>
        <v>0</v>
      </c>
      <c r="R144" s="24"/>
      <c r="S144" s="22">
        <f t="shared" ref="S144:S145" si="60">Q144+R144</f>
        <v>0</v>
      </c>
      <c r="T144" s="109" t="s">
        <v>117</v>
      </c>
      <c r="U144" s="113" t="s">
        <v>117</v>
      </c>
      <c r="V144" s="113" t="s">
        <v>117</v>
      </c>
      <c r="X144" s="19">
        <f>Q144*0.2205</f>
        <v>0</v>
      </c>
    </row>
    <row r="145" spans="4:24">
      <c r="D145" s="126"/>
      <c r="E145" s="21" t="s">
        <v>24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2">
        <f>SUM(F145:P145)</f>
        <v>0</v>
      </c>
      <c r="R145" s="24"/>
      <c r="S145" s="22">
        <f t="shared" si="60"/>
        <v>0</v>
      </c>
      <c r="T145" s="109"/>
      <c r="U145" s="113"/>
      <c r="V145" s="113"/>
    </row>
    <row r="146" spans="4:24">
      <c r="D146" s="126"/>
      <c r="E146" s="21" t="s">
        <v>25</v>
      </c>
      <c r="F146" s="22">
        <f>SUM(F144:F145)</f>
        <v>0</v>
      </c>
      <c r="G146" s="22">
        <f t="shared" ref="G146:R146" si="61">SUM(G144:G145)</f>
        <v>0</v>
      </c>
      <c r="H146" s="22">
        <f t="shared" si="61"/>
        <v>0</v>
      </c>
      <c r="I146" s="22">
        <f t="shared" si="61"/>
        <v>0</v>
      </c>
      <c r="J146" s="22">
        <f t="shared" si="61"/>
        <v>0</v>
      </c>
      <c r="K146" s="22">
        <f t="shared" si="61"/>
        <v>0</v>
      </c>
      <c r="L146" s="22">
        <f t="shared" si="61"/>
        <v>0</v>
      </c>
      <c r="M146" s="22">
        <f t="shared" si="61"/>
        <v>0</v>
      </c>
      <c r="N146" s="22">
        <f t="shared" si="61"/>
        <v>0</v>
      </c>
      <c r="O146" s="22">
        <f t="shared" si="61"/>
        <v>0</v>
      </c>
      <c r="P146" s="22">
        <f t="shared" si="61"/>
        <v>0</v>
      </c>
      <c r="Q146" s="22">
        <f t="shared" si="61"/>
        <v>0</v>
      </c>
      <c r="R146" s="22">
        <f t="shared" si="61"/>
        <v>0</v>
      </c>
      <c r="S146" s="22">
        <f>SUM(S144:S145)</f>
        <v>0</v>
      </c>
      <c r="T146" s="109"/>
      <c r="U146" s="113"/>
      <c r="V146" s="113"/>
    </row>
    <row r="147" spans="4:24">
      <c r="D147" s="126">
        <v>5</v>
      </c>
      <c r="E147" s="21" t="s">
        <v>78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2">
        <f>SUM(F147:P147)</f>
        <v>0</v>
      </c>
      <c r="R147" s="24"/>
      <c r="S147" s="22">
        <f t="shared" ref="S147:S148" si="62">Q147+R147</f>
        <v>0</v>
      </c>
      <c r="T147" s="109" t="s">
        <v>117</v>
      </c>
      <c r="U147" s="113" t="s">
        <v>117</v>
      </c>
      <c r="V147" s="113" t="s">
        <v>117</v>
      </c>
      <c r="X147" s="19">
        <f>Q147*0.2205</f>
        <v>0</v>
      </c>
    </row>
    <row r="148" spans="4:24">
      <c r="D148" s="126"/>
      <c r="E148" s="21" t="s">
        <v>24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2">
        <f>SUM(F148:P148)</f>
        <v>0</v>
      </c>
      <c r="R148" s="24"/>
      <c r="S148" s="22">
        <f t="shared" si="62"/>
        <v>0</v>
      </c>
      <c r="T148" s="109"/>
      <c r="U148" s="113"/>
      <c r="V148" s="113"/>
    </row>
    <row r="149" spans="4:24">
      <c r="D149" s="126"/>
      <c r="E149" s="21" t="s">
        <v>25</v>
      </c>
      <c r="F149" s="22">
        <f>SUM(F147:F148)</f>
        <v>0</v>
      </c>
      <c r="G149" s="22">
        <f t="shared" ref="G149:Q149" si="63">SUM(G147:G148)</f>
        <v>0</v>
      </c>
      <c r="H149" s="22">
        <f t="shared" si="63"/>
        <v>0</v>
      </c>
      <c r="I149" s="22">
        <f t="shared" si="63"/>
        <v>0</v>
      </c>
      <c r="J149" s="22">
        <f t="shared" si="63"/>
        <v>0</v>
      </c>
      <c r="K149" s="22">
        <f t="shared" si="63"/>
        <v>0</v>
      </c>
      <c r="L149" s="22">
        <f t="shared" si="63"/>
        <v>0</v>
      </c>
      <c r="M149" s="22">
        <f t="shared" si="63"/>
        <v>0</v>
      </c>
      <c r="N149" s="22">
        <f t="shared" si="63"/>
        <v>0</v>
      </c>
      <c r="O149" s="22">
        <f t="shared" si="63"/>
        <v>0</v>
      </c>
      <c r="P149" s="22">
        <f t="shared" si="63"/>
        <v>0</v>
      </c>
      <c r="Q149" s="22">
        <f t="shared" si="63"/>
        <v>0</v>
      </c>
      <c r="R149" s="22">
        <f>SUM(R147:R148)</f>
        <v>0</v>
      </c>
      <c r="S149" s="22">
        <f>SUM(S147:S148)</f>
        <v>0</v>
      </c>
      <c r="T149" s="109"/>
      <c r="U149" s="113"/>
      <c r="V149" s="113"/>
    </row>
    <row r="150" spans="4:24">
      <c r="D150" s="126" t="s">
        <v>43</v>
      </c>
      <c r="E150" s="21" t="s">
        <v>78</v>
      </c>
      <c r="F150" s="22">
        <f>F135+F138+F141+F144+F147</f>
        <v>0</v>
      </c>
      <c r="G150" s="22">
        <f t="shared" ref="G150:S150" si="64">G135+G138+G141+G144+G147</f>
        <v>0</v>
      </c>
      <c r="H150" s="22">
        <f t="shared" si="64"/>
        <v>0</v>
      </c>
      <c r="I150" s="22">
        <f t="shared" si="64"/>
        <v>0</v>
      </c>
      <c r="J150" s="22">
        <f t="shared" si="64"/>
        <v>0</v>
      </c>
      <c r="K150" s="22">
        <f t="shared" si="64"/>
        <v>0</v>
      </c>
      <c r="L150" s="22">
        <f t="shared" si="64"/>
        <v>0</v>
      </c>
      <c r="M150" s="22">
        <f t="shared" si="64"/>
        <v>0</v>
      </c>
      <c r="N150" s="22">
        <f t="shared" si="64"/>
        <v>0</v>
      </c>
      <c r="O150" s="22">
        <f t="shared" si="64"/>
        <v>0</v>
      </c>
      <c r="P150" s="22">
        <f t="shared" si="64"/>
        <v>0</v>
      </c>
      <c r="Q150" s="22">
        <f t="shared" si="64"/>
        <v>0</v>
      </c>
      <c r="R150" s="22">
        <f t="shared" si="64"/>
        <v>0</v>
      </c>
      <c r="S150" s="22">
        <f t="shared" si="64"/>
        <v>0</v>
      </c>
      <c r="T150" s="109" t="s">
        <v>117</v>
      </c>
      <c r="U150" s="113" t="s">
        <v>117</v>
      </c>
      <c r="V150" s="113" t="s">
        <v>117</v>
      </c>
      <c r="X150" s="19">
        <f>Q150*0.2205</f>
        <v>0</v>
      </c>
    </row>
    <row r="151" spans="4:24">
      <c r="D151" s="126"/>
      <c r="E151" s="21" t="s">
        <v>24</v>
      </c>
      <c r="F151" s="22">
        <f t="shared" ref="F151:S152" si="65">F136+F139+F142+F145+F148</f>
        <v>0</v>
      </c>
      <c r="G151" s="22">
        <f t="shared" si="65"/>
        <v>0</v>
      </c>
      <c r="H151" s="22">
        <f t="shared" si="65"/>
        <v>0</v>
      </c>
      <c r="I151" s="22">
        <f t="shared" si="65"/>
        <v>0</v>
      </c>
      <c r="J151" s="22">
        <f t="shared" si="65"/>
        <v>0</v>
      </c>
      <c r="K151" s="22">
        <f t="shared" si="65"/>
        <v>0</v>
      </c>
      <c r="L151" s="22">
        <f t="shared" si="65"/>
        <v>0</v>
      </c>
      <c r="M151" s="22">
        <f t="shared" si="65"/>
        <v>0</v>
      </c>
      <c r="N151" s="22">
        <f t="shared" si="65"/>
        <v>0</v>
      </c>
      <c r="O151" s="22">
        <f t="shared" si="65"/>
        <v>0</v>
      </c>
      <c r="P151" s="22">
        <f t="shared" si="65"/>
        <v>0</v>
      </c>
      <c r="Q151" s="22">
        <f t="shared" si="65"/>
        <v>0</v>
      </c>
      <c r="R151" s="22">
        <f t="shared" si="65"/>
        <v>0</v>
      </c>
      <c r="S151" s="22">
        <f t="shared" si="65"/>
        <v>0</v>
      </c>
      <c r="T151" s="109"/>
      <c r="U151" s="113"/>
      <c r="V151" s="113"/>
    </row>
    <row r="152" spans="4:24">
      <c r="D152" s="126"/>
      <c r="E152" s="21" t="s">
        <v>69</v>
      </c>
      <c r="F152" s="22">
        <f t="shared" si="65"/>
        <v>0</v>
      </c>
      <c r="G152" s="22">
        <f t="shared" si="65"/>
        <v>0</v>
      </c>
      <c r="H152" s="22">
        <f t="shared" si="65"/>
        <v>0</v>
      </c>
      <c r="I152" s="22">
        <f t="shared" si="65"/>
        <v>0</v>
      </c>
      <c r="J152" s="22">
        <f t="shared" si="65"/>
        <v>0</v>
      </c>
      <c r="K152" s="22">
        <f t="shared" si="65"/>
        <v>0</v>
      </c>
      <c r="L152" s="22">
        <f t="shared" si="65"/>
        <v>0</v>
      </c>
      <c r="M152" s="22">
        <f t="shared" si="65"/>
        <v>0</v>
      </c>
      <c r="N152" s="22">
        <f t="shared" si="65"/>
        <v>0</v>
      </c>
      <c r="O152" s="22">
        <f t="shared" si="65"/>
        <v>0</v>
      </c>
      <c r="P152" s="22">
        <f t="shared" si="65"/>
        <v>0</v>
      </c>
      <c r="Q152" s="22">
        <f t="shared" si="65"/>
        <v>0</v>
      </c>
      <c r="R152" s="22">
        <f t="shared" si="65"/>
        <v>0</v>
      </c>
      <c r="S152" s="22">
        <f t="shared" si="65"/>
        <v>0</v>
      </c>
      <c r="T152" s="109"/>
      <c r="U152" s="113"/>
      <c r="V152" s="113"/>
    </row>
    <row r="154" spans="4:24">
      <c r="D154" s="119" t="s">
        <v>160</v>
      </c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</row>
    <row r="155" spans="4:24">
      <c r="U155" s="127" t="s">
        <v>143</v>
      </c>
      <c r="V155" s="127"/>
    </row>
    <row r="156" spans="4:24">
      <c r="D156" s="107" t="s">
        <v>68</v>
      </c>
      <c r="E156" s="107"/>
      <c r="F156" s="107" t="s">
        <v>129</v>
      </c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9" t="s">
        <v>117</v>
      </c>
      <c r="U156" s="107" t="s">
        <v>107</v>
      </c>
      <c r="V156" s="107" t="s">
        <v>19</v>
      </c>
    </row>
    <row r="157" spans="4:24">
      <c r="D157" s="107"/>
      <c r="E157" s="107"/>
      <c r="F157" s="107" t="s">
        <v>46</v>
      </c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 t="s">
        <v>134</v>
      </c>
      <c r="S157" s="107" t="s">
        <v>69</v>
      </c>
      <c r="T157" s="109"/>
      <c r="U157" s="107"/>
      <c r="V157" s="107"/>
    </row>
    <row r="158" spans="4:24">
      <c r="D158" s="107"/>
      <c r="E158" s="107"/>
      <c r="F158" s="107" t="s">
        <v>121</v>
      </c>
      <c r="G158" s="107" t="s">
        <v>52</v>
      </c>
      <c r="H158" s="107"/>
      <c r="I158" s="107" t="s">
        <v>76</v>
      </c>
      <c r="J158" s="107"/>
      <c r="K158" s="107" t="s">
        <v>149</v>
      </c>
      <c r="L158" s="107" t="s">
        <v>105</v>
      </c>
      <c r="M158" s="107" t="s">
        <v>88</v>
      </c>
      <c r="N158" s="107" t="s">
        <v>35</v>
      </c>
      <c r="O158" s="107" t="s">
        <v>33</v>
      </c>
      <c r="P158" s="107" t="s">
        <v>30</v>
      </c>
      <c r="Q158" s="107" t="s">
        <v>25</v>
      </c>
      <c r="R158" s="107"/>
      <c r="S158" s="107"/>
      <c r="T158" s="109"/>
      <c r="U158" s="107"/>
      <c r="V158" s="107"/>
    </row>
    <row r="159" spans="4:24">
      <c r="D159" s="107"/>
      <c r="E159" s="107"/>
      <c r="F159" s="107"/>
      <c r="G159" s="20" t="s">
        <v>83</v>
      </c>
      <c r="H159" s="20" t="s">
        <v>102</v>
      </c>
      <c r="I159" s="20" t="s">
        <v>83</v>
      </c>
      <c r="J159" s="20" t="s">
        <v>102</v>
      </c>
      <c r="K159" s="107"/>
      <c r="L159" s="107"/>
      <c r="M159" s="107"/>
      <c r="N159" s="107"/>
      <c r="O159" s="107"/>
      <c r="P159" s="107"/>
      <c r="Q159" s="107"/>
      <c r="R159" s="107"/>
      <c r="S159" s="107"/>
      <c r="T159" s="109"/>
      <c r="U159" s="107"/>
      <c r="V159" s="107"/>
    </row>
    <row r="160" spans="4:24">
      <c r="D160" s="126">
        <v>1</v>
      </c>
      <c r="E160" s="21" t="s">
        <v>78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2">
        <f>SUM(F160:P160)</f>
        <v>0</v>
      </c>
      <c r="R160" s="24"/>
      <c r="S160" s="22">
        <f>Q160+R160</f>
        <v>0</v>
      </c>
      <c r="T160" s="109" t="s">
        <v>117</v>
      </c>
      <c r="U160" s="113" t="s">
        <v>117</v>
      </c>
      <c r="V160" s="113" t="s">
        <v>117</v>
      </c>
      <c r="X160" s="19">
        <f>Q160*0.1</f>
        <v>0</v>
      </c>
    </row>
    <row r="161" spans="4:24">
      <c r="D161" s="126"/>
      <c r="E161" s="21" t="s">
        <v>24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2">
        <f>SUM(F161:P161)</f>
        <v>0</v>
      </c>
      <c r="R161" s="24"/>
      <c r="S161" s="22">
        <f>Q161+R161</f>
        <v>0</v>
      </c>
      <c r="T161" s="109"/>
      <c r="U161" s="113"/>
      <c r="V161" s="113"/>
    </row>
    <row r="162" spans="4:24">
      <c r="D162" s="126"/>
      <c r="E162" s="21" t="s">
        <v>25</v>
      </c>
      <c r="F162" s="22">
        <f t="shared" ref="F162:P162" si="66">SUM(F160:F161)</f>
        <v>0</v>
      </c>
      <c r="G162" s="22">
        <f t="shared" si="66"/>
        <v>0</v>
      </c>
      <c r="H162" s="22">
        <f t="shared" si="66"/>
        <v>0</v>
      </c>
      <c r="I162" s="22">
        <f t="shared" si="66"/>
        <v>0</v>
      </c>
      <c r="J162" s="22">
        <f t="shared" si="66"/>
        <v>0</v>
      </c>
      <c r="K162" s="22">
        <f t="shared" si="66"/>
        <v>0</v>
      </c>
      <c r="L162" s="22">
        <f t="shared" si="66"/>
        <v>0</v>
      </c>
      <c r="M162" s="22">
        <f t="shared" si="66"/>
        <v>0</v>
      </c>
      <c r="N162" s="22">
        <f t="shared" si="66"/>
        <v>0</v>
      </c>
      <c r="O162" s="22">
        <f t="shared" si="66"/>
        <v>0</v>
      </c>
      <c r="P162" s="22">
        <f t="shared" si="66"/>
        <v>0</v>
      </c>
      <c r="Q162" s="22">
        <f>SUM(Q160:Q161)</f>
        <v>0</v>
      </c>
      <c r="R162" s="22">
        <f t="shared" ref="R162" si="67">SUM(R160:R161)</f>
        <v>0</v>
      </c>
      <c r="S162" s="22">
        <f>SUM(S160:S161)</f>
        <v>0</v>
      </c>
      <c r="T162" s="109"/>
      <c r="U162" s="113"/>
      <c r="V162" s="113"/>
    </row>
    <row r="163" spans="4:24">
      <c r="D163" s="126">
        <v>2</v>
      </c>
      <c r="E163" s="21" t="s">
        <v>78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2">
        <f>SUM(F163:P163)</f>
        <v>0</v>
      </c>
      <c r="R163" s="24"/>
      <c r="S163" s="22">
        <f t="shared" ref="S163:S164" si="68">Q163+R163</f>
        <v>0</v>
      </c>
      <c r="T163" s="109" t="s">
        <v>117</v>
      </c>
      <c r="U163" s="113" t="s">
        <v>117</v>
      </c>
      <c r="V163" s="113" t="s">
        <v>117</v>
      </c>
      <c r="X163" s="19">
        <f>Q163*0.1</f>
        <v>0</v>
      </c>
    </row>
    <row r="164" spans="4:24">
      <c r="D164" s="126"/>
      <c r="E164" s="21" t="s">
        <v>24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2">
        <f>SUM(F164:P164)</f>
        <v>0</v>
      </c>
      <c r="R164" s="24"/>
      <c r="S164" s="22">
        <f t="shared" si="68"/>
        <v>0</v>
      </c>
      <c r="T164" s="109"/>
      <c r="U164" s="113"/>
      <c r="V164" s="113"/>
    </row>
    <row r="165" spans="4:24">
      <c r="D165" s="126"/>
      <c r="E165" s="21" t="s">
        <v>25</v>
      </c>
      <c r="F165" s="22">
        <f>SUM(F163:F164)</f>
        <v>0</v>
      </c>
      <c r="G165" s="22">
        <f t="shared" ref="G165:R165" si="69">SUM(G163:G164)</f>
        <v>0</v>
      </c>
      <c r="H165" s="22">
        <f t="shared" si="69"/>
        <v>0</v>
      </c>
      <c r="I165" s="22">
        <f t="shared" si="69"/>
        <v>0</v>
      </c>
      <c r="J165" s="22">
        <f t="shared" si="69"/>
        <v>0</v>
      </c>
      <c r="K165" s="22">
        <f t="shared" si="69"/>
        <v>0</v>
      </c>
      <c r="L165" s="22">
        <f t="shared" si="69"/>
        <v>0</v>
      </c>
      <c r="M165" s="22">
        <f t="shared" si="69"/>
        <v>0</v>
      </c>
      <c r="N165" s="22">
        <f t="shared" si="69"/>
        <v>0</v>
      </c>
      <c r="O165" s="22">
        <f t="shared" si="69"/>
        <v>0</v>
      </c>
      <c r="P165" s="22">
        <f t="shared" si="69"/>
        <v>0</v>
      </c>
      <c r="Q165" s="22">
        <f t="shared" si="69"/>
        <v>0</v>
      </c>
      <c r="R165" s="22">
        <f t="shared" si="69"/>
        <v>0</v>
      </c>
      <c r="S165" s="22">
        <f>SUM(S163:S164)</f>
        <v>0</v>
      </c>
      <c r="T165" s="109"/>
      <c r="U165" s="113"/>
      <c r="V165" s="113"/>
    </row>
    <row r="166" spans="4:24">
      <c r="D166" s="126">
        <v>3</v>
      </c>
      <c r="E166" s="21" t="s">
        <v>78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2">
        <f>SUM(F166:P166)</f>
        <v>0</v>
      </c>
      <c r="R166" s="24"/>
      <c r="S166" s="22">
        <f t="shared" ref="S166:S167" si="70">Q166+R166</f>
        <v>0</v>
      </c>
      <c r="T166" s="109" t="s">
        <v>117</v>
      </c>
      <c r="U166" s="113" t="s">
        <v>117</v>
      </c>
      <c r="V166" s="113" t="s">
        <v>117</v>
      </c>
      <c r="X166" s="19">
        <f>Q166*0.1</f>
        <v>0</v>
      </c>
    </row>
    <row r="167" spans="4:24">
      <c r="D167" s="126"/>
      <c r="E167" s="21" t="s">
        <v>24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2">
        <f>SUM(F167:P167)</f>
        <v>0</v>
      </c>
      <c r="R167" s="24"/>
      <c r="S167" s="22">
        <f t="shared" si="70"/>
        <v>0</v>
      </c>
      <c r="T167" s="109"/>
      <c r="U167" s="113"/>
      <c r="V167" s="113"/>
    </row>
    <row r="168" spans="4:24">
      <c r="D168" s="126"/>
      <c r="E168" s="21" t="s">
        <v>25</v>
      </c>
      <c r="F168" s="22">
        <f>SUM(F166:F167)</f>
        <v>0</v>
      </c>
      <c r="G168" s="22">
        <f t="shared" ref="G168:R168" si="71">SUM(G166:G167)</f>
        <v>0</v>
      </c>
      <c r="H168" s="22">
        <f t="shared" si="71"/>
        <v>0</v>
      </c>
      <c r="I168" s="22">
        <f t="shared" si="71"/>
        <v>0</v>
      </c>
      <c r="J168" s="22">
        <f t="shared" si="71"/>
        <v>0</v>
      </c>
      <c r="K168" s="22">
        <f t="shared" si="71"/>
        <v>0</v>
      </c>
      <c r="L168" s="22">
        <f t="shared" si="71"/>
        <v>0</v>
      </c>
      <c r="M168" s="22">
        <f t="shared" si="71"/>
        <v>0</v>
      </c>
      <c r="N168" s="22">
        <f t="shared" si="71"/>
        <v>0</v>
      </c>
      <c r="O168" s="22">
        <f t="shared" si="71"/>
        <v>0</v>
      </c>
      <c r="P168" s="22">
        <f t="shared" si="71"/>
        <v>0</v>
      </c>
      <c r="Q168" s="22">
        <f t="shared" si="71"/>
        <v>0</v>
      </c>
      <c r="R168" s="22">
        <f t="shared" si="71"/>
        <v>0</v>
      </c>
      <c r="S168" s="22">
        <f>SUM(S166:S167)</f>
        <v>0</v>
      </c>
      <c r="T168" s="109"/>
      <c r="U168" s="113"/>
      <c r="V168" s="113"/>
    </row>
    <row r="169" spans="4:24">
      <c r="D169" s="126">
        <v>4</v>
      </c>
      <c r="E169" s="21" t="s">
        <v>78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2">
        <f>SUM(F169:P169)</f>
        <v>0</v>
      </c>
      <c r="R169" s="24"/>
      <c r="S169" s="22">
        <f t="shared" ref="S169:S170" si="72">Q169+R169</f>
        <v>0</v>
      </c>
      <c r="T169" s="109" t="s">
        <v>117</v>
      </c>
      <c r="U169" s="113" t="s">
        <v>117</v>
      </c>
      <c r="V169" s="113" t="s">
        <v>117</v>
      </c>
      <c r="X169" s="19">
        <f>Q169*0.1</f>
        <v>0</v>
      </c>
    </row>
    <row r="170" spans="4:24">
      <c r="D170" s="126"/>
      <c r="E170" s="21" t="s">
        <v>24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2">
        <f>SUM(F170:P170)</f>
        <v>0</v>
      </c>
      <c r="R170" s="24"/>
      <c r="S170" s="22">
        <f t="shared" si="72"/>
        <v>0</v>
      </c>
      <c r="T170" s="109"/>
      <c r="U170" s="113"/>
      <c r="V170" s="113"/>
    </row>
    <row r="171" spans="4:24">
      <c r="D171" s="126"/>
      <c r="E171" s="21" t="s">
        <v>25</v>
      </c>
      <c r="F171" s="22">
        <f>SUM(F169:F170)</f>
        <v>0</v>
      </c>
      <c r="G171" s="22">
        <f t="shared" ref="G171:R171" si="73">SUM(G169:G170)</f>
        <v>0</v>
      </c>
      <c r="H171" s="22">
        <f t="shared" si="73"/>
        <v>0</v>
      </c>
      <c r="I171" s="22">
        <f t="shared" si="73"/>
        <v>0</v>
      </c>
      <c r="J171" s="22">
        <f t="shared" si="73"/>
        <v>0</v>
      </c>
      <c r="K171" s="22">
        <f t="shared" si="73"/>
        <v>0</v>
      </c>
      <c r="L171" s="22">
        <f t="shared" si="73"/>
        <v>0</v>
      </c>
      <c r="M171" s="22">
        <f t="shared" si="73"/>
        <v>0</v>
      </c>
      <c r="N171" s="22">
        <f t="shared" si="73"/>
        <v>0</v>
      </c>
      <c r="O171" s="22">
        <f t="shared" si="73"/>
        <v>0</v>
      </c>
      <c r="P171" s="22">
        <f t="shared" si="73"/>
        <v>0</v>
      </c>
      <c r="Q171" s="22">
        <f t="shared" si="73"/>
        <v>0</v>
      </c>
      <c r="R171" s="22">
        <f t="shared" si="73"/>
        <v>0</v>
      </c>
      <c r="S171" s="22">
        <f>SUM(S169:S170)</f>
        <v>0</v>
      </c>
      <c r="T171" s="109"/>
      <c r="U171" s="113"/>
      <c r="V171" s="113"/>
    </row>
    <row r="172" spans="4:24">
      <c r="D172" s="126">
        <v>5</v>
      </c>
      <c r="E172" s="21" t="s">
        <v>78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2">
        <f>SUM(F172:P172)</f>
        <v>0</v>
      </c>
      <c r="R172" s="24"/>
      <c r="S172" s="22">
        <f t="shared" ref="S172:S173" si="74">Q172+R172</f>
        <v>0</v>
      </c>
      <c r="T172" s="109" t="s">
        <v>117</v>
      </c>
      <c r="U172" s="113" t="s">
        <v>117</v>
      </c>
      <c r="V172" s="113" t="s">
        <v>117</v>
      </c>
      <c r="X172" s="19">
        <f>Q172*0.2205</f>
        <v>0</v>
      </c>
    </row>
    <row r="173" spans="4:24">
      <c r="D173" s="126"/>
      <c r="E173" s="21" t="s">
        <v>24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2">
        <f>SUM(F173:P173)</f>
        <v>0</v>
      </c>
      <c r="R173" s="24"/>
      <c r="S173" s="22">
        <f t="shared" si="74"/>
        <v>0</v>
      </c>
      <c r="T173" s="109"/>
      <c r="U173" s="113"/>
      <c r="V173" s="113"/>
    </row>
    <row r="174" spans="4:24">
      <c r="D174" s="126"/>
      <c r="E174" s="21" t="s">
        <v>25</v>
      </c>
      <c r="F174" s="22">
        <f>SUM(F172:F173)</f>
        <v>0</v>
      </c>
      <c r="G174" s="22">
        <f t="shared" ref="G174:Q174" si="75">SUM(G172:G173)</f>
        <v>0</v>
      </c>
      <c r="H174" s="22">
        <f t="shared" si="75"/>
        <v>0</v>
      </c>
      <c r="I174" s="22">
        <f t="shared" si="75"/>
        <v>0</v>
      </c>
      <c r="J174" s="22">
        <f t="shared" si="75"/>
        <v>0</v>
      </c>
      <c r="K174" s="22">
        <f t="shared" si="75"/>
        <v>0</v>
      </c>
      <c r="L174" s="22">
        <f t="shared" si="75"/>
        <v>0</v>
      </c>
      <c r="M174" s="22">
        <f t="shared" si="75"/>
        <v>0</v>
      </c>
      <c r="N174" s="22">
        <f t="shared" si="75"/>
        <v>0</v>
      </c>
      <c r="O174" s="22">
        <f t="shared" si="75"/>
        <v>0</v>
      </c>
      <c r="P174" s="22">
        <f t="shared" si="75"/>
        <v>0</v>
      </c>
      <c r="Q174" s="22">
        <f t="shared" si="75"/>
        <v>0</v>
      </c>
      <c r="R174" s="22">
        <f>SUM(R172:R173)</f>
        <v>0</v>
      </c>
      <c r="S174" s="22">
        <f>SUM(S172:S173)</f>
        <v>0</v>
      </c>
      <c r="T174" s="109"/>
      <c r="U174" s="113"/>
      <c r="V174" s="113"/>
    </row>
    <row r="175" spans="4:24">
      <c r="D175" s="126" t="s">
        <v>43</v>
      </c>
      <c r="E175" s="21" t="s">
        <v>78</v>
      </c>
      <c r="F175" s="22">
        <f>F160+F163+F166+F169+F172</f>
        <v>0</v>
      </c>
      <c r="G175" s="22">
        <f t="shared" ref="G175:S175" si="76">G160+G163+G166+G169+G172</f>
        <v>0</v>
      </c>
      <c r="H175" s="22">
        <f t="shared" si="76"/>
        <v>0</v>
      </c>
      <c r="I175" s="22">
        <f t="shared" si="76"/>
        <v>0</v>
      </c>
      <c r="J175" s="22">
        <f t="shared" si="76"/>
        <v>0</v>
      </c>
      <c r="K175" s="22">
        <f t="shared" si="76"/>
        <v>0</v>
      </c>
      <c r="L175" s="22">
        <f t="shared" si="76"/>
        <v>0</v>
      </c>
      <c r="M175" s="22">
        <f t="shared" si="76"/>
        <v>0</v>
      </c>
      <c r="N175" s="22">
        <f t="shared" si="76"/>
        <v>0</v>
      </c>
      <c r="O175" s="22">
        <f t="shared" si="76"/>
        <v>0</v>
      </c>
      <c r="P175" s="22">
        <f t="shared" si="76"/>
        <v>0</v>
      </c>
      <c r="Q175" s="22">
        <f t="shared" si="76"/>
        <v>0</v>
      </c>
      <c r="R175" s="22">
        <f t="shared" si="76"/>
        <v>0</v>
      </c>
      <c r="S175" s="22">
        <f t="shared" si="76"/>
        <v>0</v>
      </c>
      <c r="T175" s="109" t="s">
        <v>117</v>
      </c>
      <c r="U175" s="113" t="s">
        <v>117</v>
      </c>
      <c r="V175" s="113" t="s">
        <v>117</v>
      </c>
      <c r="X175" s="19">
        <f>Q175*0.1</f>
        <v>0</v>
      </c>
    </row>
    <row r="176" spans="4:24">
      <c r="D176" s="126"/>
      <c r="E176" s="21" t="s">
        <v>24</v>
      </c>
      <c r="F176" s="22">
        <f t="shared" ref="F176:S177" si="77">F161+F164+F167+F170+F173</f>
        <v>0</v>
      </c>
      <c r="G176" s="22">
        <f t="shared" si="77"/>
        <v>0</v>
      </c>
      <c r="H176" s="22">
        <f t="shared" si="77"/>
        <v>0</v>
      </c>
      <c r="I176" s="22">
        <f t="shared" si="77"/>
        <v>0</v>
      </c>
      <c r="J176" s="22">
        <f t="shared" si="77"/>
        <v>0</v>
      </c>
      <c r="K176" s="22">
        <f t="shared" si="77"/>
        <v>0</v>
      </c>
      <c r="L176" s="22">
        <f t="shared" si="77"/>
        <v>0</v>
      </c>
      <c r="M176" s="22">
        <f t="shared" si="77"/>
        <v>0</v>
      </c>
      <c r="N176" s="22">
        <f t="shared" si="77"/>
        <v>0</v>
      </c>
      <c r="O176" s="22">
        <f t="shared" si="77"/>
        <v>0</v>
      </c>
      <c r="P176" s="22">
        <f t="shared" si="77"/>
        <v>0</v>
      </c>
      <c r="Q176" s="22">
        <f t="shared" si="77"/>
        <v>0</v>
      </c>
      <c r="R176" s="22">
        <f t="shared" si="77"/>
        <v>0</v>
      </c>
      <c r="S176" s="22">
        <f t="shared" si="77"/>
        <v>0</v>
      </c>
      <c r="T176" s="109"/>
      <c r="U176" s="113"/>
      <c r="V176" s="113"/>
    </row>
    <row r="177" spans="4:24">
      <c r="D177" s="126"/>
      <c r="E177" s="21" t="s">
        <v>69</v>
      </c>
      <c r="F177" s="22">
        <f t="shared" si="77"/>
        <v>0</v>
      </c>
      <c r="G177" s="22">
        <f t="shared" si="77"/>
        <v>0</v>
      </c>
      <c r="H177" s="22">
        <f t="shared" si="77"/>
        <v>0</v>
      </c>
      <c r="I177" s="22">
        <f t="shared" si="77"/>
        <v>0</v>
      </c>
      <c r="J177" s="22">
        <f t="shared" si="77"/>
        <v>0</v>
      </c>
      <c r="K177" s="22">
        <f t="shared" si="77"/>
        <v>0</v>
      </c>
      <c r="L177" s="22">
        <f t="shared" si="77"/>
        <v>0</v>
      </c>
      <c r="M177" s="22">
        <f t="shared" si="77"/>
        <v>0</v>
      </c>
      <c r="N177" s="22">
        <f t="shared" si="77"/>
        <v>0</v>
      </c>
      <c r="O177" s="22">
        <f t="shared" si="77"/>
        <v>0</v>
      </c>
      <c r="P177" s="22">
        <f t="shared" si="77"/>
        <v>0</v>
      </c>
      <c r="Q177" s="22">
        <f t="shared" si="77"/>
        <v>0</v>
      </c>
      <c r="R177" s="22">
        <f t="shared" si="77"/>
        <v>0</v>
      </c>
      <c r="S177" s="22">
        <f t="shared" si="77"/>
        <v>0</v>
      </c>
      <c r="T177" s="109"/>
      <c r="U177" s="113"/>
      <c r="V177" s="113"/>
    </row>
    <row r="179" spans="4:24">
      <c r="D179" s="119" t="s">
        <v>161</v>
      </c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</row>
    <row r="180" spans="4:24">
      <c r="U180" s="127" t="s">
        <v>143</v>
      </c>
      <c r="V180" s="127"/>
    </row>
    <row r="181" spans="4:24">
      <c r="D181" s="107" t="s">
        <v>68</v>
      </c>
      <c r="E181" s="107"/>
      <c r="F181" s="107" t="s">
        <v>129</v>
      </c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9" t="s">
        <v>117</v>
      </c>
      <c r="U181" s="107" t="s">
        <v>107</v>
      </c>
      <c r="V181" s="107" t="s">
        <v>19</v>
      </c>
    </row>
    <row r="182" spans="4:24">
      <c r="D182" s="107"/>
      <c r="E182" s="107"/>
      <c r="F182" s="107" t="s">
        <v>46</v>
      </c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 t="s">
        <v>134</v>
      </c>
      <c r="S182" s="107" t="s">
        <v>69</v>
      </c>
      <c r="T182" s="109"/>
      <c r="U182" s="107"/>
      <c r="V182" s="107"/>
    </row>
    <row r="183" spans="4:24">
      <c r="D183" s="107"/>
      <c r="E183" s="107"/>
      <c r="F183" s="107" t="s">
        <v>121</v>
      </c>
      <c r="G183" s="107" t="s">
        <v>52</v>
      </c>
      <c r="H183" s="107"/>
      <c r="I183" s="107" t="s">
        <v>76</v>
      </c>
      <c r="J183" s="107"/>
      <c r="K183" s="107" t="s">
        <v>149</v>
      </c>
      <c r="L183" s="107" t="s">
        <v>105</v>
      </c>
      <c r="M183" s="107" t="s">
        <v>88</v>
      </c>
      <c r="N183" s="107" t="s">
        <v>35</v>
      </c>
      <c r="O183" s="107" t="s">
        <v>33</v>
      </c>
      <c r="P183" s="107" t="s">
        <v>30</v>
      </c>
      <c r="Q183" s="107" t="s">
        <v>25</v>
      </c>
      <c r="R183" s="107"/>
      <c r="S183" s="107"/>
      <c r="T183" s="109"/>
      <c r="U183" s="107"/>
      <c r="V183" s="107"/>
    </row>
    <row r="184" spans="4:24">
      <c r="D184" s="107"/>
      <c r="E184" s="107"/>
      <c r="F184" s="110"/>
      <c r="G184" s="51" t="s">
        <v>83</v>
      </c>
      <c r="H184" s="51" t="s">
        <v>102</v>
      </c>
      <c r="I184" s="51" t="s">
        <v>83</v>
      </c>
      <c r="J184" s="51" t="s">
        <v>102</v>
      </c>
      <c r="K184" s="110"/>
      <c r="L184" s="110"/>
      <c r="M184" s="110"/>
      <c r="N184" s="110"/>
      <c r="O184" s="110"/>
      <c r="P184" s="110"/>
      <c r="Q184" s="110"/>
      <c r="R184" s="110"/>
      <c r="S184" s="107"/>
      <c r="T184" s="109"/>
      <c r="U184" s="107"/>
      <c r="V184" s="107"/>
    </row>
    <row r="185" spans="4:24">
      <c r="D185" s="126">
        <v>1</v>
      </c>
      <c r="E185" s="52" t="s">
        <v>78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2">
        <f>SUM(F185:P185)</f>
        <v>0</v>
      </c>
      <c r="R185" s="24"/>
      <c r="S185" s="22">
        <f>Q185+R185</f>
        <v>0</v>
      </c>
      <c r="T185" s="109" t="s">
        <v>117</v>
      </c>
      <c r="U185" s="113" t="s">
        <v>117</v>
      </c>
      <c r="V185" s="113" t="s">
        <v>117</v>
      </c>
      <c r="X185" s="19">
        <f>Q185*0.17</f>
        <v>0</v>
      </c>
    </row>
    <row r="186" spans="4:24">
      <c r="D186" s="126"/>
      <c r="E186" s="52" t="s">
        <v>24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2">
        <f>SUM(F186:P186)</f>
        <v>0</v>
      </c>
      <c r="R186" s="24"/>
      <c r="S186" s="22">
        <f>Q186+R186</f>
        <v>0</v>
      </c>
      <c r="T186" s="109"/>
      <c r="U186" s="113"/>
      <c r="V186" s="113"/>
      <c r="X186" s="19"/>
    </row>
    <row r="187" spans="4:24">
      <c r="D187" s="126"/>
      <c r="E187" s="52" t="s">
        <v>25</v>
      </c>
      <c r="F187" s="22">
        <f t="shared" ref="F187:P187" si="78">SUM(F185:F186)</f>
        <v>0</v>
      </c>
      <c r="G187" s="22">
        <f t="shared" si="78"/>
        <v>0</v>
      </c>
      <c r="H187" s="22">
        <f t="shared" si="78"/>
        <v>0</v>
      </c>
      <c r="I187" s="22">
        <f t="shared" si="78"/>
        <v>0</v>
      </c>
      <c r="J187" s="22">
        <f t="shared" si="78"/>
        <v>0</v>
      </c>
      <c r="K187" s="22">
        <f t="shared" si="78"/>
        <v>0</v>
      </c>
      <c r="L187" s="22">
        <f t="shared" si="78"/>
        <v>0</v>
      </c>
      <c r="M187" s="22">
        <f t="shared" si="78"/>
        <v>0</v>
      </c>
      <c r="N187" s="22">
        <f t="shared" si="78"/>
        <v>0</v>
      </c>
      <c r="O187" s="22">
        <f t="shared" si="78"/>
        <v>0</v>
      </c>
      <c r="P187" s="22">
        <f t="shared" si="78"/>
        <v>0</v>
      </c>
      <c r="Q187" s="22">
        <f>SUM(Q185:Q186)</f>
        <v>0</v>
      </c>
      <c r="R187" s="22">
        <f t="shared" ref="R187" si="79">SUM(R185:R186)</f>
        <v>0</v>
      </c>
      <c r="S187" s="22">
        <f>SUM(S185:S186)</f>
        <v>0</v>
      </c>
      <c r="T187" s="109"/>
      <c r="U187" s="113"/>
      <c r="V187" s="113"/>
      <c r="X187" s="19"/>
    </row>
    <row r="188" spans="4:24">
      <c r="D188" s="126">
        <v>2</v>
      </c>
      <c r="E188" s="52" t="s">
        <v>78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2">
        <f>SUM(F188:P188)</f>
        <v>0</v>
      </c>
      <c r="R188" s="24"/>
      <c r="S188" s="22">
        <f t="shared" ref="S188:S189" si="80">Q188+R188</f>
        <v>0</v>
      </c>
      <c r="T188" s="109" t="s">
        <v>117</v>
      </c>
      <c r="U188" s="113" t="s">
        <v>117</v>
      </c>
      <c r="V188" s="113" t="s">
        <v>117</v>
      </c>
      <c r="X188" s="19">
        <f>Q188*0.17</f>
        <v>0</v>
      </c>
    </row>
    <row r="189" spans="4:24">
      <c r="D189" s="126"/>
      <c r="E189" s="52" t="s">
        <v>24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2">
        <f>SUM(F189:P189)</f>
        <v>0</v>
      </c>
      <c r="R189" s="24"/>
      <c r="S189" s="22">
        <f t="shared" si="80"/>
        <v>0</v>
      </c>
      <c r="T189" s="109"/>
      <c r="U189" s="113"/>
      <c r="V189" s="113"/>
      <c r="X189" s="19"/>
    </row>
    <row r="190" spans="4:24">
      <c r="D190" s="126"/>
      <c r="E190" s="52" t="s">
        <v>25</v>
      </c>
      <c r="F190" s="22">
        <f>SUM(F188:F189)</f>
        <v>0</v>
      </c>
      <c r="G190" s="22">
        <f t="shared" ref="G190:R190" si="81">SUM(G188:G189)</f>
        <v>0</v>
      </c>
      <c r="H190" s="22">
        <f t="shared" si="81"/>
        <v>0</v>
      </c>
      <c r="I190" s="22">
        <f t="shared" si="81"/>
        <v>0</v>
      </c>
      <c r="J190" s="22">
        <f t="shared" si="81"/>
        <v>0</v>
      </c>
      <c r="K190" s="22">
        <f t="shared" si="81"/>
        <v>0</v>
      </c>
      <c r="L190" s="22">
        <f t="shared" si="81"/>
        <v>0</v>
      </c>
      <c r="M190" s="22">
        <f t="shared" si="81"/>
        <v>0</v>
      </c>
      <c r="N190" s="22">
        <f t="shared" si="81"/>
        <v>0</v>
      </c>
      <c r="O190" s="22">
        <f t="shared" si="81"/>
        <v>0</v>
      </c>
      <c r="P190" s="22">
        <f t="shared" si="81"/>
        <v>0</v>
      </c>
      <c r="Q190" s="22">
        <f t="shared" si="81"/>
        <v>0</v>
      </c>
      <c r="R190" s="22">
        <f t="shared" si="81"/>
        <v>0</v>
      </c>
      <c r="S190" s="22">
        <f>SUM(S188:S189)</f>
        <v>0</v>
      </c>
      <c r="T190" s="109"/>
      <c r="U190" s="113"/>
      <c r="V190" s="113"/>
      <c r="X190" s="19"/>
    </row>
    <row r="191" spans="4:24">
      <c r="D191" s="126">
        <v>3</v>
      </c>
      <c r="E191" s="52" t="s">
        <v>78</v>
      </c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2">
        <f>SUM(F191:P191)</f>
        <v>0</v>
      </c>
      <c r="R191" s="24"/>
      <c r="S191" s="22">
        <f t="shared" ref="S191:S192" si="82">Q191+R191</f>
        <v>0</v>
      </c>
      <c r="T191" s="109" t="s">
        <v>117</v>
      </c>
      <c r="U191" s="113" t="s">
        <v>117</v>
      </c>
      <c r="V191" s="113" t="s">
        <v>117</v>
      </c>
      <c r="X191" s="19">
        <f>Q191*0.17</f>
        <v>0</v>
      </c>
    </row>
    <row r="192" spans="4:24">
      <c r="D192" s="126"/>
      <c r="E192" s="52" t="s">
        <v>24</v>
      </c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2">
        <f>SUM(F192:P192)</f>
        <v>0</v>
      </c>
      <c r="R192" s="24"/>
      <c r="S192" s="22">
        <f t="shared" si="82"/>
        <v>0</v>
      </c>
      <c r="T192" s="109"/>
      <c r="U192" s="113"/>
      <c r="V192" s="113"/>
      <c r="X192" s="19"/>
    </row>
    <row r="193" spans="4:24">
      <c r="D193" s="126"/>
      <c r="E193" s="52" t="s">
        <v>25</v>
      </c>
      <c r="F193" s="22">
        <f>SUM(F191:F192)</f>
        <v>0</v>
      </c>
      <c r="G193" s="22">
        <f t="shared" ref="G193:R193" si="83">SUM(G191:G192)</f>
        <v>0</v>
      </c>
      <c r="H193" s="22">
        <f t="shared" si="83"/>
        <v>0</v>
      </c>
      <c r="I193" s="22">
        <f t="shared" si="83"/>
        <v>0</v>
      </c>
      <c r="J193" s="22">
        <f t="shared" si="83"/>
        <v>0</v>
      </c>
      <c r="K193" s="22">
        <f t="shared" si="83"/>
        <v>0</v>
      </c>
      <c r="L193" s="22">
        <f t="shared" si="83"/>
        <v>0</v>
      </c>
      <c r="M193" s="22">
        <f t="shared" si="83"/>
        <v>0</v>
      </c>
      <c r="N193" s="22">
        <f t="shared" si="83"/>
        <v>0</v>
      </c>
      <c r="O193" s="22">
        <f t="shared" si="83"/>
        <v>0</v>
      </c>
      <c r="P193" s="22">
        <f t="shared" si="83"/>
        <v>0</v>
      </c>
      <c r="Q193" s="22">
        <f t="shared" si="83"/>
        <v>0</v>
      </c>
      <c r="R193" s="22">
        <f t="shared" si="83"/>
        <v>0</v>
      </c>
      <c r="S193" s="22">
        <f>SUM(S191:S192)</f>
        <v>0</v>
      </c>
      <c r="T193" s="109"/>
      <c r="U193" s="113"/>
      <c r="V193" s="113"/>
      <c r="X193" s="19"/>
    </row>
    <row r="194" spans="4:24">
      <c r="D194" s="126">
        <v>4</v>
      </c>
      <c r="E194" s="52" t="s">
        <v>78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2">
        <f>SUM(F194:P194)</f>
        <v>0</v>
      </c>
      <c r="R194" s="24"/>
      <c r="S194" s="22">
        <f t="shared" ref="S194:S195" si="84">Q194+R194</f>
        <v>0</v>
      </c>
      <c r="T194" s="109" t="s">
        <v>117</v>
      </c>
      <c r="U194" s="113" t="s">
        <v>117</v>
      </c>
      <c r="V194" s="113" t="s">
        <v>117</v>
      </c>
      <c r="X194" s="19">
        <f>Q194*0.17</f>
        <v>0</v>
      </c>
    </row>
    <row r="195" spans="4:24">
      <c r="D195" s="126"/>
      <c r="E195" s="52" t="s">
        <v>24</v>
      </c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2">
        <f>SUM(F195:P195)</f>
        <v>0</v>
      </c>
      <c r="R195" s="24"/>
      <c r="S195" s="22">
        <f t="shared" si="84"/>
        <v>0</v>
      </c>
      <c r="T195" s="109"/>
      <c r="U195" s="113"/>
      <c r="V195" s="113"/>
      <c r="X195" s="19"/>
    </row>
    <row r="196" spans="4:24">
      <c r="D196" s="126"/>
      <c r="E196" s="52" t="s">
        <v>25</v>
      </c>
      <c r="F196" s="22">
        <f>SUM(F194:F195)</f>
        <v>0</v>
      </c>
      <c r="G196" s="22">
        <f t="shared" ref="G196:R196" si="85">SUM(G194:G195)</f>
        <v>0</v>
      </c>
      <c r="H196" s="22">
        <f t="shared" si="85"/>
        <v>0</v>
      </c>
      <c r="I196" s="22">
        <f t="shared" si="85"/>
        <v>0</v>
      </c>
      <c r="J196" s="22">
        <f t="shared" si="85"/>
        <v>0</v>
      </c>
      <c r="K196" s="22">
        <f t="shared" si="85"/>
        <v>0</v>
      </c>
      <c r="L196" s="22">
        <f t="shared" si="85"/>
        <v>0</v>
      </c>
      <c r="M196" s="22">
        <f t="shared" si="85"/>
        <v>0</v>
      </c>
      <c r="N196" s="22">
        <f t="shared" si="85"/>
        <v>0</v>
      </c>
      <c r="O196" s="22">
        <f t="shared" si="85"/>
        <v>0</v>
      </c>
      <c r="P196" s="22">
        <f t="shared" si="85"/>
        <v>0</v>
      </c>
      <c r="Q196" s="22">
        <f t="shared" si="85"/>
        <v>0</v>
      </c>
      <c r="R196" s="22">
        <f t="shared" si="85"/>
        <v>0</v>
      </c>
      <c r="S196" s="22">
        <f>SUM(S194:S195)</f>
        <v>0</v>
      </c>
      <c r="T196" s="109"/>
      <c r="U196" s="113"/>
      <c r="V196" s="113"/>
      <c r="X196" s="19"/>
    </row>
    <row r="197" spans="4:24">
      <c r="D197" s="126">
        <v>5</v>
      </c>
      <c r="E197" s="52" t="s">
        <v>78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2">
        <f>SUM(F197:P197)</f>
        <v>0</v>
      </c>
      <c r="R197" s="24"/>
      <c r="S197" s="22">
        <f t="shared" ref="S197:S198" si="86">Q197+R197</f>
        <v>0</v>
      </c>
      <c r="T197" s="109" t="s">
        <v>117</v>
      </c>
      <c r="U197" s="113" t="s">
        <v>117</v>
      </c>
      <c r="V197" s="113" t="s">
        <v>117</v>
      </c>
      <c r="X197" s="19">
        <f>Q197*0.2205</f>
        <v>0</v>
      </c>
    </row>
    <row r="198" spans="4:24">
      <c r="D198" s="126"/>
      <c r="E198" s="52" t="s">
        <v>24</v>
      </c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2">
        <f>SUM(F198:P198)</f>
        <v>0</v>
      </c>
      <c r="R198" s="24"/>
      <c r="S198" s="22">
        <f t="shared" si="86"/>
        <v>0</v>
      </c>
      <c r="T198" s="109"/>
      <c r="U198" s="113"/>
      <c r="V198" s="113"/>
    </row>
    <row r="199" spans="4:24">
      <c r="D199" s="126"/>
      <c r="E199" s="52" t="s">
        <v>25</v>
      </c>
      <c r="F199" s="22">
        <f>SUM(F197:F198)</f>
        <v>0</v>
      </c>
      <c r="G199" s="22">
        <f t="shared" ref="G199:Q199" si="87">SUM(G197:G198)</f>
        <v>0</v>
      </c>
      <c r="H199" s="22">
        <f t="shared" si="87"/>
        <v>0</v>
      </c>
      <c r="I199" s="22">
        <f t="shared" si="87"/>
        <v>0</v>
      </c>
      <c r="J199" s="22">
        <f t="shared" si="87"/>
        <v>0</v>
      </c>
      <c r="K199" s="22">
        <f t="shared" si="87"/>
        <v>0</v>
      </c>
      <c r="L199" s="22">
        <f t="shared" si="87"/>
        <v>0</v>
      </c>
      <c r="M199" s="22">
        <f t="shared" si="87"/>
        <v>0</v>
      </c>
      <c r="N199" s="22">
        <f t="shared" si="87"/>
        <v>0</v>
      </c>
      <c r="O199" s="22">
        <f t="shared" si="87"/>
        <v>0</v>
      </c>
      <c r="P199" s="22">
        <f t="shared" si="87"/>
        <v>0</v>
      </c>
      <c r="Q199" s="22">
        <f t="shared" si="87"/>
        <v>0</v>
      </c>
      <c r="R199" s="22">
        <f>SUM(R197:R198)</f>
        <v>0</v>
      </c>
      <c r="S199" s="22">
        <f>SUM(S197:S198)</f>
        <v>0</v>
      </c>
      <c r="T199" s="109"/>
      <c r="U199" s="113"/>
      <c r="V199" s="113"/>
    </row>
    <row r="200" spans="4:24">
      <c r="D200" s="126" t="s">
        <v>43</v>
      </c>
      <c r="E200" s="21" t="s">
        <v>78</v>
      </c>
      <c r="F200" s="22">
        <f>F185+F188+F191+F194+F197</f>
        <v>0</v>
      </c>
      <c r="G200" s="22">
        <f t="shared" ref="G200:S200" si="88">G185+G188+G191+G194+G197</f>
        <v>0</v>
      </c>
      <c r="H200" s="22">
        <f t="shared" si="88"/>
        <v>0</v>
      </c>
      <c r="I200" s="22">
        <f t="shared" si="88"/>
        <v>0</v>
      </c>
      <c r="J200" s="22">
        <f t="shared" si="88"/>
        <v>0</v>
      </c>
      <c r="K200" s="22">
        <f t="shared" si="88"/>
        <v>0</v>
      </c>
      <c r="L200" s="22">
        <f t="shared" si="88"/>
        <v>0</v>
      </c>
      <c r="M200" s="22">
        <f t="shared" si="88"/>
        <v>0</v>
      </c>
      <c r="N200" s="22">
        <f t="shared" si="88"/>
        <v>0</v>
      </c>
      <c r="O200" s="22">
        <f t="shared" si="88"/>
        <v>0</v>
      </c>
      <c r="P200" s="22">
        <f t="shared" si="88"/>
        <v>0</v>
      </c>
      <c r="Q200" s="22">
        <f t="shared" si="88"/>
        <v>0</v>
      </c>
      <c r="R200" s="22">
        <f t="shared" si="88"/>
        <v>0</v>
      </c>
      <c r="S200" s="22">
        <f t="shared" si="88"/>
        <v>0</v>
      </c>
      <c r="T200" s="109" t="s">
        <v>117</v>
      </c>
      <c r="U200" s="113" t="s">
        <v>117</v>
      </c>
      <c r="V200" s="113" t="s">
        <v>117</v>
      </c>
      <c r="X200" s="19">
        <f>Q200*0.17</f>
        <v>0</v>
      </c>
    </row>
    <row r="201" spans="4:24">
      <c r="D201" s="126"/>
      <c r="E201" s="21" t="s">
        <v>24</v>
      </c>
      <c r="F201" s="22">
        <f t="shared" ref="F201:S202" si="89">F186+F189+F192+F195+F198</f>
        <v>0</v>
      </c>
      <c r="G201" s="22">
        <f t="shared" si="89"/>
        <v>0</v>
      </c>
      <c r="H201" s="22">
        <f t="shared" si="89"/>
        <v>0</v>
      </c>
      <c r="I201" s="22">
        <f t="shared" si="89"/>
        <v>0</v>
      </c>
      <c r="J201" s="22">
        <f t="shared" si="89"/>
        <v>0</v>
      </c>
      <c r="K201" s="22">
        <f t="shared" si="89"/>
        <v>0</v>
      </c>
      <c r="L201" s="22">
        <f t="shared" si="89"/>
        <v>0</v>
      </c>
      <c r="M201" s="22">
        <f t="shared" si="89"/>
        <v>0</v>
      </c>
      <c r="N201" s="22">
        <f t="shared" si="89"/>
        <v>0</v>
      </c>
      <c r="O201" s="22">
        <f t="shared" si="89"/>
        <v>0</v>
      </c>
      <c r="P201" s="22">
        <f t="shared" si="89"/>
        <v>0</v>
      </c>
      <c r="Q201" s="22">
        <f t="shared" si="89"/>
        <v>0</v>
      </c>
      <c r="R201" s="22">
        <f t="shared" si="89"/>
        <v>0</v>
      </c>
      <c r="S201" s="22">
        <f t="shared" si="89"/>
        <v>0</v>
      </c>
      <c r="T201" s="109"/>
      <c r="U201" s="113"/>
      <c r="V201" s="113"/>
    </row>
    <row r="202" spans="4:24">
      <c r="D202" s="126"/>
      <c r="E202" s="21" t="s">
        <v>69</v>
      </c>
      <c r="F202" s="22">
        <f t="shared" si="89"/>
        <v>0</v>
      </c>
      <c r="G202" s="22">
        <f t="shared" si="89"/>
        <v>0</v>
      </c>
      <c r="H202" s="22">
        <f t="shared" si="89"/>
        <v>0</v>
      </c>
      <c r="I202" s="22">
        <f t="shared" si="89"/>
        <v>0</v>
      </c>
      <c r="J202" s="22">
        <f t="shared" si="89"/>
        <v>0</v>
      </c>
      <c r="K202" s="22">
        <f t="shared" si="89"/>
        <v>0</v>
      </c>
      <c r="L202" s="22">
        <f t="shared" si="89"/>
        <v>0</v>
      </c>
      <c r="M202" s="22">
        <f t="shared" si="89"/>
        <v>0</v>
      </c>
      <c r="N202" s="22">
        <f t="shared" si="89"/>
        <v>0</v>
      </c>
      <c r="O202" s="22">
        <f t="shared" si="89"/>
        <v>0</v>
      </c>
      <c r="P202" s="22">
        <f t="shared" si="89"/>
        <v>0</v>
      </c>
      <c r="Q202" s="22">
        <f t="shared" si="89"/>
        <v>0</v>
      </c>
      <c r="R202" s="22">
        <f t="shared" si="89"/>
        <v>0</v>
      </c>
      <c r="S202" s="22">
        <f t="shared" si="89"/>
        <v>0</v>
      </c>
      <c r="T202" s="109"/>
      <c r="U202" s="113"/>
      <c r="V202" s="113"/>
    </row>
    <row r="204" spans="4:24">
      <c r="D204" s="119" t="s">
        <v>162</v>
      </c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</row>
    <row r="205" spans="4:24">
      <c r="U205" s="127" t="s">
        <v>143</v>
      </c>
      <c r="V205" s="127"/>
    </row>
    <row r="206" spans="4:24">
      <c r="D206" s="107" t="s">
        <v>68</v>
      </c>
      <c r="E206" s="107"/>
      <c r="F206" s="107" t="s">
        <v>129</v>
      </c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9" t="s">
        <v>117</v>
      </c>
      <c r="U206" s="107" t="s">
        <v>107</v>
      </c>
      <c r="V206" s="107" t="s">
        <v>19</v>
      </c>
    </row>
    <row r="207" spans="4:24">
      <c r="D207" s="107"/>
      <c r="E207" s="107"/>
      <c r="F207" s="107" t="s">
        <v>46</v>
      </c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 t="s">
        <v>134</v>
      </c>
      <c r="S207" s="107" t="s">
        <v>69</v>
      </c>
      <c r="T207" s="109"/>
      <c r="U207" s="107"/>
      <c r="V207" s="107"/>
    </row>
    <row r="208" spans="4:24">
      <c r="D208" s="107"/>
      <c r="E208" s="107"/>
      <c r="F208" s="107" t="s">
        <v>121</v>
      </c>
      <c r="G208" s="107" t="s">
        <v>52</v>
      </c>
      <c r="H208" s="107"/>
      <c r="I208" s="107" t="s">
        <v>76</v>
      </c>
      <c r="J208" s="107"/>
      <c r="K208" s="107" t="s">
        <v>149</v>
      </c>
      <c r="L208" s="107" t="s">
        <v>105</v>
      </c>
      <c r="M208" s="107" t="s">
        <v>88</v>
      </c>
      <c r="N208" s="107" t="s">
        <v>35</v>
      </c>
      <c r="O208" s="107" t="s">
        <v>33</v>
      </c>
      <c r="P208" s="107" t="s">
        <v>30</v>
      </c>
      <c r="Q208" s="107" t="s">
        <v>25</v>
      </c>
      <c r="R208" s="107"/>
      <c r="S208" s="107"/>
      <c r="T208" s="109"/>
      <c r="U208" s="107"/>
      <c r="V208" s="107"/>
    </row>
    <row r="209" spans="4:24">
      <c r="D209" s="107"/>
      <c r="E209" s="107"/>
      <c r="F209" s="107"/>
      <c r="G209" s="20" t="s">
        <v>83</v>
      </c>
      <c r="H209" s="20" t="s">
        <v>102</v>
      </c>
      <c r="I209" s="20" t="s">
        <v>83</v>
      </c>
      <c r="J209" s="20" t="s">
        <v>102</v>
      </c>
      <c r="K209" s="107"/>
      <c r="L209" s="107"/>
      <c r="M209" s="107"/>
      <c r="N209" s="107"/>
      <c r="O209" s="107"/>
      <c r="P209" s="107"/>
      <c r="Q209" s="107"/>
      <c r="R209" s="107"/>
      <c r="S209" s="107"/>
      <c r="T209" s="109"/>
      <c r="U209" s="107"/>
      <c r="V209" s="107"/>
    </row>
    <row r="210" spans="4:24">
      <c r="D210" s="126">
        <v>1</v>
      </c>
      <c r="E210" s="21" t="s">
        <v>78</v>
      </c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2">
        <f>SUM(F210:P210)</f>
        <v>0</v>
      </c>
      <c r="R210" s="24"/>
      <c r="S210" s="22">
        <f>Q210+R210</f>
        <v>0</v>
      </c>
      <c r="T210" s="109" t="s">
        <v>117</v>
      </c>
      <c r="U210" s="113" t="s">
        <v>117</v>
      </c>
      <c r="V210" s="113" t="s">
        <v>117</v>
      </c>
      <c r="X210" s="19">
        <f>Q210*0.1</f>
        <v>0</v>
      </c>
    </row>
    <row r="211" spans="4:24">
      <c r="D211" s="126"/>
      <c r="E211" s="21" t="s">
        <v>24</v>
      </c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2">
        <f>SUM(F211:P211)</f>
        <v>0</v>
      </c>
      <c r="R211" s="24"/>
      <c r="S211" s="22">
        <f>Q211+R211</f>
        <v>0</v>
      </c>
      <c r="T211" s="109"/>
      <c r="U211" s="113"/>
      <c r="V211" s="113"/>
    </row>
    <row r="212" spans="4:24">
      <c r="D212" s="126"/>
      <c r="E212" s="21" t="s">
        <v>25</v>
      </c>
      <c r="F212" s="22">
        <f t="shared" ref="F212:P212" si="90">SUM(F210:F211)</f>
        <v>0</v>
      </c>
      <c r="G212" s="22">
        <f t="shared" si="90"/>
        <v>0</v>
      </c>
      <c r="H212" s="22">
        <f t="shared" si="90"/>
        <v>0</v>
      </c>
      <c r="I212" s="22">
        <f t="shared" si="90"/>
        <v>0</v>
      </c>
      <c r="J212" s="22">
        <f t="shared" si="90"/>
        <v>0</v>
      </c>
      <c r="K212" s="22">
        <f t="shared" si="90"/>
        <v>0</v>
      </c>
      <c r="L212" s="22">
        <f t="shared" si="90"/>
        <v>0</v>
      </c>
      <c r="M212" s="22">
        <f t="shared" si="90"/>
        <v>0</v>
      </c>
      <c r="N212" s="22">
        <f t="shared" si="90"/>
        <v>0</v>
      </c>
      <c r="O212" s="22">
        <f t="shared" si="90"/>
        <v>0</v>
      </c>
      <c r="P212" s="22">
        <f t="shared" si="90"/>
        <v>0</v>
      </c>
      <c r="Q212" s="22">
        <f>SUM(Q210:Q211)</f>
        <v>0</v>
      </c>
      <c r="R212" s="22">
        <f t="shared" ref="R212" si="91">SUM(R210:R211)</f>
        <v>0</v>
      </c>
      <c r="S212" s="22">
        <f>SUM(S210:S211)</f>
        <v>0</v>
      </c>
      <c r="T212" s="109"/>
      <c r="U212" s="113"/>
      <c r="V212" s="113"/>
    </row>
    <row r="213" spans="4:24">
      <c r="D213" s="126">
        <v>2</v>
      </c>
      <c r="E213" s="21" t="s">
        <v>78</v>
      </c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2">
        <f>SUM(F213:P213)</f>
        <v>0</v>
      </c>
      <c r="R213" s="24"/>
      <c r="S213" s="22">
        <f t="shared" ref="S213:S214" si="92">Q213+R213</f>
        <v>0</v>
      </c>
      <c r="T213" s="109" t="s">
        <v>117</v>
      </c>
      <c r="U213" s="113" t="s">
        <v>117</v>
      </c>
      <c r="V213" s="113" t="s">
        <v>117</v>
      </c>
      <c r="X213" s="19">
        <f>Q213*0.1</f>
        <v>0</v>
      </c>
    </row>
    <row r="214" spans="4:24">
      <c r="D214" s="126"/>
      <c r="E214" s="21" t="s">
        <v>24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2">
        <f>SUM(F214:P214)</f>
        <v>0</v>
      </c>
      <c r="R214" s="24"/>
      <c r="S214" s="22">
        <f t="shared" si="92"/>
        <v>0</v>
      </c>
      <c r="T214" s="109"/>
      <c r="U214" s="113"/>
      <c r="V214" s="113"/>
    </row>
    <row r="215" spans="4:24">
      <c r="D215" s="126"/>
      <c r="E215" s="21" t="s">
        <v>25</v>
      </c>
      <c r="F215" s="22">
        <f>SUM(F213:F214)</f>
        <v>0</v>
      </c>
      <c r="G215" s="22">
        <f t="shared" ref="G215:R215" si="93">SUM(G213:G214)</f>
        <v>0</v>
      </c>
      <c r="H215" s="22">
        <f t="shared" si="93"/>
        <v>0</v>
      </c>
      <c r="I215" s="22">
        <f t="shared" si="93"/>
        <v>0</v>
      </c>
      <c r="J215" s="22">
        <f t="shared" si="93"/>
        <v>0</v>
      </c>
      <c r="K215" s="22">
        <f t="shared" si="93"/>
        <v>0</v>
      </c>
      <c r="L215" s="22">
        <f t="shared" si="93"/>
        <v>0</v>
      </c>
      <c r="M215" s="22">
        <f t="shared" si="93"/>
        <v>0</v>
      </c>
      <c r="N215" s="22">
        <f t="shared" si="93"/>
        <v>0</v>
      </c>
      <c r="O215" s="22">
        <f t="shared" si="93"/>
        <v>0</v>
      </c>
      <c r="P215" s="22">
        <f t="shared" si="93"/>
        <v>0</v>
      </c>
      <c r="Q215" s="22">
        <f t="shared" si="93"/>
        <v>0</v>
      </c>
      <c r="R215" s="22">
        <f t="shared" si="93"/>
        <v>0</v>
      </c>
      <c r="S215" s="22">
        <f>SUM(S213:S214)</f>
        <v>0</v>
      </c>
      <c r="T215" s="109"/>
      <c r="U215" s="113"/>
      <c r="V215" s="113"/>
    </row>
    <row r="216" spans="4:24">
      <c r="D216" s="126">
        <v>3</v>
      </c>
      <c r="E216" s="21" t="s">
        <v>78</v>
      </c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2">
        <f>SUM(F216:P216)</f>
        <v>0</v>
      </c>
      <c r="R216" s="24"/>
      <c r="S216" s="22">
        <f t="shared" ref="S216:S217" si="94">Q216+R216</f>
        <v>0</v>
      </c>
      <c r="T216" s="109" t="s">
        <v>117</v>
      </c>
      <c r="U216" s="113" t="s">
        <v>117</v>
      </c>
      <c r="V216" s="113" t="s">
        <v>117</v>
      </c>
      <c r="X216" s="19">
        <f>Q216*0.1</f>
        <v>0</v>
      </c>
    </row>
    <row r="217" spans="4:24">
      <c r="D217" s="126"/>
      <c r="E217" s="21" t="s">
        <v>24</v>
      </c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2">
        <f>SUM(F217:P217)</f>
        <v>0</v>
      </c>
      <c r="R217" s="24"/>
      <c r="S217" s="22">
        <f t="shared" si="94"/>
        <v>0</v>
      </c>
      <c r="T217" s="109"/>
      <c r="U217" s="113"/>
      <c r="V217" s="113"/>
    </row>
    <row r="218" spans="4:24">
      <c r="D218" s="126"/>
      <c r="E218" s="21" t="s">
        <v>25</v>
      </c>
      <c r="F218" s="22">
        <f>SUM(F216:F217)</f>
        <v>0</v>
      </c>
      <c r="G218" s="22">
        <f t="shared" ref="G218:R218" si="95">SUM(G216:G217)</f>
        <v>0</v>
      </c>
      <c r="H218" s="22">
        <f t="shared" si="95"/>
        <v>0</v>
      </c>
      <c r="I218" s="22">
        <f t="shared" si="95"/>
        <v>0</v>
      </c>
      <c r="J218" s="22">
        <f t="shared" si="95"/>
        <v>0</v>
      </c>
      <c r="K218" s="22">
        <f t="shared" si="95"/>
        <v>0</v>
      </c>
      <c r="L218" s="22">
        <f t="shared" si="95"/>
        <v>0</v>
      </c>
      <c r="M218" s="22">
        <f t="shared" si="95"/>
        <v>0</v>
      </c>
      <c r="N218" s="22">
        <f t="shared" si="95"/>
        <v>0</v>
      </c>
      <c r="O218" s="22">
        <f t="shared" si="95"/>
        <v>0</v>
      </c>
      <c r="P218" s="22">
        <f t="shared" si="95"/>
        <v>0</v>
      </c>
      <c r="Q218" s="22">
        <f t="shared" si="95"/>
        <v>0</v>
      </c>
      <c r="R218" s="22">
        <f t="shared" si="95"/>
        <v>0</v>
      </c>
      <c r="S218" s="22">
        <f>SUM(S216:S217)</f>
        <v>0</v>
      </c>
      <c r="T218" s="109"/>
      <c r="U218" s="113"/>
      <c r="V218" s="113"/>
    </row>
    <row r="219" spans="4:24">
      <c r="D219" s="126">
        <v>4</v>
      </c>
      <c r="E219" s="21" t="s">
        <v>78</v>
      </c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2">
        <f>SUM(F219:P219)</f>
        <v>0</v>
      </c>
      <c r="R219" s="24"/>
      <c r="S219" s="22">
        <f t="shared" ref="S219:S220" si="96">Q219+R219</f>
        <v>0</v>
      </c>
      <c r="T219" s="109" t="s">
        <v>117</v>
      </c>
      <c r="U219" s="113" t="s">
        <v>117</v>
      </c>
      <c r="V219" s="113" t="s">
        <v>117</v>
      </c>
      <c r="X219" s="19">
        <f>Q219*0.1</f>
        <v>0</v>
      </c>
    </row>
    <row r="220" spans="4:24">
      <c r="D220" s="126"/>
      <c r="E220" s="21" t="s">
        <v>24</v>
      </c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2">
        <f>SUM(F220:P220)</f>
        <v>0</v>
      </c>
      <c r="R220" s="24"/>
      <c r="S220" s="22">
        <f t="shared" si="96"/>
        <v>0</v>
      </c>
      <c r="T220" s="109"/>
      <c r="U220" s="113"/>
      <c r="V220" s="113"/>
    </row>
    <row r="221" spans="4:24">
      <c r="D221" s="126"/>
      <c r="E221" s="21" t="s">
        <v>25</v>
      </c>
      <c r="F221" s="22">
        <f>SUM(F219:F220)</f>
        <v>0</v>
      </c>
      <c r="G221" s="22">
        <f t="shared" ref="G221:R221" si="97">SUM(G219:G220)</f>
        <v>0</v>
      </c>
      <c r="H221" s="22">
        <f t="shared" si="97"/>
        <v>0</v>
      </c>
      <c r="I221" s="22">
        <f t="shared" si="97"/>
        <v>0</v>
      </c>
      <c r="J221" s="22">
        <f t="shared" si="97"/>
        <v>0</v>
      </c>
      <c r="K221" s="22">
        <f t="shared" si="97"/>
        <v>0</v>
      </c>
      <c r="L221" s="22">
        <f t="shared" si="97"/>
        <v>0</v>
      </c>
      <c r="M221" s="22">
        <f t="shared" si="97"/>
        <v>0</v>
      </c>
      <c r="N221" s="22">
        <f t="shared" si="97"/>
        <v>0</v>
      </c>
      <c r="O221" s="22">
        <f t="shared" si="97"/>
        <v>0</v>
      </c>
      <c r="P221" s="22">
        <f t="shared" si="97"/>
        <v>0</v>
      </c>
      <c r="Q221" s="22">
        <f t="shared" si="97"/>
        <v>0</v>
      </c>
      <c r="R221" s="22">
        <f t="shared" si="97"/>
        <v>0</v>
      </c>
      <c r="S221" s="22">
        <f>SUM(S219:S220)</f>
        <v>0</v>
      </c>
      <c r="T221" s="109"/>
      <c r="U221" s="113"/>
      <c r="V221" s="113"/>
    </row>
    <row r="222" spans="4:24">
      <c r="D222" s="126">
        <v>5</v>
      </c>
      <c r="E222" s="21" t="s">
        <v>78</v>
      </c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2">
        <f>SUM(F222:P222)</f>
        <v>0</v>
      </c>
      <c r="R222" s="24"/>
      <c r="S222" s="22">
        <f t="shared" ref="S222:S223" si="98">Q222+R222</f>
        <v>0</v>
      </c>
      <c r="T222" s="109" t="s">
        <v>117</v>
      </c>
      <c r="U222" s="113" t="s">
        <v>117</v>
      </c>
      <c r="V222" s="113" t="s">
        <v>117</v>
      </c>
      <c r="X222" s="19">
        <f>Q222*0.2205</f>
        <v>0</v>
      </c>
    </row>
    <row r="223" spans="4:24">
      <c r="D223" s="126"/>
      <c r="E223" s="21" t="s">
        <v>24</v>
      </c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2">
        <f>SUM(F223:P223)</f>
        <v>0</v>
      </c>
      <c r="R223" s="24"/>
      <c r="S223" s="22">
        <f t="shared" si="98"/>
        <v>0</v>
      </c>
      <c r="T223" s="109"/>
      <c r="U223" s="113"/>
      <c r="V223" s="113"/>
    </row>
    <row r="224" spans="4:24">
      <c r="D224" s="126"/>
      <c r="E224" s="21" t="s">
        <v>25</v>
      </c>
      <c r="F224" s="22">
        <f>SUM(F222:F223)</f>
        <v>0</v>
      </c>
      <c r="G224" s="22">
        <f t="shared" ref="G224:Q224" si="99">SUM(G222:G223)</f>
        <v>0</v>
      </c>
      <c r="H224" s="22">
        <f t="shared" si="99"/>
        <v>0</v>
      </c>
      <c r="I224" s="22">
        <f t="shared" si="99"/>
        <v>0</v>
      </c>
      <c r="J224" s="22">
        <f t="shared" si="99"/>
        <v>0</v>
      </c>
      <c r="K224" s="22">
        <f t="shared" si="99"/>
        <v>0</v>
      </c>
      <c r="L224" s="22">
        <f t="shared" si="99"/>
        <v>0</v>
      </c>
      <c r="M224" s="22">
        <f t="shared" si="99"/>
        <v>0</v>
      </c>
      <c r="N224" s="22">
        <f t="shared" si="99"/>
        <v>0</v>
      </c>
      <c r="O224" s="22">
        <f t="shared" si="99"/>
        <v>0</v>
      </c>
      <c r="P224" s="22">
        <f t="shared" si="99"/>
        <v>0</v>
      </c>
      <c r="Q224" s="22">
        <f t="shared" si="99"/>
        <v>0</v>
      </c>
      <c r="R224" s="22">
        <f>SUM(R222:R223)</f>
        <v>0</v>
      </c>
      <c r="S224" s="22">
        <f>SUM(S222:S223)</f>
        <v>0</v>
      </c>
      <c r="T224" s="109"/>
      <c r="U224" s="113"/>
      <c r="V224" s="113"/>
    </row>
    <row r="225" spans="4:24">
      <c r="D225" s="126" t="s">
        <v>43</v>
      </c>
      <c r="E225" s="21" t="s">
        <v>78</v>
      </c>
      <c r="F225" s="22">
        <f>F210+F213+F216+F219+F222</f>
        <v>0</v>
      </c>
      <c r="G225" s="22">
        <f t="shared" ref="G225:S225" si="100">G210+G213+G216+G219+G222</f>
        <v>0</v>
      </c>
      <c r="H225" s="22">
        <f t="shared" si="100"/>
        <v>0</v>
      </c>
      <c r="I225" s="22">
        <f t="shared" si="100"/>
        <v>0</v>
      </c>
      <c r="J225" s="22">
        <f t="shared" si="100"/>
        <v>0</v>
      </c>
      <c r="K225" s="22">
        <f t="shared" si="100"/>
        <v>0</v>
      </c>
      <c r="L225" s="22">
        <f t="shared" si="100"/>
        <v>0</v>
      </c>
      <c r="M225" s="22">
        <f t="shared" si="100"/>
        <v>0</v>
      </c>
      <c r="N225" s="22">
        <f t="shared" si="100"/>
        <v>0</v>
      </c>
      <c r="O225" s="22">
        <f t="shared" si="100"/>
        <v>0</v>
      </c>
      <c r="P225" s="22">
        <f t="shared" si="100"/>
        <v>0</v>
      </c>
      <c r="Q225" s="22">
        <f t="shared" si="100"/>
        <v>0</v>
      </c>
      <c r="R225" s="22">
        <f t="shared" si="100"/>
        <v>0</v>
      </c>
      <c r="S225" s="22">
        <f t="shared" si="100"/>
        <v>0</v>
      </c>
      <c r="T225" s="109" t="s">
        <v>117</v>
      </c>
      <c r="U225" s="113" t="s">
        <v>117</v>
      </c>
      <c r="V225" s="113" t="s">
        <v>117</v>
      </c>
      <c r="X225" s="19">
        <f>Q225*0.1</f>
        <v>0</v>
      </c>
    </row>
    <row r="226" spans="4:24">
      <c r="D226" s="126"/>
      <c r="E226" s="21" t="s">
        <v>24</v>
      </c>
      <c r="F226" s="22">
        <f t="shared" ref="F226:S227" si="101">F211+F214+F217+F220+F223</f>
        <v>0</v>
      </c>
      <c r="G226" s="22">
        <f t="shared" si="101"/>
        <v>0</v>
      </c>
      <c r="H226" s="22">
        <f t="shared" si="101"/>
        <v>0</v>
      </c>
      <c r="I226" s="22">
        <f t="shared" si="101"/>
        <v>0</v>
      </c>
      <c r="J226" s="22">
        <f t="shared" si="101"/>
        <v>0</v>
      </c>
      <c r="K226" s="22">
        <f t="shared" si="101"/>
        <v>0</v>
      </c>
      <c r="L226" s="22">
        <f t="shared" si="101"/>
        <v>0</v>
      </c>
      <c r="M226" s="22">
        <f t="shared" si="101"/>
        <v>0</v>
      </c>
      <c r="N226" s="22">
        <f t="shared" si="101"/>
        <v>0</v>
      </c>
      <c r="O226" s="22">
        <f t="shared" si="101"/>
        <v>0</v>
      </c>
      <c r="P226" s="22">
        <f t="shared" si="101"/>
        <v>0</v>
      </c>
      <c r="Q226" s="22">
        <f t="shared" si="101"/>
        <v>0</v>
      </c>
      <c r="R226" s="22">
        <f t="shared" si="101"/>
        <v>0</v>
      </c>
      <c r="S226" s="22">
        <f t="shared" si="101"/>
        <v>0</v>
      </c>
      <c r="T226" s="109"/>
      <c r="U226" s="113"/>
      <c r="V226" s="113"/>
    </row>
    <row r="227" spans="4:24">
      <c r="D227" s="126"/>
      <c r="E227" s="21" t="s">
        <v>69</v>
      </c>
      <c r="F227" s="22">
        <f t="shared" si="101"/>
        <v>0</v>
      </c>
      <c r="G227" s="22">
        <f t="shared" si="101"/>
        <v>0</v>
      </c>
      <c r="H227" s="22">
        <f t="shared" si="101"/>
        <v>0</v>
      </c>
      <c r="I227" s="22">
        <f t="shared" si="101"/>
        <v>0</v>
      </c>
      <c r="J227" s="22">
        <f t="shared" si="101"/>
        <v>0</v>
      </c>
      <c r="K227" s="22">
        <f t="shared" si="101"/>
        <v>0</v>
      </c>
      <c r="L227" s="22">
        <f t="shared" si="101"/>
        <v>0</v>
      </c>
      <c r="M227" s="22">
        <f t="shared" si="101"/>
        <v>0</v>
      </c>
      <c r="N227" s="22">
        <f t="shared" si="101"/>
        <v>0</v>
      </c>
      <c r="O227" s="22">
        <f t="shared" si="101"/>
        <v>0</v>
      </c>
      <c r="P227" s="22">
        <f t="shared" si="101"/>
        <v>0</v>
      </c>
      <c r="Q227" s="22">
        <f t="shared" si="101"/>
        <v>0</v>
      </c>
      <c r="R227" s="22">
        <f t="shared" si="101"/>
        <v>0</v>
      </c>
      <c r="S227" s="22">
        <f t="shared" si="101"/>
        <v>0</v>
      </c>
      <c r="T227" s="109"/>
      <c r="U227" s="113"/>
      <c r="V227" s="113"/>
    </row>
    <row r="229" spans="4:24">
      <c r="D229" s="119" t="s">
        <v>162</v>
      </c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</row>
    <row r="230" spans="4:24">
      <c r="U230" s="127" t="s">
        <v>143</v>
      </c>
      <c r="V230" s="127"/>
    </row>
    <row r="231" spans="4:24">
      <c r="D231" s="107" t="s">
        <v>68</v>
      </c>
      <c r="E231" s="107"/>
      <c r="F231" s="107" t="s">
        <v>129</v>
      </c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9" t="s">
        <v>117</v>
      </c>
      <c r="U231" s="107" t="s">
        <v>107</v>
      </c>
      <c r="V231" s="107" t="s">
        <v>19</v>
      </c>
    </row>
    <row r="232" spans="4:24">
      <c r="D232" s="107"/>
      <c r="E232" s="107"/>
      <c r="F232" s="107" t="s">
        <v>46</v>
      </c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 t="s">
        <v>134</v>
      </c>
      <c r="S232" s="107" t="s">
        <v>69</v>
      </c>
      <c r="T232" s="109"/>
      <c r="U232" s="107"/>
      <c r="V232" s="107"/>
    </row>
    <row r="233" spans="4:24">
      <c r="D233" s="107"/>
      <c r="E233" s="107"/>
      <c r="F233" s="107" t="s">
        <v>121</v>
      </c>
      <c r="G233" s="107" t="s">
        <v>52</v>
      </c>
      <c r="H233" s="107"/>
      <c r="I233" s="107" t="s">
        <v>76</v>
      </c>
      <c r="J233" s="107"/>
      <c r="K233" s="107" t="s">
        <v>149</v>
      </c>
      <c r="L233" s="107" t="s">
        <v>105</v>
      </c>
      <c r="M233" s="107" t="s">
        <v>88</v>
      </c>
      <c r="N233" s="107" t="s">
        <v>35</v>
      </c>
      <c r="O233" s="107" t="s">
        <v>33</v>
      </c>
      <c r="P233" s="107" t="s">
        <v>30</v>
      </c>
      <c r="Q233" s="107" t="s">
        <v>25</v>
      </c>
      <c r="R233" s="107"/>
      <c r="S233" s="107"/>
      <c r="T233" s="109"/>
      <c r="U233" s="107"/>
      <c r="V233" s="107"/>
    </row>
    <row r="234" spans="4:24">
      <c r="D234" s="107"/>
      <c r="E234" s="107"/>
      <c r="F234" s="107"/>
      <c r="G234" s="20" t="s">
        <v>83</v>
      </c>
      <c r="H234" s="20" t="s">
        <v>102</v>
      </c>
      <c r="I234" s="20" t="s">
        <v>83</v>
      </c>
      <c r="J234" s="20" t="s">
        <v>102</v>
      </c>
      <c r="K234" s="107"/>
      <c r="L234" s="107"/>
      <c r="M234" s="107"/>
      <c r="N234" s="107"/>
      <c r="O234" s="107"/>
      <c r="P234" s="107"/>
      <c r="Q234" s="107"/>
      <c r="R234" s="107"/>
      <c r="S234" s="107"/>
      <c r="T234" s="109"/>
      <c r="U234" s="107"/>
      <c r="V234" s="107"/>
    </row>
    <row r="235" spans="4:24">
      <c r="D235" s="126">
        <v>1</v>
      </c>
      <c r="E235" s="21" t="s">
        <v>78</v>
      </c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2">
        <f>SUM(F235:P235)</f>
        <v>0</v>
      </c>
      <c r="R235" s="24"/>
      <c r="S235" s="22">
        <f>Q235+R235</f>
        <v>0</v>
      </c>
      <c r="T235" s="109" t="s">
        <v>117</v>
      </c>
      <c r="U235" s="113" t="s">
        <v>117</v>
      </c>
      <c r="V235" s="113" t="s">
        <v>117</v>
      </c>
      <c r="X235" s="19">
        <f>Q235*0.1</f>
        <v>0</v>
      </c>
    </row>
    <row r="236" spans="4:24">
      <c r="D236" s="126"/>
      <c r="E236" s="21" t="s">
        <v>24</v>
      </c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2">
        <f>SUM(F236:P236)</f>
        <v>0</v>
      </c>
      <c r="R236" s="24"/>
      <c r="S236" s="22">
        <f>Q236+R236</f>
        <v>0</v>
      </c>
      <c r="T236" s="109"/>
      <c r="U236" s="113"/>
      <c r="V236" s="113"/>
    </row>
    <row r="237" spans="4:24">
      <c r="D237" s="126"/>
      <c r="E237" s="21" t="s">
        <v>25</v>
      </c>
      <c r="F237" s="22">
        <f t="shared" ref="F237:P237" si="102">SUM(F235:F236)</f>
        <v>0</v>
      </c>
      <c r="G237" s="22">
        <f t="shared" si="102"/>
        <v>0</v>
      </c>
      <c r="H237" s="22">
        <f t="shared" si="102"/>
        <v>0</v>
      </c>
      <c r="I237" s="22">
        <f t="shared" si="102"/>
        <v>0</v>
      </c>
      <c r="J237" s="22">
        <f t="shared" si="102"/>
        <v>0</v>
      </c>
      <c r="K237" s="22">
        <f t="shared" si="102"/>
        <v>0</v>
      </c>
      <c r="L237" s="22">
        <f t="shared" si="102"/>
        <v>0</v>
      </c>
      <c r="M237" s="22">
        <f t="shared" si="102"/>
        <v>0</v>
      </c>
      <c r="N237" s="22">
        <f t="shared" si="102"/>
        <v>0</v>
      </c>
      <c r="O237" s="22">
        <f t="shared" si="102"/>
        <v>0</v>
      </c>
      <c r="P237" s="22">
        <f t="shared" si="102"/>
        <v>0</v>
      </c>
      <c r="Q237" s="22">
        <f>SUM(Q235:Q236)</f>
        <v>0</v>
      </c>
      <c r="R237" s="22">
        <f t="shared" ref="R237" si="103">SUM(R235:R236)</f>
        <v>0</v>
      </c>
      <c r="S237" s="22">
        <f>SUM(S235:S236)</f>
        <v>0</v>
      </c>
      <c r="T237" s="109"/>
      <c r="U237" s="113"/>
      <c r="V237" s="113"/>
    </row>
    <row r="238" spans="4:24">
      <c r="D238" s="126">
        <v>2</v>
      </c>
      <c r="E238" s="21" t="s">
        <v>78</v>
      </c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2">
        <f>SUM(F238:P238)</f>
        <v>0</v>
      </c>
      <c r="R238" s="24"/>
      <c r="S238" s="22">
        <f t="shared" ref="S238:S239" si="104">Q238+R238</f>
        <v>0</v>
      </c>
      <c r="T238" s="109" t="s">
        <v>117</v>
      </c>
      <c r="U238" s="113" t="s">
        <v>117</v>
      </c>
      <c r="V238" s="113" t="s">
        <v>117</v>
      </c>
      <c r="X238" s="19">
        <f>Q238*0.1</f>
        <v>0</v>
      </c>
    </row>
    <row r="239" spans="4:24">
      <c r="D239" s="126"/>
      <c r="E239" s="21" t="s">
        <v>24</v>
      </c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2">
        <f>SUM(F239:P239)</f>
        <v>0</v>
      </c>
      <c r="R239" s="24"/>
      <c r="S239" s="22">
        <f t="shared" si="104"/>
        <v>0</v>
      </c>
      <c r="T239" s="109"/>
      <c r="U239" s="113"/>
      <c r="V239" s="113"/>
    </row>
    <row r="240" spans="4:24">
      <c r="D240" s="126"/>
      <c r="E240" s="21" t="s">
        <v>25</v>
      </c>
      <c r="F240" s="22">
        <f>SUM(F238:F239)</f>
        <v>0</v>
      </c>
      <c r="G240" s="22">
        <f t="shared" ref="G240:R240" si="105">SUM(G238:G239)</f>
        <v>0</v>
      </c>
      <c r="H240" s="22">
        <f t="shared" si="105"/>
        <v>0</v>
      </c>
      <c r="I240" s="22">
        <f t="shared" si="105"/>
        <v>0</v>
      </c>
      <c r="J240" s="22">
        <f t="shared" si="105"/>
        <v>0</v>
      </c>
      <c r="K240" s="22">
        <f t="shared" si="105"/>
        <v>0</v>
      </c>
      <c r="L240" s="22">
        <f t="shared" si="105"/>
        <v>0</v>
      </c>
      <c r="M240" s="22">
        <f t="shared" si="105"/>
        <v>0</v>
      </c>
      <c r="N240" s="22">
        <f t="shared" si="105"/>
        <v>0</v>
      </c>
      <c r="O240" s="22">
        <f t="shared" si="105"/>
        <v>0</v>
      </c>
      <c r="P240" s="22">
        <f t="shared" si="105"/>
        <v>0</v>
      </c>
      <c r="Q240" s="22">
        <f t="shared" si="105"/>
        <v>0</v>
      </c>
      <c r="R240" s="22">
        <f t="shared" si="105"/>
        <v>0</v>
      </c>
      <c r="S240" s="22">
        <f>SUM(S238:S239)</f>
        <v>0</v>
      </c>
      <c r="T240" s="109"/>
      <c r="U240" s="113"/>
      <c r="V240" s="113"/>
    </row>
    <row r="241" spans="4:24">
      <c r="D241" s="126">
        <v>3</v>
      </c>
      <c r="E241" s="21" t="s">
        <v>78</v>
      </c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2">
        <f>SUM(F241:P241)</f>
        <v>0</v>
      </c>
      <c r="R241" s="24"/>
      <c r="S241" s="22">
        <f t="shared" ref="S241:S242" si="106">Q241+R241</f>
        <v>0</v>
      </c>
      <c r="T241" s="109" t="s">
        <v>117</v>
      </c>
      <c r="U241" s="113" t="s">
        <v>117</v>
      </c>
      <c r="V241" s="113" t="s">
        <v>117</v>
      </c>
      <c r="X241" s="19">
        <f>Q241*0.1</f>
        <v>0</v>
      </c>
    </row>
    <row r="242" spans="4:24">
      <c r="D242" s="126"/>
      <c r="E242" s="21" t="s">
        <v>24</v>
      </c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2">
        <f>SUM(F242:P242)</f>
        <v>0</v>
      </c>
      <c r="R242" s="24"/>
      <c r="S242" s="22">
        <f t="shared" si="106"/>
        <v>0</v>
      </c>
      <c r="T242" s="109"/>
      <c r="U242" s="113"/>
      <c r="V242" s="113"/>
    </row>
    <row r="243" spans="4:24">
      <c r="D243" s="126"/>
      <c r="E243" s="21" t="s">
        <v>25</v>
      </c>
      <c r="F243" s="22">
        <f>SUM(F241:F242)</f>
        <v>0</v>
      </c>
      <c r="G243" s="22">
        <f t="shared" ref="G243:R243" si="107">SUM(G241:G242)</f>
        <v>0</v>
      </c>
      <c r="H243" s="22">
        <f t="shared" si="107"/>
        <v>0</v>
      </c>
      <c r="I243" s="22">
        <f t="shared" si="107"/>
        <v>0</v>
      </c>
      <c r="J243" s="22">
        <f t="shared" si="107"/>
        <v>0</v>
      </c>
      <c r="K243" s="22">
        <f t="shared" si="107"/>
        <v>0</v>
      </c>
      <c r="L243" s="22">
        <f t="shared" si="107"/>
        <v>0</v>
      </c>
      <c r="M243" s="22">
        <f t="shared" si="107"/>
        <v>0</v>
      </c>
      <c r="N243" s="22">
        <f t="shared" si="107"/>
        <v>0</v>
      </c>
      <c r="O243" s="22">
        <f t="shared" si="107"/>
        <v>0</v>
      </c>
      <c r="P243" s="22">
        <f t="shared" si="107"/>
        <v>0</v>
      </c>
      <c r="Q243" s="22">
        <f t="shared" si="107"/>
        <v>0</v>
      </c>
      <c r="R243" s="22">
        <f t="shared" si="107"/>
        <v>0</v>
      </c>
      <c r="S243" s="22">
        <f>SUM(S241:S242)</f>
        <v>0</v>
      </c>
      <c r="T243" s="109"/>
      <c r="U243" s="113"/>
      <c r="V243" s="113"/>
    </row>
    <row r="244" spans="4:24">
      <c r="D244" s="126">
        <v>4</v>
      </c>
      <c r="E244" s="21" t="s">
        <v>78</v>
      </c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2">
        <f>SUM(F244:P244)</f>
        <v>0</v>
      </c>
      <c r="R244" s="24"/>
      <c r="S244" s="22">
        <f t="shared" ref="S244:S245" si="108">Q244+R244</f>
        <v>0</v>
      </c>
      <c r="T244" s="109" t="s">
        <v>117</v>
      </c>
      <c r="U244" s="113" t="s">
        <v>117</v>
      </c>
      <c r="V244" s="113" t="s">
        <v>117</v>
      </c>
      <c r="X244" s="19">
        <f>Q244*0.1</f>
        <v>0</v>
      </c>
    </row>
    <row r="245" spans="4:24">
      <c r="D245" s="126"/>
      <c r="E245" s="21" t="s">
        <v>24</v>
      </c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2">
        <f>SUM(F245:P245)</f>
        <v>0</v>
      </c>
      <c r="R245" s="24"/>
      <c r="S245" s="22">
        <f t="shared" si="108"/>
        <v>0</v>
      </c>
      <c r="T245" s="109"/>
      <c r="U245" s="113"/>
      <c r="V245" s="113"/>
    </row>
    <row r="246" spans="4:24">
      <c r="D246" s="126"/>
      <c r="E246" s="21" t="s">
        <v>25</v>
      </c>
      <c r="F246" s="22">
        <f>SUM(F244:F245)</f>
        <v>0</v>
      </c>
      <c r="G246" s="22">
        <f t="shared" ref="G246:R246" si="109">SUM(G244:G245)</f>
        <v>0</v>
      </c>
      <c r="H246" s="22">
        <f t="shared" si="109"/>
        <v>0</v>
      </c>
      <c r="I246" s="22">
        <f t="shared" si="109"/>
        <v>0</v>
      </c>
      <c r="J246" s="22">
        <f t="shared" si="109"/>
        <v>0</v>
      </c>
      <c r="K246" s="22">
        <f t="shared" si="109"/>
        <v>0</v>
      </c>
      <c r="L246" s="22">
        <f t="shared" si="109"/>
        <v>0</v>
      </c>
      <c r="M246" s="22">
        <f t="shared" si="109"/>
        <v>0</v>
      </c>
      <c r="N246" s="22">
        <f t="shared" si="109"/>
        <v>0</v>
      </c>
      <c r="O246" s="22">
        <f t="shared" si="109"/>
        <v>0</v>
      </c>
      <c r="P246" s="22">
        <f t="shared" si="109"/>
        <v>0</v>
      </c>
      <c r="Q246" s="22">
        <f t="shared" si="109"/>
        <v>0</v>
      </c>
      <c r="R246" s="22">
        <f t="shared" si="109"/>
        <v>0</v>
      </c>
      <c r="S246" s="22">
        <f>SUM(S244:S245)</f>
        <v>0</v>
      </c>
      <c r="T246" s="109"/>
      <c r="U246" s="113"/>
      <c r="V246" s="113"/>
    </row>
    <row r="247" spans="4:24">
      <c r="D247" s="126">
        <v>5</v>
      </c>
      <c r="E247" s="21" t="s">
        <v>78</v>
      </c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2">
        <f>SUM(F247:P247)</f>
        <v>0</v>
      </c>
      <c r="R247" s="24"/>
      <c r="S247" s="22">
        <f t="shared" ref="S247:S248" si="110">Q247+R247</f>
        <v>0</v>
      </c>
      <c r="T247" s="109" t="s">
        <v>117</v>
      </c>
      <c r="U247" s="113" t="s">
        <v>117</v>
      </c>
      <c r="V247" s="113" t="s">
        <v>117</v>
      </c>
      <c r="X247" s="19">
        <f>Q247*0.2205</f>
        <v>0</v>
      </c>
    </row>
    <row r="248" spans="4:24">
      <c r="D248" s="126"/>
      <c r="E248" s="21" t="s">
        <v>24</v>
      </c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2">
        <f>SUM(F248:P248)</f>
        <v>0</v>
      </c>
      <c r="R248" s="24"/>
      <c r="S248" s="22">
        <f t="shared" si="110"/>
        <v>0</v>
      </c>
      <c r="T248" s="109"/>
      <c r="U248" s="113"/>
      <c r="V248" s="113"/>
    </row>
    <row r="249" spans="4:24">
      <c r="D249" s="126"/>
      <c r="E249" s="21" t="s">
        <v>25</v>
      </c>
      <c r="F249" s="22">
        <f>SUM(F247:F248)</f>
        <v>0</v>
      </c>
      <c r="G249" s="22">
        <f t="shared" ref="G249:Q249" si="111">SUM(G247:G248)</f>
        <v>0</v>
      </c>
      <c r="H249" s="22">
        <f t="shared" si="111"/>
        <v>0</v>
      </c>
      <c r="I249" s="22">
        <f t="shared" si="111"/>
        <v>0</v>
      </c>
      <c r="J249" s="22">
        <f t="shared" si="111"/>
        <v>0</v>
      </c>
      <c r="K249" s="22">
        <f t="shared" si="111"/>
        <v>0</v>
      </c>
      <c r="L249" s="22">
        <f t="shared" si="111"/>
        <v>0</v>
      </c>
      <c r="M249" s="22">
        <f t="shared" si="111"/>
        <v>0</v>
      </c>
      <c r="N249" s="22">
        <f t="shared" si="111"/>
        <v>0</v>
      </c>
      <c r="O249" s="22">
        <f t="shared" si="111"/>
        <v>0</v>
      </c>
      <c r="P249" s="22">
        <f t="shared" si="111"/>
        <v>0</v>
      </c>
      <c r="Q249" s="22">
        <f t="shared" si="111"/>
        <v>0</v>
      </c>
      <c r="R249" s="22">
        <f>SUM(R247:R248)</f>
        <v>0</v>
      </c>
      <c r="S249" s="22">
        <f>SUM(S247:S248)</f>
        <v>0</v>
      </c>
      <c r="T249" s="109"/>
      <c r="U249" s="113"/>
      <c r="V249" s="113"/>
    </row>
    <row r="250" spans="4:24">
      <c r="D250" s="126" t="s">
        <v>43</v>
      </c>
      <c r="E250" s="21" t="s">
        <v>78</v>
      </c>
      <c r="F250" s="22">
        <f>F235+F238+F241+F244+F247</f>
        <v>0</v>
      </c>
      <c r="G250" s="22">
        <f t="shared" ref="G250:S250" si="112">G235+G238+G241+G244+G247</f>
        <v>0</v>
      </c>
      <c r="H250" s="22">
        <f t="shared" si="112"/>
        <v>0</v>
      </c>
      <c r="I250" s="22">
        <f t="shared" si="112"/>
        <v>0</v>
      </c>
      <c r="J250" s="22">
        <f t="shared" si="112"/>
        <v>0</v>
      </c>
      <c r="K250" s="22">
        <f t="shared" si="112"/>
        <v>0</v>
      </c>
      <c r="L250" s="22">
        <f t="shared" si="112"/>
        <v>0</v>
      </c>
      <c r="M250" s="22">
        <f t="shared" si="112"/>
        <v>0</v>
      </c>
      <c r="N250" s="22">
        <f t="shared" si="112"/>
        <v>0</v>
      </c>
      <c r="O250" s="22">
        <f t="shared" si="112"/>
        <v>0</v>
      </c>
      <c r="P250" s="22">
        <f t="shared" si="112"/>
        <v>0</v>
      </c>
      <c r="Q250" s="22">
        <f t="shared" si="112"/>
        <v>0</v>
      </c>
      <c r="R250" s="22">
        <f t="shared" si="112"/>
        <v>0</v>
      </c>
      <c r="S250" s="22">
        <f t="shared" si="112"/>
        <v>0</v>
      </c>
      <c r="T250" s="109" t="s">
        <v>117</v>
      </c>
      <c r="U250" s="113" t="s">
        <v>117</v>
      </c>
      <c r="V250" s="113" t="s">
        <v>117</v>
      </c>
      <c r="X250" s="19">
        <f>Q250*0.1</f>
        <v>0</v>
      </c>
    </row>
    <row r="251" spans="4:24">
      <c r="D251" s="126"/>
      <c r="E251" s="21" t="s">
        <v>24</v>
      </c>
      <c r="F251" s="22">
        <f t="shared" ref="F251:S252" si="113">F236+F239+F242+F245+F248</f>
        <v>0</v>
      </c>
      <c r="G251" s="22">
        <f t="shared" si="113"/>
        <v>0</v>
      </c>
      <c r="H251" s="22">
        <f t="shared" si="113"/>
        <v>0</v>
      </c>
      <c r="I251" s="22">
        <f t="shared" si="113"/>
        <v>0</v>
      </c>
      <c r="J251" s="22">
        <f t="shared" si="113"/>
        <v>0</v>
      </c>
      <c r="K251" s="22">
        <f t="shared" si="113"/>
        <v>0</v>
      </c>
      <c r="L251" s="22">
        <f t="shared" si="113"/>
        <v>0</v>
      </c>
      <c r="M251" s="22">
        <f t="shared" si="113"/>
        <v>0</v>
      </c>
      <c r="N251" s="22">
        <f t="shared" si="113"/>
        <v>0</v>
      </c>
      <c r="O251" s="22">
        <f t="shared" si="113"/>
        <v>0</v>
      </c>
      <c r="P251" s="22">
        <f t="shared" si="113"/>
        <v>0</v>
      </c>
      <c r="Q251" s="22">
        <f t="shared" si="113"/>
        <v>0</v>
      </c>
      <c r="R251" s="22">
        <f t="shared" si="113"/>
        <v>0</v>
      </c>
      <c r="S251" s="22">
        <f t="shared" si="113"/>
        <v>0</v>
      </c>
      <c r="T251" s="109"/>
      <c r="U251" s="113"/>
      <c r="V251" s="113"/>
    </row>
    <row r="252" spans="4:24">
      <c r="D252" s="126"/>
      <c r="E252" s="21" t="s">
        <v>69</v>
      </c>
      <c r="F252" s="22">
        <f t="shared" si="113"/>
        <v>0</v>
      </c>
      <c r="G252" s="22">
        <f t="shared" si="113"/>
        <v>0</v>
      </c>
      <c r="H252" s="22">
        <f t="shared" si="113"/>
        <v>0</v>
      </c>
      <c r="I252" s="22">
        <f t="shared" si="113"/>
        <v>0</v>
      </c>
      <c r="J252" s="22">
        <f t="shared" si="113"/>
        <v>0</v>
      </c>
      <c r="K252" s="22">
        <f t="shared" si="113"/>
        <v>0</v>
      </c>
      <c r="L252" s="22">
        <f t="shared" si="113"/>
        <v>0</v>
      </c>
      <c r="M252" s="22">
        <f t="shared" si="113"/>
        <v>0</v>
      </c>
      <c r="N252" s="22">
        <f t="shared" si="113"/>
        <v>0</v>
      </c>
      <c r="O252" s="22">
        <f t="shared" si="113"/>
        <v>0</v>
      </c>
      <c r="P252" s="22">
        <f t="shared" si="113"/>
        <v>0</v>
      </c>
      <c r="Q252" s="22">
        <f t="shared" si="113"/>
        <v>0</v>
      </c>
      <c r="R252" s="22">
        <f t="shared" si="113"/>
        <v>0</v>
      </c>
      <c r="S252" s="22">
        <f t="shared" si="113"/>
        <v>0</v>
      </c>
      <c r="T252" s="109"/>
      <c r="U252" s="113"/>
      <c r="V252" s="113"/>
    </row>
    <row r="254" spans="4:24">
      <c r="D254" s="119" t="s">
        <v>162</v>
      </c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</row>
    <row r="255" spans="4:24">
      <c r="U255" s="127" t="s">
        <v>143</v>
      </c>
      <c r="V255" s="127"/>
    </row>
    <row r="256" spans="4:24">
      <c r="D256" s="107" t="s">
        <v>68</v>
      </c>
      <c r="E256" s="107"/>
      <c r="F256" s="107" t="s">
        <v>129</v>
      </c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9" t="s">
        <v>117</v>
      </c>
      <c r="U256" s="107" t="s">
        <v>107</v>
      </c>
      <c r="V256" s="107" t="s">
        <v>19</v>
      </c>
    </row>
    <row r="257" spans="4:24">
      <c r="D257" s="107"/>
      <c r="E257" s="107"/>
      <c r="F257" s="107" t="s">
        <v>46</v>
      </c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 t="s">
        <v>134</v>
      </c>
      <c r="S257" s="107" t="s">
        <v>69</v>
      </c>
      <c r="T257" s="109"/>
      <c r="U257" s="107"/>
      <c r="V257" s="107"/>
    </row>
    <row r="258" spans="4:24">
      <c r="D258" s="107"/>
      <c r="E258" s="107"/>
      <c r="F258" s="107" t="s">
        <v>121</v>
      </c>
      <c r="G258" s="107" t="s">
        <v>52</v>
      </c>
      <c r="H258" s="107"/>
      <c r="I258" s="107" t="s">
        <v>76</v>
      </c>
      <c r="J258" s="107"/>
      <c r="K258" s="107" t="s">
        <v>149</v>
      </c>
      <c r="L258" s="107" t="s">
        <v>105</v>
      </c>
      <c r="M258" s="107" t="s">
        <v>88</v>
      </c>
      <c r="N258" s="107" t="s">
        <v>35</v>
      </c>
      <c r="O258" s="107" t="s">
        <v>33</v>
      </c>
      <c r="P258" s="107" t="s">
        <v>30</v>
      </c>
      <c r="Q258" s="107" t="s">
        <v>25</v>
      </c>
      <c r="R258" s="107"/>
      <c r="S258" s="107"/>
      <c r="T258" s="109"/>
      <c r="U258" s="107"/>
      <c r="V258" s="107"/>
    </row>
    <row r="259" spans="4:24">
      <c r="D259" s="107"/>
      <c r="E259" s="107"/>
      <c r="F259" s="107"/>
      <c r="G259" s="20" t="s">
        <v>83</v>
      </c>
      <c r="H259" s="20" t="s">
        <v>102</v>
      </c>
      <c r="I259" s="20" t="s">
        <v>83</v>
      </c>
      <c r="J259" s="20" t="s">
        <v>102</v>
      </c>
      <c r="K259" s="107"/>
      <c r="L259" s="107"/>
      <c r="M259" s="107"/>
      <c r="N259" s="107"/>
      <c r="O259" s="107"/>
      <c r="P259" s="107"/>
      <c r="Q259" s="107"/>
      <c r="R259" s="107"/>
      <c r="S259" s="107"/>
      <c r="T259" s="109"/>
      <c r="U259" s="107"/>
      <c r="V259" s="107"/>
    </row>
    <row r="260" spans="4:24">
      <c r="D260" s="126">
        <v>1</v>
      </c>
      <c r="E260" s="21" t="s">
        <v>78</v>
      </c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2">
        <f>SUM(F260:P260)</f>
        <v>0</v>
      </c>
      <c r="R260" s="24"/>
      <c r="S260" s="22">
        <f>Q260+R260</f>
        <v>0</v>
      </c>
      <c r="T260" s="109" t="s">
        <v>117</v>
      </c>
      <c r="U260" s="113" t="s">
        <v>117</v>
      </c>
      <c r="V260" s="113" t="s">
        <v>117</v>
      </c>
      <c r="X260" s="19">
        <f>Q260*0.1</f>
        <v>0</v>
      </c>
    </row>
    <row r="261" spans="4:24">
      <c r="D261" s="126"/>
      <c r="E261" s="21" t="s">
        <v>24</v>
      </c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2">
        <f>SUM(F261:P261)</f>
        <v>0</v>
      </c>
      <c r="R261" s="24"/>
      <c r="S261" s="22">
        <f>Q261+R261</f>
        <v>0</v>
      </c>
      <c r="T261" s="109"/>
      <c r="U261" s="113"/>
      <c r="V261" s="113"/>
    </row>
    <row r="262" spans="4:24">
      <c r="D262" s="126"/>
      <c r="E262" s="21" t="s">
        <v>25</v>
      </c>
      <c r="F262" s="22">
        <f t="shared" ref="F262:R262" si="114">SUM(F260:F261)</f>
        <v>0</v>
      </c>
      <c r="G262" s="22">
        <f t="shared" si="114"/>
        <v>0</v>
      </c>
      <c r="H262" s="22">
        <f t="shared" si="114"/>
        <v>0</v>
      </c>
      <c r="I262" s="22">
        <f t="shared" si="114"/>
        <v>0</v>
      </c>
      <c r="J262" s="22">
        <f t="shared" si="114"/>
        <v>0</v>
      </c>
      <c r="K262" s="22">
        <f t="shared" si="114"/>
        <v>0</v>
      </c>
      <c r="L262" s="22">
        <f t="shared" si="114"/>
        <v>0</v>
      </c>
      <c r="M262" s="22">
        <f t="shared" si="114"/>
        <v>0</v>
      </c>
      <c r="N262" s="22">
        <f t="shared" si="114"/>
        <v>0</v>
      </c>
      <c r="O262" s="22">
        <f t="shared" si="114"/>
        <v>0</v>
      </c>
      <c r="P262" s="22">
        <f t="shared" si="114"/>
        <v>0</v>
      </c>
      <c r="Q262" s="22">
        <f>SUM(Q260:Q261)</f>
        <v>0</v>
      </c>
      <c r="R262" s="22">
        <f t="shared" si="114"/>
        <v>0</v>
      </c>
      <c r="S262" s="22">
        <f>SUM(S260:S261)</f>
        <v>0</v>
      </c>
      <c r="T262" s="109"/>
      <c r="U262" s="113"/>
      <c r="V262" s="113"/>
    </row>
    <row r="263" spans="4:24">
      <c r="D263" s="126">
        <v>2</v>
      </c>
      <c r="E263" s="21" t="s">
        <v>78</v>
      </c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2">
        <f>SUM(F263:P263)</f>
        <v>0</v>
      </c>
      <c r="R263" s="24"/>
      <c r="S263" s="22">
        <f t="shared" ref="S263:S264" si="115">Q263+R263</f>
        <v>0</v>
      </c>
      <c r="T263" s="109" t="s">
        <v>117</v>
      </c>
      <c r="U263" s="113" t="s">
        <v>117</v>
      </c>
      <c r="V263" s="113" t="s">
        <v>117</v>
      </c>
      <c r="X263" s="19">
        <f>Q263*0.1</f>
        <v>0</v>
      </c>
    </row>
    <row r="264" spans="4:24">
      <c r="D264" s="126"/>
      <c r="E264" s="21" t="s">
        <v>24</v>
      </c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2">
        <f>SUM(F264:P264)</f>
        <v>0</v>
      </c>
      <c r="R264" s="24"/>
      <c r="S264" s="22">
        <f t="shared" si="115"/>
        <v>0</v>
      </c>
      <c r="T264" s="109"/>
      <c r="U264" s="113"/>
      <c r="V264" s="113"/>
    </row>
    <row r="265" spans="4:24">
      <c r="D265" s="126"/>
      <c r="E265" s="21" t="s">
        <v>25</v>
      </c>
      <c r="F265" s="22">
        <f>SUM(F263:F264)</f>
        <v>0</v>
      </c>
      <c r="G265" s="22">
        <f t="shared" ref="G265:R265" si="116">SUM(G263:G264)</f>
        <v>0</v>
      </c>
      <c r="H265" s="22">
        <f t="shared" si="116"/>
        <v>0</v>
      </c>
      <c r="I265" s="22">
        <f t="shared" si="116"/>
        <v>0</v>
      </c>
      <c r="J265" s="22">
        <f t="shared" si="116"/>
        <v>0</v>
      </c>
      <c r="K265" s="22">
        <f t="shared" si="116"/>
        <v>0</v>
      </c>
      <c r="L265" s="22">
        <f t="shared" si="116"/>
        <v>0</v>
      </c>
      <c r="M265" s="22">
        <f t="shared" si="116"/>
        <v>0</v>
      </c>
      <c r="N265" s="22">
        <f t="shared" si="116"/>
        <v>0</v>
      </c>
      <c r="O265" s="22">
        <f t="shared" si="116"/>
        <v>0</v>
      </c>
      <c r="P265" s="22">
        <f t="shared" si="116"/>
        <v>0</v>
      </c>
      <c r="Q265" s="22">
        <f t="shared" si="116"/>
        <v>0</v>
      </c>
      <c r="R265" s="22">
        <f t="shared" si="116"/>
        <v>0</v>
      </c>
      <c r="S265" s="22">
        <f>SUM(S263:S264)</f>
        <v>0</v>
      </c>
      <c r="T265" s="109"/>
      <c r="U265" s="113"/>
      <c r="V265" s="113"/>
    </row>
    <row r="266" spans="4:24">
      <c r="D266" s="126">
        <v>3</v>
      </c>
      <c r="E266" s="21" t="s">
        <v>78</v>
      </c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2">
        <f>SUM(F266:P266)</f>
        <v>0</v>
      </c>
      <c r="R266" s="24"/>
      <c r="S266" s="22">
        <f t="shared" ref="S266:S267" si="117">Q266+R266</f>
        <v>0</v>
      </c>
      <c r="T266" s="109" t="s">
        <v>117</v>
      </c>
      <c r="U266" s="113" t="s">
        <v>117</v>
      </c>
      <c r="V266" s="113" t="s">
        <v>117</v>
      </c>
      <c r="X266" s="19">
        <f>Q266*0.1</f>
        <v>0</v>
      </c>
    </row>
    <row r="267" spans="4:24">
      <c r="D267" s="126"/>
      <c r="E267" s="21" t="s">
        <v>24</v>
      </c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2">
        <f>SUM(F267:P267)</f>
        <v>0</v>
      </c>
      <c r="R267" s="24"/>
      <c r="S267" s="22">
        <f t="shared" si="117"/>
        <v>0</v>
      </c>
      <c r="T267" s="109"/>
      <c r="U267" s="113"/>
      <c r="V267" s="113"/>
    </row>
    <row r="268" spans="4:24">
      <c r="D268" s="126"/>
      <c r="E268" s="21" t="s">
        <v>25</v>
      </c>
      <c r="F268" s="22">
        <f>SUM(F266:F267)</f>
        <v>0</v>
      </c>
      <c r="G268" s="22">
        <f t="shared" ref="G268:R268" si="118">SUM(G266:G267)</f>
        <v>0</v>
      </c>
      <c r="H268" s="22">
        <f t="shared" si="118"/>
        <v>0</v>
      </c>
      <c r="I268" s="22">
        <f t="shared" si="118"/>
        <v>0</v>
      </c>
      <c r="J268" s="22">
        <f t="shared" si="118"/>
        <v>0</v>
      </c>
      <c r="K268" s="22">
        <f t="shared" si="118"/>
        <v>0</v>
      </c>
      <c r="L268" s="22">
        <f t="shared" si="118"/>
        <v>0</v>
      </c>
      <c r="M268" s="22">
        <f t="shared" si="118"/>
        <v>0</v>
      </c>
      <c r="N268" s="22">
        <f t="shared" si="118"/>
        <v>0</v>
      </c>
      <c r="O268" s="22">
        <f t="shared" si="118"/>
        <v>0</v>
      </c>
      <c r="P268" s="22">
        <f t="shared" si="118"/>
        <v>0</v>
      </c>
      <c r="Q268" s="22">
        <f t="shared" si="118"/>
        <v>0</v>
      </c>
      <c r="R268" s="22">
        <f t="shared" si="118"/>
        <v>0</v>
      </c>
      <c r="S268" s="22">
        <f>SUM(S266:S267)</f>
        <v>0</v>
      </c>
      <c r="T268" s="109"/>
      <c r="U268" s="113"/>
      <c r="V268" s="113"/>
    </row>
    <row r="269" spans="4:24">
      <c r="D269" s="126">
        <v>4</v>
      </c>
      <c r="E269" s="21" t="s">
        <v>78</v>
      </c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2">
        <f>SUM(F269:P269)</f>
        <v>0</v>
      </c>
      <c r="R269" s="24"/>
      <c r="S269" s="22">
        <f t="shared" ref="S269:S270" si="119">Q269+R269</f>
        <v>0</v>
      </c>
      <c r="T269" s="109" t="s">
        <v>117</v>
      </c>
      <c r="U269" s="113" t="s">
        <v>117</v>
      </c>
      <c r="V269" s="113" t="s">
        <v>117</v>
      </c>
      <c r="X269" s="19">
        <f>Q269*0.1</f>
        <v>0</v>
      </c>
    </row>
    <row r="270" spans="4:24">
      <c r="D270" s="126"/>
      <c r="E270" s="21" t="s">
        <v>24</v>
      </c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2">
        <f>SUM(F270:P270)</f>
        <v>0</v>
      </c>
      <c r="R270" s="24"/>
      <c r="S270" s="22">
        <f t="shared" si="119"/>
        <v>0</v>
      </c>
      <c r="T270" s="109"/>
      <c r="U270" s="113"/>
      <c r="V270" s="113"/>
    </row>
    <row r="271" spans="4:24">
      <c r="D271" s="126"/>
      <c r="E271" s="21" t="s">
        <v>25</v>
      </c>
      <c r="F271" s="22">
        <f>SUM(F269:F270)</f>
        <v>0</v>
      </c>
      <c r="G271" s="22">
        <f t="shared" ref="G271:R271" si="120">SUM(G269:G270)</f>
        <v>0</v>
      </c>
      <c r="H271" s="22">
        <f t="shared" si="120"/>
        <v>0</v>
      </c>
      <c r="I271" s="22">
        <f t="shared" si="120"/>
        <v>0</v>
      </c>
      <c r="J271" s="22">
        <f t="shared" si="120"/>
        <v>0</v>
      </c>
      <c r="K271" s="22">
        <f t="shared" si="120"/>
        <v>0</v>
      </c>
      <c r="L271" s="22">
        <f t="shared" si="120"/>
        <v>0</v>
      </c>
      <c r="M271" s="22">
        <f t="shared" si="120"/>
        <v>0</v>
      </c>
      <c r="N271" s="22">
        <f t="shared" si="120"/>
        <v>0</v>
      </c>
      <c r="O271" s="22">
        <f t="shared" si="120"/>
        <v>0</v>
      </c>
      <c r="P271" s="22">
        <f t="shared" si="120"/>
        <v>0</v>
      </c>
      <c r="Q271" s="22">
        <f t="shared" si="120"/>
        <v>0</v>
      </c>
      <c r="R271" s="22">
        <f t="shared" si="120"/>
        <v>0</v>
      </c>
      <c r="S271" s="22">
        <f>SUM(S269:S270)</f>
        <v>0</v>
      </c>
      <c r="T271" s="109"/>
      <c r="U271" s="113"/>
      <c r="V271" s="113"/>
    </row>
    <row r="272" spans="4:24">
      <c r="D272" s="126">
        <v>5</v>
      </c>
      <c r="E272" s="21" t="s">
        <v>78</v>
      </c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2">
        <f>SUM(F272:P272)</f>
        <v>0</v>
      </c>
      <c r="R272" s="24"/>
      <c r="S272" s="22">
        <f t="shared" ref="S272:S273" si="121">Q272+R272</f>
        <v>0</v>
      </c>
      <c r="T272" s="109" t="s">
        <v>117</v>
      </c>
      <c r="U272" s="113" t="s">
        <v>117</v>
      </c>
      <c r="V272" s="113" t="s">
        <v>117</v>
      </c>
      <c r="X272" s="19">
        <f>Q272*0.2205</f>
        <v>0</v>
      </c>
    </row>
    <row r="273" spans="4:24">
      <c r="D273" s="126"/>
      <c r="E273" s="21" t="s">
        <v>24</v>
      </c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2">
        <f>SUM(F273:P273)</f>
        <v>0</v>
      </c>
      <c r="R273" s="24"/>
      <c r="S273" s="22">
        <f t="shared" si="121"/>
        <v>0</v>
      </c>
      <c r="T273" s="109"/>
      <c r="U273" s="113"/>
      <c r="V273" s="113"/>
    </row>
    <row r="274" spans="4:24">
      <c r="D274" s="126"/>
      <c r="E274" s="21" t="s">
        <v>25</v>
      </c>
      <c r="F274" s="22">
        <f>SUM(F272:F273)</f>
        <v>0</v>
      </c>
      <c r="G274" s="22">
        <f t="shared" ref="G274:Q274" si="122">SUM(G272:G273)</f>
        <v>0</v>
      </c>
      <c r="H274" s="22">
        <f t="shared" si="122"/>
        <v>0</v>
      </c>
      <c r="I274" s="22">
        <f t="shared" si="122"/>
        <v>0</v>
      </c>
      <c r="J274" s="22">
        <f t="shared" si="122"/>
        <v>0</v>
      </c>
      <c r="K274" s="22">
        <f t="shared" si="122"/>
        <v>0</v>
      </c>
      <c r="L274" s="22">
        <f t="shared" si="122"/>
        <v>0</v>
      </c>
      <c r="M274" s="22">
        <f t="shared" si="122"/>
        <v>0</v>
      </c>
      <c r="N274" s="22">
        <f t="shared" si="122"/>
        <v>0</v>
      </c>
      <c r="O274" s="22">
        <f t="shared" si="122"/>
        <v>0</v>
      </c>
      <c r="P274" s="22">
        <f t="shared" si="122"/>
        <v>0</v>
      </c>
      <c r="Q274" s="22">
        <f t="shared" si="122"/>
        <v>0</v>
      </c>
      <c r="R274" s="22">
        <f>SUM(R272:R273)</f>
        <v>0</v>
      </c>
      <c r="S274" s="22">
        <f>SUM(S272:S273)</f>
        <v>0</v>
      </c>
      <c r="T274" s="109"/>
      <c r="U274" s="113"/>
      <c r="V274" s="113"/>
    </row>
    <row r="275" spans="4:24">
      <c r="D275" s="126" t="s">
        <v>43</v>
      </c>
      <c r="E275" s="21" t="s">
        <v>78</v>
      </c>
      <c r="F275" s="22">
        <f>F260+F263+F266+F269+F272</f>
        <v>0</v>
      </c>
      <c r="G275" s="22">
        <f t="shared" ref="G275:S275" si="123">G260+G263+G266+G269+G272</f>
        <v>0</v>
      </c>
      <c r="H275" s="22">
        <f t="shared" si="123"/>
        <v>0</v>
      </c>
      <c r="I275" s="22">
        <f t="shared" si="123"/>
        <v>0</v>
      </c>
      <c r="J275" s="22">
        <f t="shared" si="123"/>
        <v>0</v>
      </c>
      <c r="K275" s="22">
        <f t="shared" si="123"/>
        <v>0</v>
      </c>
      <c r="L275" s="22">
        <f t="shared" si="123"/>
        <v>0</v>
      </c>
      <c r="M275" s="22">
        <f t="shared" si="123"/>
        <v>0</v>
      </c>
      <c r="N275" s="22">
        <f t="shared" si="123"/>
        <v>0</v>
      </c>
      <c r="O275" s="22">
        <f t="shared" si="123"/>
        <v>0</v>
      </c>
      <c r="P275" s="22">
        <f t="shared" si="123"/>
        <v>0</v>
      </c>
      <c r="Q275" s="22">
        <f t="shared" si="123"/>
        <v>0</v>
      </c>
      <c r="R275" s="22">
        <f t="shared" si="123"/>
        <v>0</v>
      </c>
      <c r="S275" s="22">
        <f t="shared" si="123"/>
        <v>0</v>
      </c>
      <c r="T275" s="109" t="s">
        <v>117</v>
      </c>
      <c r="U275" s="113" t="s">
        <v>117</v>
      </c>
      <c r="V275" s="113" t="s">
        <v>117</v>
      </c>
      <c r="X275" s="19">
        <f>Q275*0.1</f>
        <v>0</v>
      </c>
    </row>
    <row r="276" spans="4:24">
      <c r="D276" s="126"/>
      <c r="E276" s="21" t="s">
        <v>24</v>
      </c>
      <c r="F276" s="22">
        <f t="shared" ref="F276:S277" si="124">F261+F264+F267+F270+F273</f>
        <v>0</v>
      </c>
      <c r="G276" s="22">
        <f t="shared" si="124"/>
        <v>0</v>
      </c>
      <c r="H276" s="22">
        <f t="shared" si="124"/>
        <v>0</v>
      </c>
      <c r="I276" s="22">
        <f t="shared" si="124"/>
        <v>0</v>
      </c>
      <c r="J276" s="22">
        <f t="shared" si="124"/>
        <v>0</v>
      </c>
      <c r="K276" s="22">
        <f t="shared" si="124"/>
        <v>0</v>
      </c>
      <c r="L276" s="22">
        <f t="shared" si="124"/>
        <v>0</v>
      </c>
      <c r="M276" s="22">
        <f t="shared" si="124"/>
        <v>0</v>
      </c>
      <c r="N276" s="22">
        <f t="shared" si="124"/>
        <v>0</v>
      </c>
      <c r="O276" s="22">
        <f t="shared" si="124"/>
        <v>0</v>
      </c>
      <c r="P276" s="22">
        <f t="shared" si="124"/>
        <v>0</v>
      </c>
      <c r="Q276" s="22">
        <f t="shared" si="124"/>
        <v>0</v>
      </c>
      <c r="R276" s="22">
        <f t="shared" si="124"/>
        <v>0</v>
      </c>
      <c r="S276" s="22">
        <f t="shared" si="124"/>
        <v>0</v>
      </c>
      <c r="T276" s="109"/>
      <c r="U276" s="113"/>
      <c r="V276" s="113"/>
    </row>
    <row r="277" spans="4:24">
      <c r="D277" s="126"/>
      <c r="E277" s="21" t="s">
        <v>69</v>
      </c>
      <c r="F277" s="22">
        <f t="shared" si="124"/>
        <v>0</v>
      </c>
      <c r="G277" s="22">
        <f t="shared" si="124"/>
        <v>0</v>
      </c>
      <c r="H277" s="22">
        <f t="shared" si="124"/>
        <v>0</v>
      </c>
      <c r="I277" s="22">
        <f t="shared" si="124"/>
        <v>0</v>
      </c>
      <c r="J277" s="22">
        <f t="shared" si="124"/>
        <v>0</v>
      </c>
      <c r="K277" s="22">
        <f t="shared" si="124"/>
        <v>0</v>
      </c>
      <c r="L277" s="22">
        <f t="shared" si="124"/>
        <v>0</v>
      </c>
      <c r="M277" s="22">
        <f t="shared" si="124"/>
        <v>0</v>
      </c>
      <c r="N277" s="22">
        <f t="shared" si="124"/>
        <v>0</v>
      </c>
      <c r="O277" s="22">
        <f t="shared" si="124"/>
        <v>0</v>
      </c>
      <c r="P277" s="22">
        <f t="shared" si="124"/>
        <v>0</v>
      </c>
      <c r="Q277" s="22">
        <f t="shared" si="124"/>
        <v>0</v>
      </c>
      <c r="R277" s="22">
        <f t="shared" si="124"/>
        <v>0</v>
      </c>
      <c r="S277" s="22">
        <f t="shared" si="124"/>
        <v>0</v>
      </c>
      <c r="T277" s="109"/>
      <c r="U277" s="113"/>
      <c r="V277" s="113"/>
    </row>
  </sheetData>
  <mergeCells count="438">
    <mergeCell ref="D272:D274"/>
    <mergeCell ref="T272:T274"/>
    <mergeCell ref="U272:U274"/>
    <mergeCell ref="V272:V274"/>
    <mergeCell ref="D275:D277"/>
    <mergeCell ref="T275:T277"/>
    <mergeCell ref="U275:U277"/>
    <mergeCell ref="V275:V277"/>
    <mergeCell ref="D266:D268"/>
    <mergeCell ref="T266:T268"/>
    <mergeCell ref="U266:U268"/>
    <mergeCell ref="V266:V268"/>
    <mergeCell ref="D269:D271"/>
    <mergeCell ref="T269:T271"/>
    <mergeCell ref="U269:U271"/>
    <mergeCell ref="V269:V271"/>
    <mergeCell ref="U260:U262"/>
    <mergeCell ref="V260:V262"/>
    <mergeCell ref="D263:D265"/>
    <mergeCell ref="T263:T265"/>
    <mergeCell ref="U263:U265"/>
    <mergeCell ref="V263:V265"/>
    <mergeCell ref="N258:N259"/>
    <mergeCell ref="O258:O259"/>
    <mergeCell ref="P258:P259"/>
    <mergeCell ref="Q258:Q259"/>
    <mergeCell ref="D260:D262"/>
    <mergeCell ref="T260:T262"/>
    <mergeCell ref="F258:F259"/>
    <mergeCell ref="G258:H258"/>
    <mergeCell ref="I258:J258"/>
    <mergeCell ref="K258:K259"/>
    <mergeCell ref="L258:L259"/>
    <mergeCell ref="M258:M259"/>
    <mergeCell ref="D254:V254"/>
    <mergeCell ref="U255:V255"/>
    <mergeCell ref="D256:E259"/>
    <mergeCell ref="F256:S256"/>
    <mergeCell ref="T256:T259"/>
    <mergeCell ref="U256:U259"/>
    <mergeCell ref="V256:V259"/>
    <mergeCell ref="F257:Q257"/>
    <mergeCell ref="R257:R259"/>
    <mergeCell ref="S257:S259"/>
    <mergeCell ref="D247:D249"/>
    <mergeCell ref="T247:T249"/>
    <mergeCell ref="U247:U249"/>
    <mergeCell ref="V247:V249"/>
    <mergeCell ref="D250:D252"/>
    <mergeCell ref="T250:T252"/>
    <mergeCell ref="U250:U252"/>
    <mergeCell ref="V250:V252"/>
    <mergeCell ref="D241:D243"/>
    <mergeCell ref="T241:T243"/>
    <mergeCell ref="U241:U243"/>
    <mergeCell ref="V241:V243"/>
    <mergeCell ref="D244:D246"/>
    <mergeCell ref="T244:T246"/>
    <mergeCell ref="U244:U246"/>
    <mergeCell ref="V244:V246"/>
    <mergeCell ref="U235:U237"/>
    <mergeCell ref="V235:V237"/>
    <mergeCell ref="D238:D240"/>
    <mergeCell ref="T238:T240"/>
    <mergeCell ref="U238:U240"/>
    <mergeCell ref="V238:V240"/>
    <mergeCell ref="N233:N234"/>
    <mergeCell ref="O233:O234"/>
    <mergeCell ref="P233:P234"/>
    <mergeCell ref="Q233:Q234"/>
    <mergeCell ref="D235:D237"/>
    <mergeCell ref="T235:T237"/>
    <mergeCell ref="F233:F234"/>
    <mergeCell ref="G233:H233"/>
    <mergeCell ref="I233:J233"/>
    <mergeCell ref="K233:K234"/>
    <mergeCell ref="L233:L234"/>
    <mergeCell ref="M233:M234"/>
    <mergeCell ref="D229:V229"/>
    <mergeCell ref="U230:V230"/>
    <mergeCell ref="D231:E234"/>
    <mergeCell ref="F231:S231"/>
    <mergeCell ref="T231:T234"/>
    <mergeCell ref="U231:U234"/>
    <mergeCell ref="V231:V234"/>
    <mergeCell ref="F232:Q232"/>
    <mergeCell ref="R232:R234"/>
    <mergeCell ref="S232:S234"/>
    <mergeCell ref="D222:D224"/>
    <mergeCell ref="T222:T224"/>
    <mergeCell ref="U222:U224"/>
    <mergeCell ref="V222:V224"/>
    <mergeCell ref="D225:D227"/>
    <mergeCell ref="T225:T227"/>
    <mergeCell ref="U225:U227"/>
    <mergeCell ref="V225:V227"/>
    <mergeCell ref="D216:D218"/>
    <mergeCell ref="T216:T218"/>
    <mergeCell ref="U216:U218"/>
    <mergeCell ref="V216:V218"/>
    <mergeCell ref="D219:D221"/>
    <mergeCell ref="T219:T221"/>
    <mergeCell ref="U219:U221"/>
    <mergeCell ref="V219:V221"/>
    <mergeCell ref="U210:U212"/>
    <mergeCell ref="V210:V212"/>
    <mergeCell ref="D213:D215"/>
    <mergeCell ref="T213:T215"/>
    <mergeCell ref="U213:U215"/>
    <mergeCell ref="V213:V215"/>
    <mergeCell ref="N208:N209"/>
    <mergeCell ref="O208:O209"/>
    <mergeCell ref="P208:P209"/>
    <mergeCell ref="Q208:Q209"/>
    <mergeCell ref="D210:D212"/>
    <mergeCell ref="T210:T212"/>
    <mergeCell ref="F208:F209"/>
    <mergeCell ref="G208:H208"/>
    <mergeCell ref="I208:J208"/>
    <mergeCell ref="K208:K209"/>
    <mergeCell ref="L208:L209"/>
    <mergeCell ref="M208:M209"/>
    <mergeCell ref="D204:V204"/>
    <mergeCell ref="U205:V205"/>
    <mergeCell ref="D206:E209"/>
    <mergeCell ref="F206:S206"/>
    <mergeCell ref="T206:T209"/>
    <mergeCell ref="U206:U209"/>
    <mergeCell ref="V206:V209"/>
    <mergeCell ref="F207:Q207"/>
    <mergeCell ref="R207:R209"/>
    <mergeCell ref="S207:S209"/>
    <mergeCell ref="D197:D199"/>
    <mergeCell ref="T197:T199"/>
    <mergeCell ref="U197:U199"/>
    <mergeCell ref="V197:V199"/>
    <mergeCell ref="D200:D202"/>
    <mergeCell ref="T200:T202"/>
    <mergeCell ref="U200:U202"/>
    <mergeCell ref="V200:V202"/>
    <mergeCell ref="D191:D193"/>
    <mergeCell ref="T191:T193"/>
    <mergeCell ref="U191:U193"/>
    <mergeCell ref="V191:V193"/>
    <mergeCell ref="D194:D196"/>
    <mergeCell ref="T194:T196"/>
    <mergeCell ref="U194:U196"/>
    <mergeCell ref="V194:V196"/>
    <mergeCell ref="U185:U187"/>
    <mergeCell ref="V185:V187"/>
    <mergeCell ref="D188:D190"/>
    <mergeCell ref="T188:T190"/>
    <mergeCell ref="U188:U190"/>
    <mergeCell ref="V188:V190"/>
    <mergeCell ref="N183:N184"/>
    <mergeCell ref="O183:O184"/>
    <mergeCell ref="P183:P184"/>
    <mergeCell ref="Q183:Q184"/>
    <mergeCell ref="D185:D187"/>
    <mergeCell ref="T185:T187"/>
    <mergeCell ref="F183:F184"/>
    <mergeCell ref="G183:H183"/>
    <mergeCell ref="I183:J183"/>
    <mergeCell ref="K183:K184"/>
    <mergeCell ref="L183:L184"/>
    <mergeCell ref="M183:M184"/>
    <mergeCell ref="D179:V179"/>
    <mergeCell ref="U180:V180"/>
    <mergeCell ref="D181:E184"/>
    <mergeCell ref="F181:S181"/>
    <mergeCell ref="T181:T184"/>
    <mergeCell ref="U181:U184"/>
    <mergeCell ref="V181:V184"/>
    <mergeCell ref="F182:Q182"/>
    <mergeCell ref="R182:R184"/>
    <mergeCell ref="S182:S184"/>
    <mergeCell ref="D172:D174"/>
    <mergeCell ref="T172:T174"/>
    <mergeCell ref="U172:U174"/>
    <mergeCell ref="V172:V174"/>
    <mergeCell ref="D175:D177"/>
    <mergeCell ref="T175:T177"/>
    <mergeCell ref="U175:U177"/>
    <mergeCell ref="V175:V177"/>
    <mergeCell ref="D166:D168"/>
    <mergeCell ref="T166:T168"/>
    <mergeCell ref="U166:U168"/>
    <mergeCell ref="V166:V168"/>
    <mergeCell ref="D169:D171"/>
    <mergeCell ref="T169:T171"/>
    <mergeCell ref="U169:U171"/>
    <mergeCell ref="V169:V171"/>
    <mergeCell ref="U160:U162"/>
    <mergeCell ref="V160:V162"/>
    <mergeCell ref="D163:D165"/>
    <mergeCell ref="T163:T165"/>
    <mergeCell ref="U163:U165"/>
    <mergeCell ref="V163:V165"/>
    <mergeCell ref="N158:N159"/>
    <mergeCell ref="O158:O159"/>
    <mergeCell ref="P158:P159"/>
    <mergeCell ref="Q158:Q159"/>
    <mergeCell ref="D160:D162"/>
    <mergeCell ref="T160:T162"/>
    <mergeCell ref="F158:F159"/>
    <mergeCell ref="G158:H158"/>
    <mergeCell ref="I158:J158"/>
    <mergeCell ref="K158:K159"/>
    <mergeCell ref="L158:L159"/>
    <mergeCell ref="M158:M159"/>
    <mergeCell ref="D154:V154"/>
    <mergeCell ref="U155:V155"/>
    <mergeCell ref="D156:E159"/>
    <mergeCell ref="F156:S156"/>
    <mergeCell ref="T156:T159"/>
    <mergeCell ref="U156:U159"/>
    <mergeCell ref="V156:V159"/>
    <mergeCell ref="F157:Q157"/>
    <mergeCell ref="R157:R159"/>
    <mergeCell ref="S157:S159"/>
    <mergeCell ref="D147:D149"/>
    <mergeCell ref="T147:T149"/>
    <mergeCell ref="U147:U149"/>
    <mergeCell ref="V147:V149"/>
    <mergeCell ref="D150:D152"/>
    <mergeCell ref="T150:T152"/>
    <mergeCell ref="U150:U152"/>
    <mergeCell ref="V150:V152"/>
    <mergeCell ref="D141:D143"/>
    <mergeCell ref="T141:T143"/>
    <mergeCell ref="U141:U143"/>
    <mergeCell ref="V141:V143"/>
    <mergeCell ref="D144:D146"/>
    <mergeCell ref="T144:T146"/>
    <mergeCell ref="U144:U146"/>
    <mergeCell ref="V144:V146"/>
    <mergeCell ref="U135:U137"/>
    <mergeCell ref="V135:V137"/>
    <mergeCell ref="D138:D140"/>
    <mergeCell ref="T138:T140"/>
    <mergeCell ref="U138:U140"/>
    <mergeCell ref="V138:V140"/>
    <mergeCell ref="N133:N134"/>
    <mergeCell ref="O133:O134"/>
    <mergeCell ref="P133:P134"/>
    <mergeCell ref="Q133:Q134"/>
    <mergeCell ref="D135:D137"/>
    <mergeCell ref="T135:T137"/>
    <mergeCell ref="F133:F134"/>
    <mergeCell ref="G133:H133"/>
    <mergeCell ref="I133:J133"/>
    <mergeCell ref="K133:K134"/>
    <mergeCell ref="L133:L134"/>
    <mergeCell ref="M133:M134"/>
    <mergeCell ref="D129:V129"/>
    <mergeCell ref="U130:V130"/>
    <mergeCell ref="D131:E134"/>
    <mergeCell ref="F131:S131"/>
    <mergeCell ref="T131:T134"/>
    <mergeCell ref="U131:U134"/>
    <mergeCell ref="V131:V134"/>
    <mergeCell ref="F132:Q132"/>
    <mergeCell ref="R132:R134"/>
    <mergeCell ref="S132:S134"/>
    <mergeCell ref="D122:D124"/>
    <mergeCell ref="T122:T124"/>
    <mergeCell ref="U122:U124"/>
    <mergeCell ref="V122:V124"/>
    <mergeCell ref="D125:D127"/>
    <mergeCell ref="T125:T127"/>
    <mergeCell ref="U125:U127"/>
    <mergeCell ref="V125:V127"/>
    <mergeCell ref="D116:D118"/>
    <mergeCell ref="T116:T118"/>
    <mergeCell ref="U116:U118"/>
    <mergeCell ref="V116:V118"/>
    <mergeCell ref="D119:D121"/>
    <mergeCell ref="T119:T121"/>
    <mergeCell ref="U119:U121"/>
    <mergeCell ref="V119:V121"/>
    <mergeCell ref="D110:D112"/>
    <mergeCell ref="T110:T112"/>
    <mergeCell ref="U110:U112"/>
    <mergeCell ref="V110:V112"/>
    <mergeCell ref="D113:D115"/>
    <mergeCell ref="T113:T115"/>
    <mergeCell ref="U113:U115"/>
    <mergeCell ref="V113:V115"/>
    <mergeCell ref="S107:S109"/>
    <mergeCell ref="F108:F109"/>
    <mergeCell ref="G108:H108"/>
    <mergeCell ref="I108:J108"/>
    <mergeCell ref="K108:K109"/>
    <mergeCell ref="L108:L109"/>
    <mergeCell ref="M108:M109"/>
    <mergeCell ref="N108:N109"/>
    <mergeCell ref="O108:O109"/>
    <mergeCell ref="P108:P109"/>
    <mergeCell ref="C103:V103"/>
    <mergeCell ref="D104:V104"/>
    <mergeCell ref="U105:V105"/>
    <mergeCell ref="D106:E109"/>
    <mergeCell ref="F106:S106"/>
    <mergeCell ref="T106:T109"/>
    <mergeCell ref="U106:U109"/>
    <mergeCell ref="V106:V109"/>
    <mergeCell ref="F107:Q107"/>
    <mergeCell ref="R107:R109"/>
    <mergeCell ref="Q108:Q109"/>
    <mergeCell ref="D96:D98"/>
    <mergeCell ref="T96:T98"/>
    <mergeCell ref="U96:U98"/>
    <mergeCell ref="V96:V98"/>
    <mergeCell ref="D99:D101"/>
    <mergeCell ref="T99:T101"/>
    <mergeCell ref="U99:U101"/>
    <mergeCell ref="V99:V101"/>
    <mergeCell ref="D90:D92"/>
    <mergeCell ref="T90:T92"/>
    <mergeCell ref="U90:U92"/>
    <mergeCell ref="V90:V92"/>
    <mergeCell ref="D93:D95"/>
    <mergeCell ref="T93:T95"/>
    <mergeCell ref="U93:U95"/>
    <mergeCell ref="V93:V95"/>
    <mergeCell ref="U84:U86"/>
    <mergeCell ref="V84:V86"/>
    <mergeCell ref="D87:D89"/>
    <mergeCell ref="T87:T89"/>
    <mergeCell ref="U87:U89"/>
    <mergeCell ref="V87:V89"/>
    <mergeCell ref="N82:N83"/>
    <mergeCell ref="O82:O83"/>
    <mergeCell ref="P82:P83"/>
    <mergeCell ref="Q82:Q83"/>
    <mergeCell ref="D84:D86"/>
    <mergeCell ref="T84:T86"/>
    <mergeCell ref="F82:F83"/>
    <mergeCell ref="G82:H82"/>
    <mergeCell ref="I82:J82"/>
    <mergeCell ref="K82:K83"/>
    <mergeCell ref="L82:L83"/>
    <mergeCell ref="M82:M83"/>
    <mergeCell ref="C78:V78"/>
    <mergeCell ref="U79:V79"/>
    <mergeCell ref="D80:E83"/>
    <mergeCell ref="F80:S80"/>
    <mergeCell ref="T80:T83"/>
    <mergeCell ref="U80:U83"/>
    <mergeCell ref="V80:V83"/>
    <mergeCell ref="F81:Q81"/>
    <mergeCell ref="R81:R83"/>
    <mergeCell ref="S81:S83"/>
    <mergeCell ref="D71:D73"/>
    <mergeCell ref="T71:T73"/>
    <mergeCell ref="U71:U73"/>
    <mergeCell ref="V71:V73"/>
    <mergeCell ref="D74:D76"/>
    <mergeCell ref="T74:T76"/>
    <mergeCell ref="U74:U76"/>
    <mergeCell ref="V74:V76"/>
    <mergeCell ref="D65:D67"/>
    <mergeCell ref="T65:T67"/>
    <mergeCell ref="U65:U67"/>
    <mergeCell ref="V65:V67"/>
    <mergeCell ref="D68:D70"/>
    <mergeCell ref="T68:T70"/>
    <mergeCell ref="U68:U70"/>
    <mergeCell ref="V68:V70"/>
    <mergeCell ref="U59:U61"/>
    <mergeCell ref="V59:V61"/>
    <mergeCell ref="D62:D64"/>
    <mergeCell ref="T62:T64"/>
    <mergeCell ref="U62:U64"/>
    <mergeCell ref="V62:V64"/>
    <mergeCell ref="U53:U55"/>
    <mergeCell ref="V53:V55"/>
    <mergeCell ref="D56:D58"/>
    <mergeCell ref="T56:T58"/>
    <mergeCell ref="U56:U58"/>
    <mergeCell ref="V56:V58"/>
    <mergeCell ref="D53:D55"/>
    <mergeCell ref="T53:T55"/>
    <mergeCell ref="F51:F52"/>
    <mergeCell ref="G51:H51"/>
    <mergeCell ref="I51:J51"/>
    <mergeCell ref="K51:K52"/>
    <mergeCell ref="L51:L52"/>
    <mergeCell ref="M51:M52"/>
    <mergeCell ref="D59:D61"/>
    <mergeCell ref="T59:T61"/>
    <mergeCell ref="C47:V47"/>
    <mergeCell ref="U48:V48"/>
    <mergeCell ref="D49:E52"/>
    <mergeCell ref="F49:S49"/>
    <mergeCell ref="T49:T52"/>
    <mergeCell ref="U49:U52"/>
    <mergeCell ref="V49:V52"/>
    <mergeCell ref="F50:Q50"/>
    <mergeCell ref="R50:R52"/>
    <mergeCell ref="S50:S52"/>
    <mergeCell ref="N51:N52"/>
    <mergeCell ref="O51:O52"/>
    <mergeCell ref="P51:P52"/>
    <mergeCell ref="Q51:Q52"/>
    <mergeCell ref="D29:D43"/>
    <mergeCell ref="E29:E35"/>
    <mergeCell ref="E36:E42"/>
    <mergeCell ref="E43:F43"/>
    <mergeCell ref="D44:F44"/>
    <mergeCell ref="B46:V46"/>
    <mergeCell ref="Q5:Q6"/>
    <mergeCell ref="R5:R6"/>
    <mergeCell ref="S5:S6"/>
    <mergeCell ref="D7:D28"/>
    <mergeCell ref="E7:E13"/>
    <mergeCell ref="E14:E20"/>
    <mergeCell ref="E21:E27"/>
    <mergeCell ref="E28:F28"/>
    <mergeCell ref="K5:K6"/>
    <mergeCell ref="L5:L6"/>
    <mergeCell ref="M5:M6"/>
    <mergeCell ref="N5:N6"/>
    <mergeCell ref="O5:O6"/>
    <mergeCell ref="P5:P6"/>
    <mergeCell ref="D5:D6"/>
    <mergeCell ref="E5:E6"/>
    <mergeCell ref="G5:G6"/>
    <mergeCell ref="H5:H6"/>
    <mergeCell ref="I5:I6"/>
    <mergeCell ref="J5:J6"/>
    <mergeCell ref="D3:F4"/>
    <mergeCell ref="H3:J3"/>
    <mergeCell ref="K3:P3"/>
    <mergeCell ref="Q3:S4"/>
    <mergeCell ref="H4:J4"/>
    <mergeCell ref="K4:M4"/>
    <mergeCell ref="N4:P4"/>
  </mergeCells>
  <phoneticPr fontId="12" type="noConversion"/>
  <conditionalFormatting sqref="Q7">
    <cfRule type="cellIs" dxfId="335" priority="60" operator="notEqual">
      <formula>$S$110</formula>
    </cfRule>
  </conditionalFormatting>
  <conditionalFormatting sqref="Q8">
    <cfRule type="cellIs" dxfId="334" priority="70" operator="notEqual">
      <formula>$S$135</formula>
    </cfRule>
  </conditionalFormatting>
  <conditionalFormatting sqref="Q9">
    <cfRule type="cellIs" dxfId="333" priority="50" operator="notEqual">
      <formula>$S$160</formula>
    </cfRule>
  </conditionalFormatting>
  <conditionalFormatting sqref="Q10">
    <cfRule type="cellIs" dxfId="332" priority="45" operator="notEqual">
      <formula>$S$185</formula>
    </cfRule>
  </conditionalFormatting>
  <conditionalFormatting sqref="Q11">
    <cfRule type="cellIs" dxfId="331" priority="40" operator="notEqual">
      <formula>$S$210</formula>
    </cfRule>
  </conditionalFormatting>
  <conditionalFormatting sqref="Q12">
    <cfRule type="cellIs" dxfId="330" priority="35" operator="notEqual">
      <formula>$S$235</formula>
    </cfRule>
  </conditionalFormatting>
  <conditionalFormatting sqref="Q13">
    <cfRule type="cellIs" dxfId="329" priority="30" operator="notEqual">
      <formula>$S$260</formula>
    </cfRule>
  </conditionalFormatting>
  <conditionalFormatting sqref="Q14">
    <cfRule type="cellIs" dxfId="328" priority="68" operator="notEqual">
      <formula>$S$113</formula>
    </cfRule>
  </conditionalFormatting>
  <conditionalFormatting sqref="Q15">
    <cfRule type="cellIs" dxfId="327" priority="59" stopIfTrue="1" operator="notEqual">
      <formula>$S$138</formula>
    </cfRule>
  </conditionalFormatting>
  <conditionalFormatting sqref="Q16">
    <cfRule type="cellIs" dxfId="326" priority="49" stopIfTrue="1" operator="notEqual">
      <formula>$S$163</formula>
    </cfRule>
  </conditionalFormatting>
  <conditionalFormatting sqref="Q17">
    <cfRule type="cellIs" dxfId="325" priority="44" stopIfTrue="1" operator="notEqual">
      <formula>$S$188</formula>
    </cfRule>
  </conditionalFormatting>
  <conditionalFormatting sqref="Q18">
    <cfRule type="cellIs" dxfId="324" priority="39" stopIfTrue="1" operator="notEqual">
      <formula>$S$213</formula>
    </cfRule>
  </conditionalFormatting>
  <conditionalFormatting sqref="Q19">
    <cfRule type="cellIs" dxfId="323" priority="34" stopIfTrue="1" operator="notEqual">
      <formula>$S$238</formula>
    </cfRule>
  </conditionalFormatting>
  <conditionalFormatting sqref="Q20">
    <cfRule type="cellIs" dxfId="322" priority="29" stopIfTrue="1" operator="notEqual">
      <formula>$S$263</formula>
    </cfRule>
  </conditionalFormatting>
  <conditionalFormatting sqref="Q21">
    <cfRule type="cellIs" dxfId="321" priority="67" operator="notEqual">
      <formula>$S$116</formula>
    </cfRule>
  </conditionalFormatting>
  <conditionalFormatting sqref="Q22">
    <cfRule type="cellIs" dxfId="320" priority="58" operator="notEqual">
      <formula>$S$141</formula>
    </cfRule>
  </conditionalFormatting>
  <conditionalFormatting sqref="Q23">
    <cfRule type="cellIs" dxfId="319" priority="48" stopIfTrue="1" operator="notEqual">
      <formula>$S$166</formula>
    </cfRule>
  </conditionalFormatting>
  <conditionalFormatting sqref="Q24">
    <cfRule type="cellIs" dxfId="318" priority="43" stopIfTrue="1" operator="notEqual">
      <formula>$S$191</formula>
    </cfRule>
  </conditionalFormatting>
  <conditionalFormatting sqref="Q25">
    <cfRule type="cellIs" dxfId="317" priority="38" stopIfTrue="1" operator="notEqual">
      <formula>$S$216</formula>
    </cfRule>
  </conditionalFormatting>
  <conditionalFormatting sqref="Q26">
    <cfRule type="cellIs" dxfId="316" priority="33" stopIfTrue="1" operator="notEqual">
      <formula>$S$241</formula>
    </cfRule>
  </conditionalFormatting>
  <conditionalFormatting sqref="Q27">
    <cfRule type="cellIs" dxfId="315" priority="28" stopIfTrue="1" operator="notEqual">
      <formula>$S$266</formula>
    </cfRule>
  </conditionalFormatting>
  <conditionalFormatting sqref="Q29">
    <cfRule type="cellIs" dxfId="314" priority="66" operator="notEqual">
      <formula>$S$119</formula>
    </cfRule>
  </conditionalFormatting>
  <conditionalFormatting sqref="Q30">
    <cfRule type="cellIs" dxfId="313" priority="57" stopIfTrue="1" operator="notEqual">
      <formula>$S$144</formula>
    </cfRule>
  </conditionalFormatting>
  <conditionalFormatting sqref="Q31">
    <cfRule type="cellIs" dxfId="312" priority="47" stopIfTrue="1" operator="notEqual">
      <formula>$S$169</formula>
    </cfRule>
  </conditionalFormatting>
  <conditionalFormatting sqref="Q32">
    <cfRule type="cellIs" dxfId="311" priority="42" stopIfTrue="1" operator="notEqual">
      <formula>$S$194</formula>
    </cfRule>
  </conditionalFormatting>
  <conditionalFormatting sqref="Q33">
    <cfRule type="cellIs" dxfId="310" priority="37" stopIfTrue="1" operator="notEqual">
      <formula>$S$219</formula>
    </cfRule>
  </conditionalFormatting>
  <conditionalFormatting sqref="Q34">
    <cfRule type="cellIs" dxfId="309" priority="32" stopIfTrue="1" operator="notEqual">
      <formula>$S$244</formula>
    </cfRule>
  </conditionalFormatting>
  <conditionalFormatting sqref="Q35">
    <cfRule type="cellIs" dxfId="308" priority="27" stopIfTrue="1" operator="notEqual">
      <formula>$S$269</formula>
    </cfRule>
  </conditionalFormatting>
  <conditionalFormatting sqref="Q36">
    <cfRule type="cellIs" dxfId="307" priority="65" operator="notEqual">
      <formula>$S$122</formula>
    </cfRule>
  </conditionalFormatting>
  <conditionalFormatting sqref="Q37">
    <cfRule type="cellIs" dxfId="306" priority="56" operator="notEqual">
      <formula>$S$147</formula>
    </cfRule>
  </conditionalFormatting>
  <conditionalFormatting sqref="Q38">
    <cfRule type="cellIs" dxfId="305" priority="46" stopIfTrue="1" operator="notEqual">
      <formula>$S$172</formula>
    </cfRule>
  </conditionalFormatting>
  <conditionalFormatting sqref="Q39">
    <cfRule type="cellIs" dxfId="304" priority="41" stopIfTrue="1" operator="notEqual">
      <formula>$S$197</formula>
    </cfRule>
  </conditionalFormatting>
  <conditionalFormatting sqref="Q40">
    <cfRule type="cellIs" dxfId="303" priority="36" stopIfTrue="1" operator="notEqual">
      <formula>$S$222</formula>
    </cfRule>
  </conditionalFormatting>
  <conditionalFormatting sqref="Q41">
    <cfRule type="cellIs" dxfId="302" priority="31" stopIfTrue="1" operator="notEqual">
      <formula>$S$247</formula>
    </cfRule>
  </conditionalFormatting>
  <conditionalFormatting sqref="Q42">
    <cfRule type="cellIs" dxfId="301" priority="26" stopIfTrue="1" operator="notEqual">
      <formula>$S$272</formula>
    </cfRule>
  </conditionalFormatting>
  <conditionalFormatting sqref="R7">
    <cfRule type="cellIs" dxfId="300" priority="69" operator="notEqual">
      <formula>$S$111</formula>
    </cfRule>
  </conditionalFormatting>
  <conditionalFormatting sqref="R8">
    <cfRule type="cellIs" dxfId="299" priority="55" operator="notEqual">
      <formula>$S$136</formula>
    </cfRule>
  </conditionalFormatting>
  <conditionalFormatting sqref="R9">
    <cfRule type="cellIs" dxfId="298" priority="25" operator="notEqual">
      <formula>$S$161</formula>
    </cfRule>
  </conditionalFormatting>
  <conditionalFormatting sqref="R10">
    <cfRule type="cellIs" dxfId="297" priority="20" operator="notEqual">
      <formula>$S$186</formula>
    </cfRule>
  </conditionalFormatting>
  <conditionalFormatting sqref="R11">
    <cfRule type="cellIs" dxfId="296" priority="15" operator="notEqual">
      <formula>$S$211</formula>
    </cfRule>
  </conditionalFormatting>
  <conditionalFormatting sqref="R12">
    <cfRule type="cellIs" dxfId="295" priority="10" operator="notEqual">
      <formula>$S$236</formula>
    </cfRule>
  </conditionalFormatting>
  <conditionalFormatting sqref="R13">
    <cfRule type="cellIs" dxfId="294" priority="5" operator="notEqual">
      <formula>$S$261</formula>
    </cfRule>
  </conditionalFormatting>
  <conditionalFormatting sqref="R14">
    <cfRule type="cellIs" dxfId="293" priority="64" operator="notEqual">
      <formula>$S$114</formula>
    </cfRule>
  </conditionalFormatting>
  <conditionalFormatting sqref="R15">
    <cfRule type="cellIs" dxfId="292" priority="54" stopIfTrue="1" operator="notEqual">
      <formula>$S$139</formula>
    </cfRule>
  </conditionalFormatting>
  <conditionalFormatting sqref="R16">
    <cfRule type="cellIs" dxfId="291" priority="24" stopIfTrue="1" operator="notEqual">
      <formula>$S$164</formula>
    </cfRule>
  </conditionalFormatting>
  <conditionalFormatting sqref="R17">
    <cfRule type="cellIs" dxfId="290" priority="19" stopIfTrue="1" operator="notEqual">
      <formula>$S$189</formula>
    </cfRule>
  </conditionalFormatting>
  <conditionalFormatting sqref="R18">
    <cfRule type="cellIs" dxfId="289" priority="14" stopIfTrue="1" operator="notEqual">
      <formula>$S$214</formula>
    </cfRule>
  </conditionalFormatting>
  <conditionalFormatting sqref="R19">
    <cfRule type="cellIs" dxfId="288" priority="9" stopIfTrue="1" operator="notEqual">
      <formula>$S$239</formula>
    </cfRule>
  </conditionalFormatting>
  <conditionalFormatting sqref="R20">
    <cfRule type="cellIs" dxfId="287" priority="4" stopIfTrue="1" operator="notEqual">
      <formula>$S$264</formula>
    </cfRule>
  </conditionalFormatting>
  <conditionalFormatting sqref="R21">
    <cfRule type="cellIs" dxfId="286" priority="63" operator="notEqual">
      <formula>$S$117</formula>
    </cfRule>
  </conditionalFormatting>
  <conditionalFormatting sqref="R22">
    <cfRule type="cellIs" dxfId="285" priority="53" stopIfTrue="1" operator="notEqual">
      <formula>$S$142</formula>
    </cfRule>
  </conditionalFormatting>
  <conditionalFormatting sqref="R23">
    <cfRule type="cellIs" dxfId="284" priority="23" stopIfTrue="1" operator="notEqual">
      <formula>$S$167</formula>
    </cfRule>
  </conditionalFormatting>
  <conditionalFormatting sqref="R24">
    <cfRule type="cellIs" dxfId="283" priority="18" stopIfTrue="1" operator="notEqual">
      <formula>$S$192</formula>
    </cfRule>
  </conditionalFormatting>
  <conditionalFormatting sqref="R25">
    <cfRule type="cellIs" dxfId="282" priority="13" stopIfTrue="1" operator="notEqual">
      <formula>$S$217</formula>
    </cfRule>
  </conditionalFormatting>
  <conditionalFormatting sqref="R26">
    <cfRule type="cellIs" dxfId="281" priority="8" stopIfTrue="1" operator="notEqual">
      <formula>$S$242</formula>
    </cfRule>
  </conditionalFormatting>
  <conditionalFormatting sqref="R27">
    <cfRule type="cellIs" dxfId="280" priority="3" stopIfTrue="1" operator="notEqual">
      <formula>$S$267</formula>
    </cfRule>
  </conditionalFormatting>
  <conditionalFormatting sqref="R29">
    <cfRule type="cellIs" dxfId="279" priority="62" operator="notEqual">
      <formula>$S$120</formula>
    </cfRule>
  </conditionalFormatting>
  <conditionalFormatting sqref="R30">
    <cfRule type="cellIs" dxfId="278" priority="52" operator="notEqual">
      <formula>$S$145</formula>
    </cfRule>
  </conditionalFormatting>
  <conditionalFormatting sqref="R31">
    <cfRule type="cellIs" dxfId="277" priority="22" stopIfTrue="1" operator="notEqual">
      <formula>$S$170</formula>
    </cfRule>
  </conditionalFormatting>
  <conditionalFormatting sqref="R32">
    <cfRule type="cellIs" dxfId="276" priority="17" stopIfTrue="1" operator="notEqual">
      <formula>$S$195</formula>
    </cfRule>
  </conditionalFormatting>
  <conditionalFormatting sqref="R33">
    <cfRule type="cellIs" dxfId="275" priority="12" stopIfTrue="1" operator="notEqual">
      <formula>$S$220</formula>
    </cfRule>
  </conditionalFormatting>
  <conditionalFormatting sqref="R34">
    <cfRule type="cellIs" dxfId="274" priority="7" stopIfTrue="1" operator="notEqual">
      <formula>$S$245</formula>
    </cfRule>
  </conditionalFormatting>
  <conditionalFormatting sqref="R35">
    <cfRule type="cellIs" dxfId="273" priority="2" stopIfTrue="1" operator="notEqual">
      <formula>$S$270</formula>
    </cfRule>
  </conditionalFormatting>
  <conditionalFormatting sqref="R36">
    <cfRule type="cellIs" dxfId="272" priority="61" operator="notEqual">
      <formula>$S$123</formula>
    </cfRule>
  </conditionalFormatting>
  <conditionalFormatting sqref="R37">
    <cfRule type="cellIs" dxfId="271" priority="51" stopIfTrue="1" operator="notEqual">
      <formula>$S$148</formula>
    </cfRule>
  </conditionalFormatting>
  <conditionalFormatting sqref="R38">
    <cfRule type="cellIs" dxfId="270" priority="21" stopIfTrue="1" operator="notEqual">
      <formula>$S$173</formula>
    </cfRule>
  </conditionalFormatting>
  <conditionalFormatting sqref="R39">
    <cfRule type="cellIs" dxfId="269" priority="16" stopIfTrue="1" operator="notEqual">
      <formula>$S$198</formula>
    </cfRule>
  </conditionalFormatting>
  <conditionalFormatting sqref="R40">
    <cfRule type="cellIs" dxfId="268" priority="11" stopIfTrue="1" operator="notEqual">
      <formula>$S$223</formula>
    </cfRule>
  </conditionalFormatting>
  <conditionalFormatting sqref="R41">
    <cfRule type="cellIs" dxfId="267" priority="6" stopIfTrue="1" operator="notEqual">
      <formula>$S$248</formula>
    </cfRule>
  </conditionalFormatting>
  <conditionalFormatting sqref="R42">
    <cfRule type="cellIs" dxfId="266" priority="1" stopIfTrue="1" operator="notEqual">
      <formula>$S$273</formula>
    </cfRule>
  </conditionalFormatting>
  <conditionalFormatting sqref="X110">
    <cfRule type="cellIs" dxfId="265" priority="107" operator="lessThan">
      <formula>$R$110</formula>
    </cfRule>
  </conditionalFormatting>
  <conditionalFormatting sqref="X113">
    <cfRule type="cellIs" dxfId="264" priority="106" operator="lessThan">
      <formula>$R$113</formula>
    </cfRule>
  </conditionalFormatting>
  <conditionalFormatting sqref="X116">
    <cfRule type="cellIs" dxfId="263" priority="105" operator="lessThan">
      <formula>$R$116</formula>
    </cfRule>
  </conditionalFormatting>
  <conditionalFormatting sqref="X119">
    <cfRule type="cellIs" dxfId="262" priority="104" operator="lessThan">
      <formula>$R$119</formula>
    </cfRule>
  </conditionalFormatting>
  <conditionalFormatting sqref="X122">
    <cfRule type="cellIs" dxfId="261" priority="87" operator="lessThan">
      <formula>$R$116</formula>
    </cfRule>
  </conditionalFormatting>
  <conditionalFormatting sqref="X125">
    <cfRule type="cellIs" dxfId="260" priority="103" operator="lessThan">
      <formula>$R$125</formula>
    </cfRule>
  </conditionalFormatting>
  <conditionalFormatting sqref="X135">
    <cfRule type="cellIs" dxfId="259" priority="92" operator="lessThan">
      <formula>$R$135</formula>
    </cfRule>
  </conditionalFormatting>
  <conditionalFormatting sqref="X138">
    <cfRule type="cellIs" dxfId="258" priority="91" operator="lessThan">
      <formula>$R$138</formula>
    </cfRule>
  </conditionalFormatting>
  <conditionalFormatting sqref="X141">
    <cfRule type="cellIs" dxfId="257" priority="90" operator="lessThan">
      <formula>$R$141</formula>
    </cfRule>
  </conditionalFormatting>
  <conditionalFormatting sqref="X144">
    <cfRule type="cellIs" dxfId="256" priority="89" operator="lessThan">
      <formula>$R$144</formula>
    </cfRule>
  </conditionalFormatting>
  <conditionalFormatting sqref="X147">
    <cfRule type="cellIs" dxfId="255" priority="86" operator="lessThan">
      <formula>$R$141</formula>
    </cfRule>
  </conditionalFormatting>
  <conditionalFormatting sqref="X150">
    <cfRule type="cellIs" dxfId="254" priority="88" operator="lessThan">
      <formula>$R$150</formula>
    </cfRule>
  </conditionalFormatting>
  <conditionalFormatting sqref="X160">
    <cfRule type="cellIs" dxfId="253" priority="102" operator="lessThan">
      <formula>$R$160</formula>
    </cfRule>
  </conditionalFormatting>
  <conditionalFormatting sqref="X163">
    <cfRule type="cellIs" dxfId="252" priority="101" operator="lessThan">
      <formula>$R$163</formula>
    </cfRule>
  </conditionalFormatting>
  <conditionalFormatting sqref="X166">
    <cfRule type="cellIs" dxfId="251" priority="100" operator="lessThan">
      <formula>$R$166</formula>
    </cfRule>
  </conditionalFormatting>
  <conditionalFormatting sqref="X169">
    <cfRule type="cellIs" dxfId="250" priority="99" operator="lessThan">
      <formula>$R$169</formula>
    </cfRule>
  </conditionalFormatting>
  <conditionalFormatting sqref="X172">
    <cfRule type="cellIs" dxfId="249" priority="85" operator="lessThan">
      <formula>$R$141</formula>
    </cfRule>
  </conditionalFormatting>
  <conditionalFormatting sqref="X175">
    <cfRule type="cellIs" dxfId="248" priority="98" operator="lessThan">
      <formula>$R$175</formula>
    </cfRule>
  </conditionalFormatting>
  <conditionalFormatting sqref="X185">
    <cfRule type="cellIs" dxfId="247" priority="112" operator="lessThan">
      <formula>$R$185</formula>
    </cfRule>
  </conditionalFormatting>
  <conditionalFormatting sqref="X188">
    <cfRule type="cellIs" dxfId="246" priority="111" operator="lessThan">
      <formula>$R$188</formula>
    </cfRule>
  </conditionalFormatting>
  <conditionalFormatting sqref="X191">
    <cfRule type="cellIs" dxfId="245" priority="110" operator="lessThan">
      <formula>$R$191</formula>
    </cfRule>
  </conditionalFormatting>
  <conditionalFormatting sqref="X194">
    <cfRule type="cellIs" dxfId="244" priority="109" operator="lessThan">
      <formula>$R$194</formula>
    </cfRule>
  </conditionalFormatting>
  <conditionalFormatting sqref="X197">
    <cfRule type="cellIs" dxfId="243" priority="84" operator="lessThan">
      <formula>$R$141</formula>
    </cfRule>
  </conditionalFormatting>
  <conditionalFormatting sqref="X200">
    <cfRule type="cellIs" dxfId="242" priority="108" operator="lessThan">
      <formula>$R$200</formula>
    </cfRule>
  </conditionalFormatting>
  <conditionalFormatting sqref="X210">
    <cfRule type="cellIs" dxfId="241" priority="97" operator="lessThan">
      <formula>$R$210</formula>
    </cfRule>
  </conditionalFormatting>
  <conditionalFormatting sqref="X213">
    <cfRule type="cellIs" dxfId="240" priority="96" operator="lessThan">
      <formula>$R$213</formula>
    </cfRule>
  </conditionalFormatting>
  <conditionalFormatting sqref="X216">
    <cfRule type="cellIs" dxfId="239" priority="95" operator="lessThan">
      <formula>$R$216</formula>
    </cfRule>
  </conditionalFormatting>
  <conditionalFormatting sqref="X219">
    <cfRule type="cellIs" dxfId="238" priority="94" operator="lessThan">
      <formula>$R$219</formula>
    </cfRule>
  </conditionalFormatting>
  <conditionalFormatting sqref="X222">
    <cfRule type="cellIs" dxfId="237" priority="83" operator="lessThan">
      <formula>$R$141</formula>
    </cfRule>
  </conditionalFormatting>
  <conditionalFormatting sqref="X225">
    <cfRule type="cellIs" dxfId="236" priority="93" operator="lessThan">
      <formula>$R$225</formula>
    </cfRule>
  </conditionalFormatting>
  <conditionalFormatting sqref="X235">
    <cfRule type="cellIs" dxfId="235" priority="82" operator="lessThan">
      <formula>$R$210</formula>
    </cfRule>
  </conditionalFormatting>
  <conditionalFormatting sqref="X238">
    <cfRule type="cellIs" dxfId="234" priority="81" operator="lessThan">
      <formula>$R$213</formula>
    </cfRule>
  </conditionalFormatting>
  <conditionalFormatting sqref="X241">
    <cfRule type="cellIs" dxfId="233" priority="80" operator="lessThan">
      <formula>$R$216</formula>
    </cfRule>
  </conditionalFormatting>
  <conditionalFormatting sqref="X244">
    <cfRule type="cellIs" dxfId="232" priority="79" operator="lessThan">
      <formula>$R$219</formula>
    </cfRule>
  </conditionalFormatting>
  <conditionalFormatting sqref="X247">
    <cfRule type="cellIs" dxfId="231" priority="77" operator="lessThan">
      <formula>$R$141</formula>
    </cfRule>
  </conditionalFormatting>
  <conditionalFormatting sqref="X250">
    <cfRule type="cellIs" dxfId="230" priority="78" operator="lessThan">
      <formula>$R$225</formula>
    </cfRule>
  </conditionalFormatting>
  <conditionalFormatting sqref="X260">
    <cfRule type="cellIs" dxfId="229" priority="76" operator="lessThan">
      <formula>$R$210</formula>
    </cfRule>
  </conditionalFormatting>
  <conditionalFormatting sqref="X263">
    <cfRule type="cellIs" dxfId="228" priority="75" operator="lessThan">
      <formula>$R$213</formula>
    </cfRule>
  </conditionalFormatting>
  <conditionalFormatting sqref="X266">
    <cfRule type="cellIs" dxfId="227" priority="74" operator="lessThan">
      <formula>$R$216</formula>
    </cfRule>
  </conditionalFormatting>
  <conditionalFormatting sqref="X269">
    <cfRule type="cellIs" dxfId="226" priority="73" operator="lessThan">
      <formula>$R$219</formula>
    </cfRule>
  </conditionalFormatting>
  <conditionalFormatting sqref="X272">
    <cfRule type="cellIs" dxfId="225" priority="71" operator="lessThan">
      <formula>$R$141</formula>
    </cfRule>
  </conditionalFormatting>
  <conditionalFormatting sqref="X275">
    <cfRule type="cellIs" dxfId="224" priority="72" operator="lessThan">
      <formula>$R$225</formula>
    </cfRule>
  </conditionalFormatting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BA61-E0F2-C041-94CB-608D50F12865}">
  <dimension ref="B2:Y277"/>
  <sheetViews>
    <sheetView zoomScale="150" zoomScaleNormal="150" zoomScaleSheetLayoutView="146" workbookViewId="0"/>
  </sheetViews>
  <sheetFormatPr baseColWidth="10" defaultColWidth="7.7109375" defaultRowHeight="17"/>
  <cols>
    <col min="1" max="3" width="2.28515625" style="18" customWidth="1"/>
    <col min="4" max="4" width="12.28515625" style="18" bestFit="1" customWidth="1"/>
    <col min="5" max="5" width="3.85546875" style="18" bestFit="1" customWidth="1"/>
    <col min="6" max="6" width="17.28515625" style="18" bestFit="1" customWidth="1"/>
    <col min="7" max="7" width="8.7109375" style="18" bestFit="1" customWidth="1"/>
    <col min="8" max="8" width="7.5703125" style="18" bestFit="1" customWidth="1"/>
    <col min="9" max="9" width="8" style="18" bestFit="1" customWidth="1"/>
    <col min="10" max="10" width="7.85546875" style="18" bestFit="1" customWidth="1"/>
    <col min="11" max="11" width="8.28515625" style="18" bestFit="1" customWidth="1"/>
    <col min="12" max="12" width="6.5703125" style="18" bestFit="1" customWidth="1"/>
    <col min="13" max="13" width="8.85546875" style="18" bestFit="1" customWidth="1"/>
    <col min="14" max="14" width="6.5703125" style="18" bestFit="1" customWidth="1"/>
    <col min="15" max="15" width="7.5703125" style="18" bestFit="1" customWidth="1"/>
    <col min="16" max="16" width="7.7109375" style="18" bestFit="1" customWidth="1"/>
    <col min="17" max="17" width="8.5703125" style="18" bestFit="1" customWidth="1"/>
    <col min="18" max="18" width="8" style="18" bestFit="1" customWidth="1"/>
    <col min="19" max="19" width="8.5703125" style="18" bestFit="1" customWidth="1"/>
    <col min="20" max="20" width="2.28515625" style="18" customWidth="1"/>
    <col min="21" max="21" width="10.5703125" style="18" bestFit="1" customWidth="1"/>
    <col min="22" max="22" width="12.28515625" style="18" bestFit="1" customWidth="1"/>
    <col min="23" max="23" width="2.28515625" style="18" customWidth="1"/>
    <col min="24" max="24" width="13.28515625" style="18" bestFit="1" customWidth="1"/>
    <col min="25" max="26" width="7.7109375" style="18"/>
    <col min="27" max="27" width="7.85546875" style="18" bestFit="1" customWidth="1"/>
    <col min="28" max="16384" width="7.7109375" style="18"/>
  </cols>
  <sheetData>
    <row r="2" spans="2:19">
      <c r="B2" s="18" t="s">
        <v>18</v>
      </c>
    </row>
    <row r="3" spans="2:19">
      <c r="D3" s="107" t="s">
        <v>148</v>
      </c>
      <c r="E3" s="107"/>
      <c r="F3" s="107"/>
      <c r="G3" s="20" t="s">
        <v>39</v>
      </c>
      <c r="H3" s="107" t="s">
        <v>147</v>
      </c>
      <c r="I3" s="107"/>
      <c r="J3" s="107"/>
      <c r="K3" s="107" t="s">
        <v>123</v>
      </c>
      <c r="L3" s="107"/>
      <c r="M3" s="107"/>
      <c r="N3" s="107"/>
      <c r="O3" s="107"/>
      <c r="P3" s="107"/>
      <c r="Q3" s="107" t="s">
        <v>133</v>
      </c>
      <c r="R3" s="107"/>
      <c r="S3" s="107"/>
    </row>
    <row r="4" spans="2:19">
      <c r="D4" s="107"/>
      <c r="E4" s="107"/>
      <c r="F4" s="107"/>
      <c r="G4" s="20" t="s">
        <v>129</v>
      </c>
      <c r="H4" s="107" t="s">
        <v>129</v>
      </c>
      <c r="I4" s="107"/>
      <c r="J4" s="107"/>
      <c r="K4" s="107" t="s">
        <v>59</v>
      </c>
      <c r="L4" s="107"/>
      <c r="M4" s="107"/>
      <c r="N4" s="107" t="s">
        <v>106</v>
      </c>
      <c r="O4" s="107"/>
      <c r="P4" s="107"/>
      <c r="Q4" s="107"/>
      <c r="R4" s="107"/>
      <c r="S4" s="107"/>
    </row>
    <row r="5" spans="2:19">
      <c r="D5" s="107" t="s">
        <v>136</v>
      </c>
      <c r="E5" s="107" t="s">
        <v>68</v>
      </c>
      <c r="F5" s="20" t="s">
        <v>113</v>
      </c>
      <c r="G5" s="107" t="s">
        <v>78</v>
      </c>
      <c r="H5" s="107" t="s">
        <v>78</v>
      </c>
      <c r="I5" s="107" t="s">
        <v>24</v>
      </c>
      <c r="J5" s="107" t="s">
        <v>25</v>
      </c>
      <c r="K5" s="107" t="s">
        <v>78</v>
      </c>
      <c r="L5" s="107" t="s">
        <v>24</v>
      </c>
      <c r="M5" s="107" t="s">
        <v>25</v>
      </c>
      <c r="N5" s="107" t="s">
        <v>78</v>
      </c>
      <c r="O5" s="107" t="s">
        <v>24</v>
      </c>
      <c r="P5" s="107" t="s">
        <v>25</v>
      </c>
      <c r="Q5" s="107" t="s">
        <v>78</v>
      </c>
      <c r="R5" s="107" t="s">
        <v>24</v>
      </c>
      <c r="S5" s="107" t="s">
        <v>69</v>
      </c>
    </row>
    <row r="6" spans="2:19">
      <c r="D6" s="107"/>
      <c r="E6" s="107"/>
      <c r="F6" s="20" t="s">
        <v>110</v>
      </c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</row>
    <row r="7" spans="2:19">
      <c r="D7" s="110">
        <v>1</v>
      </c>
      <c r="E7" s="107">
        <v>1</v>
      </c>
      <c r="F7" s="23"/>
      <c r="G7" s="24"/>
      <c r="H7" s="24"/>
      <c r="I7" s="24"/>
      <c r="J7" s="22">
        <f t="shared" ref="J7:J42" si="0">SUM(H7:I7)</f>
        <v>0</v>
      </c>
      <c r="K7" s="22">
        <v>0</v>
      </c>
      <c r="L7" s="22">
        <v>0</v>
      </c>
      <c r="M7" s="22">
        <f>SUM(K7:L7)</f>
        <v>0</v>
      </c>
      <c r="N7" s="22">
        <v>0</v>
      </c>
      <c r="O7" s="22">
        <v>0</v>
      </c>
      <c r="P7" s="22">
        <f t="shared" ref="P7:P42" si="1">SUM(N7:O7)</f>
        <v>0</v>
      </c>
      <c r="Q7" s="22">
        <f>G7+H7+K7+N7</f>
        <v>0</v>
      </c>
      <c r="R7" s="22">
        <f>I7+L7+O7</f>
        <v>0</v>
      </c>
      <c r="S7" s="22">
        <f>SUM(Q7:R7)</f>
        <v>0</v>
      </c>
    </row>
    <row r="8" spans="2:19">
      <c r="D8" s="112"/>
      <c r="E8" s="107"/>
      <c r="F8" s="23"/>
      <c r="G8" s="24"/>
      <c r="H8" s="62"/>
      <c r="I8" s="62"/>
      <c r="J8" s="59">
        <f t="shared" si="0"/>
        <v>0</v>
      </c>
      <c r="K8" s="22">
        <v>0</v>
      </c>
      <c r="L8" s="22">
        <v>0</v>
      </c>
      <c r="M8" s="22">
        <f t="shared" ref="M8:M42" si="2">SUM(K8:L8)</f>
        <v>0</v>
      </c>
      <c r="N8" s="22">
        <v>0</v>
      </c>
      <c r="O8" s="22">
        <v>0</v>
      </c>
      <c r="P8" s="22">
        <f t="shared" si="1"/>
        <v>0</v>
      </c>
      <c r="Q8" s="22">
        <f>G8+H8+K8+N8</f>
        <v>0</v>
      </c>
      <c r="R8" s="22">
        <f t="shared" ref="R8:R42" si="3">I8+L8+O8</f>
        <v>0</v>
      </c>
      <c r="S8" s="22">
        <f t="shared" ref="S8:S42" si="4">SUM(Q8:R8)</f>
        <v>0</v>
      </c>
    </row>
    <row r="9" spans="2:19">
      <c r="D9" s="112"/>
      <c r="E9" s="107"/>
      <c r="F9" s="23"/>
      <c r="G9" s="63"/>
      <c r="H9" s="71"/>
      <c r="I9" s="71"/>
      <c r="J9" s="44">
        <f t="shared" si="0"/>
        <v>0</v>
      </c>
      <c r="K9" s="42">
        <v>0</v>
      </c>
      <c r="L9" s="22">
        <v>0</v>
      </c>
      <c r="M9" s="22">
        <f t="shared" si="2"/>
        <v>0</v>
      </c>
      <c r="N9" s="22">
        <v>0</v>
      </c>
      <c r="O9" s="22">
        <v>0</v>
      </c>
      <c r="P9" s="22">
        <f t="shared" si="1"/>
        <v>0</v>
      </c>
      <c r="Q9" s="22">
        <f t="shared" ref="Q9:Q42" si="5">G9+H9+K9+N9</f>
        <v>0</v>
      </c>
      <c r="R9" s="22">
        <f t="shared" si="3"/>
        <v>0</v>
      </c>
      <c r="S9" s="22">
        <f t="shared" si="4"/>
        <v>0</v>
      </c>
    </row>
    <row r="10" spans="2:19">
      <c r="D10" s="112"/>
      <c r="E10" s="107"/>
      <c r="F10" s="23"/>
      <c r="G10" s="24"/>
      <c r="H10" s="54"/>
      <c r="I10" s="54"/>
      <c r="J10" s="53">
        <f t="shared" si="0"/>
        <v>0</v>
      </c>
      <c r="K10" s="22">
        <v>0</v>
      </c>
      <c r="L10" s="22">
        <v>0</v>
      </c>
      <c r="M10" s="22">
        <f t="shared" si="2"/>
        <v>0</v>
      </c>
      <c r="N10" s="22">
        <v>0</v>
      </c>
      <c r="O10" s="22">
        <v>0</v>
      </c>
      <c r="P10" s="22">
        <f t="shared" si="1"/>
        <v>0</v>
      </c>
      <c r="Q10" s="22">
        <f t="shared" si="5"/>
        <v>0</v>
      </c>
      <c r="R10" s="22">
        <f t="shared" si="3"/>
        <v>0</v>
      </c>
      <c r="S10" s="22">
        <f t="shared" si="4"/>
        <v>0</v>
      </c>
    </row>
    <row r="11" spans="2:19">
      <c r="D11" s="112"/>
      <c r="E11" s="107"/>
      <c r="F11" s="23"/>
      <c r="G11" s="24"/>
      <c r="H11" s="24"/>
      <c r="I11" s="24"/>
      <c r="J11" s="22">
        <f t="shared" si="0"/>
        <v>0</v>
      </c>
      <c r="K11" s="22">
        <v>0</v>
      </c>
      <c r="L11" s="22">
        <v>0</v>
      </c>
      <c r="M11" s="22">
        <f t="shared" si="2"/>
        <v>0</v>
      </c>
      <c r="N11" s="22">
        <v>0</v>
      </c>
      <c r="O11" s="22">
        <v>0</v>
      </c>
      <c r="P11" s="22">
        <f t="shared" si="1"/>
        <v>0</v>
      </c>
      <c r="Q11" s="22">
        <f t="shared" si="5"/>
        <v>0</v>
      </c>
      <c r="R11" s="22">
        <f t="shared" si="3"/>
        <v>0</v>
      </c>
      <c r="S11" s="22">
        <f t="shared" si="4"/>
        <v>0</v>
      </c>
    </row>
    <row r="12" spans="2:19">
      <c r="D12" s="112"/>
      <c r="E12" s="107"/>
      <c r="F12" s="23"/>
      <c r="G12" s="24"/>
      <c r="H12" s="24"/>
      <c r="I12" s="24"/>
      <c r="J12" s="22">
        <f t="shared" si="0"/>
        <v>0</v>
      </c>
      <c r="K12" s="22">
        <v>0</v>
      </c>
      <c r="L12" s="22">
        <v>0</v>
      </c>
      <c r="M12" s="22">
        <f t="shared" si="2"/>
        <v>0</v>
      </c>
      <c r="N12" s="22">
        <v>0</v>
      </c>
      <c r="O12" s="22">
        <v>0</v>
      </c>
      <c r="P12" s="22">
        <f t="shared" si="1"/>
        <v>0</v>
      </c>
      <c r="Q12" s="22">
        <f t="shared" si="5"/>
        <v>0</v>
      </c>
      <c r="R12" s="22">
        <f t="shared" si="3"/>
        <v>0</v>
      </c>
      <c r="S12" s="22">
        <f t="shared" si="4"/>
        <v>0</v>
      </c>
    </row>
    <row r="13" spans="2:19">
      <c r="D13" s="112"/>
      <c r="E13" s="107"/>
      <c r="F13" s="23"/>
      <c r="G13" s="24"/>
      <c r="H13" s="24"/>
      <c r="I13" s="24"/>
      <c r="J13" s="22">
        <f t="shared" si="0"/>
        <v>0</v>
      </c>
      <c r="K13" s="22">
        <v>0</v>
      </c>
      <c r="L13" s="22">
        <v>0</v>
      </c>
      <c r="M13" s="22">
        <f t="shared" si="2"/>
        <v>0</v>
      </c>
      <c r="N13" s="22">
        <v>0</v>
      </c>
      <c r="O13" s="22">
        <v>0</v>
      </c>
      <c r="P13" s="22">
        <f t="shared" si="1"/>
        <v>0</v>
      </c>
      <c r="Q13" s="22">
        <f t="shared" si="5"/>
        <v>0</v>
      </c>
      <c r="R13" s="22">
        <f t="shared" si="3"/>
        <v>0</v>
      </c>
      <c r="S13" s="22">
        <f t="shared" si="4"/>
        <v>0</v>
      </c>
    </row>
    <row r="14" spans="2:19">
      <c r="D14" s="112"/>
      <c r="E14" s="107">
        <v>2</v>
      </c>
      <c r="F14" s="23"/>
      <c r="G14" s="24"/>
      <c r="H14" s="24"/>
      <c r="I14" s="24"/>
      <c r="J14" s="22">
        <f t="shared" si="0"/>
        <v>0</v>
      </c>
      <c r="K14" s="22">
        <v>0</v>
      </c>
      <c r="L14" s="22">
        <v>0</v>
      </c>
      <c r="M14" s="22">
        <f t="shared" si="2"/>
        <v>0</v>
      </c>
      <c r="N14" s="22">
        <v>0</v>
      </c>
      <c r="O14" s="22">
        <v>0</v>
      </c>
      <c r="P14" s="22">
        <f t="shared" si="1"/>
        <v>0</v>
      </c>
      <c r="Q14" s="22">
        <f>G14+H14+K14+N14</f>
        <v>0</v>
      </c>
      <c r="R14" s="22">
        <f>I14+L14+O14</f>
        <v>0</v>
      </c>
      <c r="S14" s="22">
        <f t="shared" si="4"/>
        <v>0</v>
      </c>
    </row>
    <row r="15" spans="2:19">
      <c r="D15" s="112"/>
      <c r="E15" s="107"/>
      <c r="F15" s="23"/>
      <c r="G15" s="24"/>
      <c r="H15" s="62"/>
      <c r="I15" s="62"/>
      <c r="J15" s="22">
        <f t="shared" si="0"/>
        <v>0</v>
      </c>
      <c r="K15" s="22">
        <v>0</v>
      </c>
      <c r="L15" s="22">
        <v>0</v>
      </c>
      <c r="M15" s="22">
        <f t="shared" si="2"/>
        <v>0</v>
      </c>
      <c r="N15" s="22">
        <v>0</v>
      </c>
      <c r="O15" s="22">
        <v>0</v>
      </c>
      <c r="P15" s="22">
        <f t="shared" si="1"/>
        <v>0</v>
      </c>
      <c r="Q15" s="22">
        <f>G15+H15+K15+N15</f>
        <v>0</v>
      </c>
      <c r="R15" s="22">
        <f t="shared" si="3"/>
        <v>0</v>
      </c>
      <c r="S15" s="22">
        <f t="shared" si="4"/>
        <v>0</v>
      </c>
    </row>
    <row r="16" spans="2:19">
      <c r="D16" s="112"/>
      <c r="E16" s="107"/>
      <c r="F16" s="23"/>
      <c r="G16" s="64"/>
      <c r="H16" s="71"/>
      <c r="I16" s="71"/>
      <c r="J16" s="42">
        <f t="shared" si="0"/>
        <v>0</v>
      </c>
      <c r="K16" s="22">
        <v>0</v>
      </c>
      <c r="L16" s="22">
        <v>0</v>
      </c>
      <c r="M16" s="22">
        <f t="shared" si="2"/>
        <v>0</v>
      </c>
      <c r="N16" s="22">
        <v>0</v>
      </c>
      <c r="O16" s="22">
        <v>0</v>
      </c>
      <c r="P16" s="22">
        <f t="shared" si="1"/>
        <v>0</v>
      </c>
      <c r="Q16" s="22">
        <f t="shared" si="5"/>
        <v>0</v>
      </c>
      <c r="R16" s="22">
        <f t="shared" si="3"/>
        <v>0</v>
      </c>
      <c r="S16" s="22">
        <f t="shared" si="4"/>
        <v>0</v>
      </c>
    </row>
    <row r="17" spans="4:19">
      <c r="D17" s="112"/>
      <c r="E17" s="107"/>
      <c r="F17" s="41"/>
      <c r="G17" s="43"/>
      <c r="H17" s="57"/>
      <c r="I17" s="54"/>
      <c r="J17" s="22">
        <f t="shared" si="0"/>
        <v>0</v>
      </c>
      <c r="K17" s="22">
        <v>0</v>
      </c>
      <c r="L17" s="22">
        <v>0</v>
      </c>
      <c r="M17" s="22">
        <f t="shared" si="2"/>
        <v>0</v>
      </c>
      <c r="N17" s="22">
        <v>0</v>
      </c>
      <c r="O17" s="22">
        <v>0</v>
      </c>
      <c r="P17" s="22">
        <f t="shared" si="1"/>
        <v>0</v>
      </c>
      <c r="Q17" s="22">
        <f t="shared" si="5"/>
        <v>0</v>
      </c>
      <c r="R17" s="22">
        <f t="shared" si="3"/>
        <v>0</v>
      </c>
      <c r="S17" s="22">
        <f t="shared" si="4"/>
        <v>0</v>
      </c>
    </row>
    <row r="18" spans="4:19">
      <c r="D18" s="112"/>
      <c r="E18" s="107"/>
      <c r="F18" s="41"/>
      <c r="G18" s="43"/>
      <c r="H18" s="56"/>
      <c r="I18" s="24"/>
      <c r="J18" s="22">
        <f t="shared" si="0"/>
        <v>0</v>
      </c>
      <c r="K18" s="22">
        <v>0</v>
      </c>
      <c r="L18" s="22">
        <v>0</v>
      </c>
      <c r="M18" s="22">
        <f t="shared" si="2"/>
        <v>0</v>
      </c>
      <c r="N18" s="22">
        <v>0</v>
      </c>
      <c r="O18" s="22">
        <v>0</v>
      </c>
      <c r="P18" s="22">
        <f t="shared" si="1"/>
        <v>0</v>
      </c>
      <c r="Q18" s="22">
        <f t="shared" si="5"/>
        <v>0</v>
      </c>
      <c r="R18" s="22">
        <f t="shared" si="3"/>
        <v>0</v>
      </c>
      <c r="S18" s="22">
        <f t="shared" si="4"/>
        <v>0</v>
      </c>
    </row>
    <row r="19" spans="4:19">
      <c r="D19" s="112"/>
      <c r="E19" s="107"/>
      <c r="F19" s="41"/>
      <c r="G19" s="43"/>
      <c r="H19" s="56"/>
      <c r="I19" s="24"/>
      <c r="J19" s="22">
        <f t="shared" si="0"/>
        <v>0</v>
      </c>
      <c r="K19" s="22">
        <v>0</v>
      </c>
      <c r="L19" s="22">
        <v>0</v>
      </c>
      <c r="M19" s="22">
        <f t="shared" si="2"/>
        <v>0</v>
      </c>
      <c r="N19" s="22">
        <v>0</v>
      </c>
      <c r="O19" s="22">
        <v>0</v>
      </c>
      <c r="P19" s="22">
        <f t="shared" si="1"/>
        <v>0</v>
      </c>
      <c r="Q19" s="22">
        <f t="shared" si="5"/>
        <v>0</v>
      </c>
      <c r="R19" s="22">
        <f t="shared" si="3"/>
        <v>0</v>
      </c>
      <c r="S19" s="22">
        <f t="shared" si="4"/>
        <v>0</v>
      </c>
    </row>
    <row r="20" spans="4:19">
      <c r="D20" s="112"/>
      <c r="E20" s="107"/>
      <c r="F20" s="41"/>
      <c r="G20" s="43"/>
      <c r="H20" s="56"/>
      <c r="I20" s="24"/>
      <c r="J20" s="22">
        <f t="shared" si="0"/>
        <v>0</v>
      </c>
      <c r="K20" s="22">
        <v>0</v>
      </c>
      <c r="L20" s="22">
        <v>0</v>
      </c>
      <c r="M20" s="22">
        <f t="shared" si="2"/>
        <v>0</v>
      </c>
      <c r="N20" s="22">
        <v>0</v>
      </c>
      <c r="O20" s="22">
        <v>0</v>
      </c>
      <c r="P20" s="22">
        <f t="shared" si="1"/>
        <v>0</v>
      </c>
      <c r="Q20" s="22">
        <f t="shared" si="5"/>
        <v>0</v>
      </c>
      <c r="R20" s="22">
        <f t="shared" si="3"/>
        <v>0</v>
      </c>
      <c r="S20" s="22">
        <f t="shared" si="4"/>
        <v>0</v>
      </c>
    </row>
    <row r="21" spans="4:19">
      <c r="D21" s="112"/>
      <c r="E21" s="107">
        <v>3</v>
      </c>
      <c r="F21" s="41"/>
      <c r="G21" s="43"/>
      <c r="H21" s="56"/>
      <c r="I21" s="24"/>
      <c r="J21" s="22">
        <f t="shared" si="0"/>
        <v>0</v>
      </c>
      <c r="K21" s="22">
        <v>0</v>
      </c>
      <c r="L21" s="22">
        <v>0</v>
      </c>
      <c r="M21" s="22">
        <f t="shared" si="2"/>
        <v>0</v>
      </c>
      <c r="N21" s="22">
        <v>0</v>
      </c>
      <c r="O21" s="22">
        <v>0</v>
      </c>
      <c r="P21" s="22">
        <f t="shared" si="1"/>
        <v>0</v>
      </c>
      <c r="Q21" s="22">
        <f>G21+H21+K21+N21</f>
        <v>0</v>
      </c>
      <c r="R21" s="22">
        <f>I21+L21+O21</f>
        <v>0</v>
      </c>
      <c r="S21" s="22">
        <f t="shared" si="4"/>
        <v>0</v>
      </c>
    </row>
    <row r="22" spans="4:19">
      <c r="D22" s="112"/>
      <c r="E22" s="107"/>
      <c r="F22" s="41"/>
      <c r="G22" s="43"/>
      <c r="H22" s="65"/>
      <c r="I22" s="62"/>
      <c r="J22" s="22">
        <f t="shared" si="0"/>
        <v>0</v>
      </c>
      <c r="K22" s="22">
        <v>0</v>
      </c>
      <c r="L22" s="22">
        <v>0</v>
      </c>
      <c r="M22" s="22">
        <f t="shared" si="2"/>
        <v>0</v>
      </c>
      <c r="N22" s="22">
        <v>0</v>
      </c>
      <c r="O22" s="22">
        <v>0</v>
      </c>
      <c r="P22" s="22">
        <f t="shared" si="1"/>
        <v>0</v>
      </c>
      <c r="Q22" s="22">
        <f>G22+H22+K22+N22</f>
        <v>0</v>
      </c>
      <c r="R22" s="22">
        <f t="shared" si="3"/>
        <v>0</v>
      </c>
      <c r="S22" s="22">
        <f t="shared" si="4"/>
        <v>0</v>
      </c>
    </row>
    <row r="23" spans="4:19">
      <c r="D23" s="112"/>
      <c r="E23" s="107"/>
      <c r="F23" s="41"/>
      <c r="G23" s="43"/>
      <c r="H23" s="71"/>
      <c r="I23" s="71"/>
      <c r="J23" s="42">
        <f t="shared" si="0"/>
        <v>0</v>
      </c>
      <c r="K23" s="22">
        <v>0</v>
      </c>
      <c r="L23" s="22">
        <v>0</v>
      </c>
      <c r="M23" s="22">
        <f t="shared" si="2"/>
        <v>0</v>
      </c>
      <c r="N23" s="22">
        <v>0</v>
      </c>
      <c r="O23" s="22">
        <v>0</v>
      </c>
      <c r="P23" s="22">
        <f t="shared" si="1"/>
        <v>0</v>
      </c>
      <c r="Q23" s="22">
        <f t="shared" si="5"/>
        <v>0</v>
      </c>
      <c r="R23" s="22">
        <f t="shared" si="3"/>
        <v>0</v>
      </c>
      <c r="S23" s="22">
        <f t="shared" si="4"/>
        <v>0</v>
      </c>
    </row>
    <row r="24" spans="4:19">
      <c r="D24" s="112"/>
      <c r="E24" s="107"/>
      <c r="F24" s="41"/>
      <c r="G24" s="43"/>
      <c r="H24" s="66"/>
      <c r="I24" s="67"/>
      <c r="J24" s="42">
        <f t="shared" si="0"/>
        <v>0</v>
      </c>
      <c r="K24" s="22">
        <v>0</v>
      </c>
      <c r="L24" s="22">
        <v>0</v>
      </c>
      <c r="M24" s="22">
        <f t="shared" si="2"/>
        <v>0</v>
      </c>
      <c r="N24" s="22">
        <v>0</v>
      </c>
      <c r="O24" s="22">
        <v>0</v>
      </c>
      <c r="P24" s="22">
        <f t="shared" si="1"/>
        <v>0</v>
      </c>
      <c r="Q24" s="22">
        <f t="shared" si="5"/>
        <v>0</v>
      </c>
      <c r="R24" s="22">
        <f t="shared" si="3"/>
        <v>0</v>
      </c>
      <c r="S24" s="22">
        <f t="shared" si="4"/>
        <v>0</v>
      </c>
    </row>
    <row r="25" spans="4:19">
      <c r="D25" s="112"/>
      <c r="E25" s="107"/>
      <c r="F25" s="41"/>
      <c r="G25" s="43"/>
      <c r="H25" s="57"/>
      <c r="I25" s="54"/>
      <c r="J25" s="22">
        <f t="shared" si="0"/>
        <v>0</v>
      </c>
      <c r="K25" s="22">
        <v>0</v>
      </c>
      <c r="L25" s="22">
        <v>0</v>
      </c>
      <c r="M25" s="22">
        <f t="shared" si="2"/>
        <v>0</v>
      </c>
      <c r="N25" s="22">
        <v>0</v>
      </c>
      <c r="O25" s="22">
        <v>0</v>
      </c>
      <c r="P25" s="22">
        <f t="shared" si="1"/>
        <v>0</v>
      </c>
      <c r="Q25" s="22">
        <f t="shared" si="5"/>
        <v>0</v>
      </c>
      <c r="R25" s="22">
        <f t="shared" si="3"/>
        <v>0</v>
      </c>
      <c r="S25" s="22">
        <f t="shared" si="4"/>
        <v>0</v>
      </c>
    </row>
    <row r="26" spans="4:19">
      <c r="D26" s="112"/>
      <c r="E26" s="107"/>
      <c r="F26" s="41"/>
      <c r="G26" s="43"/>
      <c r="H26" s="56"/>
      <c r="I26" s="24"/>
      <c r="J26" s="22">
        <f t="shared" si="0"/>
        <v>0</v>
      </c>
      <c r="K26" s="22">
        <v>0</v>
      </c>
      <c r="L26" s="22">
        <v>0</v>
      </c>
      <c r="M26" s="22">
        <f t="shared" si="2"/>
        <v>0</v>
      </c>
      <c r="N26" s="22">
        <v>0</v>
      </c>
      <c r="O26" s="22">
        <v>0</v>
      </c>
      <c r="P26" s="22">
        <f t="shared" si="1"/>
        <v>0</v>
      </c>
      <c r="Q26" s="22">
        <f t="shared" si="5"/>
        <v>0</v>
      </c>
      <c r="R26" s="22">
        <f t="shared" si="3"/>
        <v>0</v>
      </c>
      <c r="S26" s="22">
        <f t="shared" si="4"/>
        <v>0</v>
      </c>
    </row>
    <row r="27" spans="4:19">
      <c r="D27" s="112"/>
      <c r="E27" s="107"/>
      <c r="F27" s="41"/>
      <c r="G27" s="43"/>
      <c r="H27" s="56"/>
      <c r="I27" s="24"/>
      <c r="J27" s="22">
        <f t="shared" si="0"/>
        <v>0</v>
      </c>
      <c r="K27" s="22">
        <v>0</v>
      </c>
      <c r="L27" s="22">
        <v>0</v>
      </c>
      <c r="M27" s="22">
        <f t="shared" si="2"/>
        <v>0</v>
      </c>
      <c r="N27" s="22">
        <v>0</v>
      </c>
      <c r="O27" s="22">
        <v>0</v>
      </c>
      <c r="P27" s="22">
        <f t="shared" si="1"/>
        <v>0</v>
      </c>
      <c r="Q27" s="22">
        <f t="shared" si="5"/>
        <v>0</v>
      </c>
      <c r="R27" s="22">
        <f t="shared" si="3"/>
        <v>0</v>
      </c>
      <c r="S27" s="22">
        <f t="shared" si="4"/>
        <v>0</v>
      </c>
    </row>
    <row r="28" spans="4:19">
      <c r="D28" s="111"/>
      <c r="E28" s="107" t="s">
        <v>25</v>
      </c>
      <c r="F28" s="124"/>
      <c r="G28" s="44">
        <f t="shared" ref="G28:S28" si="6">SUM(G7:G27)</f>
        <v>0</v>
      </c>
      <c r="H28" s="42">
        <f t="shared" si="6"/>
        <v>0</v>
      </c>
      <c r="I28" s="22">
        <f t="shared" si="6"/>
        <v>0</v>
      </c>
      <c r="J28" s="22">
        <f t="shared" si="6"/>
        <v>0</v>
      </c>
      <c r="K28" s="22">
        <f t="shared" si="6"/>
        <v>0</v>
      </c>
      <c r="L28" s="22">
        <f t="shared" si="6"/>
        <v>0</v>
      </c>
      <c r="M28" s="22">
        <f t="shared" si="6"/>
        <v>0</v>
      </c>
      <c r="N28" s="22">
        <f t="shared" si="6"/>
        <v>0</v>
      </c>
      <c r="O28" s="22">
        <f t="shared" si="6"/>
        <v>0</v>
      </c>
      <c r="P28" s="22">
        <f t="shared" si="6"/>
        <v>0</v>
      </c>
      <c r="Q28" s="22">
        <f t="shared" si="6"/>
        <v>0</v>
      </c>
      <c r="R28" s="22">
        <f t="shared" si="6"/>
        <v>0</v>
      </c>
      <c r="S28" s="22">
        <f t="shared" si="6"/>
        <v>0</v>
      </c>
    </row>
    <row r="29" spans="4:19">
      <c r="D29" s="110">
        <v>2</v>
      </c>
      <c r="E29" s="107">
        <v>4</v>
      </c>
      <c r="F29" s="23"/>
      <c r="G29" s="54"/>
      <c r="H29" s="24"/>
      <c r="I29" s="24"/>
      <c r="J29" s="22">
        <f t="shared" si="0"/>
        <v>0</v>
      </c>
      <c r="K29" s="22">
        <v>0</v>
      </c>
      <c r="L29" s="22">
        <v>0</v>
      </c>
      <c r="M29" s="22">
        <f t="shared" si="2"/>
        <v>0</v>
      </c>
      <c r="N29" s="22">
        <v>0</v>
      </c>
      <c r="O29" s="22">
        <v>0</v>
      </c>
      <c r="P29" s="22">
        <f t="shared" si="1"/>
        <v>0</v>
      </c>
      <c r="Q29" s="22">
        <f>G29+H29+K29+N29</f>
        <v>0</v>
      </c>
      <c r="R29" s="22">
        <f>I29+L29+O29</f>
        <v>0</v>
      </c>
      <c r="S29" s="22">
        <f t="shared" si="4"/>
        <v>0</v>
      </c>
    </row>
    <row r="30" spans="4:19">
      <c r="D30" s="112"/>
      <c r="E30" s="107"/>
      <c r="F30" s="23"/>
      <c r="G30" s="24"/>
      <c r="H30" s="62"/>
      <c r="I30" s="62"/>
      <c r="J30" s="22">
        <f t="shared" si="0"/>
        <v>0</v>
      </c>
      <c r="K30" s="22">
        <v>0</v>
      </c>
      <c r="L30" s="22">
        <v>0</v>
      </c>
      <c r="M30" s="22">
        <f t="shared" si="2"/>
        <v>0</v>
      </c>
      <c r="N30" s="22">
        <v>0</v>
      </c>
      <c r="O30" s="22">
        <v>0</v>
      </c>
      <c r="P30" s="22">
        <f t="shared" si="1"/>
        <v>0</v>
      </c>
      <c r="Q30" s="22">
        <f>G30+H30+K30+N30</f>
        <v>0</v>
      </c>
      <c r="R30" s="22">
        <f t="shared" si="3"/>
        <v>0</v>
      </c>
      <c r="S30" s="22">
        <f t="shared" si="4"/>
        <v>0</v>
      </c>
    </row>
    <row r="31" spans="4:19">
      <c r="D31" s="112"/>
      <c r="E31" s="107"/>
      <c r="F31" s="23"/>
      <c r="G31" s="68"/>
      <c r="H31" s="71"/>
      <c r="I31" s="71"/>
      <c r="J31" s="42">
        <f t="shared" si="0"/>
        <v>0</v>
      </c>
      <c r="K31" s="22">
        <v>0</v>
      </c>
      <c r="L31" s="22">
        <v>0</v>
      </c>
      <c r="M31" s="22">
        <f t="shared" si="2"/>
        <v>0</v>
      </c>
      <c r="N31" s="22">
        <v>0</v>
      </c>
      <c r="O31" s="22">
        <v>0</v>
      </c>
      <c r="P31" s="22">
        <f t="shared" si="1"/>
        <v>0</v>
      </c>
      <c r="Q31" s="22">
        <f t="shared" si="5"/>
        <v>0</v>
      </c>
      <c r="R31" s="22">
        <f t="shared" si="3"/>
        <v>0</v>
      </c>
      <c r="S31" s="22">
        <f t="shared" si="4"/>
        <v>0</v>
      </c>
    </row>
    <row r="32" spans="4:19">
      <c r="D32" s="112"/>
      <c r="E32" s="107"/>
      <c r="F32" s="41"/>
      <c r="G32" s="43"/>
      <c r="H32" s="66"/>
      <c r="I32" s="67"/>
      <c r="J32" s="42">
        <f t="shared" si="0"/>
        <v>0</v>
      </c>
      <c r="K32" s="22">
        <v>0</v>
      </c>
      <c r="L32" s="22">
        <v>0</v>
      </c>
      <c r="M32" s="22">
        <f t="shared" si="2"/>
        <v>0</v>
      </c>
      <c r="N32" s="22">
        <v>0</v>
      </c>
      <c r="O32" s="22">
        <v>0</v>
      </c>
      <c r="P32" s="22">
        <f t="shared" si="1"/>
        <v>0</v>
      </c>
      <c r="Q32" s="22">
        <f t="shared" si="5"/>
        <v>0</v>
      </c>
      <c r="R32" s="22">
        <f t="shared" si="3"/>
        <v>0</v>
      </c>
      <c r="S32" s="22">
        <f t="shared" si="4"/>
        <v>0</v>
      </c>
    </row>
    <row r="33" spans="2:22">
      <c r="D33" s="112"/>
      <c r="E33" s="107"/>
      <c r="F33" s="23"/>
      <c r="G33" s="54"/>
      <c r="H33" s="54"/>
      <c r="I33" s="54"/>
      <c r="J33" s="22">
        <f t="shared" si="0"/>
        <v>0</v>
      </c>
      <c r="K33" s="22">
        <v>0</v>
      </c>
      <c r="L33" s="22">
        <v>0</v>
      </c>
      <c r="M33" s="22">
        <f t="shared" si="2"/>
        <v>0</v>
      </c>
      <c r="N33" s="22">
        <v>0</v>
      </c>
      <c r="O33" s="22">
        <v>0</v>
      </c>
      <c r="P33" s="22">
        <f t="shared" si="1"/>
        <v>0</v>
      </c>
      <c r="Q33" s="22">
        <f t="shared" si="5"/>
        <v>0</v>
      </c>
      <c r="R33" s="22">
        <f t="shared" si="3"/>
        <v>0</v>
      </c>
      <c r="S33" s="22">
        <f t="shared" si="4"/>
        <v>0</v>
      </c>
    </row>
    <row r="34" spans="2:22">
      <c r="D34" s="112"/>
      <c r="E34" s="107"/>
      <c r="F34" s="23"/>
      <c r="G34" s="24"/>
      <c r="H34" s="56"/>
      <c r="I34" s="24"/>
      <c r="J34" s="22">
        <f t="shared" si="0"/>
        <v>0</v>
      </c>
      <c r="K34" s="22">
        <v>0</v>
      </c>
      <c r="L34" s="22">
        <v>0</v>
      </c>
      <c r="M34" s="22">
        <f t="shared" si="2"/>
        <v>0</v>
      </c>
      <c r="N34" s="22">
        <v>0</v>
      </c>
      <c r="O34" s="22">
        <v>0</v>
      </c>
      <c r="P34" s="22">
        <f t="shared" si="1"/>
        <v>0</v>
      </c>
      <c r="Q34" s="22">
        <f t="shared" si="5"/>
        <v>0</v>
      </c>
      <c r="R34" s="22">
        <f t="shared" si="3"/>
        <v>0</v>
      </c>
      <c r="S34" s="22">
        <f t="shared" si="4"/>
        <v>0</v>
      </c>
    </row>
    <row r="35" spans="2:22">
      <c r="D35" s="112"/>
      <c r="E35" s="107"/>
      <c r="F35" s="23"/>
      <c r="G35" s="24"/>
      <c r="H35" s="24"/>
      <c r="I35" s="24"/>
      <c r="J35" s="22">
        <f t="shared" si="0"/>
        <v>0</v>
      </c>
      <c r="K35" s="22">
        <v>0</v>
      </c>
      <c r="L35" s="22">
        <v>0</v>
      </c>
      <c r="M35" s="22">
        <f t="shared" si="2"/>
        <v>0</v>
      </c>
      <c r="N35" s="22">
        <v>0</v>
      </c>
      <c r="O35" s="22">
        <v>0</v>
      </c>
      <c r="P35" s="22">
        <f t="shared" si="1"/>
        <v>0</v>
      </c>
      <c r="Q35" s="22">
        <f t="shared" si="5"/>
        <v>0</v>
      </c>
      <c r="R35" s="22">
        <f t="shared" si="3"/>
        <v>0</v>
      </c>
      <c r="S35" s="22">
        <f t="shared" si="4"/>
        <v>0</v>
      </c>
    </row>
    <row r="36" spans="2:22">
      <c r="D36" s="112"/>
      <c r="E36" s="107">
        <v>5</v>
      </c>
      <c r="F36" s="23"/>
      <c r="G36" s="24"/>
      <c r="H36" s="24"/>
      <c r="I36" s="24"/>
      <c r="J36" s="22">
        <f t="shared" si="0"/>
        <v>0</v>
      </c>
      <c r="K36" s="22">
        <v>0</v>
      </c>
      <c r="L36" s="22">
        <v>0</v>
      </c>
      <c r="M36" s="22">
        <f t="shared" si="2"/>
        <v>0</v>
      </c>
      <c r="N36" s="22">
        <v>0</v>
      </c>
      <c r="O36" s="22">
        <v>0</v>
      </c>
      <c r="P36" s="22">
        <f t="shared" si="1"/>
        <v>0</v>
      </c>
      <c r="Q36" s="22">
        <f>G36+H36+K36+N36</f>
        <v>0</v>
      </c>
      <c r="R36" s="22">
        <f>I36+L36+O36</f>
        <v>0</v>
      </c>
      <c r="S36" s="22">
        <f t="shared" si="4"/>
        <v>0</v>
      </c>
    </row>
    <row r="37" spans="2:22">
      <c r="D37" s="112"/>
      <c r="E37" s="107"/>
      <c r="F37" s="23"/>
      <c r="G37" s="24"/>
      <c r="H37" s="62"/>
      <c r="I37" s="62"/>
      <c r="J37" s="22">
        <f t="shared" si="0"/>
        <v>0</v>
      </c>
      <c r="K37" s="22">
        <v>0</v>
      </c>
      <c r="L37" s="22">
        <v>0</v>
      </c>
      <c r="M37" s="22">
        <f t="shared" si="2"/>
        <v>0</v>
      </c>
      <c r="N37" s="22">
        <v>0</v>
      </c>
      <c r="O37" s="22">
        <v>0</v>
      </c>
      <c r="P37" s="22">
        <f t="shared" si="1"/>
        <v>0</v>
      </c>
      <c r="Q37" s="22">
        <f>G37+H37+K37+N37</f>
        <v>0</v>
      </c>
      <c r="R37" s="22">
        <f t="shared" si="3"/>
        <v>0</v>
      </c>
      <c r="S37" s="22">
        <f t="shared" si="4"/>
        <v>0</v>
      </c>
    </row>
    <row r="38" spans="2:22">
      <c r="D38" s="112"/>
      <c r="E38" s="107"/>
      <c r="F38" s="23"/>
      <c r="G38" s="68"/>
      <c r="H38" s="72"/>
      <c r="I38" s="72"/>
      <c r="J38" s="42">
        <f t="shared" si="0"/>
        <v>0</v>
      </c>
      <c r="K38" s="22">
        <v>0</v>
      </c>
      <c r="L38" s="22">
        <v>0</v>
      </c>
      <c r="M38" s="22">
        <f t="shared" si="2"/>
        <v>0</v>
      </c>
      <c r="N38" s="22">
        <v>0</v>
      </c>
      <c r="O38" s="22">
        <v>0</v>
      </c>
      <c r="P38" s="22">
        <f t="shared" si="1"/>
        <v>0</v>
      </c>
      <c r="Q38" s="22">
        <f t="shared" si="5"/>
        <v>0</v>
      </c>
      <c r="R38" s="22">
        <f t="shared" si="3"/>
        <v>0</v>
      </c>
      <c r="S38" s="22">
        <f t="shared" si="4"/>
        <v>0</v>
      </c>
    </row>
    <row r="39" spans="2:22">
      <c r="D39" s="112"/>
      <c r="E39" s="107"/>
      <c r="F39" s="41"/>
      <c r="G39" s="43"/>
      <c r="H39" s="66"/>
      <c r="I39" s="67"/>
      <c r="J39" s="42">
        <f t="shared" si="0"/>
        <v>0</v>
      </c>
      <c r="K39" s="22">
        <v>0</v>
      </c>
      <c r="L39" s="22">
        <v>0</v>
      </c>
      <c r="M39" s="22">
        <f t="shared" si="2"/>
        <v>0</v>
      </c>
      <c r="N39" s="22">
        <v>0</v>
      </c>
      <c r="O39" s="22">
        <v>0</v>
      </c>
      <c r="P39" s="22">
        <f t="shared" si="1"/>
        <v>0</v>
      </c>
      <c r="Q39" s="22">
        <f t="shared" si="5"/>
        <v>0</v>
      </c>
      <c r="R39" s="22">
        <f t="shared" si="3"/>
        <v>0</v>
      </c>
      <c r="S39" s="22">
        <f t="shared" si="4"/>
        <v>0</v>
      </c>
    </row>
    <row r="40" spans="2:22">
      <c r="D40" s="112"/>
      <c r="E40" s="107"/>
      <c r="F40" s="23"/>
      <c r="G40" s="54"/>
      <c r="H40" s="54"/>
      <c r="I40" s="54"/>
      <c r="J40" s="22">
        <f t="shared" si="0"/>
        <v>0</v>
      </c>
      <c r="K40" s="22">
        <v>0</v>
      </c>
      <c r="L40" s="22">
        <v>0</v>
      </c>
      <c r="M40" s="22">
        <f t="shared" si="2"/>
        <v>0</v>
      </c>
      <c r="N40" s="22">
        <v>0</v>
      </c>
      <c r="O40" s="22">
        <v>0</v>
      </c>
      <c r="P40" s="22">
        <f t="shared" si="1"/>
        <v>0</v>
      </c>
      <c r="Q40" s="22">
        <f t="shared" si="5"/>
        <v>0</v>
      </c>
      <c r="R40" s="22">
        <f t="shared" si="3"/>
        <v>0</v>
      </c>
      <c r="S40" s="22">
        <f t="shared" si="4"/>
        <v>0</v>
      </c>
    </row>
    <row r="41" spans="2:22">
      <c r="D41" s="112"/>
      <c r="E41" s="107"/>
      <c r="F41" s="23"/>
      <c r="G41" s="24"/>
      <c r="H41" s="56"/>
      <c r="I41" s="24"/>
      <c r="J41" s="22">
        <f t="shared" si="0"/>
        <v>0</v>
      </c>
      <c r="K41" s="22">
        <v>0</v>
      </c>
      <c r="L41" s="22">
        <v>0</v>
      </c>
      <c r="M41" s="22">
        <f t="shared" si="2"/>
        <v>0</v>
      </c>
      <c r="N41" s="22">
        <v>0</v>
      </c>
      <c r="O41" s="22">
        <v>0</v>
      </c>
      <c r="P41" s="22">
        <f t="shared" si="1"/>
        <v>0</v>
      </c>
      <c r="Q41" s="22">
        <f t="shared" si="5"/>
        <v>0</v>
      </c>
      <c r="R41" s="22">
        <f t="shared" si="3"/>
        <v>0</v>
      </c>
      <c r="S41" s="22">
        <f t="shared" si="4"/>
        <v>0</v>
      </c>
    </row>
    <row r="42" spans="2:22">
      <c r="D42" s="112"/>
      <c r="E42" s="107"/>
      <c r="F42" s="23"/>
      <c r="G42" s="24"/>
      <c r="H42" s="24"/>
      <c r="I42" s="24"/>
      <c r="J42" s="22">
        <f t="shared" si="0"/>
        <v>0</v>
      </c>
      <c r="K42" s="22">
        <v>0</v>
      </c>
      <c r="L42" s="22">
        <v>0</v>
      </c>
      <c r="M42" s="22">
        <f t="shared" si="2"/>
        <v>0</v>
      </c>
      <c r="N42" s="22">
        <v>0</v>
      </c>
      <c r="O42" s="22">
        <v>0</v>
      </c>
      <c r="P42" s="22">
        <f t="shared" si="1"/>
        <v>0</v>
      </c>
      <c r="Q42" s="22">
        <f t="shared" si="5"/>
        <v>0</v>
      </c>
      <c r="R42" s="22">
        <f t="shared" si="3"/>
        <v>0</v>
      </c>
      <c r="S42" s="22">
        <f t="shared" si="4"/>
        <v>0</v>
      </c>
    </row>
    <row r="43" spans="2:22">
      <c r="D43" s="111"/>
      <c r="E43" s="107" t="s">
        <v>25</v>
      </c>
      <c r="F43" s="107"/>
      <c r="G43" s="22">
        <f t="shared" ref="G43:S43" si="7">SUM(G29:G42)</f>
        <v>0</v>
      </c>
      <c r="H43" s="22">
        <f t="shared" si="7"/>
        <v>0</v>
      </c>
      <c r="I43" s="22">
        <f t="shared" si="7"/>
        <v>0</v>
      </c>
      <c r="J43" s="22">
        <f t="shared" si="7"/>
        <v>0</v>
      </c>
      <c r="K43" s="22">
        <f t="shared" si="7"/>
        <v>0</v>
      </c>
      <c r="L43" s="22">
        <f t="shared" si="7"/>
        <v>0</v>
      </c>
      <c r="M43" s="22">
        <f t="shared" si="7"/>
        <v>0</v>
      </c>
      <c r="N43" s="22">
        <f t="shared" si="7"/>
        <v>0</v>
      </c>
      <c r="O43" s="22">
        <f t="shared" si="7"/>
        <v>0</v>
      </c>
      <c r="P43" s="22">
        <f t="shared" si="7"/>
        <v>0</v>
      </c>
      <c r="Q43" s="22">
        <f t="shared" si="7"/>
        <v>0</v>
      </c>
      <c r="R43" s="22">
        <f t="shared" si="7"/>
        <v>0</v>
      </c>
      <c r="S43" s="22">
        <f t="shared" si="7"/>
        <v>0</v>
      </c>
    </row>
    <row r="44" spans="2:22">
      <c r="D44" s="107" t="s">
        <v>43</v>
      </c>
      <c r="E44" s="107"/>
      <c r="F44" s="107"/>
      <c r="G44" s="22">
        <f t="shared" ref="G44:S44" si="8">G28+G43</f>
        <v>0</v>
      </c>
      <c r="H44" s="22">
        <f t="shared" si="8"/>
        <v>0</v>
      </c>
      <c r="I44" s="22">
        <f t="shared" si="8"/>
        <v>0</v>
      </c>
      <c r="J44" s="22">
        <f t="shared" si="8"/>
        <v>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0</v>
      </c>
      <c r="R44" s="22">
        <f t="shared" si="8"/>
        <v>0</v>
      </c>
      <c r="S44" s="22">
        <f t="shared" si="8"/>
        <v>0</v>
      </c>
    </row>
    <row r="46" spans="2:22">
      <c r="B46" s="119" t="s">
        <v>60</v>
      </c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</row>
    <row r="47" spans="2:22">
      <c r="C47" s="119" t="s">
        <v>50</v>
      </c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</row>
    <row r="48" spans="2:22">
      <c r="U48" s="108" t="s">
        <v>143</v>
      </c>
      <c r="V48" s="108"/>
    </row>
    <row r="49" spans="4:22">
      <c r="D49" s="107" t="s">
        <v>113</v>
      </c>
      <c r="E49" s="107"/>
      <c r="F49" s="107" t="s">
        <v>129</v>
      </c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9" t="s">
        <v>117</v>
      </c>
      <c r="U49" s="107" t="s">
        <v>107</v>
      </c>
      <c r="V49" s="107" t="s">
        <v>19</v>
      </c>
    </row>
    <row r="50" spans="4:22">
      <c r="D50" s="107"/>
      <c r="E50" s="107"/>
      <c r="F50" s="107" t="s">
        <v>46</v>
      </c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 t="s">
        <v>134</v>
      </c>
      <c r="S50" s="107" t="s">
        <v>69</v>
      </c>
      <c r="T50" s="109"/>
      <c r="U50" s="107"/>
      <c r="V50" s="107"/>
    </row>
    <row r="51" spans="4:22">
      <c r="D51" s="107"/>
      <c r="E51" s="107"/>
      <c r="F51" s="107" t="s">
        <v>121</v>
      </c>
      <c r="G51" s="107" t="s">
        <v>52</v>
      </c>
      <c r="H51" s="107"/>
      <c r="I51" s="107" t="s">
        <v>76</v>
      </c>
      <c r="J51" s="107"/>
      <c r="K51" s="107" t="s">
        <v>149</v>
      </c>
      <c r="L51" s="107" t="s">
        <v>105</v>
      </c>
      <c r="M51" s="107" t="s">
        <v>88</v>
      </c>
      <c r="N51" s="107" t="s">
        <v>35</v>
      </c>
      <c r="O51" s="107" t="s">
        <v>33</v>
      </c>
      <c r="P51" s="107" t="s">
        <v>30</v>
      </c>
      <c r="Q51" s="107" t="s">
        <v>25</v>
      </c>
      <c r="R51" s="107"/>
      <c r="S51" s="107"/>
      <c r="T51" s="109"/>
      <c r="U51" s="107"/>
      <c r="V51" s="107"/>
    </row>
    <row r="52" spans="4:22">
      <c r="D52" s="107"/>
      <c r="E52" s="107"/>
      <c r="F52" s="107"/>
      <c r="G52" s="20" t="s">
        <v>83</v>
      </c>
      <c r="H52" s="20" t="s">
        <v>102</v>
      </c>
      <c r="I52" s="20" t="s">
        <v>83</v>
      </c>
      <c r="J52" s="20" t="s">
        <v>102</v>
      </c>
      <c r="K52" s="107"/>
      <c r="L52" s="107"/>
      <c r="M52" s="107"/>
      <c r="N52" s="107"/>
      <c r="O52" s="107"/>
      <c r="P52" s="107"/>
      <c r="Q52" s="107"/>
      <c r="R52" s="107"/>
      <c r="S52" s="107"/>
      <c r="T52" s="109"/>
      <c r="U52" s="107"/>
      <c r="V52" s="107"/>
    </row>
    <row r="53" spans="4:22">
      <c r="D53" s="117"/>
      <c r="E53" s="21" t="s">
        <v>78</v>
      </c>
      <c r="F53" s="22">
        <f>F125</f>
        <v>0</v>
      </c>
      <c r="G53" s="22">
        <f t="shared" ref="G53:S53" si="9">G125</f>
        <v>0</v>
      </c>
      <c r="H53" s="22">
        <f t="shared" si="9"/>
        <v>0</v>
      </c>
      <c r="I53" s="22">
        <f t="shared" si="9"/>
        <v>0</v>
      </c>
      <c r="J53" s="22">
        <f t="shared" si="9"/>
        <v>0</v>
      </c>
      <c r="K53" s="22">
        <f t="shared" si="9"/>
        <v>0</v>
      </c>
      <c r="L53" s="22">
        <f t="shared" si="9"/>
        <v>0</v>
      </c>
      <c r="M53" s="22">
        <f t="shared" si="9"/>
        <v>0</v>
      </c>
      <c r="N53" s="22">
        <f t="shared" si="9"/>
        <v>0</v>
      </c>
      <c r="O53" s="22">
        <f t="shared" si="9"/>
        <v>0</v>
      </c>
      <c r="P53" s="22">
        <f t="shared" si="9"/>
        <v>0</v>
      </c>
      <c r="Q53" s="22">
        <f t="shared" si="9"/>
        <v>0</v>
      </c>
      <c r="R53" s="22">
        <f t="shared" si="9"/>
        <v>0</v>
      </c>
      <c r="S53" s="22">
        <f t="shared" si="9"/>
        <v>0</v>
      </c>
      <c r="T53" s="109" t="s">
        <v>117</v>
      </c>
      <c r="U53" s="113" t="s">
        <v>117</v>
      </c>
      <c r="V53" s="113" t="s">
        <v>117</v>
      </c>
    </row>
    <row r="54" spans="4:22">
      <c r="D54" s="117"/>
      <c r="E54" s="21" t="s">
        <v>24</v>
      </c>
      <c r="F54" s="22">
        <f t="shared" ref="F54:S55" si="10">F126</f>
        <v>0</v>
      </c>
      <c r="G54" s="22">
        <f t="shared" si="10"/>
        <v>0</v>
      </c>
      <c r="H54" s="22">
        <f t="shared" si="10"/>
        <v>0</v>
      </c>
      <c r="I54" s="22">
        <f t="shared" si="10"/>
        <v>0</v>
      </c>
      <c r="J54" s="22">
        <f t="shared" si="10"/>
        <v>0</v>
      </c>
      <c r="K54" s="22">
        <f t="shared" si="10"/>
        <v>0</v>
      </c>
      <c r="L54" s="22">
        <f t="shared" si="10"/>
        <v>0</v>
      </c>
      <c r="M54" s="22">
        <f t="shared" si="10"/>
        <v>0</v>
      </c>
      <c r="N54" s="22">
        <f t="shared" si="10"/>
        <v>0</v>
      </c>
      <c r="O54" s="22">
        <f t="shared" si="10"/>
        <v>0</v>
      </c>
      <c r="P54" s="22">
        <f t="shared" si="10"/>
        <v>0</v>
      </c>
      <c r="Q54" s="22">
        <f t="shared" si="10"/>
        <v>0</v>
      </c>
      <c r="R54" s="22">
        <f t="shared" si="10"/>
        <v>0</v>
      </c>
      <c r="S54" s="22">
        <f t="shared" si="10"/>
        <v>0</v>
      </c>
      <c r="T54" s="109"/>
      <c r="U54" s="113"/>
      <c r="V54" s="113"/>
    </row>
    <row r="55" spans="4:22">
      <c r="D55" s="117"/>
      <c r="E55" s="21" t="s">
        <v>25</v>
      </c>
      <c r="F55" s="22">
        <f t="shared" si="10"/>
        <v>0</v>
      </c>
      <c r="G55" s="22">
        <f t="shared" si="10"/>
        <v>0</v>
      </c>
      <c r="H55" s="22">
        <f t="shared" si="10"/>
        <v>0</v>
      </c>
      <c r="I55" s="22">
        <f t="shared" si="10"/>
        <v>0</v>
      </c>
      <c r="J55" s="22">
        <f t="shared" si="10"/>
        <v>0</v>
      </c>
      <c r="K55" s="22">
        <f t="shared" si="10"/>
        <v>0</v>
      </c>
      <c r="L55" s="22">
        <f t="shared" si="10"/>
        <v>0</v>
      </c>
      <c r="M55" s="22">
        <f t="shared" si="10"/>
        <v>0</v>
      </c>
      <c r="N55" s="22">
        <f t="shared" si="10"/>
        <v>0</v>
      </c>
      <c r="O55" s="22">
        <f t="shared" si="10"/>
        <v>0</v>
      </c>
      <c r="P55" s="22">
        <f t="shared" si="10"/>
        <v>0</v>
      </c>
      <c r="Q55" s="22">
        <f t="shared" si="10"/>
        <v>0</v>
      </c>
      <c r="R55" s="22">
        <f t="shared" si="10"/>
        <v>0</v>
      </c>
      <c r="S55" s="22">
        <f t="shared" si="10"/>
        <v>0</v>
      </c>
      <c r="T55" s="109"/>
      <c r="U55" s="113"/>
      <c r="V55" s="113"/>
    </row>
    <row r="56" spans="4:22">
      <c r="D56" s="117"/>
      <c r="E56" s="21" t="s">
        <v>78</v>
      </c>
      <c r="F56" s="22">
        <f>F150</f>
        <v>0</v>
      </c>
      <c r="G56" s="22">
        <f t="shared" ref="G56:S56" si="11">G150</f>
        <v>0</v>
      </c>
      <c r="H56" s="22">
        <f t="shared" si="11"/>
        <v>0</v>
      </c>
      <c r="I56" s="22">
        <f t="shared" si="11"/>
        <v>0</v>
      </c>
      <c r="J56" s="22">
        <f t="shared" si="11"/>
        <v>0</v>
      </c>
      <c r="K56" s="22">
        <f t="shared" si="11"/>
        <v>0</v>
      </c>
      <c r="L56" s="22">
        <f t="shared" si="11"/>
        <v>0</v>
      </c>
      <c r="M56" s="22">
        <f t="shared" si="11"/>
        <v>0</v>
      </c>
      <c r="N56" s="22">
        <f t="shared" si="11"/>
        <v>0</v>
      </c>
      <c r="O56" s="22">
        <f t="shared" si="11"/>
        <v>0</v>
      </c>
      <c r="P56" s="22">
        <f t="shared" si="11"/>
        <v>0</v>
      </c>
      <c r="Q56" s="22">
        <f t="shared" si="11"/>
        <v>0</v>
      </c>
      <c r="R56" s="22">
        <f t="shared" si="11"/>
        <v>0</v>
      </c>
      <c r="S56" s="22">
        <f t="shared" si="11"/>
        <v>0</v>
      </c>
      <c r="T56" s="109" t="s">
        <v>117</v>
      </c>
      <c r="U56" s="113" t="s">
        <v>117</v>
      </c>
      <c r="V56" s="113" t="s">
        <v>117</v>
      </c>
    </row>
    <row r="57" spans="4:22">
      <c r="D57" s="117"/>
      <c r="E57" s="21" t="s">
        <v>24</v>
      </c>
      <c r="F57" s="22">
        <f t="shared" ref="F57:S58" si="12">F151</f>
        <v>0</v>
      </c>
      <c r="G57" s="22">
        <f t="shared" si="12"/>
        <v>0</v>
      </c>
      <c r="H57" s="22">
        <f t="shared" si="12"/>
        <v>0</v>
      </c>
      <c r="I57" s="22">
        <f t="shared" si="12"/>
        <v>0</v>
      </c>
      <c r="J57" s="22">
        <f t="shared" si="12"/>
        <v>0</v>
      </c>
      <c r="K57" s="22">
        <f t="shared" si="12"/>
        <v>0</v>
      </c>
      <c r="L57" s="22">
        <f t="shared" si="12"/>
        <v>0</v>
      </c>
      <c r="M57" s="22">
        <f t="shared" si="12"/>
        <v>0</v>
      </c>
      <c r="N57" s="22">
        <f t="shared" si="12"/>
        <v>0</v>
      </c>
      <c r="O57" s="22">
        <f t="shared" si="12"/>
        <v>0</v>
      </c>
      <c r="P57" s="22">
        <f t="shared" si="12"/>
        <v>0</v>
      </c>
      <c r="Q57" s="22">
        <f t="shared" si="12"/>
        <v>0</v>
      </c>
      <c r="R57" s="22">
        <f t="shared" si="12"/>
        <v>0</v>
      </c>
      <c r="S57" s="22">
        <f t="shared" si="12"/>
        <v>0</v>
      </c>
      <c r="T57" s="109"/>
      <c r="U57" s="113"/>
      <c r="V57" s="113"/>
    </row>
    <row r="58" spans="4:22">
      <c r="D58" s="117"/>
      <c r="E58" s="21" t="s">
        <v>25</v>
      </c>
      <c r="F58" s="22">
        <f t="shared" si="12"/>
        <v>0</v>
      </c>
      <c r="G58" s="22">
        <f t="shared" si="12"/>
        <v>0</v>
      </c>
      <c r="H58" s="22">
        <f t="shared" si="12"/>
        <v>0</v>
      </c>
      <c r="I58" s="22">
        <f t="shared" si="12"/>
        <v>0</v>
      </c>
      <c r="J58" s="22">
        <f t="shared" si="12"/>
        <v>0</v>
      </c>
      <c r="K58" s="22">
        <f t="shared" si="12"/>
        <v>0</v>
      </c>
      <c r="L58" s="22">
        <f t="shared" si="12"/>
        <v>0</v>
      </c>
      <c r="M58" s="22">
        <f t="shared" si="12"/>
        <v>0</v>
      </c>
      <c r="N58" s="22">
        <f t="shared" si="12"/>
        <v>0</v>
      </c>
      <c r="O58" s="22">
        <f t="shared" si="12"/>
        <v>0</v>
      </c>
      <c r="P58" s="22">
        <f t="shared" si="12"/>
        <v>0</v>
      </c>
      <c r="Q58" s="22">
        <f t="shared" si="12"/>
        <v>0</v>
      </c>
      <c r="R58" s="22">
        <f t="shared" si="12"/>
        <v>0</v>
      </c>
      <c r="S58" s="22">
        <f t="shared" si="12"/>
        <v>0</v>
      </c>
      <c r="T58" s="109"/>
      <c r="U58" s="113"/>
      <c r="V58" s="113"/>
    </row>
    <row r="59" spans="4:22">
      <c r="D59" s="117"/>
      <c r="E59" s="21" t="s">
        <v>78</v>
      </c>
      <c r="F59" s="22">
        <f>F175</f>
        <v>0</v>
      </c>
      <c r="G59" s="22">
        <f t="shared" ref="G59:S59" si="13">G175</f>
        <v>0</v>
      </c>
      <c r="H59" s="22">
        <f t="shared" si="13"/>
        <v>0</v>
      </c>
      <c r="I59" s="22">
        <f t="shared" si="13"/>
        <v>0</v>
      </c>
      <c r="J59" s="22">
        <f t="shared" si="13"/>
        <v>0</v>
      </c>
      <c r="K59" s="22">
        <f t="shared" si="13"/>
        <v>0</v>
      </c>
      <c r="L59" s="22">
        <f t="shared" si="13"/>
        <v>0</v>
      </c>
      <c r="M59" s="22">
        <f t="shared" si="13"/>
        <v>0</v>
      </c>
      <c r="N59" s="22">
        <f t="shared" si="13"/>
        <v>0</v>
      </c>
      <c r="O59" s="22">
        <f t="shared" si="13"/>
        <v>0</v>
      </c>
      <c r="P59" s="22">
        <f t="shared" si="13"/>
        <v>0</v>
      </c>
      <c r="Q59" s="22">
        <f t="shared" si="13"/>
        <v>0</v>
      </c>
      <c r="R59" s="22">
        <f t="shared" si="13"/>
        <v>0</v>
      </c>
      <c r="S59" s="22">
        <f t="shared" si="13"/>
        <v>0</v>
      </c>
      <c r="T59" s="109" t="s">
        <v>117</v>
      </c>
      <c r="U59" s="113" t="s">
        <v>117</v>
      </c>
      <c r="V59" s="113" t="s">
        <v>117</v>
      </c>
    </row>
    <row r="60" spans="4:22">
      <c r="D60" s="117"/>
      <c r="E60" s="21" t="s">
        <v>24</v>
      </c>
      <c r="F60" s="22">
        <f t="shared" ref="F60:S61" si="14">F176</f>
        <v>0</v>
      </c>
      <c r="G60" s="22">
        <f t="shared" si="14"/>
        <v>0</v>
      </c>
      <c r="H60" s="22">
        <f t="shared" si="14"/>
        <v>0</v>
      </c>
      <c r="I60" s="22">
        <f t="shared" si="14"/>
        <v>0</v>
      </c>
      <c r="J60" s="22">
        <f t="shared" si="14"/>
        <v>0</v>
      </c>
      <c r="K60" s="22">
        <f t="shared" si="14"/>
        <v>0</v>
      </c>
      <c r="L60" s="22">
        <f t="shared" si="14"/>
        <v>0</v>
      </c>
      <c r="M60" s="22">
        <f t="shared" si="14"/>
        <v>0</v>
      </c>
      <c r="N60" s="22">
        <f t="shared" si="14"/>
        <v>0</v>
      </c>
      <c r="O60" s="22">
        <f t="shared" si="14"/>
        <v>0</v>
      </c>
      <c r="P60" s="22">
        <f t="shared" si="14"/>
        <v>0</v>
      </c>
      <c r="Q60" s="22">
        <f t="shared" si="14"/>
        <v>0</v>
      </c>
      <c r="R60" s="22">
        <f t="shared" si="14"/>
        <v>0</v>
      </c>
      <c r="S60" s="22">
        <f t="shared" si="14"/>
        <v>0</v>
      </c>
      <c r="T60" s="109"/>
      <c r="U60" s="113"/>
      <c r="V60" s="113"/>
    </row>
    <row r="61" spans="4:22">
      <c r="D61" s="117"/>
      <c r="E61" s="21" t="s">
        <v>25</v>
      </c>
      <c r="F61" s="22">
        <f t="shared" si="14"/>
        <v>0</v>
      </c>
      <c r="G61" s="22">
        <f t="shared" si="14"/>
        <v>0</v>
      </c>
      <c r="H61" s="22">
        <f t="shared" si="14"/>
        <v>0</v>
      </c>
      <c r="I61" s="22">
        <f t="shared" si="14"/>
        <v>0</v>
      </c>
      <c r="J61" s="22">
        <f t="shared" si="14"/>
        <v>0</v>
      </c>
      <c r="K61" s="22">
        <f t="shared" si="14"/>
        <v>0</v>
      </c>
      <c r="L61" s="22">
        <f t="shared" si="14"/>
        <v>0</v>
      </c>
      <c r="M61" s="22">
        <f t="shared" si="14"/>
        <v>0</v>
      </c>
      <c r="N61" s="22">
        <f t="shared" si="14"/>
        <v>0</v>
      </c>
      <c r="O61" s="22">
        <f t="shared" si="14"/>
        <v>0</v>
      </c>
      <c r="P61" s="22">
        <f t="shared" si="14"/>
        <v>0</v>
      </c>
      <c r="Q61" s="22">
        <f t="shared" si="14"/>
        <v>0</v>
      </c>
      <c r="R61" s="22">
        <f t="shared" si="14"/>
        <v>0</v>
      </c>
      <c r="S61" s="22">
        <f t="shared" si="14"/>
        <v>0</v>
      </c>
      <c r="T61" s="109"/>
      <c r="U61" s="113"/>
      <c r="V61" s="113"/>
    </row>
    <row r="62" spans="4:22">
      <c r="D62" s="117"/>
      <c r="E62" s="21" t="s">
        <v>78</v>
      </c>
      <c r="F62" s="22">
        <f>F200</f>
        <v>0</v>
      </c>
      <c r="G62" s="22">
        <f t="shared" ref="G62:S62" si="15">G200</f>
        <v>0</v>
      </c>
      <c r="H62" s="22">
        <f t="shared" si="15"/>
        <v>0</v>
      </c>
      <c r="I62" s="22">
        <f t="shared" si="15"/>
        <v>0</v>
      </c>
      <c r="J62" s="22">
        <f t="shared" si="15"/>
        <v>0</v>
      </c>
      <c r="K62" s="22">
        <f t="shared" si="15"/>
        <v>0</v>
      </c>
      <c r="L62" s="22">
        <f t="shared" si="15"/>
        <v>0</v>
      </c>
      <c r="M62" s="22">
        <f t="shared" si="15"/>
        <v>0</v>
      </c>
      <c r="N62" s="22">
        <f t="shared" si="15"/>
        <v>0</v>
      </c>
      <c r="O62" s="22">
        <f t="shared" si="15"/>
        <v>0</v>
      </c>
      <c r="P62" s="22">
        <f t="shared" si="15"/>
        <v>0</v>
      </c>
      <c r="Q62" s="22">
        <f t="shared" si="15"/>
        <v>0</v>
      </c>
      <c r="R62" s="22">
        <f t="shared" si="15"/>
        <v>0</v>
      </c>
      <c r="S62" s="22">
        <f t="shared" si="15"/>
        <v>0</v>
      </c>
      <c r="T62" s="109" t="s">
        <v>117</v>
      </c>
      <c r="U62" s="113" t="s">
        <v>117</v>
      </c>
      <c r="V62" s="113" t="s">
        <v>117</v>
      </c>
    </row>
    <row r="63" spans="4:22">
      <c r="D63" s="117"/>
      <c r="E63" s="21" t="s">
        <v>24</v>
      </c>
      <c r="F63" s="22">
        <f t="shared" ref="F63:S64" si="16">F201</f>
        <v>0</v>
      </c>
      <c r="G63" s="22">
        <f t="shared" si="16"/>
        <v>0</v>
      </c>
      <c r="H63" s="22">
        <f t="shared" si="16"/>
        <v>0</v>
      </c>
      <c r="I63" s="22">
        <f t="shared" si="16"/>
        <v>0</v>
      </c>
      <c r="J63" s="22">
        <f t="shared" si="16"/>
        <v>0</v>
      </c>
      <c r="K63" s="22">
        <f t="shared" si="16"/>
        <v>0</v>
      </c>
      <c r="L63" s="22">
        <f t="shared" si="16"/>
        <v>0</v>
      </c>
      <c r="M63" s="22">
        <f t="shared" si="16"/>
        <v>0</v>
      </c>
      <c r="N63" s="22">
        <f t="shared" si="16"/>
        <v>0</v>
      </c>
      <c r="O63" s="22">
        <f t="shared" si="16"/>
        <v>0</v>
      </c>
      <c r="P63" s="22">
        <f t="shared" si="16"/>
        <v>0</v>
      </c>
      <c r="Q63" s="22">
        <f t="shared" si="16"/>
        <v>0</v>
      </c>
      <c r="R63" s="22">
        <f t="shared" si="16"/>
        <v>0</v>
      </c>
      <c r="S63" s="22">
        <f t="shared" si="16"/>
        <v>0</v>
      </c>
      <c r="T63" s="109"/>
      <c r="U63" s="113"/>
      <c r="V63" s="113"/>
    </row>
    <row r="64" spans="4:22">
      <c r="D64" s="117"/>
      <c r="E64" s="21" t="s">
        <v>25</v>
      </c>
      <c r="F64" s="22">
        <f t="shared" si="16"/>
        <v>0</v>
      </c>
      <c r="G64" s="22">
        <f t="shared" si="16"/>
        <v>0</v>
      </c>
      <c r="H64" s="22">
        <f t="shared" si="16"/>
        <v>0</v>
      </c>
      <c r="I64" s="22">
        <f t="shared" si="16"/>
        <v>0</v>
      </c>
      <c r="J64" s="22">
        <f t="shared" si="16"/>
        <v>0</v>
      </c>
      <c r="K64" s="22">
        <f t="shared" si="16"/>
        <v>0</v>
      </c>
      <c r="L64" s="22">
        <f t="shared" si="16"/>
        <v>0</v>
      </c>
      <c r="M64" s="22">
        <f t="shared" si="16"/>
        <v>0</v>
      </c>
      <c r="N64" s="22">
        <f t="shared" si="16"/>
        <v>0</v>
      </c>
      <c r="O64" s="22">
        <f t="shared" si="16"/>
        <v>0</v>
      </c>
      <c r="P64" s="22">
        <f t="shared" si="16"/>
        <v>0</v>
      </c>
      <c r="Q64" s="22">
        <f t="shared" si="16"/>
        <v>0</v>
      </c>
      <c r="R64" s="22">
        <f t="shared" si="16"/>
        <v>0</v>
      </c>
      <c r="S64" s="22">
        <f t="shared" si="16"/>
        <v>0</v>
      </c>
      <c r="T64" s="109"/>
      <c r="U64" s="113"/>
      <c r="V64" s="113"/>
    </row>
    <row r="65" spans="3:22">
      <c r="D65" s="117"/>
      <c r="E65" s="21" t="s">
        <v>78</v>
      </c>
      <c r="F65" s="22">
        <f>F225</f>
        <v>0</v>
      </c>
      <c r="G65" s="22">
        <f t="shared" ref="G65:S65" si="17">G225</f>
        <v>0</v>
      </c>
      <c r="H65" s="22">
        <f t="shared" si="17"/>
        <v>0</v>
      </c>
      <c r="I65" s="22">
        <f t="shared" si="17"/>
        <v>0</v>
      </c>
      <c r="J65" s="22">
        <f t="shared" si="17"/>
        <v>0</v>
      </c>
      <c r="K65" s="22">
        <f t="shared" si="17"/>
        <v>0</v>
      </c>
      <c r="L65" s="22">
        <f t="shared" si="17"/>
        <v>0</v>
      </c>
      <c r="M65" s="22">
        <f t="shared" si="17"/>
        <v>0</v>
      </c>
      <c r="N65" s="22">
        <f t="shared" si="17"/>
        <v>0</v>
      </c>
      <c r="O65" s="22">
        <f t="shared" si="17"/>
        <v>0</v>
      </c>
      <c r="P65" s="22">
        <f t="shared" si="17"/>
        <v>0</v>
      </c>
      <c r="Q65" s="22">
        <f t="shared" si="17"/>
        <v>0</v>
      </c>
      <c r="R65" s="22">
        <f t="shared" si="17"/>
        <v>0</v>
      </c>
      <c r="S65" s="22">
        <f t="shared" si="17"/>
        <v>0</v>
      </c>
      <c r="T65" s="109" t="s">
        <v>117</v>
      </c>
      <c r="U65" s="113" t="s">
        <v>117</v>
      </c>
      <c r="V65" s="113" t="s">
        <v>117</v>
      </c>
    </row>
    <row r="66" spans="3:22">
      <c r="D66" s="117"/>
      <c r="E66" s="21" t="s">
        <v>24</v>
      </c>
      <c r="F66" s="22">
        <f t="shared" ref="F66:S67" si="18">F226</f>
        <v>0</v>
      </c>
      <c r="G66" s="22">
        <f t="shared" si="18"/>
        <v>0</v>
      </c>
      <c r="H66" s="22">
        <f t="shared" si="18"/>
        <v>0</v>
      </c>
      <c r="I66" s="22">
        <f t="shared" si="18"/>
        <v>0</v>
      </c>
      <c r="J66" s="22">
        <f t="shared" si="18"/>
        <v>0</v>
      </c>
      <c r="K66" s="22">
        <f t="shared" si="18"/>
        <v>0</v>
      </c>
      <c r="L66" s="22">
        <f t="shared" si="18"/>
        <v>0</v>
      </c>
      <c r="M66" s="22">
        <f t="shared" si="18"/>
        <v>0</v>
      </c>
      <c r="N66" s="22">
        <f t="shared" si="18"/>
        <v>0</v>
      </c>
      <c r="O66" s="22">
        <f t="shared" si="18"/>
        <v>0</v>
      </c>
      <c r="P66" s="22">
        <f t="shared" si="18"/>
        <v>0</v>
      </c>
      <c r="Q66" s="22">
        <f t="shared" si="18"/>
        <v>0</v>
      </c>
      <c r="R66" s="22">
        <f t="shared" si="18"/>
        <v>0</v>
      </c>
      <c r="S66" s="22">
        <f t="shared" si="18"/>
        <v>0</v>
      </c>
      <c r="T66" s="109"/>
      <c r="U66" s="113"/>
      <c r="V66" s="113"/>
    </row>
    <row r="67" spans="3:22">
      <c r="D67" s="117"/>
      <c r="E67" s="21" t="s">
        <v>25</v>
      </c>
      <c r="F67" s="22">
        <f t="shared" si="18"/>
        <v>0</v>
      </c>
      <c r="G67" s="22">
        <f t="shared" si="18"/>
        <v>0</v>
      </c>
      <c r="H67" s="22">
        <f t="shared" si="18"/>
        <v>0</v>
      </c>
      <c r="I67" s="22">
        <f t="shared" si="18"/>
        <v>0</v>
      </c>
      <c r="J67" s="22">
        <f t="shared" si="18"/>
        <v>0</v>
      </c>
      <c r="K67" s="22">
        <f t="shared" si="18"/>
        <v>0</v>
      </c>
      <c r="L67" s="22">
        <f t="shared" si="18"/>
        <v>0</v>
      </c>
      <c r="M67" s="22">
        <f t="shared" si="18"/>
        <v>0</v>
      </c>
      <c r="N67" s="22">
        <f t="shared" si="18"/>
        <v>0</v>
      </c>
      <c r="O67" s="22">
        <f t="shared" si="18"/>
        <v>0</v>
      </c>
      <c r="P67" s="22">
        <f t="shared" si="18"/>
        <v>0</v>
      </c>
      <c r="Q67" s="22">
        <f t="shared" si="18"/>
        <v>0</v>
      </c>
      <c r="R67" s="22">
        <f t="shared" si="18"/>
        <v>0</v>
      </c>
      <c r="S67" s="22">
        <f t="shared" si="18"/>
        <v>0</v>
      </c>
      <c r="T67" s="109"/>
      <c r="U67" s="113"/>
      <c r="V67" s="113"/>
    </row>
    <row r="68" spans="3:22">
      <c r="D68" s="117"/>
      <c r="E68" s="21" t="s">
        <v>78</v>
      </c>
      <c r="F68" s="22">
        <f>F250</f>
        <v>0</v>
      </c>
      <c r="G68" s="22">
        <f t="shared" ref="G68:S68" si="19">G250</f>
        <v>0</v>
      </c>
      <c r="H68" s="22">
        <f t="shared" si="19"/>
        <v>0</v>
      </c>
      <c r="I68" s="22">
        <f t="shared" si="19"/>
        <v>0</v>
      </c>
      <c r="J68" s="22">
        <f t="shared" si="19"/>
        <v>0</v>
      </c>
      <c r="K68" s="22">
        <f t="shared" si="19"/>
        <v>0</v>
      </c>
      <c r="L68" s="22">
        <f t="shared" si="19"/>
        <v>0</v>
      </c>
      <c r="M68" s="22">
        <f t="shared" si="19"/>
        <v>0</v>
      </c>
      <c r="N68" s="22">
        <f t="shared" si="19"/>
        <v>0</v>
      </c>
      <c r="O68" s="22">
        <f t="shared" si="19"/>
        <v>0</v>
      </c>
      <c r="P68" s="22">
        <f t="shared" si="19"/>
        <v>0</v>
      </c>
      <c r="Q68" s="22">
        <f t="shared" si="19"/>
        <v>0</v>
      </c>
      <c r="R68" s="22">
        <f t="shared" si="19"/>
        <v>0</v>
      </c>
      <c r="S68" s="22">
        <f t="shared" si="19"/>
        <v>0</v>
      </c>
      <c r="T68" s="109" t="s">
        <v>117</v>
      </c>
      <c r="U68" s="113" t="s">
        <v>117</v>
      </c>
      <c r="V68" s="113" t="s">
        <v>117</v>
      </c>
    </row>
    <row r="69" spans="3:22">
      <c r="D69" s="117"/>
      <c r="E69" s="21" t="s">
        <v>24</v>
      </c>
      <c r="F69" s="22">
        <f t="shared" ref="F69:S70" si="20">F251</f>
        <v>0</v>
      </c>
      <c r="G69" s="22">
        <f t="shared" si="20"/>
        <v>0</v>
      </c>
      <c r="H69" s="22">
        <f t="shared" si="20"/>
        <v>0</v>
      </c>
      <c r="I69" s="22">
        <f t="shared" si="20"/>
        <v>0</v>
      </c>
      <c r="J69" s="22">
        <f t="shared" si="20"/>
        <v>0</v>
      </c>
      <c r="K69" s="22">
        <f t="shared" si="20"/>
        <v>0</v>
      </c>
      <c r="L69" s="22">
        <f t="shared" si="20"/>
        <v>0</v>
      </c>
      <c r="M69" s="22">
        <f t="shared" si="20"/>
        <v>0</v>
      </c>
      <c r="N69" s="22">
        <f t="shared" si="20"/>
        <v>0</v>
      </c>
      <c r="O69" s="22">
        <f t="shared" si="20"/>
        <v>0</v>
      </c>
      <c r="P69" s="22">
        <f t="shared" si="20"/>
        <v>0</v>
      </c>
      <c r="Q69" s="22">
        <f t="shared" si="20"/>
        <v>0</v>
      </c>
      <c r="R69" s="22">
        <f t="shared" si="20"/>
        <v>0</v>
      </c>
      <c r="S69" s="22">
        <f t="shared" si="20"/>
        <v>0</v>
      </c>
      <c r="T69" s="109"/>
      <c r="U69" s="113"/>
      <c r="V69" s="113"/>
    </row>
    <row r="70" spans="3:22">
      <c r="D70" s="117"/>
      <c r="E70" s="21" t="s">
        <v>25</v>
      </c>
      <c r="F70" s="22">
        <f t="shared" si="20"/>
        <v>0</v>
      </c>
      <c r="G70" s="22">
        <f t="shared" si="20"/>
        <v>0</v>
      </c>
      <c r="H70" s="22">
        <f t="shared" si="20"/>
        <v>0</v>
      </c>
      <c r="I70" s="22">
        <f t="shared" si="20"/>
        <v>0</v>
      </c>
      <c r="J70" s="22">
        <f t="shared" si="20"/>
        <v>0</v>
      </c>
      <c r="K70" s="22">
        <f t="shared" si="20"/>
        <v>0</v>
      </c>
      <c r="L70" s="22">
        <f t="shared" si="20"/>
        <v>0</v>
      </c>
      <c r="M70" s="22">
        <f t="shared" si="20"/>
        <v>0</v>
      </c>
      <c r="N70" s="22">
        <f t="shared" si="20"/>
        <v>0</v>
      </c>
      <c r="O70" s="22">
        <f t="shared" si="20"/>
        <v>0</v>
      </c>
      <c r="P70" s="22">
        <f t="shared" si="20"/>
        <v>0</v>
      </c>
      <c r="Q70" s="22">
        <f t="shared" si="20"/>
        <v>0</v>
      </c>
      <c r="R70" s="22">
        <f t="shared" si="20"/>
        <v>0</v>
      </c>
      <c r="S70" s="22">
        <f t="shared" si="20"/>
        <v>0</v>
      </c>
      <c r="T70" s="109"/>
      <c r="U70" s="113"/>
      <c r="V70" s="113"/>
    </row>
    <row r="71" spans="3:22">
      <c r="D71" s="117"/>
      <c r="E71" s="21" t="s">
        <v>78</v>
      </c>
      <c r="F71" s="22">
        <f>F275</f>
        <v>0</v>
      </c>
      <c r="G71" s="22">
        <f t="shared" ref="G71:S71" si="21">G275</f>
        <v>0</v>
      </c>
      <c r="H71" s="22">
        <f t="shared" si="21"/>
        <v>0</v>
      </c>
      <c r="I71" s="22">
        <f t="shared" si="21"/>
        <v>0</v>
      </c>
      <c r="J71" s="22">
        <f t="shared" si="21"/>
        <v>0</v>
      </c>
      <c r="K71" s="22">
        <f t="shared" si="21"/>
        <v>0</v>
      </c>
      <c r="L71" s="22">
        <f t="shared" si="21"/>
        <v>0</v>
      </c>
      <c r="M71" s="22">
        <f t="shared" si="21"/>
        <v>0</v>
      </c>
      <c r="N71" s="22">
        <f t="shared" si="21"/>
        <v>0</v>
      </c>
      <c r="O71" s="22">
        <f t="shared" si="21"/>
        <v>0</v>
      </c>
      <c r="P71" s="22">
        <f t="shared" si="21"/>
        <v>0</v>
      </c>
      <c r="Q71" s="22">
        <f t="shared" si="21"/>
        <v>0</v>
      </c>
      <c r="R71" s="22">
        <f t="shared" si="21"/>
        <v>0</v>
      </c>
      <c r="S71" s="22">
        <f t="shared" si="21"/>
        <v>0</v>
      </c>
      <c r="T71" s="109" t="s">
        <v>117</v>
      </c>
      <c r="U71" s="113" t="s">
        <v>117</v>
      </c>
      <c r="V71" s="113" t="s">
        <v>117</v>
      </c>
    </row>
    <row r="72" spans="3:22">
      <c r="D72" s="117"/>
      <c r="E72" s="21" t="s">
        <v>24</v>
      </c>
      <c r="F72" s="22">
        <f t="shared" ref="F72:S73" si="22">F276</f>
        <v>0</v>
      </c>
      <c r="G72" s="22">
        <f t="shared" si="22"/>
        <v>0</v>
      </c>
      <c r="H72" s="22">
        <f t="shared" si="22"/>
        <v>0</v>
      </c>
      <c r="I72" s="22">
        <f t="shared" si="22"/>
        <v>0</v>
      </c>
      <c r="J72" s="22">
        <f t="shared" si="22"/>
        <v>0</v>
      </c>
      <c r="K72" s="22">
        <f t="shared" si="22"/>
        <v>0</v>
      </c>
      <c r="L72" s="22">
        <f t="shared" si="22"/>
        <v>0</v>
      </c>
      <c r="M72" s="22">
        <f t="shared" si="22"/>
        <v>0</v>
      </c>
      <c r="N72" s="22">
        <f t="shared" si="22"/>
        <v>0</v>
      </c>
      <c r="O72" s="22">
        <f t="shared" si="22"/>
        <v>0</v>
      </c>
      <c r="P72" s="22">
        <f t="shared" si="22"/>
        <v>0</v>
      </c>
      <c r="Q72" s="22">
        <f t="shared" si="22"/>
        <v>0</v>
      </c>
      <c r="R72" s="22">
        <f t="shared" si="22"/>
        <v>0</v>
      </c>
      <c r="S72" s="22">
        <f t="shared" si="22"/>
        <v>0</v>
      </c>
      <c r="T72" s="109"/>
      <c r="U72" s="113"/>
      <c r="V72" s="113"/>
    </row>
    <row r="73" spans="3:22">
      <c r="D73" s="117"/>
      <c r="E73" s="21" t="s">
        <v>25</v>
      </c>
      <c r="F73" s="22">
        <f t="shared" si="22"/>
        <v>0</v>
      </c>
      <c r="G73" s="22">
        <f t="shared" si="22"/>
        <v>0</v>
      </c>
      <c r="H73" s="22">
        <f t="shared" si="22"/>
        <v>0</v>
      </c>
      <c r="I73" s="22">
        <f t="shared" si="22"/>
        <v>0</v>
      </c>
      <c r="J73" s="22">
        <f t="shared" si="22"/>
        <v>0</v>
      </c>
      <c r="K73" s="22">
        <f t="shared" si="22"/>
        <v>0</v>
      </c>
      <c r="L73" s="22">
        <f t="shared" si="22"/>
        <v>0</v>
      </c>
      <c r="M73" s="22">
        <f t="shared" si="22"/>
        <v>0</v>
      </c>
      <c r="N73" s="22">
        <f t="shared" si="22"/>
        <v>0</v>
      </c>
      <c r="O73" s="22">
        <f t="shared" si="22"/>
        <v>0</v>
      </c>
      <c r="P73" s="22">
        <f t="shared" si="22"/>
        <v>0</v>
      </c>
      <c r="Q73" s="22">
        <f t="shared" si="22"/>
        <v>0</v>
      </c>
      <c r="R73" s="22">
        <f t="shared" si="22"/>
        <v>0</v>
      </c>
      <c r="S73" s="22">
        <f t="shared" si="22"/>
        <v>0</v>
      </c>
      <c r="T73" s="109"/>
      <c r="U73" s="113"/>
      <c r="V73" s="113"/>
    </row>
    <row r="74" spans="3:22">
      <c r="D74" s="126" t="s">
        <v>43</v>
      </c>
      <c r="E74" s="21" t="s">
        <v>78</v>
      </c>
      <c r="F74" s="22">
        <f>F53+F56+F59+F62+F65+F68+F71</f>
        <v>0</v>
      </c>
      <c r="G74" s="22">
        <f t="shared" ref="G74:S76" si="23">G53+G56+G59+G62+G65+G68+G71</f>
        <v>0</v>
      </c>
      <c r="H74" s="22">
        <f t="shared" si="23"/>
        <v>0</v>
      </c>
      <c r="I74" s="22">
        <f t="shared" si="23"/>
        <v>0</v>
      </c>
      <c r="J74" s="22">
        <f t="shared" si="23"/>
        <v>0</v>
      </c>
      <c r="K74" s="22">
        <f t="shared" si="23"/>
        <v>0</v>
      </c>
      <c r="L74" s="22">
        <f t="shared" si="23"/>
        <v>0</v>
      </c>
      <c r="M74" s="22">
        <f t="shared" si="23"/>
        <v>0</v>
      </c>
      <c r="N74" s="22">
        <f t="shared" si="23"/>
        <v>0</v>
      </c>
      <c r="O74" s="22">
        <f t="shared" si="23"/>
        <v>0</v>
      </c>
      <c r="P74" s="22">
        <f t="shared" si="23"/>
        <v>0</v>
      </c>
      <c r="Q74" s="22">
        <f t="shared" si="23"/>
        <v>0</v>
      </c>
      <c r="R74" s="22">
        <f t="shared" si="23"/>
        <v>0</v>
      </c>
      <c r="S74" s="22">
        <f t="shared" si="23"/>
        <v>0</v>
      </c>
      <c r="T74" s="109" t="s">
        <v>117</v>
      </c>
      <c r="U74" s="113" t="s">
        <v>117</v>
      </c>
      <c r="V74" s="113" t="s">
        <v>117</v>
      </c>
    </row>
    <row r="75" spans="3:22">
      <c r="D75" s="126"/>
      <c r="E75" s="21" t="s">
        <v>24</v>
      </c>
      <c r="F75" s="22">
        <f>F54+F57+F60+F63+F66+F69+F72</f>
        <v>0</v>
      </c>
      <c r="G75" s="22">
        <f t="shared" si="23"/>
        <v>0</v>
      </c>
      <c r="H75" s="22">
        <f t="shared" si="23"/>
        <v>0</v>
      </c>
      <c r="I75" s="22">
        <f t="shared" si="23"/>
        <v>0</v>
      </c>
      <c r="J75" s="22">
        <f t="shared" si="23"/>
        <v>0</v>
      </c>
      <c r="K75" s="22">
        <f t="shared" si="23"/>
        <v>0</v>
      </c>
      <c r="L75" s="22">
        <f t="shared" si="23"/>
        <v>0</v>
      </c>
      <c r="M75" s="22">
        <f t="shared" si="23"/>
        <v>0</v>
      </c>
      <c r="N75" s="22">
        <f t="shared" si="23"/>
        <v>0</v>
      </c>
      <c r="O75" s="22">
        <f t="shared" si="23"/>
        <v>0</v>
      </c>
      <c r="P75" s="22">
        <f t="shared" si="23"/>
        <v>0</v>
      </c>
      <c r="Q75" s="22">
        <f t="shared" si="23"/>
        <v>0</v>
      </c>
      <c r="R75" s="22">
        <f t="shared" si="23"/>
        <v>0</v>
      </c>
      <c r="S75" s="22">
        <f t="shared" si="23"/>
        <v>0</v>
      </c>
      <c r="T75" s="109"/>
      <c r="U75" s="113"/>
      <c r="V75" s="113"/>
    </row>
    <row r="76" spans="3:22">
      <c r="D76" s="126"/>
      <c r="E76" s="21" t="s">
        <v>69</v>
      </c>
      <c r="F76" s="22">
        <f>F55+F58+F61+F64+F67+F70+F73</f>
        <v>0</v>
      </c>
      <c r="G76" s="22">
        <f t="shared" si="23"/>
        <v>0</v>
      </c>
      <c r="H76" s="22">
        <f t="shared" si="23"/>
        <v>0</v>
      </c>
      <c r="I76" s="22">
        <f t="shared" si="23"/>
        <v>0</v>
      </c>
      <c r="J76" s="22">
        <f t="shared" si="23"/>
        <v>0</v>
      </c>
      <c r="K76" s="22">
        <f t="shared" si="23"/>
        <v>0</v>
      </c>
      <c r="L76" s="22">
        <f t="shared" si="23"/>
        <v>0</v>
      </c>
      <c r="M76" s="22">
        <f t="shared" si="23"/>
        <v>0</v>
      </c>
      <c r="N76" s="22">
        <f t="shared" si="23"/>
        <v>0</v>
      </c>
      <c r="O76" s="22">
        <f t="shared" si="23"/>
        <v>0</v>
      </c>
      <c r="P76" s="22">
        <f t="shared" si="23"/>
        <v>0</v>
      </c>
      <c r="Q76" s="22">
        <f t="shared" si="23"/>
        <v>0</v>
      </c>
      <c r="R76" s="22">
        <f t="shared" si="23"/>
        <v>0</v>
      </c>
      <c r="S76" s="22">
        <f t="shared" si="23"/>
        <v>0</v>
      </c>
      <c r="T76" s="109"/>
      <c r="U76" s="113"/>
      <c r="V76" s="113"/>
    </row>
    <row r="78" spans="3:22">
      <c r="C78" s="119" t="s">
        <v>16</v>
      </c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</row>
    <row r="79" spans="3:22">
      <c r="U79" s="108" t="s">
        <v>143</v>
      </c>
      <c r="V79" s="108"/>
    </row>
    <row r="80" spans="3:22">
      <c r="D80" s="107" t="s">
        <v>68</v>
      </c>
      <c r="E80" s="107"/>
      <c r="F80" s="107" t="s">
        <v>129</v>
      </c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9" t="s">
        <v>117</v>
      </c>
      <c r="U80" s="107" t="s">
        <v>107</v>
      </c>
      <c r="V80" s="107" t="s">
        <v>19</v>
      </c>
    </row>
    <row r="81" spans="4:22">
      <c r="D81" s="107"/>
      <c r="E81" s="107"/>
      <c r="F81" s="107" t="s">
        <v>46</v>
      </c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 t="s">
        <v>134</v>
      </c>
      <c r="S81" s="107" t="s">
        <v>69</v>
      </c>
      <c r="T81" s="109"/>
      <c r="U81" s="107"/>
      <c r="V81" s="107"/>
    </row>
    <row r="82" spans="4:22">
      <c r="D82" s="107"/>
      <c r="E82" s="107"/>
      <c r="F82" s="107" t="s">
        <v>121</v>
      </c>
      <c r="G82" s="107" t="s">
        <v>52</v>
      </c>
      <c r="H82" s="107"/>
      <c r="I82" s="107" t="s">
        <v>76</v>
      </c>
      <c r="J82" s="107"/>
      <c r="K82" s="107" t="s">
        <v>149</v>
      </c>
      <c r="L82" s="107" t="s">
        <v>105</v>
      </c>
      <c r="M82" s="107" t="s">
        <v>88</v>
      </c>
      <c r="N82" s="107" t="s">
        <v>35</v>
      </c>
      <c r="O82" s="107" t="s">
        <v>33</v>
      </c>
      <c r="P82" s="107" t="s">
        <v>30</v>
      </c>
      <c r="Q82" s="107" t="s">
        <v>25</v>
      </c>
      <c r="R82" s="107"/>
      <c r="S82" s="107"/>
      <c r="T82" s="109"/>
      <c r="U82" s="107"/>
      <c r="V82" s="107"/>
    </row>
    <row r="83" spans="4:22">
      <c r="D83" s="107"/>
      <c r="E83" s="107"/>
      <c r="F83" s="107"/>
      <c r="G83" s="20" t="s">
        <v>83</v>
      </c>
      <c r="H83" s="20" t="s">
        <v>102</v>
      </c>
      <c r="I83" s="20" t="s">
        <v>83</v>
      </c>
      <c r="J83" s="20" t="s">
        <v>102</v>
      </c>
      <c r="K83" s="107"/>
      <c r="L83" s="107"/>
      <c r="M83" s="107"/>
      <c r="N83" s="107"/>
      <c r="O83" s="107"/>
      <c r="P83" s="107"/>
      <c r="Q83" s="107"/>
      <c r="R83" s="107"/>
      <c r="S83" s="107"/>
      <c r="T83" s="109"/>
      <c r="U83" s="107"/>
      <c r="V83" s="107"/>
    </row>
    <row r="84" spans="4:22">
      <c r="D84" s="126">
        <v>1</v>
      </c>
      <c r="E84" s="21" t="s">
        <v>78</v>
      </c>
      <c r="F84" s="22">
        <f t="shared" ref="F84:S84" si="24">F110+F135+F160+F185+F210+F235+F260</f>
        <v>0</v>
      </c>
      <c r="G84" s="22">
        <f t="shared" si="24"/>
        <v>0</v>
      </c>
      <c r="H84" s="22">
        <f t="shared" si="24"/>
        <v>0</v>
      </c>
      <c r="I84" s="22">
        <f t="shared" si="24"/>
        <v>0</v>
      </c>
      <c r="J84" s="22">
        <f t="shared" si="24"/>
        <v>0</v>
      </c>
      <c r="K84" s="22">
        <f t="shared" si="24"/>
        <v>0</v>
      </c>
      <c r="L84" s="22">
        <f t="shared" si="24"/>
        <v>0</v>
      </c>
      <c r="M84" s="22">
        <f t="shared" si="24"/>
        <v>0</v>
      </c>
      <c r="N84" s="22">
        <f t="shared" si="24"/>
        <v>0</v>
      </c>
      <c r="O84" s="22">
        <f t="shared" si="24"/>
        <v>0</v>
      </c>
      <c r="P84" s="22">
        <f t="shared" si="24"/>
        <v>0</v>
      </c>
      <c r="Q84" s="22">
        <f t="shared" si="24"/>
        <v>0</v>
      </c>
      <c r="R84" s="22">
        <f t="shared" si="24"/>
        <v>0</v>
      </c>
      <c r="S84" s="22">
        <f t="shared" si="24"/>
        <v>0</v>
      </c>
      <c r="T84" s="109" t="s">
        <v>117</v>
      </c>
      <c r="U84" s="113" t="s">
        <v>117</v>
      </c>
      <c r="V84" s="113" t="s">
        <v>117</v>
      </c>
    </row>
    <row r="85" spans="4:22">
      <c r="D85" s="126"/>
      <c r="E85" s="21" t="s">
        <v>24</v>
      </c>
      <c r="F85" s="22">
        <f t="shared" ref="F85:S85" si="25">F111+F136+F161+F186+F211+F236+F261</f>
        <v>0</v>
      </c>
      <c r="G85" s="22">
        <f t="shared" si="25"/>
        <v>0</v>
      </c>
      <c r="H85" s="22">
        <f t="shared" si="25"/>
        <v>0</v>
      </c>
      <c r="I85" s="22">
        <f t="shared" si="25"/>
        <v>0</v>
      </c>
      <c r="J85" s="22">
        <f t="shared" si="25"/>
        <v>0</v>
      </c>
      <c r="K85" s="22">
        <f t="shared" si="25"/>
        <v>0</v>
      </c>
      <c r="L85" s="22">
        <f t="shared" si="25"/>
        <v>0</v>
      </c>
      <c r="M85" s="22">
        <f t="shared" si="25"/>
        <v>0</v>
      </c>
      <c r="N85" s="22">
        <f t="shared" si="25"/>
        <v>0</v>
      </c>
      <c r="O85" s="22">
        <f t="shared" si="25"/>
        <v>0</v>
      </c>
      <c r="P85" s="22">
        <f t="shared" si="25"/>
        <v>0</v>
      </c>
      <c r="Q85" s="22">
        <f t="shared" si="25"/>
        <v>0</v>
      </c>
      <c r="R85" s="22">
        <f t="shared" si="25"/>
        <v>0</v>
      </c>
      <c r="S85" s="22">
        <f t="shared" si="25"/>
        <v>0</v>
      </c>
      <c r="T85" s="109"/>
      <c r="U85" s="113"/>
      <c r="V85" s="113"/>
    </row>
    <row r="86" spans="4:22">
      <c r="D86" s="126"/>
      <c r="E86" s="21" t="s">
        <v>25</v>
      </c>
      <c r="F86" s="22">
        <f t="shared" ref="F86:S86" si="26">F112+F137+F162+F187+F212+F237+F262</f>
        <v>0</v>
      </c>
      <c r="G86" s="22">
        <f t="shared" si="26"/>
        <v>0</v>
      </c>
      <c r="H86" s="22">
        <f t="shared" si="26"/>
        <v>0</v>
      </c>
      <c r="I86" s="22">
        <f t="shared" si="26"/>
        <v>0</v>
      </c>
      <c r="J86" s="22">
        <f t="shared" si="26"/>
        <v>0</v>
      </c>
      <c r="K86" s="22">
        <f t="shared" si="26"/>
        <v>0</v>
      </c>
      <c r="L86" s="22">
        <f t="shared" si="26"/>
        <v>0</v>
      </c>
      <c r="M86" s="22">
        <f t="shared" si="26"/>
        <v>0</v>
      </c>
      <c r="N86" s="22">
        <f t="shared" si="26"/>
        <v>0</v>
      </c>
      <c r="O86" s="22">
        <f t="shared" si="26"/>
        <v>0</v>
      </c>
      <c r="P86" s="22">
        <f t="shared" si="26"/>
        <v>0</v>
      </c>
      <c r="Q86" s="22">
        <f t="shared" si="26"/>
        <v>0</v>
      </c>
      <c r="R86" s="22">
        <f t="shared" si="26"/>
        <v>0</v>
      </c>
      <c r="S86" s="22">
        <f t="shared" si="26"/>
        <v>0</v>
      </c>
      <c r="T86" s="109"/>
      <c r="U86" s="113"/>
      <c r="V86" s="113"/>
    </row>
    <row r="87" spans="4:22">
      <c r="D87" s="126">
        <v>2</v>
      </c>
      <c r="E87" s="21" t="s">
        <v>78</v>
      </c>
      <c r="F87" s="22">
        <f t="shared" ref="F87:S87" si="27">F113+F138+F163+F188+F213+F238+F263</f>
        <v>0</v>
      </c>
      <c r="G87" s="22">
        <f t="shared" si="27"/>
        <v>0</v>
      </c>
      <c r="H87" s="22">
        <f t="shared" si="27"/>
        <v>0</v>
      </c>
      <c r="I87" s="22">
        <f t="shared" si="27"/>
        <v>0</v>
      </c>
      <c r="J87" s="22">
        <f t="shared" si="27"/>
        <v>0</v>
      </c>
      <c r="K87" s="22">
        <f t="shared" si="27"/>
        <v>0</v>
      </c>
      <c r="L87" s="22">
        <f t="shared" si="27"/>
        <v>0</v>
      </c>
      <c r="M87" s="22">
        <f t="shared" si="27"/>
        <v>0</v>
      </c>
      <c r="N87" s="22">
        <f t="shared" si="27"/>
        <v>0</v>
      </c>
      <c r="O87" s="22">
        <f t="shared" si="27"/>
        <v>0</v>
      </c>
      <c r="P87" s="22">
        <f t="shared" si="27"/>
        <v>0</v>
      </c>
      <c r="Q87" s="22">
        <f t="shared" si="27"/>
        <v>0</v>
      </c>
      <c r="R87" s="22">
        <f t="shared" si="27"/>
        <v>0</v>
      </c>
      <c r="S87" s="22">
        <f t="shared" si="27"/>
        <v>0</v>
      </c>
      <c r="T87" s="109" t="s">
        <v>117</v>
      </c>
      <c r="U87" s="113" t="s">
        <v>117</v>
      </c>
      <c r="V87" s="113" t="s">
        <v>117</v>
      </c>
    </row>
    <row r="88" spans="4:22">
      <c r="D88" s="126"/>
      <c r="E88" s="21" t="s">
        <v>24</v>
      </c>
      <c r="F88" s="22">
        <f t="shared" ref="F88:S88" si="28">F114+F139+F164+F189+F214+F239+F264</f>
        <v>0</v>
      </c>
      <c r="G88" s="22">
        <f t="shared" si="28"/>
        <v>0</v>
      </c>
      <c r="H88" s="22">
        <f t="shared" si="28"/>
        <v>0</v>
      </c>
      <c r="I88" s="22">
        <f t="shared" si="28"/>
        <v>0</v>
      </c>
      <c r="J88" s="22">
        <f t="shared" si="28"/>
        <v>0</v>
      </c>
      <c r="K88" s="22">
        <f t="shared" si="28"/>
        <v>0</v>
      </c>
      <c r="L88" s="22">
        <f t="shared" si="28"/>
        <v>0</v>
      </c>
      <c r="M88" s="22">
        <f t="shared" si="28"/>
        <v>0</v>
      </c>
      <c r="N88" s="22">
        <f t="shared" si="28"/>
        <v>0</v>
      </c>
      <c r="O88" s="22">
        <f t="shared" si="28"/>
        <v>0</v>
      </c>
      <c r="P88" s="22">
        <f t="shared" si="28"/>
        <v>0</v>
      </c>
      <c r="Q88" s="22">
        <f t="shared" si="28"/>
        <v>0</v>
      </c>
      <c r="R88" s="22">
        <f t="shared" si="28"/>
        <v>0</v>
      </c>
      <c r="S88" s="22">
        <f t="shared" si="28"/>
        <v>0</v>
      </c>
      <c r="T88" s="109"/>
      <c r="U88" s="113"/>
      <c r="V88" s="113"/>
    </row>
    <row r="89" spans="4:22">
      <c r="D89" s="126"/>
      <c r="E89" s="21" t="s">
        <v>25</v>
      </c>
      <c r="F89" s="22">
        <f t="shared" ref="F89:S89" si="29">F115+F140+F165+F190+F215+F240+F265</f>
        <v>0</v>
      </c>
      <c r="G89" s="22">
        <f t="shared" si="29"/>
        <v>0</v>
      </c>
      <c r="H89" s="22">
        <f t="shared" si="29"/>
        <v>0</v>
      </c>
      <c r="I89" s="22">
        <f t="shared" si="29"/>
        <v>0</v>
      </c>
      <c r="J89" s="22">
        <f t="shared" si="29"/>
        <v>0</v>
      </c>
      <c r="K89" s="22">
        <f t="shared" si="29"/>
        <v>0</v>
      </c>
      <c r="L89" s="22">
        <f t="shared" si="29"/>
        <v>0</v>
      </c>
      <c r="M89" s="22">
        <f t="shared" si="29"/>
        <v>0</v>
      </c>
      <c r="N89" s="22">
        <f t="shared" si="29"/>
        <v>0</v>
      </c>
      <c r="O89" s="22">
        <f t="shared" si="29"/>
        <v>0</v>
      </c>
      <c r="P89" s="22">
        <f t="shared" si="29"/>
        <v>0</v>
      </c>
      <c r="Q89" s="22">
        <f t="shared" si="29"/>
        <v>0</v>
      </c>
      <c r="R89" s="22">
        <f t="shared" si="29"/>
        <v>0</v>
      </c>
      <c r="S89" s="22">
        <f t="shared" si="29"/>
        <v>0</v>
      </c>
      <c r="T89" s="109"/>
      <c r="U89" s="113"/>
      <c r="V89" s="113"/>
    </row>
    <row r="90" spans="4:22">
      <c r="D90" s="126">
        <v>3</v>
      </c>
      <c r="E90" s="21" t="s">
        <v>78</v>
      </c>
      <c r="F90" s="22">
        <f t="shared" ref="F90:S90" si="30">F116+F141+F166+F191+F216+F241+F266</f>
        <v>0</v>
      </c>
      <c r="G90" s="22">
        <f t="shared" si="30"/>
        <v>0</v>
      </c>
      <c r="H90" s="22">
        <f t="shared" si="30"/>
        <v>0</v>
      </c>
      <c r="I90" s="22">
        <f t="shared" si="30"/>
        <v>0</v>
      </c>
      <c r="J90" s="22">
        <f t="shared" si="30"/>
        <v>0</v>
      </c>
      <c r="K90" s="22">
        <f t="shared" si="30"/>
        <v>0</v>
      </c>
      <c r="L90" s="22">
        <f t="shared" si="30"/>
        <v>0</v>
      </c>
      <c r="M90" s="22">
        <f t="shared" si="30"/>
        <v>0</v>
      </c>
      <c r="N90" s="22">
        <f t="shared" si="30"/>
        <v>0</v>
      </c>
      <c r="O90" s="22">
        <f t="shared" si="30"/>
        <v>0</v>
      </c>
      <c r="P90" s="22">
        <f t="shared" si="30"/>
        <v>0</v>
      </c>
      <c r="Q90" s="22">
        <f t="shared" si="30"/>
        <v>0</v>
      </c>
      <c r="R90" s="22">
        <f t="shared" si="30"/>
        <v>0</v>
      </c>
      <c r="S90" s="22">
        <f t="shared" si="30"/>
        <v>0</v>
      </c>
      <c r="T90" s="109" t="s">
        <v>117</v>
      </c>
      <c r="U90" s="113" t="s">
        <v>117</v>
      </c>
      <c r="V90" s="113" t="s">
        <v>117</v>
      </c>
    </row>
    <row r="91" spans="4:22">
      <c r="D91" s="126"/>
      <c r="E91" s="21" t="s">
        <v>24</v>
      </c>
      <c r="F91" s="22">
        <f t="shared" ref="F91:S91" si="31">F117+F142+F167+F192+F217+F242+F267</f>
        <v>0</v>
      </c>
      <c r="G91" s="22">
        <f t="shared" si="31"/>
        <v>0</v>
      </c>
      <c r="H91" s="22">
        <f t="shared" si="31"/>
        <v>0</v>
      </c>
      <c r="I91" s="22">
        <f t="shared" si="31"/>
        <v>0</v>
      </c>
      <c r="J91" s="22">
        <f t="shared" si="31"/>
        <v>0</v>
      </c>
      <c r="K91" s="22">
        <f t="shared" si="31"/>
        <v>0</v>
      </c>
      <c r="L91" s="22">
        <f t="shared" si="31"/>
        <v>0</v>
      </c>
      <c r="M91" s="22">
        <f t="shared" si="31"/>
        <v>0</v>
      </c>
      <c r="N91" s="22">
        <f t="shared" si="31"/>
        <v>0</v>
      </c>
      <c r="O91" s="22">
        <f t="shared" si="31"/>
        <v>0</v>
      </c>
      <c r="P91" s="22">
        <f t="shared" si="31"/>
        <v>0</v>
      </c>
      <c r="Q91" s="22">
        <f t="shared" si="31"/>
        <v>0</v>
      </c>
      <c r="R91" s="22">
        <f t="shared" si="31"/>
        <v>0</v>
      </c>
      <c r="S91" s="22">
        <f t="shared" si="31"/>
        <v>0</v>
      </c>
      <c r="T91" s="109"/>
      <c r="U91" s="113"/>
      <c r="V91" s="113"/>
    </row>
    <row r="92" spans="4:22">
      <c r="D92" s="126"/>
      <c r="E92" s="21" t="s">
        <v>25</v>
      </c>
      <c r="F92" s="22">
        <f t="shared" ref="F92:S92" si="32">F118+F143+F168+F193+F218+F243+F268</f>
        <v>0</v>
      </c>
      <c r="G92" s="22">
        <f t="shared" si="32"/>
        <v>0</v>
      </c>
      <c r="H92" s="22">
        <f t="shared" si="32"/>
        <v>0</v>
      </c>
      <c r="I92" s="22">
        <f t="shared" si="32"/>
        <v>0</v>
      </c>
      <c r="J92" s="22">
        <f t="shared" si="32"/>
        <v>0</v>
      </c>
      <c r="K92" s="22">
        <f t="shared" si="32"/>
        <v>0</v>
      </c>
      <c r="L92" s="22">
        <f t="shared" si="32"/>
        <v>0</v>
      </c>
      <c r="M92" s="22">
        <f t="shared" si="32"/>
        <v>0</v>
      </c>
      <c r="N92" s="22">
        <f t="shared" si="32"/>
        <v>0</v>
      </c>
      <c r="O92" s="22">
        <f t="shared" si="32"/>
        <v>0</v>
      </c>
      <c r="P92" s="22">
        <f t="shared" si="32"/>
        <v>0</v>
      </c>
      <c r="Q92" s="22">
        <f t="shared" si="32"/>
        <v>0</v>
      </c>
      <c r="R92" s="22">
        <f t="shared" si="32"/>
        <v>0</v>
      </c>
      <c r="S92" s="22">
        <f t="shared" si="32"/>
        <v>0</v>
      </c>
      <c r="T92" s="109"/>
      <c r="U92" s="113"/>
      <c r="V92" s="113"/>
    </row>
    <row r="93" spans="4:22">
      <c r="D93" s="126">
        <v>4</v>
      </c>
      <c r="E93" s="21" t="s">
        <v>78</v>
      </c>
      <c r="F93" s="22">
        <f t="shared" ref="F93:S93" si="33">F119+F144+F169+F194+F219+F244+F269</f>
        <v>0</v>
      </c>
      <c r="G93" s="22">
        <f t="shared" si="33"/>
        <v>0</v>
      </c>
      <c r="H93" s="22">
        <f t="shared" si="33"/>
        <v>0</v>
      </c>
      <c r="I93" s="22">
        <f t="shared" si="33"/>
        <v>0</v>
      </c>
      <c r="J93" s="22">
        <f t="shared" si="33"/>
        <v>0</v>
      </c>
      <c r="K93" s="22">
        <f t="shared" si="33"/>
        <v>0</v>
      </c>
      <c r="L93" s="22">
        <f t="shared" si="33"/>
        <v>0</v>
      </c>
      <c r="M93" s="22">
        <f t="shared" si="33"/>
        <v>0</v>
      </c>
      <c r="N93" s="22">
        <f t="shared" si="33"/>
        <v>0</v>
      </c>
      <c r="O93" s="22">
        <f t="shared" si="33"/>
        <v>0</v>
      </c>
      <c r="P93" s="22">
        <f t="shared" si="33"/>
        <v>0</v>
      </c>
      <c r="Q93" s="22">
        <f t="shared" si="33"/>
        <v>0</v>
      </c>
      <c r="R93" s="22">
        <f t="shared" si="33"/>
        <v>0</v>
      </c>
      <c r="S93" s="22">
        <f t="shared" si="33"/>
        <v>0</v>
      </c>
      <c r="T93" s="109" t="s">
        <v>117</v>
      </c>
      <c r="U93" s="113" t="s">
        <v>117</v>
      </c>
      <c r="V93" s="113" t="s">
        <v>117</v>
      </c>
    </row>
    <row r="94" spans="4:22">
      <c r="D94" s="126"/>
      <c r="E94" s="21" t="s">
        <v>24</v>
      </c>
      <c r="F94" s="22">
        <f t="shared" ref="F94:S94" si="34">F120+F145+F170+F195+F220+F245+F270</f>
        <v>0</v>
      </c>
      <c r="G94" s="22">
        <f t="shared" si="34"/>
        <v>0</v>
      </c>
      <c r="H94" s="22">
        <f t="shared" si="34"/>
        <v>0</v>
      </c>
      <c r="I94" s="22">
        <f t="shared" si="34"/>
        <v>0</v>
      </c>
      <c r="J94" s="22">
        <f t="shared" si="34"/>
        <v>0</v>
      </c>
      <c r="K94" s="22">
        <f t="shared" si="34"/>
        <v>0</v>
      </c>
      <c r="L94" s="22">
        <f t="shared" si="34"/>
        <v>0</v>
      </c>
      <c r="M94" s="22">
        <f t="shared" si="34"/>
        <v>0</v>
      </c>
      <c r="N94" s="22">
        <f t="shared" si="34"/>
        <v>0</v>
      </c>
      <c r="O94" s="22">
        <f t="shared" si="34"/>
        <v>0</v>
      </c>
      <c r="P94" s="22">
        <f t="shared" si="34"/>
        <v>0</v>
      </c>
      <c r="Q94" s="22">
        <f t="shared" si="34"/>
        <v>0</v>
      </c>
      <c r="R94" s="22">
        <f t="shared" si="34"/>
        <v>0</v>
      </c>
      <c r="S94" s="22">
        <f t="shared" si="34"/>
        <v>0</v>
      </c>
      <c r="T94" s="109"/>
      <c r="U94" s="113"/>
      <c r="V94" s="113"/>
    </row>
    <row r="95" spans="4:22">
      <c r="D95" s="126"/>
      <c r="E95" s="21" t="s">
        <v>25</v>
      </c>
      <c r="F95" s="22">
        <f t="shared" ref="F95:S95" si="35">F121+F146+F171+F196+F221+F246+F271</f>
        <v>0</v>
      </c>
      <c r="G95" s="22">
        <f t="shared" si="35"/>
        <v>0</v>
      </c>
      <c r="H95" s="22">
        <f t="shared" si="35"/>
        <v>0</v>
      </c>
      <c r="I95" s="22">
        <f t="shared" si="35"/>
        <v>0</v>
      </c>
      <c r="J95" s="22">
        <f t="shared" si="35"/>
        <v>0</v>
      </c>
      <c r="K95" s="22">
        <f t="shared" si="35"/>
        <v>0</v>
      </c>
      <c r="L95" s="22">
        <f t="shared" si="35"/>
        <v>0</v>
      </c>
      <c r="M95" s="22">
        <f t="shared" si="35"/>
        <v>0</v>
      </c>
      <c r="N95" s="22">
        <f t="shared" si="35"/>
        <v>0</v>
      </c>
      <c r="O95" s="22">
        <f t="shared" si="35"/>
        <v>0</v>
      </c>
      <c r="P95" s="22">
        <f t="shared" si="35"/>
        <v>0</v>
      </c>
      <c r="Q95" s="22">
        <f t="shared" si="35"/>
        <v>0</v>
      </c>
      <c r="R95" s="22">
        <f t="shared" si="35"/>
        <v>0</v>
      </c>
      <c r="S95" s="22">
        <f t="shared" si="35"/>
        <v>0</v>
      </c>
      <c r="T95" s="109"/>
      <c r="U95" s="113"/>
      <c r="V95" s="113"/>
    </row>
    <row r="96" spans="4:22">
      <c r="D96" s="126">
        <v>5</v>
      </c>
      <c r="E96" s="21" t="s">
        <v>78</v>
      </c>
      <c r="F96" s="22">
        <f t="shared" ref="F96:S96" si="36">F122+F147+F172+F197+F222+F247+F272</f>
        <v>0</v>
      </c>
      <c r="G96" s="22">
        <f t="shared" si="36"/>
        <v>0</v>
      </c>
      <c r="H96" s="22">
        <f t="shared" si="36"/>
        <v>0</v>
      </c>
      <c r="I96" s="22">
        <f t="shared" si="36"/>
        <v>0</v>
      </c>
      <c r="J96" s="22">
        <f t="shared" si="36"/>
        <v>0</v>
      </c>
      <c r="K96" s="22">
        <f t="shared" si="36"/>
        <v>0</v>
      </c>
      <c r="L96" s="22">
        <f t="shared" si="36"/>
        <v>0</v>
      </c>
      <c r="M96" s="22">
        <f t="shared" si="36"/>
        <v>0</v>
      </c>
      <c r="N96" s="22">
        <f t="shared" si="36"/>
        <v>0</v>
      </c>
      <c r="O96" s="22">
        <f t="shared" si="36"/>
        <v>0</v>
      </c>
      <c r="P96" s="22">
        <f t="shared" si="36"/>
        <v>0</v>
      </c>
      <c r="Q96" s="22">
        <f t="shared" si="36"/>
        <v>0</v>
      </c>
      <c r="R96" s="22">
        <f t="shared" si="36"/>
        <v>0</v>
      </c>
      <c r="S96" s="22">
        <f t="shared" si="36"/>
        <v>0</v>
      </c>
      <c r="T96" s="109" t="s">
        <v>117</v>
      </c>
      <c r="U96" s="113" t="s">
        <v>117</v>
      </c>
      <c r="V96" s="113" t="s">
        <v>117</v>
      </c>
    </row>
    <row r="97" spans="3:24">
      <c r="D97" s="126"/>
      <c r="E97" s="21" t="s">
        <v>24</v>
      </c>
      <c r="F97" s="22">
        <f t="shared" ref="F97:S97" si="37">F123+F148+F173+F198+F223+F248+F273</f>
        <v>0</v>
      </c>
      <c r="G97" s="22">
        <f t="shared" si="37"/>
        <v>0</v>
      </c>
      <c r="H97" s="22">
        <f t="shared" si="37"/>
        <v>0</v>
      </c>
      <c r="I97" s="22">
        <f t="shared" si="37"/>
        <v>0</v>
      </c>
      <c r="J97" s="22">
        <f t="shared" si="37"/>
        <v>0</v>
      </c>
      <c r="K97" s="22">
        <f t="shared" si="37"/>
        <v>0</v>
      </c>
      <c r="L97" s="22">
        <f t="shared" si="37"/>
        <v>0</v>
      </c>
      <c r="M97" s="22">
        <f t="shared" si="37"/>
        <v>0</v>
      </c>
      <c r="N97" s="22">
        <f t="shared" si="37"/>
        <v>0</v>
      </c>
      <c r="O97" s="22">
        <f t="shared" si="37"/>
        <v>0</v>
      </c>
      <c r="P97" s="22">
        <f t="shared" si="37"/>
        <v>0</v>
      </c>
      <c r="Q97" s="22">
        <f t="shared" si="37"/>
        <v>0</v>
      </c>
      <c r="R97" s="22">
        <f t="shared" si="37"/>
        <v>0</v>
      </c>
      <c r="S97" s="22">
        <f t="shared" si="37"/>
        <v>0</v>
      </c>
      <c r="T97" s="109"/>
      <c r="U97" s="113"/>
      <c r="V97" s="113"/>
    </row>
    <row r="98" spans="3:24">
      <c r="D98" s="126"/>
      <c r="E98" s="21" t="s">
        <v>25</v>
      </c>
      <c r="F98" s="22">
        <f t="shared" ref="F98:S98" si="38">F124+F149+F174+F199+F224+F249+F274</f>
        <v>0</v>
      </c>
      <c r="G98" s="22">
        <f t="shared" si="38"/>
        <v>0</v>
      </c>
      <c r="H98" s="22">
        <f t="shared" si="38"/>
        <v>0</v>
      </c>
      <c r="I98" s="22">
        <f t="shared" si="38"/>
        <v>0</v>
      </c>
      <c r="J98" s="22">
        <f t="shared" si="38"/>
        <v>0</v>
      </c>
      <c r="K98" s="22">
        <f t="shared" si="38"/>
        <v>0</v>
      </c>
      <c r="L98" s="22">
        <f t="shared" si="38"/>
        <v>0</v>
      </c>
      <c r="M98" s="22">
        <f t="shared" si="38"/>
        <v>0</v>
      </c>
      <c r="N98" s="22">
        <f t="shared" si="38"/>
        <v>0</v>
      </c>
      <c r="O98" s="22">
        <f t="shared" si="38"/>
        <v>0</v>
      </c>
      <c r="P98" s="22">
        <f t="shared" si="38"/>
        <v>0</v>
      </c>
      <c r="Q98" s="22">
        <f t="shared" si="38"/>
        <v>0</v>
      </c>
      <c r="R98" s="22">
        <f t="shared" si="38"/>
        <v>0</v>
      </c>
      <c r="S98" s="22">
        <f t="shared" si="38"/>
        <v>0</v>
      </c>
      <c r="T98" s="109"/>
      <c r="U98" s="113"/>
      <c r="V98" s="113"/>
    </row>
    <row r="99" spans="3:24">
      <c r="D99" s="126" t="s">
        <v>43</v>
      </c>
      <c r="E99" s="21" t="s">
        <v>78</v>
      </c>
      <c r="F99" s="22">
        <f t="shared" ref="F99:S99" si="39">F125+F150+F175+F200+F225+F250+F275</f>
        <v>0</v>
      </c>
      <c r="G99" s="22">
        <f t="shared" si="39"/>
        <v>0</v>
      </c>
      <c r="H99" s="22">
        <f t="shared" si="39"/>
        <v>0</v>
      </c>
      <c r="I99" s="22">
        <f t="shared" si="39"/>
        <v>0</v>
      </c>
      <c r="J99" s="22">
        <f t="shared" si="39"/>
        <v>0</v>
      </c>
      <c r="K99" s="22">
        <f t="shared" si="39"/>
        <v>0</v>
      </c>
      <c r="L99" s="22">
        <f t="shared" si="39"/>
        <v>0</v>
      </c>
      <c r="M99" s="22">
        <f t="shared" si="39"/>
        <v>0</v>
      </c>
      <c r="N99" s="22">
        <f t="shared" si="39"/>
        <v>0</v>
      </c>
      <c r="O99" s="22">
        <f t="shared" si="39"/>
        <v>0</v>
      </c>
      <c r="P99" s="22">
        <f t="shared" si="39"/>
        <v>0</v>
      </c>
      <c r="Q99" s="22">
        <f t="shared" si="39"/>
        <v>0</v>
      </c>
      <c r="R99" s="22">
        <f t="shared" si="39"/>
        <v>0</v>
      </c>
      <c r="S99" s="22">
        <f t="shared" si="39"/>
        <v>0</v>
      </c>
      <c r="T99" s="109" t="s">
        <v>117</v>
      </c>
      <c r="U99" s="113" t="s">
        <v>117</v>
      </c>
      <c r="V99" s="113" t="s">
        <v>117</v>
      </c>
    </row>
    <row r="100" spans="3:24">
      <c r="D100" s="126"/>
      <c r="E100" s="21" t="s">
        <v>24</v>
      </c>
      <c r="F100" s="22">
        <f t="shared" ref="F100:S100" si="40">F126+F151+F176+F201+F226+F251+F276</f>
        <v>0</v>
      </c>
      <c r="G100" s="22">
        <f t="shared" si="40"/>
        <v>0</v>
      </c>
      <c r="H100" s="22">
        <f t="shared" si="40"/>
        <v>0</v>
      </c>
      <c r="I100" s="22">
        <f t="shared" si="40"/>
        <v>0</v>
      </c>
      <c r="J100" s="22">
        <f t="shared" si="40"/>
        <v>0</v>
      </c>
      <c r="K100" s="22">
        <f t="shared" si="40"/>
        <v>0</v>
      </c>
      <c r="L100" s="22">
        <f t="shared" si="40"/>
        <v>0</v>
      </c>
      <c r="M100" s="22">
        <f t="shared" si="40"/>
        <v>0</v>
      </c>
      <c r="N100" s="22">
        <f t="shared" si="40"/>
        <v>0</v>
      </c>
      <c r="O100" s="22">
        <f t="shared" si="40"/>
        <v>0</v>
      </c>
      <c r="P100" s="22">
        <f t="shared" si="40"/>
        <v>0</v>
      </c>
      <c r="Q100" s="22">
        <f t="shared" si="40"/>
        <v>0</v>
      </c>
      <c r="R100" s="22">
        <f t="shared" si="40"/>
        <v>0</v>
      </c>
      <c r="S100" s="22">
        <f t="shared" si="40"/>
        <v>0</v>
      </c>
      <c r="T100" s="109"/>
      <c r="U100" s="113"/>
      <c r="V100" s="113"/>
    </row>
    <row r="101" spans="3:24">
      <c r="D101" s="126"/>
      <c r="E101" s="21" t="s">
        <v>69</v>
      </c>
      <c r="F101" s="22">
        <f t="shared" ref="F101:S101" si="41">F127+F152+F177+F202+F227+F252+F277</f>
        <v>0</v>
      </c>
      <c r="G101" s="22">
        <f t="shared" si="41"/>
        <v>0</v>
      </c>
      <c r="H101" s="22">
        <f t="shared" si="41"/>
        <v>0</v>
      </c>
      <c r="I101" s="22">
        <f t="shared" si="41"/>
        <v>0</v>
      </c>
      <c r="J101" s="22">
        <f t="shared" si="41"/>
        <v>0</v>
      </c>
      <c r="K101" s="22">
        <f t="shared" si="41"/>
        <v>0</v>
      </c>
      <c r="L101" s="22">
        <f t="shared" si="41"/>
        <v>0</v>
      </c>
      <c r="M101" s="22">
        <f t="shared" si="41"/>
        <v>0</v>
      </c>
      <c r="N101" s="22">
        <f t="shared" si="41"/>
        <v>0</v>
      </c>
      <c r="O101" s="22">
        <f t="shared" si="41"/>
        <v>0</v>
      </c>
      <c r="P101" s="22">
        <f t="shared" si="41"/>
        <v>0</v>
      </c>
      <c r="Q101" s="22">
        <f t="shared" si="41"/>
        <v>0</v>
      </c>
      <c r="R101" s="22">
        <f t="shared" si="41"/>
        <v>0</v>
      </c>
      <c r="S101" s="22">
        <f t="shared" si="41"/>
        <v>0</v>
      </c>
      <c r="T101" s="109"/>
      <c r="U101" s="113"/>
      <c r="V101" s="113"/>
    </row>
    <row r="103" spans="3:24">
      <c r="C103" s="119" t="s">
        <v>137</v>
      </c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</row>
    <row r="104" spans="3:24">
      <c r="D104" s="119" t="s">
        <v>158</v>
      </c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</row>
    <row r="105" spans="3:24">
      <c r="U105" s="108" t="s">
        <v>143</v>
      </c>
      <c r="V105" s="108"/>
    </row>
    <row r="106" spans="3:24">
      <c r="D106" s="107" t="s">
        <v>68</v>
      </c>
      <c r="E106" s="107"/>
      <c r="F106" s="107" t="s">
        <v>129</v>
      </c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9" t="s">
        <v>117</v>
      </c>
      <c r="U106" s="107" t="s">
        <v>107</v>
      </c>
      <c r="V106" s="107" t="s">
        <v>19</v>
      </c>
    </row>
    <row r="107" spans="3:24">
      <c r="D107" s="107"/>
      <c r="E107" s="107"/>
      <c r="F107" s="107" t="s">
        <v>46</v>
      </c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 t="s">
        <v>134</v>
      </c>
      <c r="S107" s="107" t="s">
        <v>69</v>
      </c>
      <c r="T107" s="109"/>
      <c r="U107" s="107"/>
      <c r="V107" s="107"/>
    </row>
    <row r="108" spans="3:24">
      <c r="D108" s="107"/>
      <c r="E108" s="107"/>
      <c r="F108" s="107" t="s">
        <v>121</v>
      </c>
      <c r="G108" s="107" t="s">
        <v>52</v>
      </c>
      <c r="H108" s="107"/>
      <c r="I108" s="107" t="s">
        <v>76</v>
      </c>
      <c r="J108" s="107"/>
      <c r="K108" s="107" t="s">
        <v>149</v>
      </c>
      <c r="L108" s="107" t="s">
        <v>105</v>
      </c>
      <c r="M108" s="107" t="s">
        <v>88</v>
      </c>
      <c r="N108" s="107" t="s">
        <v>35</v>
      </c>
      <c r="O108" s="107" t="s">
        <v>33</v>
      </c>
      <c r="P108" s="107" t="s">
        <v>30</v>
      </c>
      <c r="Q108" s="107" t="s">
        <v>25</v>
      </c>
      <c r="R108" s="107"/>
      <c r="S108" s="107"/>
      <c r="T108" s="109"/>
      <c r="U108" s="107"/>
      <c r="V108" s="107"/>
    </row>
    <row r="109" spans="3:24">
      <c r="D109" s="107"/>
      <c r="E109" s="107"/>
      <c r="F109" s="107"/>
      <c r="G109" s="20" t="s">
        <v>83</v>
      </c>
      <c r="H109" s="20" t="s">
        <v>102</v>
      </c>
      <c r="I109" s="20" t="s">
        <v>83</v>
      </c>
      <c r="J109" s="20" t="s">
        <v>102</v>
      </c>
      <c r="K109" s="107"/>
      <c r="L109" s="107"/>
      <c r="M109" s="107"/>
      <c r="N109" s="107"/>
      <c r="O109" s="107"/>
      <c r="P109" s="107"/>
      <c r="Q109" s="107"/>
      <c r="R109" s="107"/>
      <c r="S109" s="107"/>
      <c r="T109" s="109"/>
      <c r="U109" s="107"/>
      <c r="V109" s="107"/>
    </row>
    <row r="110" spans="3:24">
      <c r="D110" s="126">
        <v>1</v>
      </c>
      <c r="E110" s="21" t="s">
        <v>78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2">
        <f>SUM(F110:P110)</f>
        <v>0</v>
      </c>
      <c r="R110" s="24"/>
      <c r="S110" s="22">
        <f>Q110+R110</f>
        <v>0</v>
      </c>
      <c r="T110" s="109" t="s">
        <v>117</v>
      </c>
      <c r="U110" s="113" t="s">
        <v>117</v>
      </c>
      <c r="V110" s="113" t="s">
        <v>117</v>
      </c>
      <c r="X110" s="19">
        <f>Q110*0.2313</f>
        <v>0</v>
      </c>
    </row>
    <row r="111" spans="3:24">
      <c r="D111" s="126"/>
      <c r="E111" s="21" t="s">
        <v>24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2">
        <f>SUM(F111:P111)</f>
        <v>0</v>
      </c>
      <c r="R111" s="24"/>
      <c r="S111" s="22">
        <f>Q111+R111</f>
        <v>0</v>
      </c>
      <c r="T111" s="109"/>
      <c r="U111" s="113"/>
      <c r="V111" s="113"/>
      <c r="X111" s="19"/>
    </row>
    <row r="112" spans="3:24">
      <c r="D112" s="126"/>
      <c r="E112" s="21" t="s">
        <v>25</v>
      </c>
      <c r="F112" s="22">
        <f t="shared" ref="F112:P112" si="42">SUM(F110:F111)</f>
        <v>0</v>
      </c>
      <c r="G112" s="22">
        <f t="shared" si="42"/>
        <v>0</v>
      </c>
      <c r="H112" s="22">
        <f t="shared" si="42"/>
        <v>0</v>
      </c>
      <c r="I112" s="22">
        <f t="shared" si="42"/>
        <v>0</v>
      </c>
      <c r="J112" s="22">
        <f t="shared" si="42"/>
        <v>0</v>
      </c>
      <c r="K112" s="22">
        <f t="shared" si="42"/>
        <v>0</v>
      </c>
      <c r="L112" s="22">
        <f t="shared" si="42"/>
        <v>0</v>
      </c>
      <c r="M112" s="22">
        <f t="shared" si="42"/>
        <v>0</v>
      </c>
      <c r="N112" s="22">
        <f t="shared" si="42"/>
        <v>0</v>
      </c>
      <c r="O112" s="22">
        <f t="shared" si="42"/>
        <v>0</v>
      </c>
      <c r="P112" s="22">
        <f t="shared" si="42"/>
        <v>0</v>
      </c>
      <c r="Q112" s="22">
        <f>SUM(Q110:Q111)</f>
        <v>0</v>
      </c>
      <c r="R112" s="22">
        <f t="shared" ref="R112" si="43">SUM(R110:R111)</f>
        <v>0</v>
      </c>
      <c r="S112" s="22">
        <f>SUM(S110:S111)</f>
        <v>0</v>
      </c>
      <c r="T112" s="109"/>
      <c r="U112" s="113"/>
      <c r="V112" s="113"/>
      <c r="X112" s="19"/>
    </row>
    <row r="113" spans="4:25">
      <c r="D113" s="126">
        <v>2</v>
      </c>
      <c r="E113" s="21" t="s">
        <v>78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2">
        <f>SUM(F113:P113)</f>
        <v>0</v>
      </c>
      <c r="R113" s="24"/>
      <c r="S113" s="22">
        <f t="shared" ref="S113:S114" si="44">Q113+R113</f>
        <v>0</v>
      </c>
      <c r="T113" s="109" t="s">
        <v>117</v>
      </c>
      <c r="U113" s="113" t="s">
        <v>117</v>
      </c>
      <c r="V113" s="113" t="s">
        <v>117</v>
      </c>
      <c r="X113" s="19">
        <f>Q113*0.2313</f>
        <v>0</v>
      </c>
    </row>
    <row r="114" spans="4:25">
      <c r="D114" s="126"/>
      <c r="E114" s="21" t="s">
        <v>24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2">
        <f>SUM(F114:P114)</f>
        <v>0</v>
      </c>
      <c r="R114" s="24"/>
      <c r="S114" s="22">
        <f t="shared" si="44"/>
        <v>0</v>
      </c>
      <c r="T114" s="109"/>
      <c r="U114" s="113"/>
      <c r="V114" s="113"/>
      <c r="X114" s="19"/>
    </row>
    <row r="115" spans="4:25">
      <c r="D115" s="126"/>
      <c r="E115" s="21" t="s">
        <v>25</v>
      </c>
      <c r="F115" s="22">
        <f>SUM(F113:F114)</f>
        <v>0</v>
      </c>
      <c r="G115" s="22">
        <f t="shared" ref="G115:R115" si="45">SUM(G113:G114)</f>
        <v>0</v>
      </c>
      <c r="H115" s="22">
        <f t="shared" si="45"/>
        <v>0</v>
      </c>
      <c r="I115" s="22">
        <f t="shared" si="45"/>
        <v>0</v>
      </c>
      <c r="J115" s="22">
        <f t="shared" si="45"/>
        <v>0</v>
      </c>
      <c r="K115" s="22">
        <f t="shared" si="45"/>
        <v>0</v>
      </c>
      <c r="L115" s="22">
        <f t="shared" si="45"/>
        <v>0</v>
      </c>
      <c r="M115" s="22">
        <f t="shared" si="45"/>
        <v>0</v>
      </c>
      <c r="N115" s="22">
        <f t="shared" si="45"/>
        <v>0</v>
      </c>
      <c r="O115" s="22">
        <f t="shared" si="45"/>
        <v>0</v>
      </c>
      <c r="P115" s="22">
        <f t="shared" si="45"/>
        <v>0</v>
      </c>
      <c r="Q115" s="22">
        <f t="shared" si="45"/>
        <v>0</v>
      </c>
      <c r="R115" s="22">
        <f t="shared" si="45"/>
        <v>0</v>
      </c>
      <c r="S115" s="22">
        <f>SUM(S113:S114)</f>
        <v>0</v>
      </c>
      <c r="T115" s="109"/>
      <c r="U115" s="113"/>
      <c r="V115" s="113"/>
      <c r="X115" s="19"/>
    </row>
    <row r="116" spans="4:25">
      <c r="D116" s="126">
        <v>3</v>
      </c>
      <c r="E116" s="21" t="s">
        <v>78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2">
        <f>SUM(F116:P116)</f>
        <v>0</v>
      </c>
      <c r="R116" s="24"/>
      <c r="S116" s="22">
        <f t="shared" ref="S116:S117" si="46">Q116+R116</f>
        <v>0</v>
      </c>
      <c r="T116" s="109" t="s">
        <v>117</v>
      </c>
      <c r="U116" s="113" t="s">
        <v>117</v>
      </c>
      <c r="V116" s="113" t="s">
        <v>117</v>
      </c>
      <c r="X116" s="19">
        <f>Q116*0.2313</f>
        <v>0</v>
      </c>
    </row>
    <row r="117" spans="4:25">
      <c r="D117" s="126"/>
      <c r="E117" s="21" t="s">
        <v>24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2">
        <f>SUM(F117:P117)</f>
        <v>0</v>
      </c>
      <c r="R117" s="24"/>
      <c r="S117" s="22">
        <f t="shared" si="46"/>
        <v>0</v>
      </c>
      <c r="T117" s="109"/>
      <c r="U117" s="113"/>
      <c r="V117" s="113"/>
      <c r="X117" s="19"/>
    </row>
    <row r="118" spans="4:25">
      <c r="D118" s="126"/>
      <c r="E118" s="21" t="s">
        <v>25</v>
      </c>
      <c r="F118" s="22">
        <f>SUM(F116:F117)</f>
        <v>0</v>
      </c>
      <c r="G118" s="22">
        <f t="shared" ref="G118:R118" si="47">SUM(G116:G117)</f>
        <v>0</v>
      </c>
      <c r="H118" s="22">
        <f t="shared" si="47"/>
        <v>0</v>
      </c>
      <c r="I118" s="22">
        <f t="shared" si="47"/>
        <v>0</v>
      </c>
      <c r="J118" s="22">
        <f t="shared" si="47"/>
        <v>0</v>
      </c>
      <c r="K118" s="22">
        <f t="shared" si="47"/>
        <v>0</v>
      </c>
      <c r="L118" s="22">
        <f t="shared" si="47"/>
        <v>0</v>
      </c>
      <c r="M118" s="22">
        <f t="shared" si="47"/>
        <v>0</v>
      </c>
      <c r="N118" s="22">
        <f t="shared" si="47"/>
        <v>0</v>
      </c>
      <c r="O118" s="22">
        <f t="shared" si="47"/>
        <v>0</v>
      </c>
      <c r="P118" s="22">
        <f t="shared" si="47"/>
        <v>0</v>
      </c>
      <c r="Q118" s="22">
        <f t="shared" si="47"/>
        <v>0</v>
      </c>
      <c r="R118" s="22">
        <f t="shared" si="47"/>
        <v>0</v>
      </c>
      <c r="S118" s="22">
        <f>SUM(S116:S117)</f>
        <v>0</v>
      </c>
      <c r="T118" s="109"/>
      <c r="U118" s="113"/>
      <c r="V118" s="113"/>
      <c r="X118" s="19"/>
    </row>
    <row r="119" spans="4:25">
      <c r="D119" s="126">
        <v>4</v>
      </c>
      <c r="E119" s="21" t="s">
        <v>78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2">
        <f>SUM(F119:P119)</f>
        <v>0</v>
      </c>
      <c r="R119" s="24"/>
      <c r="S119" s="22">
        <f t="shared" ref="S119:S120" si="48">Q119+R119</f>
        <v>0</v>
      </c>
      <c r="T119" s="109" t="s">
        <v>117</v>
      </c>
      <c r="U119" s="113" t="s">
        <v>117</v>
      </c>
      <c r="V119" s="113" t="s">
        <v>117</v>
      </c>
      <c r="X119" s="19">
        <f>Q119*0.2313</f>
        <v>0</v>
      </c>
      <c r="Y119" s="69"/>
    </row>
    <row r="120" spans="4:25">
      <c r="D120" s="126"/>
      <c r="E120" s="21" t="s">
        <v>24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2">
        <f>SUM(F120:P120)</f>
        <v>0</v>
      </c>
      <c r="R120" s="24"/>
      <c r="S120" s="22">
        <f t="shared" si="48"/>
        <v>0</v>
      </c>
      <c r="T120" s="109"/>
      <c r="U120" s="113"/>
      <c r="V120" s="113"/>
      <c r="X120" s="19"/>
    </row>
    <row r="121" spans="4:25">
      <c r="D121" s="126"/>
      <c r="E121" s="21" t="s">
        <v>25</v>
      </c>
      <c r="F121" s="22">
        <f>SUM(F119:F120)</f>
        <v>0</v>
      </c>
      <c r="G121" s="22">
        <f t="shared" ref="G121:R121" si="49">SUM(G119:G120)</f>
        <v>0</v>
      </c>
      <c r="H121" s="22">
        <f t="shared" si="49"/>
        <v>0</v>
      </c>
      <c r="I121" s="22">
        <f t="shared" si="49"/>
        <v>0</v>
      </c>
      <c r="J121" s="22">
        <f t="shared" si="49"/>
        <v>0</v>
      </c>
      <c r="K121" s="22">
        <f t="shared" si="49"/>
        <v>0</v>
      </c>
      <c r="L121" s="22">
        <f t="shared" si="49"/>
        <v>0</v>
      </c>
      <c r="M121" s="22">
        <f t="shared" si="49"/>
        <v>0</v>
      </c>
      <c r="N121" s="22">
        <f t="shared" si="49"/>
        <v>0</v>
      </c>
      <c r="O121" s="22">
        <f t="shared" si="49"/>
        <v>0</v>
      </c>
      <c r="P121" s="22">
        <f t="shared" si="49"/>
        <v>0</v>
      </c>
      <c r="Q121" s="22">
        <f t="shared" si="49"/>
        <v>0</v>
      </c>
      <c r="R121" s="22">
        <f t="shared" si="49"/>
        <v>0</v>
      </c>
      <c r="S121" s="22">
        <f>SUM(S119:S120)</f>
        <v>0</v>
      </c>
      <c r="T121" s="109"/>
      <c r="U121" s="113"/>
      <c r="V121" s="113"/>
      <c r="X121" s="19"/>
    </row>
    <row r="122" spans="4:25">
      <c r="D122" s="126">
        <v>5</v>
      </c>
      <c r="E122" s="21" t="s">
        <v>78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2">
        <f>SUM(F122:P122)</f>
        <v>0</v>
      </c>
      <c r="R122" s="24"/>
      <c r="S122" s="22">
        <f t="shared" ref="S122:S123" si="50">Q122+R122</f>
        <v>0</v>
      </c>
      <c r="T122" s="109" t="s">
        <v>117</v>
      </c>
      <c r="U122" s="113" t="s">
        <v>117</v>
      </c>
      <c r="V122" s="113" t="s">
        <v>117</v>
      </c>
      <c r="X122" s="19">
        <f>Q122*0.2313</f>
        <v>0</v>
      </c>
    </row>
    <row r="123" spans="4:25">
      <c r="D123" s="126"/>
      <c r="E123" s="21" t="s">
        <v>24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2">
        <f>SUM(F123:P123)</f>
        <v>0</v>
      </c>
      <c r="R123" s="24"/>
      <c r="S123" s="22">
        <f t="shared" si="50"/>
        <v>0</v>
      </c>
      <c r="T123" s="109"/>
      <c r="U123" s="113"/>
      <c r="V123" s="113"/>
      <c r="X123" s="19"/>
    </row>
    <row r="124" spans="4:25">
      <c r="D124" s="126"/>
      <c r="E124" s="21" t="s">
        <v>25</v>
      </c>
      <c r="F124" s="22">
        <f>SUM(F122:F123)</f>
        <v>0</v>
      </c>
      <c r="G124" s="22">
        <f t="shared" ref="G124:Q124" si="51">SUM(G122:G123)</f>
        <v>0</v>
      </c>
      <c r="H124" s="22">
        <f t="shared" si="51"/>
        <v>0</v>
      </c>
      <c r="I124" s="22">
        <f t="shared" si="51"/>
        <v>0</v>
      </c>
      <c r="J124" s="22">
        <f t="shared" si="51"/>
        <v>0</v>
      </c>
      <c r="K124" s="22">
        <f t="shared" si="51"/>
        <v>0</v>
      </c>
      <c r="L124" s="22">
        <f t="shared" si="51"/>
        <v>0</v>
      </c>
      <c r="M124" s="22">
        <f t="shared" si="51"/>
        <v>0</v>
      </c>
      <c r="N124" s="22">
        <f t="shared" si="51"/>
        <v>0</v>
      </c>
      <c r="O124" s="22">
        <f t="shared" si="51"/>
        <v>0</v>
      </c>
      <c r="P124" s="22">
        <f t="shared" si="51"/>
        <v>0</v>
      </c>
      <c r="Q124" s="22">
        <f t="shared" si="51"/>
        <v>0</v>
      </c>
      <c r="R124" s="22">
        <f>SUM(R122:R123)</f>
        <v>0</v>
      </c>
      <c r="S124" s="22">
        <f>SUM(S122:S123)</f>
        <v>0</v>
      </c>
      <c r="T124" s="109"/>
      <c r="U124" s="113"/>
      <c r="V124" s="113"/>
      <c r="X124" s="19"/>
    </row>
    <row r="125" spans="4:25">
      <c r="D125" s="126" t="s">
        <v>43</v>
      </c>
      <c r="E125" s="21" t="s">
        <v>78</v>
      </c>
      <c r="F125" s="22">
        <f>F110+F113+F116+F119+F122</f>
        <v>0</v>
      </c>
      <c r="G125" s="22">
        <f t="shared" ref="G125:S125" si="52">G110+G113+G116+G119+G122</f>
        <v>0</v>
      </c>
      <c r="H125" s="22">
        <f t="shared" si="52"/>
        <v>0</v>
      </c>
      <c r="I125" s="22">
        <f t="shared" si="52"/>
        <v>0</v>
      </c>
      <c r="J125" s="22">
        <f t="shared" si="52"/>
        <v>0</v>
      </c>
      <c r="K125" s="22">
        <f t="shared" si="52"/>
        <v>0</v>
      </c>
      <c r="L125" s="22">
        <f t="shared" si="52"/>
        <v>0</v>
      </c>
      <c r="M125" s="22">
        <f t="shared" si="52"/>
        <v>0</v>
      </c>
      <c r="N125" s="22">
        <f t="shared" si="52"/>
        <v>0</v>
      </c>
      <c r="O125" s="22">
        <f t="shared" si="52"/>
        <v>0</v>
      </c>
      <c r="P125" s="22">
        <f t="shared" si="52"/>
        <v>0</v>
      </c>
      <c r="Q125" s="22">
        <f t="shared" si="52"/>
        <v>0</v>
      </c>
      <c r="R125" s="22">
        <f t="shared" si="52"/>
        <v>0</v>
      </c>
      <c r="S125" s="22">
        <f t="shared" si="52"/>
        <v>0</v>
      </c>
      <c r="T125" s="109" t="s">
        <v>117</v>
      </c>
      <c r="U125" s="113" t="s">
        <v>117</v>
      </c>
      <c r="V125" s="113" t="s">
        <v>117</v>
      </c>
      <c r="X125" s="19">
        <f>Q125*0.2313</f>
        <v>0</v>
      </c>
    </row>
    <row r="126" spans="4:25">
      <c r="D126" s="126"/>
      <c r="E126" s="21" t="s">
        <v>24</v>
      </c>
      <c r="F126" s="22">
        <f t="shared" ref="F126:S127" si="53">F111+F114+F117+F120+F123</f>
        <v>0</v>
      </c>
      <c r="G126" s="22">
        <f t="shared" si="53"/>
        <v>0</v>
      </c>
      <c r="H126" s="22">
        <f t="shared" si="53"/>
        <v>0</v>
      </c>
      <c r="I126" s="22">
        <f t="shared" si="53"/>
        <v>0</v>
      </c>
      <c r="J126" s="22">
        <f t="shared" si="53"/>
        <v>0</v>
      </c>
      <c r="K126" s="22">
        <f t="shared" si="53"/>
        <v>0</v>
      </c>
      <c r="L126" s="22">
        <f t="shared" si="53"/>
        <v>0</v>
      </c>
      <c r="M126" s="22">
        <f t="shared" si="53"/>
        <v>0</v>
      </c>
      <c r="N126" s="22">
        <f t="shared" si="53"/>
        <v>0</v>
      </c>
      <c r="O126" s="22">
        <f t="shared" si="53"/>
        <v>0</v>
      </c>
      <c r="P126" s="22">
        <f t="shared" si="53"/>
        <v>0</v>
      </c>
      <c r="Q126" s="22">
        <f t="shared" si="53"/>
        <v>0</v>
      </c>
      <c r="R126" s="22">
        <f t="shared" si="53"/>
        <v>0</v>
      </c>
      <c r="S126" s="22">
        <f t="shared" si="53"/>
        <v>0</v>
      </c>
      <c r="T126" s="109"/>
      <c r="U126" s="113"/>
      <c r="V126" s="113"/>
    </row>
    <row r="127" spans="4:25">
      <c r="D127" s="126"/>
      <c r="E127" s="21" t="s">
        <v>69</v>
      </c>
      <c r="F127" s="22">
        <f t="shared" si="53"/>
        <v>0</v>
      </c>
      <c r="G127" s="22">
        <f t="shared" si="53"/>
        <v>0</v>
      </c>
      <c r="H127" s="22">
        <f t="shared" si="53"/>
        <v>0</v>
      </c>
      <c r="I127" s="22">
        <f t="shared" si="53"/>
        <v>0</v>
      </c>
      <c r="J127" s="22">
        <f t="shared" si="53"/>
        <v>0</v>
      </c>
      <c r="K127" s="22">
        <f t="shared" si="53"/>
        <v>0</v>
      </c>
      <c r="L127" s="22">
        <f t="shared" si="53"/>
        <v>0</v>
      </c>
      <c r="M127" s="22">
        <f t="shared" si="53"/>
        <v>0</v>
      </c>
      <c r="N127" s="22">
        <f t="shared" si="53"/>
        <v>0</v>
      </c>
      <c r="O127" s="22">
        <f t="shared" si="53"/>
        <v>0</v>
      </c>
      <c r="P127" s="22">
        <f t="shared" si="53"/>
        <v>0</v>
      </c>
      <c r="Q127" s="22">
        <f t="shared" si="53"/>
        <v>0</v>
      </c>
      <c r="R127" s="22">
        <f t="shared" si="53"/>
        <v>0</v>
      </c>
      <c r="S127" s="22">
        <f t="shared" si="53"/>
        <v>0</v>
      </c>
      <c r="T127" s="109"/>
      <c r="U127" s="113"/>
      <c r="V127" s="113"/>
    </row>
    <row r="129" spans="4:24">
      <c r="D129" s="119" t="s">
        <v>159</v>
      </c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</row>
    <row r="130" spans="4:24">
      <c r="U130" s="108" t="s">
        <v>143</v>
      </c>
      <c r="V130" s="108"/>
    </row>
    <row r="131" spans="4:24">
      <c r="D131" s="107" t="s">
        <v>68</v>
      </c>
      <c r="E131" s="107"/>
      <c r="F131" s="107" t="s">
        <v>129</v>
      </c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9" t="s">
        <v>117</v>
      </c>
      <c r="U131" s="107" t="s">
        <v>107</v>
      </c>
      <c r="V131" s="107" t="s">
        <v>19</v>
      </c>
    </row>
    <row r="132" spans="4:24">
      <c r="D132" s="107"/>
      <c r="E132" s="107"/>
      <c r="F132" s="107" t="s">
        <v>46</v>
      </c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 t="s">
        <v>134</v>
      </c>
      <c r="S132" s="107" t="s">
        <v>69</v>
      </c>
      <c r="T132" s="109"/>
      <c r="U132" s="107"/>
      <c r="V132" s="107"/>
    </row>
    <row r="133" spans="4:24">
      <c r="D133" s="107"/>
      <c r="E133" s="107"/>
      <c r="F133" s="107" t="s">
        <v>121</v>
      </c>
      <c r="G133" s="107" t="s">
        <v>52</v>
      </c>
      <c r="H133" s="107"/>
      <c r="I133" s="107" t="s">
        <v>76</v>
      </c>
      <c r="J133" s="107"/>
      <c r="K133" s="107" t="s">
        <v>149</v>
      </c>
      <c r="L133" s="107" t="s">
        <v>105</v>
      </c>
      <c r="M133" s="107" t="s">
        <v>88</v>
      </c>
      <c r="N133" s="107" t="s">
        <v>35</v>
      </c>
      <c r="O133" s="107" t="s">
        <v>33</v>
      </c>
      <c r="P133" s="107" t="s">
        <v>30</v>
      </c>
      <c r="Q133" s="107" t="s">
        <v>25</v>
      </c>
      <c r="R133" s="107"/>
      <c r="S133" s="107"/>
      <c r="T133" s="109"/>
      <c r="U133" s="107"/>
      <c r="V133" s="107"/>
    </row>
    <row r="134" spans="4:24">
      <c r="D134" s="107"/>
      <c r="E134" s="107"/>
      <c r="F134" s="107"/>
      <c r="G134" s="20" t="s">
        <v>83</v>
      </c>
      <c r="H134" s="20" t="s">
        <v>102</v>
      </c>
      <c r="I134" s="20" t="s">
        <v>83</v>
      </c>
      <c r="J134" s="20" t="s">
        <v>102</v>
      </c>
      <c r="K134" s="107"/>
      <c r="L134" s="107"/>
      <c r="M134" s="107"/>
      <c r="N134" s="107"/>
      <c r="O134" s="107"/>
      <c r="P134" s="107"/>
      <c r="Q134" s="107"/>
      <c r="R134" s="107"/>
      <c r="S134" s="107"/>
      <c r="T134" s="109"/>
      <c r="U134" s="107"/>
      <c r="V134" s="107"/>
    </row>
    <row r="135" spans="4:24">
      <c r="D135" s="126">
        <v>1</v>
      </c>
      <c r="E135" s="21" t="s">
        <v>78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2">
        <f>SUM(F135:P135)</f>
        <v>0</v>
      </c>
      <c r="R135" s="24"/>
      <c r="S135" s="22">
        <f>Q135+R135</f>
        <v>0</v>
      </c>
      <c r="T135" s="109" t="s">
        <v>117</v>
      </c>
      <c r="U135" s="113" t="s">
        <v>117</v>
      </c>
      <c r="V135" s="113" t="s">
        <v>117</v>
      </c>
      <c r="X135" s="19">
        <f>Q135*0.2205</f>
        <v>0</v>
      </c>
    </row>
    <row r="136" spans="4:24">
      <c r="D136" s="126"/>
      <c r="E136" s="21" t="s">
        <v>24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2">
        <f>SUM(F136:P136)</f>
        <v>0</v>
      </c>
      <c r="R136" s="24"/>
      <c r="S136" s="22">
        <f>Q136+R136</f>
        <v>0</v>
      </c>
      <c r="T136" s="109"/>
      <c r="U136" s="113"/>
      <c r="V136" s="113"/>
    </row>
    <row r="137" spans="4:24">
      <c r="D137" s="126"/>
      <c r="E137" s="21" t="s">
        <v>25</v>
      </c>
      <c r="F137" s="22">
        <f t="shared" ref="F137:P137" si="54">SUM(F135:F136)</f>
        <v>0</v>
      </c>
      <c r="G137" s="22">
        <f t="shared" si="54"/>
        <v>0</v>
      </c>
      <c r="H137" s="22">
        <f t="shared" si="54"/>
        <v>0</v>
      </c>
      <c r="I137" s="22">
        <f t="shared" si="54"/>
        <v>0</v>
      </c>
      <c r="J137" s="22">
        <f t="shared" si="54"/>
        <v>0</v>
      </c>
      <c r="K137" s="22">
        <f t="shared" si="54"/>
        <v>0</v>
      </c>
      <c r="L137" s="22">
        <f t="shared" si="54"/>
        <v>0</v>
      </c>
      <c r="M137" s="22">
        <f t="shared" si="54"/>
        <v>0</v>
      </c>
      <c r="N137" s="22">
        <f t="shared" si="54"/>
        <v>0</v>
      </c>
      <c r="O137" s="22">
        <f t="shared" si="54"/>
        <v>0</v>
      </c>
      <c r="P137" s="22">
        <f t="shared" si="54"/>
        <v>0</v>
      </c>
      <c r="Q137" s="22">
        <f>SUM(Q135:Q136)</f>
        <v>0</v>
      </c>
      <c r="R137" s="22">
        <f t="shared" ref="R137" si="55">SUM(R135:R136)</f>
        <v>0</v>
      </c>
      <c r="S137" s="22">
        <f>SUM(S135:S136)</f>
        <v>0</v>
      </c>
      <c r="T137" s="109"/>
      <c r="U137" s="113"/>
      <c r="V137" s="113"/>
    </row>
    <row r="138" spans="4:24">
      <c r="D138" s="126">
        <v>2</v>
      </c>
      <c r="E138" s="21" t="s">
        <v>78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2">
        <f>SUM(F138:P138)</f>
        <v>0</v>
      </c>
      <c r="R138" s="24"/>
      <c r="S138" s="22">
        <f t="shared" ref="S138:S139" si="56">Q138+R138</f>
        <v>0</v>
      </c>
      <c r="T138" s="109" t="s">
        <v>117</v>
      </c>
      <c r="U138" s="113" t="s">
        <v>117</v>
      </c>
      <c r="V138" s="113" t="s">
        <v>117</v>
      </c>
      <c r="X138" s="19">
        <f>Q138*0.2205</f>
        <v>0</v>
      </c>
    </row>
    <row r="139" spans="4:24">
      <c r="D139" s="126"/>
      <c r="E139" s="21" t="s">
        <v>24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2">
        <f>SUM(F139:P139)</f>
        <v>0</v>
      </c>
      <c r="R139" s="24"/>
      <c r="S139" s="22">
        <f t="shared" si="56"/>
        <v>0</v>
      </c>
      <c r="T139" s="109"/>
      <c r="U139" s="113"/>
      <c r="V139" s="113"/>
    </row>
    <row r="140" spans="4:24">
      <c r="D140" s="126"/>
      <c r="E140" s="21" t="s">
        <v>25</v>
      </c>
      <c r="F140" s="22">
        <f>SUM(F138:F139)</f>
        <v>0</v>
      </c>
      <c r="G140" s="22">
        <f t="shared" ref="G140:R140" si="57">SUM(G138:G139)</f>
        <v>0</v>
      </c>
      <c r="H140" s="22">
        <f t="shared" si="57"/>
        <v>0</v>
      </c>
      <c r="I140" s="22">
        <f t="shared" si="57"/>
        <v>0</v>
      </c>
      <c r="J140" s="22">
        <f t="shared" si="57"/>
        <v>0</v>
      </c>
      <c r="K140" s="22">
        <f t="shared" si="57"/>
        <v>0</v>
      </c>
      <c r="L140" s="22">
        <f t="shared" si="57"/>
        <v>0</v>
      </c>
      <c r="M140" s="22">
        <f t="shared" si="57"/>
        <v>0</v>
      </c>
      <c r="N140" s="22">
        <f t="shared" si="57"/>
        <v>0</v>
      </c>
      <c r="O140" s="22">
        <f t="shared" si="57"/>
        <v>0</v>
      </c>
      <c r="P140" s="22">
        <f t="shared" si="57"/>
        <v>0</v>
      </c>
      <c r="Q140" s="22">
        <f t="shared" si="57"/>
        <v>0</v>
      </c>
      <c r="R140" s="22">
        <f t="shared" si="57"/>
        <v>0</v>
      </c>
      <c r="S140" s="22">
        <f>SUM(S138:S139)</f>
        <v>0</v>
      </c>
      <c r="T140" s="109"/>
      <c r="U140" s="113"/>
      <c r="V140" s="113"/>
    </row>
    <row r="141" spans="4:24">
      <c r="D141" s="126">
        <v>3</v>
      </c>
      <c r="E141" s="21" t="s">
        <v>78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2">
        <f>SUM(F141:P141)</f>
        <v>0</v>
      </c>
      <c r="R141" s="24"/>
      <c r="S141" s="22">
        <f t="shared" ref="S141:S142" si="58">Q141+R141</f>
        <v>0</v>
      </c>
      <c r="T141" s="109" t="s">
        <v>117</v>
      </c>
      <c r="U141" s="113" t="s">
        <v>117</v>
      </c>
      <c r="V141" s="113" t="s">
        <v>117</v>
      </c>
      <c r="X141" s="19">
        <f>Q141*0.2205</f>
        <v>0</v>
      </c>
    </row>
    <row r="142" spans="4:24">
      <c r="D142" s="126"/>
      <c r="E142" s="21" t="s">
        <v>24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2">
        <f>SUM(F142:P142)</f>
        <v>0</v>
      </c>
      <c r="R142" s="24"/>
      <c r="S142" s="22">
        <f t="shared" si="58"/>
        <v>0</v>
      </c>
      <c r="T142" s="109"/>
      <c r="U142" s="113"/>
      <c r="V142" s="113"/>
    </row>
    <row r="143" spans="4:24">
      <c r="D143" s="126"/>
      <c r="E143" s="21" t="s">
        <v>25</v>
      </c>
      <c r="F143" s="22">
        <f>SUM(F141:F142)</f>
        <v>0</v>
      </c>
      <c r="G143" s="22">
        <f t="shared" ref="G143:R143" si="59">SUM(G141:G142)</f>
        <v>0</v>
      </c>
      <c r="H143" s="22">
        <f t="shared" si="59"/>
        <v>0</v>
      </c>
      <c r="I143" s="22">
        <f t="shared" si="59"/>
        <v>0</v>
      </c>
      <c r="J143" s="22">
        <f t="shared" si="59"/>
        <v>0</v>
      </c>
      <c r="K143" s="22">
        <f t="shared" si="59"/>
        <v>0</v>
      </c>
      <c r="L143" s="22">
        <f t="shared" si="59"/>
        <v>0</v>
      </c>
      <c r="M143" s="22">
        <f t="shared" si="59"/>
        <v>0</v>
      </c>
      <c r="N143" s="22">
        <f t="shared" si="59"/>
        <v>0</v>
      </c>
      <c r="O143" s="22">
        <f t="shared" si="59"/>
        <v>0</v>
      </c>
      <c r="P143" s="22">
        <f t="shared" si="59"/>
        <v>0</v>
      </c>
      <c r="Q143" s="22">
        <f t="shared" si="59"/>
        <v>0</v>
      </c>
      <c r="R143" s="22">
        <f t="shared" si="59"/>
        <v>0</v>
      </c>
      <c r="S143" s="22">
        <f>SUM(S141:S142)</f>
        <v>0</v>
      </c>
      <c r="T143" s="109"/>
      <c r="U143" s="113"/>
      <c r="V143" s="113"/>
    </row>
    <row r="144" spans="4:24">
      <c r="D144" s="126">
        <v>4</v>
      </c>
      <c r="E144" s="21" t="s">
        <v>78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2">
        <f>SUM(F144:P144)</f>
        <v>0</v>
      </c>
      <c r="R144" s="24"/>
      <c r="S144" s="22">
        <f t="shared" ref="S144:S145" si="60">Q144+R144</f>
        <v>0</v>
      </c>
      <c r="T144" s="109" t="s">
        <v>117</v>
      </c>
      <c r="U144" s="113" t="s">
        <v>117</v>
      </c>
      <c r="V144" s="113" t="s">
        <v>117</v>
      </c>
      <c r="X144" s="19">
        <f>Q144*0.2205</f>
        <v>0</v>
      </c>
    </row>
    <row r="145" spans="4:24">
      <c r="D145" s="126"/>
      <c r="E145" s="21" t="s">
        <v>24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2">
        <f>SUM(F145:P145)</f>
        <v>0</v>
      </c>
      <c r="R145" s="24"/>
      <c r="S145" s="22">
        <f t="shared" si="60"/>
        <v>0</v>
      </c>
      <c r="T145" s="109"/>
      <c r="U145" s="113"/>
      <c r="V145" s="113"/>
    </row>
    <row r="146" spans="4:24">
      <c r="D146" s="126"/>
      <c r="E146" s="21" t="s">
        <v>25</v>
      </c>
      <c r="F146" s="22">
        <f>SUM(F144:F145)</f>
        <v>0</v>
      </c>
      <c r="G146" s="22">
        <f t="shared" ref="G146:R146" si="61">SUM(G144:G145)</f>
        <v>0</v>
      </c>
      <c r="H146" s="22">
        <f t="shared" si="61"/>
        <v>0</v>
      </c>
      <c r="I146" s="22">
        <f t="shared" si="61"/>
        <v>0</v>
      </c>
      <c r="J146" s="22">
        <f t="shared" si="61"/>
        <v>0</v>
      </c>
      <c r="K146" s="22">
        <f t="shared" si="61"/>
        <v>0</v>
      </c>
      <c r="L146" s="22">
        <f t="shared" si="61"/>
        <v>0</v>
      </c>
      <c r="M146" s="22">
        <f t="shared" si="61"/>
        <v>0</v>
      </c>
      <c r="N146" s="22">
        <f t="shared" si="61"/>
        <v>0</v>
      </c>
      <c r="O146" s="22">
        <f t="shared" si="61"/>
        <v>0</v>
      </c>
      <c r="P146" s="22">
        <f t="shared" si="61"/>
        <v>0</v>
      </c>
      <c r="Q146" s="22">
        <f t="shared" si="61"/>
        <v>0</v>
      </c>
      <c r="R146" s="22">
        <f t="shared" si="61"/>
        <v>0</v>
      </c>
      <c r="S146" s="22">
        <f>SUM(S144:S145)</f>
        <v>0</v>
      </c>
      <c r="T146" s="109"/>
      <c r="U146" s="113"/>
      <c r="V146" s="113"/>
    </row>
    <row r="147" spans="4:24">
      <c r="D147" s="126">
        <v>5</v>
      </c>
      <c r="E147" s="21" t="s">
        <v>78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2">
        <f>SUM(F147:P147)</f>
        <v>0</v>
      </c>
      <c r="R147" s="24"/>
      <c r="S147" s="22">
        <f t="shared" ref="S147:S148" si="62">Q147+R147</f>
        <v>0</v>
      </c>
      <c r="T147" s="109" t="s">
        <v>117</v>
      </c>
      <c r="U147" s="113" t="s">
        <v>117</v>
      </c>
      <c r="V147" s="113" t="s">
        <v>117</v>
      </c>
      <c r="X147" s="19">
        <f>Q147*0.2205</f>
        <v>0</v>
      </c>
    </row>
    <row r="148" spans="4:24">
      <c r="D148" s="126"/>
      <c r="E148" s="21" t="s">
        <v>24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2">
        <f>SUM(F148:P148)</f>
        <v>0</v>
      </c>
      <c r="R148" s="24"/>
      <c r="S148" s="22">
        <f t="shared" si="62"/>
        <v>0</v>
      </c>
      <c r="T148" s="109"/>
      <c r="U148" s="113"/>
      <c r="V148" s="113"/>
    </row>
    <row r="149" spans="4:24">
      <c r="D149" s="126"/>
      <c r="E149" s="21" t="s">
        <v>25</v>
      </c>
      <c r="F149" s="22">
        <f>SUM(F147:F148)</f>
        <v>0</v>
      </c>
      <c r="G149" s="22">
        <f t="shared" ref="G149:Q149" si="63">SUM(G147:G148)</f>
        <v>0</v>
      </c>
      <c r="H149" s="22">
        <f t="shared" si="63"/>
        <v>0</v>
      </c>
      <c r="I149" s="22">
        <f t="shared" si="63"/>
        <v>0</v>
      </c>
      <c r="J149" s="22">
        <f t="shared" si="63"/>
        <v>0</v>
      </c>
      <c r="K149" s="22">
        <f t="shared" si="63"/>
        <v>0</v>
      </c>
      <c r="L149" s="22">
        <f t="shared" si="63"/>
        <v>0</v>
      </c>
      <c r="M149" s="22">
        <f t="shared" si="63"/>
        <v>0</v>
      </c>
      <c r="N149" s="22">
        <f t="shared" si="63"/>
        <v>0</v>
      </c>
      <c r="O149" s="22">
        <f t="shared" si="63"/>
        <v>0</v>
      </c>
      <c r="P149" s="22">
        <f t="shared" si="63"/>
        <v>0</v>
      </c>
      <c r="Q149" s="22">
        <f t="shared" si="63"/>
        <v>0</v>
      </c>
      <c r="R149" s="22">
        <f>SUM(R147:R148)</f>
        <v>0</v>
      </c>
      <c r="S149" s="22">
        <f>SUM(S147:S148)</f>
        <v>0</v>
      </c>
      <c r="T149" s="109"/>
      <c r="U149" s="113"/>
      <c r="V149" s="113"/>
    </row>
    <row r="150" spans="4:24">
      <c r="D150" s="126" t="s">
        <v>43</v>
      </c>
      <c r="E150" s="21" t="s">
        <v>78</v>
      </c>
      <c r="F150" s="22">
        <f>F135+F138+F141+F144+F147</f>
        <v>0</v>
      </c>
      <c r="G150" s="22">
        <f t="shared" ref="G150:S150" si="64">G135+G138+G141+G144+G147</f>
        <v>0</v>
      </c>
      <c r="H150" s="22">
        <f t="shared" si="64"/>
        <v>0</v>
      </c>
      <c r="I150" s="22">
        <f t="shared" si="64"/>
        <v>0</v>
      </c>
      <c r="J150" s="22">
        <f t="shared" si="64"/>
        <v>0</v>
      </c>
      <c r="K150" s="22">
        <f t="shared" si="64"/>
        <v>0</v>
      </c>
      <c r="L150" s="22">
        <f t="shared" si="64"/>
        <v>0</v>
      </c>
      <c r="M150" s="22">
        <f t="shared" si="64"/>
        <v>0</v>
      </c>
      <c r="N150" s="22">
        <f t="shared" si="64"/>
        <v>0</v>
      </c>
      <c r="O150" s="22">
        <f t="shared" si="64"/>
        <v>0</v>
      </c>
      <c r="P150" s="22">
        <f t="shared" si="64"/>
        <v>0</v>
      </c>
      <c r="Q150" s="22">
        <f t="shared" si="64"/>
        <v>0</v>
      </c>
      <c r="R150" s="22">
        <f t="shared" si="64"/>
        <v>0</v>
      </c>
      <c r="S150" s="22">
        <f t="shared" si="64"/>
        <v>0</v>
      </c>
      <c r="T150" s="109" t="s">
        <v>117</v>
      </c>
      <c r="U150" s="113" t="s">
        <v>117</v>
      </c>
      <c r="V150" s="113" t="s">
        <v>117</v>
      </c>
      <c r="X150" s="19">
        <f>Q150*0.2205</f>
        <v>0</v>
      </c>
    </row>
    <row r="151" spans="4:24">
      <c r="D151" s="126"/>
      <c r="E151" s="21" t="s">
        <v>24</v>
      </c>
      <c r="F151" s="22">
        <f t="shared" ref="F151:S152" si="65">F136+F139+F142+F145+F148</f>
        <v>0</v>
      </c>
      <c r="G151" s="22">
        <f t="shared" si="65"/>
        <v>0</v>
      </c>
      <c r="H151" s="22">
        <f t="shared" si="65"/>
        <v>0</v>
      </c>
      <c r="I151" s="22">
        <f t="shared" si="65"/>
        <v>0</v>
      </c>
      <c r="J151" s="22">
        <f t="shared" si="65"/>
        <v>0</v>
      </c>
      <c r="K151" s="22">
        <f t="shared" si="65"/>
        <v>0</v>
      </c>
      <c r="L151" s="22">
        <f t="shared" si="65"/>
        <v>0</v>
      </c>
      <c r="M151" s="22">
        <f t="shared" si="65"/>
        <v>0</v>
      </c>
      <c r="N151" s="22">
        <f t="shared" si="65"/>
        <v>0</v>
      </c>
      <c r="O151" s="22">
        <f t="shared" si="65"/>
        <v>0</v>
      </c>
      <c r="P151" s="22">
        <f t="shared" si="65"/>
        <v>0</v>
      </c>
      <c r="Q151" s="22">
        <f t="shared" si="65"/>
        <v>0</v>
      </c>
      <c r="R151" s="22">
        <f t="shared" si="65"/>
        <v>0</v>
      </c>
      <c r="S151" s="22">
        <f t="shared" si="65"/>
        <v>0</v>
      </c>
      <c r="T151" s="109"/>
      <c r="U151" s="113"/>
      <c r="V151" s="113"/>
    </row>
    <row r="152" spans="4:24">
      <c r="D152" s="126"/>
      <c r="E152" s="21" t="s">
        <v>69</v>
      </c>
      <c r="F152" s="22">
        <f t="shared" si="65"/>
        <v>0</v>
      </c>
      <c r="G152" s="22">
        <f t="shared" si="65"/>
        <v>0</v>
      </c>
      <c r="H152" s="22">
        <f t="shared" si="65"/>
        <v>0</v>
      </c>
      <c r="I152" s="22">
        <f t="shared" si="65"/>
        <v>0</v>
      </c>
      <c r="J152" s="22">
        <f t="shared" si="65"/>
        <v>0</v>
      </c>
      <c r="K152" s="22">
        <f t="shared" si="65"/>
        <v>0</v>
      </c>
      <c r="L152" s="22">
        <f t="shared" si="65"/>
        <v>0</v>
      </c>
      <c r="M152" s="22">
        <f t="shared" si="65"/>
        <v>0</v>
      </c>
      <c r="N152" s="22">
        <f t="shared" si="65"/>
        <v>0</v>
      </c>
      <c r="O152" s="22">
        <f t="shared" si="65"/>
        <v>0</v>
      </c>
      <c r="P152" s="22">
        <f t="shared" si="65"/>
        <v>0</v>
      </c>
      <c r="Q152" s="22">
        <f t="shared" si="65"/>
        <v>0</v>
      </c>
      <c r="R152" s="22">
        <f t="shared" si="65"/>
        <v>0</v>
      </c>
      <c r="S152" s="22">
        <f t="shared" si="65"/>
        <v>0</v>
      </c>
      <c r="T152" s="109"/>
      <c r="U152" s="113"/>
      <c r="V152" s="113"/>
    </row>
    <row r="154" spans="4:24">
      <c r="D154" s="119" t="s">
        <v>160</v>
      </c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</row>
    <row r="155" spans="4:24">
      <c r="U155" s="127" t="s">
        <v>143</v>
      </c>
      <c r="V155" s="127"/>
    </row>
    <row r="156" spans="4:24">
      <c r="D156" s="107" t="s">
        <v>68</v>
      </c>
      <c r="E156" s="107"/>
      <c r="F156" s="107" t="s">
        <v>129</v>
      </c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9" t="s">
        <v>117</v>
      </c>
      <c r="U156" s="107" t="s">
        <v>107</v>
      </c>
      <c r="V156" s="107" t="s">
        <v>19</v>
      </c>
    </row>
    <row r="157" spans="4:24">
      <c r="D157" s="107"/>
      <c r="E157" s="107"/>
      <c r="F157" s="107" t="s">
        <v>46</v>
      </c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 t="s">
        <v>134</v>
      </c>
      <c r="S157" s="107" t="s">
        <v>69</v>
      </c>
      <c r="T157" s="109"/>
      <c r="U157" s="107"/>
      <c r="V157" s="107"/>
    </row>
    <row r="158" spans="4:24">
      <c r="D158" s="107"/>
      <c r="E158" s="107"/>
      <c r="F158" s="107" t="s">
        <v>121</v>
      </c>
      <c r="G158" s="107" t="s">
        <v>52</v>
      </c>
      <c r="H158" s="107"/>
      <c r="I158" s="107" t="s">
        <v>76</v>
      </c>
      <c r="J158" s="107"/>
      <c r="K158" s="107" t="s">
        <v>149</v>
      </c>
      <c r="L158" s="107" t="s">
        <v>105</v>
      </c>
      <c r="M158" s="107" t="s">
        <v>88</v>
      </c>
      <c r="N158" s="107" t="s">
        <v>35</v>
      </c>
      <c r="O158" s="107" t="s">
        <v>33</v>
      </c>
      <c r="P158" s="107" t="s">
        <v>30</v>
      </c>
      <c r="Q158" s="107" t="s">
        <v>25</v>
      </c>
      <c r="R158" s="107"/>
      <c r="S158" s="107"/>
      <c r="T158" s="109"/>
      <c r="U158" s="107"/>
      <c r="V158" s="107"/>
    </row>
    <row r="159" spans="4:24">
      <c r="D159" s="107"/>
      <c r="E159" s="107"/>
      <c r="F159" s="107"/>
      <c r="G159" s="20" t="s">
        <v>83</v>
      </c>
      <c r="H159" s="20" t="s">
        <v>102</v>
      </c>
      <c r="I159" s="20" t="s">
        <v>83</v>
      </c>
      <c r="J159" s="20" t="s">
        <v>102</v>
      </c>
      <c r="K159" s="107"/>
      <c r="L159" s="107"/>
      <c r="M159" s="107"/>
      <c r="N159" s="107"/>
      <c r="O159" s="107"/>
      <c r="P159" s="107"/>
      <c r="Q159" s="107"/>
      <c r="R159" s="107"/>
      <c r="S159" s="107"/>
      <c r="T159" s="109"/>
      <c r="U159" s="107"/>
      <c r="V159" s="107"/>
    </row>
    <row r="160" spans="4:24">
      <c r="D160" s="126">
        <v>1</v>
      </c>
      <c r="E160" s="21" t="s">
        <v>78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2">
        <f>SUM(F160:P160)</f>
        <v>0</v>
      </c>
      <c r="R160" s="24"/>
      <c r="S160" s="22">
        <f>Q160+R160</f>
        <v>0</v>
      </c>
      <c r="T160" s="109" t="s">
        <v>117</v>
      </c>
      <c r="U160" s="113" t="s">
        <v>117</v>
      </c>
      <c r="V160" s="113" t="s">
        <v>117</v>
      </c>
      <c r="X160" s="19">
        <f>Q160*0.1</f>
        <v>0</v>
      </c>
    </row>
    <row r="161" spans="4:24">
      <c r="D161" s="126"/>
      <c r="E161" s="21" t="s">
        <v>24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2">
        <f>SUM(F161:P161)</f>
        <v>0</v>
      </c>
      <c r="R161" s="24"/>
      <c r="S161" s="22">
        <f>Q161+R161</f>
        <v>0</v>
      </c>
      <c r="T161" s="109"/>
      <c r="U161" s="113"/>
      <c r="V161" s="113"/>
    </row>
    <row r="162" spans="4:24">
      <c r="D162" s="126"/>
      <c r="E162" s="21" t="s">
        <v>25</v>
      </c>
      <c r="F162" s="22">
        <f t="shared" ref="F162:P162" si="66">SUM(F160:F161)</f>
        <v>0</v>
      </c>
      <c r="G162" s="22">
        <f t="shared" si="66"/>
        <v>0</v>
      </c>
      <c r="H162" s="22">
        <f t="shared" si="66"/>
        <v>0</v>
      </c>
      <c r="I162" s="22">
        <f t="shared" si="66"/>
        <v>0</v>
      </c>
      <c r="J162" s="22">
        <f t="shared" si="66"/>
        <v>0</v>
      </c>
      <c r="K162" s="22">
        <f t="shared" si="66"/>
        <v>0</v>
      </c>
      <c r="L162" s="22">
        <f t="shared" si="66"/>
        <v>0</v>
      </c>
      <c r="M162" s="22">
        <f t="shared" si="66"/>
        <v>0</v>
      </c>
      <c r="N162" s="22">
        <f t="shared" si="66"/>
        <v>0</v>
      </c>
      <c r="O162" s="22">
        <f t="shared" si="66"/>
        <v>0</v>
      </c>
      <c r="P162" s="22">
        <f t="shared" si="66"/>
        <v>0</v>
      </c>
      <c r="Q162" s="22">
        <f>SUM(Q160:Q161)</f>
        <v>0</v>
      </c>
      <c r="R162" s="22">
        <f t="shared" ref="R162" si="67">SUM(R160:R161)</f>
        <v>0</v>
      </c>
      <c r="S162" s="22">
        <f>SUM(S160:S161)</f>
        <v>0</v>
      </c>
      <c r="T162" s="109"/>
      <c r="U162" s="113"/>
      <c r="V162" s="113"/>
    </row>
    <row r="163" spans="4:24">
      <c r="D163" s="126">
        <v>2</v>
      </c>
      <c r="E163" s="21" t="s">
        <v>78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2">
        <f>SUM(F163:P163)</f>
        <v>0</v>
      </c>
      <c r="R163" s="24"/>
      <c r="S163" s="22">
        <f t="shared" ref="S163:S164" si="68">Q163+R163</f>
        <v>0</v>
      </c>
      <c r="T163" s="109" t="s">
        <v>117</v>
      </c>
      <c r="U163" s="113" t="s">
        <v>117</v>
      </c>
      <c r="V163" s="113" t="s">
        <v>117</v>
      </c>
      <c r="X163" s="19">
        <f>Q163*0.1</f>
        <v>0</v>
      </c>
    </row>
    <row r="164" spans="4:24">
      <c r="D164" s="126"/>
      <c r="E164" s="21" t="s">
        <v>24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2">
        <f>SUM(F164:P164)</f>
        <v>0</v>
      </c>
      <c r="R164" s="24"/>
      <c r="S164" s="22">
        <f t="shared" si="68"/>
        <v>0</v>
      </c>
      <c r="T164" s="109"/>
      <c r="U164" s="113"/>
      <c r="V164" s="113"/>
    </row>
    <row r="165" spans="4:24">
      <c r="D165" s="126"/>
      <c r="E165" s="21" t="s">
        <v>25</v>
      </c>
      <c r="F165" s="22">
        <f>SUM(F163:F164)</f>
        <v>0</v>
      </c>
      <c r="G165" s="22">
        <f t="shared" ref="G165:R165" si="69">SUM(G163:G164)</f>
        <v>0</v>
      </c>
      <c r="H165" s="22">
        <f t="shared" si="69"/>
        <v>0</v>
      </c>
      <c r="I165" s="22">
        <f t="shared" si="69"/>
        <v>0</v>
      </c>
      <c r="J165" s="22">
        <f t="shared" si="69"/>
        <v>0</v>
      </c>
      <c r="K165" s="22">
        <f t="shared" si="69"/>
        <v>0</v>
      </c>
      <c r="L165" s="22">
        <f t="shared" si="69"/>
        <v>0</v>
      </c>
      <c r="M165" s="22">
        <f t="shared" si="69"/>
        <v>0</v>
      </c>
      <c r="N165" s="22">
        <f t="shared" si="69"/>
        <v>0</v>
      </c>
      <c r="O165" s="22">
        <f t="shared" si="69"/>
        <v>0</v>
      </c>
      <c r="P165" s="22">
        <f t="shared" si="69"/>
        <v>0</v>
      </c>
      <c r="Q165" s="22">
        <f t="shared" si="69"/>
        <v>0</v>
      </c>
      <c r="R165" s="22">
        <f t="shared" si="69"/>
        <v>0</v>
      </c>
      <c r="S165" s="22">
        <f>SUM(S163:S164)</f>
        <v>0</v>
      </c>
      <c r="T165" s="109"/>
      <c r="U165" s="113"/>
      <c r="V165" s="113"/>
    </row>
    <row r="166" spans="4:24">
      <c r="D166" s="126">
        <v>3</v>
      </c>
      <c r="E166" s="21" t="s">
        <v>78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2">
        <f>SUM(F166:P166)</f>
        <v>0</v>
      </c>
      <c r="R166" s="24"/>
      <c r="S166" s="22">
        <f t="shared" ref="S166:S167" si="70">Q166+R166</f>
        <v>0</v>
      </c>
      <c r="T166" s="109" t="s">
        <v>117</v>
      </c>
      <c r="U166" s="113" t="s">
        <v>117</v>
      </c>
      <c r="V166" s="113" t="s">
        <v>117</v>
      </c>
      <c r="X166" s="19">
        <f>Q166*0.1</f>
        <v>0</v>
      </c>
    </row>
    <row r="167" spans="4:24">
      <c r="D167" s="126"/>
      <c r="E167" s="21" t="s">
        <v>24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2">
        <f>SUM(F167:P167)</f>
        <v>0</v>
      </c>
      <c r="R167" s="24"/>
      <c r="S167" s="22">
        <f t="shared" si="70"/>
        <v>0</v>
      </c>
      <c r="T167" s="109"/>
      <c r="U167" s="113"/>
      <c r="V167" s="113"/>
    </row>
    <row r="168" spans="4:24">
      <c r="D168" s="126"/>
      <c r="E168" s="21" t="s">
        <v>25</v>
      </c>
      <c r="F168" s="22">
        <f>SUM(F166:F167)</f>
        <v>0</v>
      </c>
      <c r="G168" s="22">
        <f t="shared" ref="G168:R168" si="71">SUM(G166:G167)</f>
        <v>0</v>
      </c>
      <c r="H168" s="22">
        <f t="shared" si="71"/>
        <v>0</v>
      </c>
      <c r="I168" s="22">
        <f t="shared" si="71"/>
        <v>0</v>
      </c>
      <c r="J168" s="22">
        <f t="shared" si="71"/>
        <v>0</v>
      </c>
      <c r="K168" s="22">
        <f t="shared" si="71"/>
        <v>0</v>
      </c>
      <c r="L168" s="22">
        <f t="shared" si="71"/>
        <v>0</v>
      </c>
      <c r="M168" s="22">
        <f t="shared" si="71"/>
        <v>0</v>
      </c>
      <c r="N168" s="22">
        <f t="shared" si="71"/>
        <v>0</v>
      </c>
      <c r="O168" s="22">
        <f t="shared" si="71"/>
        <v>0</v>
      </c>
      <c r="P168" s="22">
        <f t="shared" si="71"/>
        <v>0</v>
      </c>
      <c r="Q168" s="22">
        <f t="shared" si="71"/>
        <v>0</v>
      </c>
      <c r="R168" s="22">
        <f t="shared" si="71"/>
        <v>0</v>
      </c>
      <c r="S168" s="22">
        <f>SUM(S166:S167)</f>
        <v>0</v>
      </c>
      <c r="T168" s="109"/>
      <c r="U168" s="113"/>
      <c r="V168" s="113"/>
    </row>
    <row r="169" spans="4:24">
      <c r="D169" s="126">
        <v>4</v>
      </c>
      <c r="E169" s="21" t="s">
        <v>78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2">
        <f>SUM(F169:P169)</f>
        <v>0</v>
      </c>
      <c r="R169" s="24"/>
      <c r="S169" s="22">
        <f t="shared" ref="S169:S170" si="72">Q169+R169</f>
        <v>0</v>
      </c>
      <c r="T169" s="109" t="s">
        <v>117</v>
      </c>
      <c r="U169" s="113" t="s">
        <v>117</v>
      </c>
      <c r="V169" s="113" t="s">
        <v>117</v>
      </c>
      <c r="X169" s="19">
        <f>Q169*0.1</f>
        <v>0</v>
      </c>
    </row>
    <row r="170" spans="4:24">
      <c r="D170" s="126"/>
      <c r="E170" s="21" t="s">
        <v>24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2">
        <f>SUM(F170:P170)</f>
        <v>0</v>
      </c>
      <c r="R170" s="24"/>
      <c r="S170" s="22">
        <f t="shared" si="72"/>
        <v>0</v>
      </c>
      <c r="T170" s="109"/>
      <c r="U170" s="113"/>
      <c r="V170" s="113"/>
    </row>
    <row r="171" spans="4:24">
      <c r="D171" s="126"/>
      <c r="E171" s="21" t="s">
        <v>25</v>
      </c>
      <c r="F171" s="22">
        <f>SUM(F169:F170)</f>
        <v>0</v>
      </c>
      <c r="G171" s="22">
        <f t="shared" ref="G171:R171" si="73">SUM(G169:G170)</f>
        <v>0</v>
      </c>
      <c r="H171" s="22">
        <f t="shared" si="73"/>
        <v>0</v>
      </c>
      <c r="I171" s="22">
        <f t="shared" si="73"/>
        <v>0</v>
      </c>
      <c r="J171" s="22">
        <f t="shared" si="73"/>
        <v>0</v>
      </c>
      <c r="K171" s="22">
        <f t="shared" si="73"/>
        <v>0</v>
      </c>
      <c r="L171" s="22">
        <f t="shared" si="73"/>
        <v>0</v>
      </c>
      <c r="M171" s="22">
        <f t="shared" si="73"/>
        <v>0</v>
      </c>
      <c r="N171" s="22">
        <f t="shared" si="73"/>
        <v>0</v>
      </c>
      <c r="O171" s="22">
        <f t="shared" si="73"/>
        <v>0</v>
      </c>
      <c r="P171" s="22">
        <f t="shared" si="73"/>
        <v>0</v>
      </c>
      <c r="Q171" s="22">
        <f t="shared" si="73"/>
        <v>0</v>
      </c>
      <c r="R171" s="22">
        <f t="shared" si="73"/>
        <v>0</v>
      </c>
      <c r="S171" s="22">
        <f>SUM(S169:S170)</f>
        <v>0</v>
      </c>
      <c r="T171" s="109"/>
      <c r="U171" s="113"/>
      <c r="V171" s="113"/>
    </row>
    <row r="172" spans="4:24">
      <c r="D172" s="126">
        <v>5</v>
      </c>
      <c r="E172" s="21" t="s">
        <v>78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2">
        <f>SUM(F172:P172)</f>
        <v>0</v>
      </c>
      <c r="R172" s="24"/>
      <c r="S172" s="22">
        <f t="shared" ref="S172:S173" si="74">Q172+R172</f>
        <v>0</v>
      </c>
      <c r="T172" s="109" t="s">
        <v>117</v>
      </c>
      <c r="U172" s="113" t="s">
        <v>117</v>
      </c>
      <c r="V172" s="113" t="s">
        <v>117</v>
      </c>
      <c r="X172" s="19">
        <f>Q172*0.2205</f>
        <v>0</v>
      </c>
    </row>
    <row r="173" spans="4:24">
      <c r="D173" s="126"/>
      <c r="E173" s="21" t="s">
        <v>24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2">
        <f>SUM(F173:P173)</f>
        <v>0</v>
      </c>
      <c r="R173" s="24"/>
      <c r="S173" s="22">
        <f t="shared" si="74"/>
        <v>0</v>
      </c>
      <c r="T173" s="109"/>
      <c r="U173" s="113"/>
      <c r="V173" s="113"/>
    </row>
    <row r="174" spans="4:24">
      <c r="D174" s="126"/>
      <c r="E174" s="21" t="s">
        <v>25</v>
      </c>
      <c r="F174" s="22">
        <f>SUM(F172:F173)</f>
        <v>0</v>
      </c>
      <c r="G174" s="22">
        <f t="shared" ref="G174:Q174" si="75">SUM(G172:G173)</f>
        <v>0</v>
      </c>
      <c r="H174" s="22">
        <f t="shared" si="75"/>
        <v>0</v>
      </c>
      <c r="I174" s="22">
        <f t="shared" si="75"/>
        <v>0</v>
      </c>
      <c r="J174" s="22">
        <f t="shared" si="75"/>
        <v>0</v>
      </c>
      <c r="K174" s="22">
        <f t="shared" si="75"/>
        <v>0</v>
      </c>
      <c r="L174" s="22">
        <f t="shared" si="75"/>
        <v>0</v>
      </c>
      <c r="M174" s="22">
        <f t="shared" si="75"/>
        <v>0</v>
      </c>
      <c r="N174" s="22">
        <f t="shared" si="75"/>
        <v>0</v>
      </c>
      <c r="O174" s="22">
        <f t="shared" si="75"/>
        <v>0</v>
      </c>
      <c r="P174" s="22">
        <f t="shared" si="75"/>
        <v>0</v>
      </c>
      <c r="Q174" s="22">
        <f t="shared" si="75"/>
        <v>0</v>
      </c>
      <c r="R174" s="22">
        <f>SUM(R172:R173)</f>
        <v>0</v>
      </c>
      <c r="S174" s="22">
        <f>SUM(S172:S173)</f>
        <v>0</v>
      </c>
      <c r="T174" s="109"/>
      <c r="U174" s="113"/>
      <c r="V174" s="113"/>
    </row>
    <row r="175" spans="4:24">
      <c r="D175" s="126" t="s">
        <v>43</v>
      </c>
      <c r="E175" s="21" t="s">
        <v>78</v>
      </c>
      <c r="F175" s="22">
        <f>F160+F163+F166+F169+F172</f>
        <v>0</v>
      </c>
      <c r="G175" s="22">
        <f t="shared" ref="G175:S175" si="76">G160+G163+G166+G169+G172</f>
        <v>0</v>
      </c>
      <c r="H175" s="22">
        <f t="shared" si="76"/>
        <v>0</v>
      </c>
      <c r="I175" s="22">
        <f t="shared" si="76"/>
        <v>0</v>
      </c>
      <c r="J175" s="22">
        <f t="shared" si="76"/>
        <v>0</v>
      </c>
      <c r="K175" s="22">
        <f t="shared" si="76"/>
        <v>0</v>
      </c>
      <c r="L175" s="22">
        <f t="shared" si="76"/>
        <v>0</v>
      </c>
      <c r="M175" s="22">
        <f t="shared" si="76"/>
        <v>0</v>
      </c>
      <c r="N175" s="22">
        <f t="shared" si="76"/>
        <v>0</v>
      </c>
      <c r="O175" s="22">
        <f t="shared" si="76"/>
        <v>0</v>
      </c>
      <c r="P175" s="22">
        <f t="shared" si="76"/>
        <v>0</v>
      </c>
      <c r="Q175" s="22">
        <f t="shared" si="76"/>
        <v>0</v>
      </c>
      <c r="R175" s="22">
        <f t="shared" si="76"/>
        <v>0</v>
      </c>
      <c r="S175" s="22">
        <f t="shared" si="76"/>
        <v>0</v>
      </c>
      <c r="T175" s="109" t="s">
        <v>117</v>
      </c>
      <c r="U175" s="113" t="s">
        <v>117</v>
      </c>
      <c r="V175" s="113" t="s">
        <v>117</v>
      </c>
      <c r="X175" s="19">
        <f>Q175*0.1</f>
        <v>0</v>
      </c>
    </row>
    <row r="176" spans="4:24">
      <c r="D176" s="126"/>
      <c r="E176" s="21" t="s">
        <v>24</v>
      </c>
      <c r="F176" s="22">
        <f t="shared" ref="F176:S177" si="77">F161+F164+F167+F170+F173</f>
        <v>0</v>
      </c>
      <c r="G176" s="22">
        <f t="shared" si="77"/>
        <v>0</v>
      </c>
      <c r="H176" s="22">
        <f t="shared" si="77"/>
        <v>0</v>
      </c>
      <c r="I176" s="22">
        <f t="shared" si="77"/>
        <v>0</v>
      </c>
      <c r="J176" s="22">
        <f t="shared" si="77"/>
        <v>0</v>
      </c>
      <c r="K176" s="22">
        <f t="shared" si="77"/>
        <v>0</v>
      </c>
      <c r="L176" s="22">
        <f t="shared" si="77"/>
        <v>0</v>
      </c>
      <c r="M176" s="22">
        <f t="shared" si="77"/>
        <v>0</v>
      </c>
      <c r="N176" s="22">
        <f t="shared" si="77"/>
        <v>0</v>
      </c>
      <c r="O176" s="22">
        <f t="shared" si="77"/>
        <v>0</v>
      </c>
      <c r="P176" s="22">
        <f t="shared" si="77"/>
        <v>0</v>
      </c>
      <c r="Q176" s="22">
        <f t="shared" si="77"/>
        <v>0</v>
      </c>
      <c r="R176" s="22">
        <f t="shared" si="77"/>
        <v>0</v>
      </c>
      <c r="S176" s="22">
        <f t="shared" si="77"/>
        <v>0</v>
      </c>
      <c r="T176" s="109"/>
      <c r="U176" s="113"/>
      <c r="V176" s="113"/>
    </row>
    <row r="177" spans="4:24">
      <c r="D177" s="126"/>
      <c r="E177" s="21" t="s">
        <v>69</v>
      </c>
      <c r="F177" s="22">
        <f t="shared" si="77"/>
        <v>0</v>
      </c>
      <c r="G177" s="22">
        <f t="shared" si="77"/>
        <v>0</v>
      </c>
      <c r="H177" s="22">
        <f t="shared" si="77"/>
        <v>0</v>
      </c>
      <c r="I177" s="22">
        <f t="shared" si="77"/>
        <v>0</v>
      </c>
      <c r="J177" s="22">
        <f t="shared" si="77"/>
        <v>0</v>
      </c>
      <c r="K177" s="22">
        <f t="shared" si="77"/>
        <v>0</v>
      </c>
      <c r="L177" s="22">
        <f t="shared" si="77"/>
        <v>0</v>
      </c>
      <c r="M177" s="22">
        <f t="shared" si="77"/>
        <v>0</v>
      </c>
      <c r="N177" s="22">
        <f t="shared" si="77"/>
        <v>0</v>
      </c>
      <c r="O177" s="22">
        <f t="shared" si="77"/>
        <v>0</v>
      </c>
      <c r="P177" s="22">
        <f t="shared" si="77"/>
        <v>0</v>
      </c>
      <c r="Q177" s="22">
        <f t="shared" si="77"/>
        <v>0</v>
      </c>
      <c r="R177" s="22">
        <f t="shared" si="77"/>
        <v>0</v>
      </c>
      <c r="S177" s="22">
        <f t="shared" si="77"/>
        <v>0</v>
      </c>
      <c r="T177" s="109"/>
      <c r="U177" s="113"/>
      <c r="V177" s="113"/>
    </row>
    <row r="179" spans="4:24">
      <c r="D179" s="119" t="s">
        <v>161</v>
      </c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</row>
    <row r="180" spans="4:24">
      <c r="U180" s="127" t="s">
        <v>143</v>
      </c>
      <c r="V180" s="127"/>
    </row>
    <row r="181" spans="4:24">
      <c r="D181" s="107" t="s">
        <v>68</v>
      </c>
      <c r="E181" s="107"/>
      <c r="F181" s="107" t="s">
        <v>129</v>
      </c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9" t="s">
        <v>117</v>
      </c>
      <c r="U181" s="107" t="s">
        <v>107</v>
      </c>
      <c r="V181" s="107" t="s">
        <v>19</v>
      </c>
    </row>
    <row r="182" spans="4:24">
      <c r="D182" s="107"/>
      <c r="E182" s="107"/>
      <c r="F182" s="107" t="s">
        <v>46</v>
      </c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 t="s">
        <v>134</v>
      </c>
      <c r="S182" s="107" t="s">
        <v>69</v>
      </c>
      <c r="T182" s="109"/>
      <c r="U182" s="107"/>
      <c r="V182" s="107"/>
    </row>
    <row r="183" spans="4:24">
      <c r="D183" s="107"/>
      <c r="E183" s="107"/>
      <c r="F183" s="107" t="s">
        <v>121</v>
      </c>
      <c r="G183" s="107" t="s">
        <v>52</v>
      </c>
      <c r="H183" s="107"/>
      <c r="I183" s="107" t="s">
        <v>76</v>
      </c>
      <c r="J183" s="107"/>
      <c r="K183" s="107" t="s">
        <v>149</v>
      </c>
      <c r="L183" s="107" t="s">
        <v>105</v>
      </c>
      <c r="M183" s="107" t="s">
        <v>88</v>
      </c>
      <c r="N183" s="107" t="s">
        <v>35</v>
      </c>
      <c r="O183" s="107" t="s">
        <v>33</v>
      </c>
      <c r="P183" s="107" t="s">
        <v>30</v>
      </c>
      <c r="Q183" s="107" t="s">
        <v>25</v>
      </c>
      <c r="R183" s="107"/>
      <c r="S183" s="107"/>
      <c r="T183" s="109"/>
      <c r="U183" s="107"/>
      <c r="V183" s="107"/>
    </row>
    <row r="184" spans="4:24">
      <c r="D184" s="107"/>
      <c r="E184" s="107"/>
      <c r="F184" s="110"/>
      <c r="G184" s="51" t="s">
        <v>83</v>
      </c>
      <c r="H184" s="51" t="s">
        <v>102</v>
      </c>
      <c r="I184" s="51" t="s">
        <v>83</v>
      </c>
      <c r="J184" s="51" t="s">
        <v>102</v>
      </c>
      <c r="K184" s="110"/>
      <c r="L184" s="110"/>
      <c r="M184" s="110"/>
      <c r="N184" s="110"/>
      <c r="O184" s="110"/>
      <c r="P184" s="110"/>
      <c r="Q184" s="110"/>
      <c r="R184" s="110"/>
      <c r="S184" s="107"/>
      <c r="T184" s="109"/>
      <c r="U184" s="107"/>
      <c r="V184" s="107"/>
    </row>
    <row r="185" spans="4:24">
      <c r="D185" s="126">
        <v>1</v>
      </c>
      <c r="E185" s="52" t="s">
        <v>78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2">
        <f>SUM(F185:P185)</f>
        <v>0</v>
      </c>
      <c r="R185" s="24"/>
      <c r="S185" s="22">
        <f>Q185+R185</f>
        <v>0</v>
      </c>
      <c r="T185" s="109" t="s">
        <v>117</v>
      </c>
      <c r="U185" s="113" t="s">
        <v>117</v>
      </c>
      <c r="V185" s="113" t="s">
        <v>117</v>
      </c>
      <c r="X185" s="19">
        <f>Q185*0.17</f>
        <v>0</v>
      </c>
    </row>
    <row r="186" spans="4:24">
      <c r="D186" s="126"/>
      <c r="E186" s="52" t="s">
        <v>24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2">
        <f>SUM(F186:P186)</f>
        <v>0</v>
      </c>
      <c r="R186" s="24"/>
      <c r="S186" s="22">
        <f>Q186+R186</f>
        <v>0</v>
      </c>
      <c r="T186" s="109"/>
      <c r="U186" s="113"/>
      <c r="V186" s="113"/>
      <c r="X186" s="19"/>
    </row>
    <row r="187" spans="4:24">
      <c r="D187" s="126"/>
      <c r="E187" s="52" t="s">
        <v>25</v>
      </c>
      <c r="F187" s="22">
        <f t="shared" ref="F187:P187" si="78">SUM(F185:F186)</f>
        <v>0</v>
      </c>
      <c r="G187" s="22">
        <f t="shared" si="78"/>
        <v>0</v>
      </c>
      <c r="H187" s="22">
        <f t="shared" si="78"/>
        <v>0</v>
      </c>
      <c r="I187" s="22">
        <f t="shared" si="78"/>
        <v>0</v>
      </c>
      <c r="J187" s="22">
        <f t="shared" si="78"/>
        <v>0</v>
      </c>
      <c r="K187" s="22">
        <f t="shared" si="78"/>
        <v>0</v>
      </c>
      <c r="L187" s="22">
        <f t="shared" si="78"/>
        <v>0</v>
      </c>
      <c r="M187" s="22">
        <f t="shared" si="78"/>
        <v>0</v>
      </c>
      <c r="N187" s="22">
        <f t="shared" si="78"/>
        <v>0</v>
      </c>
      <c r="O187" s="22">
        <f t="shared" si="78"/>
        <v>0</v>
      </c>
      <c r="P187" s="22">
        <f t="shared" si="78"/>
        <v>0</v>
      </c>
      <c r="Q187" s="22">
        <f>SUM(Q185:Q186)</f>
        <v>0</v>
      </c>
      <c r="R187" s="22">
        <f t="shared" ref="R187" si="79">SUM(R185:R186)</f>
        <v>0</v>
      </c>
      <c r="S187" s="22">
        <f>SUM(S185:S186)</f>
        <v>0</v>
      </c>
      <c r="T187" s="109"/>
      <c r="U187" s="113"/>
      <c r="V187" s="113"/>
      <c r="X187" s="19"/>
    </row>
    <row r="188" spans="4:24">
      <c r="D188" s="126">
        <v>2</v>
      </c>
      <c r="E188" s="52" t="s">
        <v>78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2">
        <f>SUM(F188:P188)</f>
        <v>0</v>
      </c>
      <c r="R188" s="24"/>
      <c r="S188" s="22">
        <f t="shared" ref="S188:S189" si="80">Q188+R188</f>
        <v>0</v>
      </c>
      <c r="T188" s="109" t="s">
        <v>117</v>
      </c>
      <c r="U188" s="113" t="s">
        <v>117</v>
      </c>
      <c r="V188" s="113" t="s">
        <v>117</v>
      </c>
      <c r="X188" s="19">
        <f>Q188*0.17</f>
        <v>0</v>
      </c>
    </row>
    <row r="189" spans="4:24">
      <c r="D189" s="126"/>
      <c r="E189" s="52" t="s">
        <v>24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2">
        <f>SUM(F189:P189)</f>
        <v>0</v>
      </c>
      <c r="R189" s="24"/>
      <c r="S189" s="22">
        <f t="shared" si="80"/>
        <v>0</v>
      </c>
      <c r="T189" s="109"/>
      <c r="U189" s="113"/>
      <c r="V189" s="113"/>
      <c r="X189" s="19"/>
    </row>
    <row r="190" spans="4:24">
      <c r="D190" s="126"/>
      <c r="E190" s="52" t="s">
        <v>25</v>
      </c>
      <c r="F190" s="22">
        <f>SUM(F188:F189)</f>
        <v>0</v>
      </c>
      <c r="G190" s="22">
        <f t="shared" ref="G190:R190" si="81">SUM(G188:G189)</f>
        <v>0</v>
      </c>
      <c r="H190" s="22">
        <f t="shared" si="81"/>
        <v>0</v>
      </c>
      <c r="I190" s="22">
        <f t="shared" si="81"/>
        <v>0</v>
      </c>
      <c r="J190" s="22">
        <f t="shared" si="81"/>
        <v>0</v>
      </c>
      <c r="K190" s="22">
        <f t="shared" si="81"/>
        <v>0</v>
      </c>
      <c r="L190" s="22">
        <f t="shared" si="81"/>
        <v>0</v>
      </c>
      <c r="M190" s="22">
        <f t="shared" si="81"/>
        <v>0</v>
      </c>
      <c r="N190" s="22">
        <f t="shared" si="81"/>
        <v>0</v>
      </c>
      <c r="O190" s="22">
        <f t="shared" si="81"/>
        <v>0</v>
      </c>
      <c r="P190" s="22">
        <f t="shared" si="81"/>
        <v>0</v>
      </c>
      <c r="Q190" s="22">
        <f t="shared" si="81"/>
        <v>0</v>
      </c>
      <c r="R190" s="22">
        <f t="shared" si="81"/>
        <v>0</v>
      </c>
      <c r="S190" s="22">
        <f>SUM(S188:S189)</f>
        <v>0</v>
      </c>
      <c r="T190" s="109"/>
      <c r="U190" s="113"/>
      <c r="V190" s="113"/>
      <c r="X190" s="19"/>
    </row>
    <row r="191" spans="4:24">
      <c r="D191" s="126">
        <v>3</v>
      </c>
      <c r="E191" s="52" t="s">
        <v>78</v>
      </c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2">
        <f>SUM(F191:P191)</f>
        <v>0</v>
      </c>
      <c r="R191" s="24"/>
      <c r="S191" s="22">
        <f t="shared" ref="S191:S192" si="82">Q191+R191</f>
        <v>0</v>
      </c>
      <c r="T191" s="109" t="s">
        <v>117</v>
      </c>
      <c r="U191" s="113" t="s">
        <v>117</v>
      </c>
      <c r="V191" s="113" t="s">
        <v>117</v>
      </c>
      <c r="X191" s="19">
        <f>Q191*0.17</f>
        <v>0</v>
      </c>
    </row>
    <row r="192" spans="4:24">
      <c r="D192" s="126"/>
      <c r="E192" s="52" t="s">
        <v>24</v>
      </c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2">
        <f>SUM(F192:P192)</f>
        <v>0</v>
      </c>
      <c r="R192" s="24"/>
      <c r="S192" s="22">
        <f t="shared" si="82"/>
        <v>0</v>
      </c>
      <c r="T192" s="109"/>
      <c r="U192" s="113"/>
      <c r="V192" s="113"/>
      <c r="X192" s="19"/>
    </row>
    <row r="193" spans="4:24">
      <c r="D193" s="126"/>
      <c r="E193" s="52" t="s">
        <v>25</v>
      </c>
      <c r="F193" s="22">
        <f>SUM(F191:F192)</f>
        <v>0</v>
      </c>
      <c r="G193" s="22">
        <f t="shared" ref="G193:R193" si="83">SUM(G191:G192)</f>
        <v>0</v>
      </c>
      <c r="H193" s="22">
        <f t="shared" si="83"/>
        <v>0</v>
      </c>
      <c r="I193" s="22">
        <f t="shared" si="83"/>
        <v>0</v>
      </c>
      <c r="J193" s="22">
        <f t="shared" si="83"/>
        <v>0</v>
      </c>
      <c r="K193" s="22">
        <f t="shared" si="83"/>
        <v>0</v>
      </c>
      <c r="L193" s="22">
        <f t="shared" si="83"/>
        <v>0</v>
      </c>
      <c r="M193" s="22">
        <f t="shared" si="83"/>
        <v>0</v>
      </c>
      <c r="N193" s="22">
        <f t="shared" si="83"/>
        <v>0</v>
      </c>
      <c r="O193" s="22">
        <f t="shared" si="83"/>
        <v>0</v>
      </c>
      <c r="P193" s="22">
        <f t="shared" si="83"/>
        <v>0</v>
      </c>
      <c r="Q193" s="22">
        <f t="shared" si="83"/>
        <v>0</v>
      </c>
      <c r="R193" s="22">
        <f t="shared" si="83"/>
        <v>0</v>
      </c>
      <c r="S193" s="22">
        <f>SUM(S191:S192)</f>
        <v>0</v>
      </c>
      <c r="T193" s="109"/>
      <c r="U193" s="113"/>
      <c r="V193" s="113"/>
      <c r="X193" s="19"/>
    </row>
    <row r="194" spans="4:24">
      <c r="D194" s="126">
        <v>4</v>
      </c>
      <c r="E194" s="52" t="s">
        <v>78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2">
        <f>SUM(F194:P194)</f>
        <v>0</v>
      </c>
      <c r="R194" s="24"/>
      <c r="S194" s="22">
        <f t="shared" ref="S194:S195" si="84">Q194+R194</f>
        <v>0</v>
      </c>
      <c r="T194" s="109" t="s">
        <v>117</v>
      </c>
      <c r="U194" s="113" t="s">
        <v>117</v>
      </c>
      <c r="V194" s="113" t="s">
        <v>117</v>
      </c>
      <c r="X194" s="19">
        <f>Q194*0.17</f>
        <v>0</v>
      </c>
    </row>
    <row r="195" spans="4:24">
      <c r="D195" s="126"/>
      <c r="E195" s="52" t="s">
        <v>24</v>
      </c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2">
        <f>SUM(F195:P195)</f>
        <v>0</v>
      </c>
      <c r="R195" s="24"/>
      <c r="S195" s="22">
        <f t="shared" si="84"/>
        <v>0</v>
      </c>
      <c r="T195" s="109"/>
      <c r="U195" s="113"/>
      <c r="V195" s="113"/>
      <c r="X195" s="19"/>
    </row>
    <row r="196" spans="4:24">
      <c r="D196" s="126"/>
      <c r="E196" s="52" t="s">
        <v>25</v>
      </c>
      <c r="F196" s="22">
        <f>SUM(F194:F195)</f>
        <v>0</v>
      </c>
      <c r="G196" s="22">
        <f t="shared" ref="G196:R196" si="85">SUM(G194:G195)</f>
        <v>0</v>
      </c>
      <c r="H196" s="22">
        <f t="shared" si="85"/>
        <v>0</v>
      </c>
      <c r="I196" s="22">
        <f t="shared" si="85"/>
        <v>0</v>
      </c>
      <c r="J196" s="22">
        <f t="shared" si="85"/>
        <v>0</v>
      </c>
      <c r="K196" s="22">
        <f t="shared" si="85"/>
        <v>0</v>
      </c>
      <c r="L196" s="22">
        <f t="shared" si="85"/>
        <v>0</v>
      </c>
      <c r="M196" s="22">
        <f t="shared" si="85"/>
        <v>0</v>
      </c>
      <c r="N196" s="22">
        <f t="shared" si="85"/>
        <v>0</v>
      </c>
      <c r="O196" s="22">
        <f t="shared" si="85"/>
        <v>0</v>
      </c>
      <c r="P196" s="22">
        <f t="shared" si="85"/>
        <v>0</v>
      </c>
      <c r="Q196" s="22">
        <f t="shared" si="85"/>
        <v>0</v>
      </c>
      <c r="R196" s="22">
        <f t="shared" si="85"/>
        <v>0</v>
      </c>
      <c r="S196" s="22">
        <f>SUM(S194:S195)</f>
        <v>0</v>
      </c>
      <c r="T196" s="109"/>
      <c r="U196" s="113"/>
      <c r="V196" s="113"/>
      <c r="X196" s="19"/>
    </row>
    <row r="197" spans="4:24">
      <c r="D197" s="126">
        <v>5</v>
      </c>
      <c r="E197" s="52" t="s">
        <v>78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2">
        <f>SUM(F197:P197)</f>
        <v>0</v>
      </c>
      <c r="R197" s="24"/>
      <c r="S197" s="22">
        <f t="shared" ref="S197:S198" si="86">Q197+R197</f>
        <v>0</v>
      </c>
      <c r="T197" s="109" t="s">
        <v>117</v>
      </c>
      <c r="U197" s="113" t="s">
        <v>117</v>
      </c>
      <c r="V197" s="113" t="s">
        <v>117</v>
      </c>
      <c r="X197" s="19">
        <f>Q197*0.2205</f>
        <v>0</v>
      </c>
    </row>
    <row r="198" spans="4:24">
      <c r="D198" s="126"/>
      <c r="E198" s="52" t="s">
        <v>24</v>
      </c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2">
        <f>SUM(F198:P198)</f>
        <v>0</v>
      </c>
      <c r="R198" s="24"/>
      <c r="S198" s="22">
        <f t="shared" si="86"/>
        <v>0</v>
      </c>
      <c r="T198" s="109"/>
      <c r="U198" s="113"/>
      <c r="V198" s="113"/>
    </row>
    <row r="199" spans="4:24">
      <c r="D199" s="126"/>
      <c r="E199" s="52" t="s">
        <v>25</v>
      </c>
      <c r="F199" s="22">
        <f>SUM(F197:F198)</f>
        <v>0</v>
      </c>
      <c r="G199" s="22">
        <f t="shared" ref="G199:Q199" si="87">SUM(G197:G198)</f>
        <v>0</v>
      </c>
      <c r="H199" s="22">
        <f t="shared" si="87"/>
        <v>0</v>
      </c>
      <c r="I199" s="22">
        <f t="shared" si="87"/>
        <v>0</v>
      </c>
      <c r="J199" s="22">
        <f t="shared" si="87"/>
        <v>0</v>
      </c>
      <c r="K199" s="22">
        <f t="shared" si="87"/>
        <v>0</v>
      </c>
      <c r="L199" s="22">
        <f t="shared" si="87"/>
        <v>0</v>
      </c>
      <c r="M199" s="22">
        <f t="shared" si="87"/>
        <v>0</v>
      </c>
      <c r="N199" s="22">
        <f t="shared" si="87"/>
        <v>0</v>
      </c>
      <c r="O199" s="22">
        <f t="shared" si="87"/>
        <v>0</v>
      </c>
      <c r="P199" s="22">
        <f t="shared" si="87"/>
        <v>0</v>
      </c>
      <c r="Q199" s="22">
        <f t="shared" si="87"/>
        <v>0</v>
      </c>
      <c r="R199" s="22">
        <f>SUM(R197:R198)</f>
        <v>0</v>
      </c>
      <c r="S199" s="22">
        <f>SUM(S197:S198)</f>
        <v>0</v>
      </c>
      <c r="T199" s="109"/>
      <c r="U199" s="113"/>
      <c r="V199" s="113"/>
    </row>
    <row r="200" spans="4:24">
      <c r="D200" s="126" t="s">
        <v>43</v>
      </c>
      <c r="E200" s="21" t="s">
        <v>78</v>
      </c>
      <c r="F200" s="22">
        <f>F185+F188+F191+F194+F197</f>
        <v>0</v>
      </c>
      <c r="G200" s="22">
        <f t="shared" ref="G200:S200" si="88">G185+G188+G191+G194+G197</f>
        <v>0</v>
      </c>
      <c r="H200" s="22">
        <f t="shared" si="88"/>
        <v>0</v>
      </c>
      <c r="I200" s="22">
        <f t="shared" si="88"/>
        <v>0</v>
      </c>
      <c r="J200" s="22">
        <f t="shared" si="88"/>
        <v>0</v>
      </c>
      <c r="K200" s="22">
        <f t="shared" si="88"/>
        <v>0</v>
      </c>
      <c r="L200" s="22">
        <f t="shared" si="88"/>
        <v>0</v>
      </c>
      <c r="M200" s="22">
        <f t="shared" si="88"/>
        <v>0</v>
      </c>
      <c r="N200" s="22">
        <f t="shared" si="88"/>
        <v>0</v>
      </c>
      <c r="O200" s="22">
        <f t="shared" si="88"/>
        <v>0</v>
      </c>
      <c r="P200" s="22">
        <f t="shared" si="88"/>
        <v>0</v>
      </c>
      <c r="Q200" s="22">
        <f t="shared" si="88"/>
        <v>0</v>
      </c>
      <c r="R200" s="22">
        <f t="shared" si="88"/>
        <v>0</v>
      </c>
      <c r="S200" s="22">
        <f t="shared" si="88"/>
        <v>0</v>
      </c>
      <c r="T200" s="109" t="s">
        <v>117</v>
      </c>
      <c r="U200" s="113" t="s">
        <v>117</v>
      </c>
      <c r="V200" s="113" t="s">
        <v>117</v>
      </c>
      <c r="X200" s="19">
        <f>Q200*0.17</f>
        <v>0</v>
      </c>
    </row>
    <row r="201" spans="4:24">
      <c r="D201" s="126"/>
      <c r="E201" s="21" t="s">
        <v>24</v>
      </c>
      <c r="F201" s="22">
        <f t="shared" ref="F201:S202" si="89">F186+F189+F192+F195+F198</f>
        <v>0</v>
      </c>
      <c r="G201" s="22">
        <f t="shared" si="89"/>
        <v>0</v>
      </c>
      <c r="H201" s="22">
        <f t="shared" si="89"/>
        <v>0</v>
      </c>
      <c r="I201" s="22">
        <f t="shared" si="89"/>
        <v>0</v>
      </c>
      <c r="J201" s="22">
        <f t="shared" si="89"/>
        <v>0</v>
      </c>
      <c r="K201" s="22">
        <f t="shared" si="89"/>
        <v>0</v>
      </c>
      <c r="L201" s="22">
        <f t="shared" si="89"/>
        <v>0</v>
      </c>
      <c r="M201" s="22">
        <f t="shared" si="89"/>
        <v>0</v>
      </c>
      <c r="N201" s="22">
        <f t="shared" si="89"/>
        <v>0</v>
      </c>
      <c r="O201" s="22">
        <f t="shared" si="89"/>
        <v>0</v>
      </c>
      <c r="P201" s="22">
        <f t="shared" si="89"/>
        <v>0</v>
      </c>
      <c r="Q201" s="22">
        <f t="shared" si="89"/>
        <v>0</v>
      </c>
      <c r="R201" s="22">
        <f t="shared" si="89"/>
        <v>0</v>
      </c>
      <c r="S201" s="22">
        <f t="shared" si="89"/>
        <v>0</v>
      </c>
      <c r="T201" s="109"/>
      <c r="U201" s="113"/>
      <c r="V201" s="113"/>
    </row>
    <row r="202" spans="4:24">
      <c r="D202" s="126"/>
      <c r="E202" s="21" t="s">
        <v>69</v>
      </c>
      <c r="F202" s="22">
        <f t="shared" si="89"/>
        <v>0</v>
      </c>
      <c r="G202" s="22">
        <f t="shared" si="89"/>
        <v>0</v>
      </c>
      <c r="H202" s="22">
        <f t="shared" si="89"/>
        <v>0</v>
      </c>
      <c r="I202" s="22">
        <f t="shared" si="89"/>
        <v>0</v>
      </c>
      <c r="J202" s="22">
        <f t="shared" si="89"/>
        <v>0</v>
      </c>
      <c r="K202" s="22">
        <f t="shared" si="89"/>
        <v>0</v>
      </c>
      <c r="L202" s="22">
        <f t="shared" si="89"/>
        <v>0</v>
      </c>
      <c r="M202" s="22">
        <f t="shared" si="89"/>
        <v>0</v>
      </c>
      <c r="N202" s="22">
        <f t="shared" si="89"/>
        <v>0</v>
      </c>
      <c r="O202" s="22">
        <f t="shared" si="89"/>
        <v>0</v>
      </c>
      <c r="P202" s="22">
        <f t="shared" si="89"/>
        <v>0</v>
      </c>
      <c r="Q202" s="22">
        <f t="shared" si="89"/>
        <v>0</v>
      </c>
      <c r="R202" s="22">
        <f t="shared" si="89"/>
        <v>0</v>
      </c>
      <c r="S202" s="22">
        <f t="shared" si="89"/>
        <v>0</v>
      </c>
      <c r="T202" s="109"/>
      <c r="U202" s="113"/>
      <c r="V202" s="113"/>
    </row>
    <row r="204" spans="4:24">
      <c r="D204" s="119" t="s">
        <v>162</v>
      </c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</row>
    <row r="205" spans="4:24">
      <c r="U205" s="127" t="s">
        <v>143</v>
      </c>
      <c r="V205" s="127"/>
    </row>
    <row r="206" spans="4:24">
      <c r="D206" s="107" t="s">
        <v>68</v>
      </c>
      <c r="E206" s="107"/>
      <c r="F206" s="107" t="s">
        <v>129</v>
      </c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9" t="s">
        <v>117</v>
      </c>
      <c r="U206" s="107" t="s">
        <v>107</v>
      </c>
      <c r="V206" s="107" t="s">
        <v>19</v>
      </c>
    </row>
    <row r="207" spans="4:24">
      <c r="D207" s="107"/>
      <c r="E207" s="107"/>
      <c r="F207" s="107" t="s">
        <v>46</v>
      </c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 t="s">
        <v>134</v>
      </c>
      <c r="S207" s="107" t="s">
        <v>69</v>
      </c>
      <c r="T207" s="109"/>
      <c r="U207" s="107"/>
      <c r="V207" s="107"/>
    </row>
    <row r="208" spans="4:24">
      <c r="D208" s="107"/>
      <c r="E208" s="107"/>
      <c r="F208" s="107" t="s">
        <v>121</v>
      </c>
      <c r="G208" s="107" t="s">
        <v>52</v>
      </c>
      <c r="H208" s="107"/>
      <c r="I208" s="107" t="s">
        <v>76</v>
      </c>
      <c r="J208" s="107"/>
      <c r="K208" s="107" t="s">
        <v>149</v>
      </c>
      <c r="L208" s="107" t="s">
        <v>105</v>
      </c>
      <c r="M208" s="107" t="s">
        <v>88</v>
      </c>
      <c r="N208" s="107" t="s">
        <v>35</v>
      </c>
      <c r="O208" s="107" t="s">
        <v>33</v>
      </c>
      <c r="P208" s="107" t="s">
        <v>30</v>
      </c>
      <c r="Q208" s="107" t="s">
        <v>25</v>
      </c>
      <c r="R208" s="107"/>
      <c r="S208" s="107"/>
      <c r="T208" s="109"/>
      <c r="U208" s="107"/>
      <c r="V208" s="107"/>
    </row>
    <row r="209" spans="4:24">
      <c r="D209" s="107"/>
      <c r="E209" s="107"/>
      <c r="F209" s="107"/>
      <c r="G209" s="20" t="s">
        <v>83</v>
      </c>
      <c r="H209" s="20" t="s">
        <v>102</v>
      </c>
      <c r="I209" s="20" t="s">
        <v>83</v>
      </c>
      <c r="J209" s="20" t="s">
        <v>102</v>
      </c>
      <c r="K209" s="107"/>
      <c r="L209" s="107"/>
      <c r="M209" s="107"/>
      <c r="N209" s="107"/>
      <c r="O209" s="107"/>
      <c r="P209" s="107"/>
      <c r="Q209" s="107"/>
      <c r="R209" s="107"/>
      <c r="S209" s="107"/>
      <c r="T209" s="109"/>
      <c r="U209" s="107"/>
      <c r="V209" s="107"/>
    </row>
    <row r="210" spans="4:24">
      <c r="D210" s="126">
        <v>1</v>
      </c>
      <c r="E210" s="21" t="s">
        <v>78</v>
      </c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2">
        <f>SUM(F210:P210)</f>
        <v>0</v>
      </c>
      <c r="R210" s="24"/>
      <c r="S210" s="22">
        <f>Q210+R210</f>
        <v>0</v>
      </c>
      <c r="T210" s="109" t="s">
        <v>117</v>
      </c>
      <c r="U210" s="113" t="s">
        <v>117</v>
      </c>
      <c r="V210" s="113" t="s">
        <v>117</v>
      </c>
      <c r="X210" s="19">
        <f>Q210*0.1</f>
        <v>0</v>
      </c>
    </row>
    <row r="211" spans="4:24">
      <c r="D211" s="126"/>
      <c r="E211" s="21" t="s">
        <v>24</v>
      </c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2">
        <f>SUM(F211:P211)</f>
        <v>0</v>
      </c>
      <c r="R211" s="24"/>
      <c r="S211" s="22">
        <f>Q211+R211</f>
        <v>0</v>
      </c>
      <c r="T211" s="109"/>
      <c r="U211" s="113"/>
      <c r="V211" s="113"/>
    </row>
    <row r="212" spans="4:24">
      <c r="D212" s="126"/>
      <c r="E212" s="21" t="s">
        <v>25</v>
      </c>
      <c r="F212" s="22">
        <f t="shared" ref="F212:P212" si="90">SUM(F210:F211)</f>
        <v>0</v>
      </c>
      <c r="G212" s="22">
        <f t="shared" si="90"/>
        <v>0</v>
      </c>
      <c r="H212" s="22">
        <f t="shared" si="90"/>
        <v>0</v>
      </c>
      <c r="I212" s="22">
        <f t="shared" si="90"/>
        <v>0</v>
      </c>
      <c r="J212" s="22">
        <f t="shared" si="90"/>
        <v>0</v>
      </c>
      <c r="K212" s="22">
        <f t="shared" si="90"/>
        <v>0</v>
      </c>
      <c r="L212" s="22">
        <f t="shared" si="90"/>
        <v>0</v>
      </c>
      <c r="M212" s="22">
        <f t="shared" si="90"/>
        <v>0</v>
      </c>
      <c r="N212" s="22">
        <f t="shared" si="90"/>
        <v>0</v>
      </c>
      <c r="O212" s="22">
        <f t="shared" si="90"/>
        <v>0</v>
      </c>
      <c r="P212" s="22">
        <f t="shared" si="90"/>
        <v>0</v>
      </c>
      <c r="Q212" s="22">
        <f>SUM(Q210:Q211)</f>
        <v>0</v>
      </c>
      <c r="R212" s="22">
        <f t="shared" ref="R212" si="91">SUM(R210:R211)</f>
        <v>0</v>
      </c>
      <c r="S212" s="22">
        <f>SUM(S210:S211)</f>
        <v>0</v>
      </c>
      <c r="T212" s="109"/>
      <c r="U212" s="113"/>
      <c r="V212" s="113"/>
    </row>
    <row r="213" spans="4:24">
      <c r="D213" s="126">
        <v>2</v>
      </c>
      <c r="E213" s="21" t="s">
        <v>78</v>
      </c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2">
        <f>SUM(F213:P213)</f>
        <v>0</v>
      </c>
      <c r="R213" s="24"/>
      <c r="S213" s="22">
        <f t="shared" ref="S213:S214" si="92">Q213+R213</f>
        <v>0</v>
      </c>
      <c r="T213" s="109" t="s">
        <v>117</v>
      </c>
      <c r="U213" s="113" t="s">
        <v>117</v>
      </c>
      <c r="V213" s="113" t="s">
        <v>117</v>
      </c>
      <c r="X213" s="19">
        <f>Q213*0.1</f>
        <v>0</v>
      </c>
    </row>
    <row r="214" spans="4:24">
      <c r="D214" s="126"/>
      <c r="E214" s="21" t="s">
        <v>24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2">
        <f>SUM(F214:P214)</f>
        <v>0</v>
      </c>
      <c r="R214" s="24"/>
      <c r="S214" s="22">
        <f t="shared" si="92"/>
        <v>0</v>
      </c>
      <c r="T214" s="109"/>
      <c r="U214" s="113"/>
      <c r="V214" s="113"/>
    </row>
    <row r="215" spans="4:24">
      <c r="D215" s="126"/>
      <c r="E215" s="21" t="s">
        <v>25</v>
      </c>
      <c r="F215" s="22">
        <f>SUM(F213:F214)</f>
        <v>0</v>
      </c>
      <c r="G215" s="22">
        <f t="shared" ref="G215:R215" si="93">SUM(G213:G214)</f>
        <v>0</v>
      </c>
      <c r="H215" s="22">
        <f t="shared" si="93"/>
        <v>0</v>
      </c>
      <c r="I215" s="22">
        <f t="shared" si="93"/>
        <v>0</v>
      </c>
      <c r="J215" s="22">
        <f t="shared" si="93"/>
        <v>0</v>
      </c>
      <c r="K215" s="22">
        <f t="shared" si="93"/>
        <v>0</v>
      </c>
      <c r="L215" s="22">
        <f t="shared" si="93"/>
        <v>0</v>
      </c>
      <c r="M215" s="22">
        <f t="shared" si="93"/>
        <v>0</v>
      </c>
      <c r="N215" s="22">
        <f t="shared" si="93"/>
        <v>0</v>
      </c>
      <c r="O215" s="22">
        <f t="shared" si="93"/>
        <v>0</v>
      </c>
      <c r="P215" s="22">
        <f t="shared" si="93"/>
        <v>0</v>
      </c>
      <c r="Q215" s="22">
        <f t="shared" si="93"/>
        <v>0</v>
      </c>
      <c r="R215" s="22">
        <f t="shared" si="93"/>
        <v>0</v>
      </c>
      <c r="S215" s="22">
        <f>SUM(S213:S214)</f>
        <v>0</v>
      </c>
      <c r="T215" s="109"/>
      <c r="U215" s="113"/>
      <c r="V215" s="113"/>
    </row>
    <row r="216" spans="4:24">
      <c r="D216" s="126">
        <v>3</v>
      </c>
      <c r="E216" s="21" t="s">
        <v>78</v>
      </c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2">
        <f>SUM(F216:P216)</f>
        <v>0</v>
      </c>
      <c r="R216" s="24"/>
      <c r="S216" s="22">
        <f t="shared" ref="S216:S217" si="94">Q216+R216</f>
        <v>0</v>
      </c>
      <c r="T216" s="109" t="s">
        <v>117</v>
      </c>
      <c r="U216" s="113" t="s">
        <v>117</v>
      </c>
      <c r="V216" s="113" t="s">
        <v>117</v>
      </c>
      <c r="X216" s="19">
        <f>Q216*0.1</f>
        <v>0</v>
      </c>
    </row>
    <row r="217" spans="4:24">
      <c r="D217" s="126"/>
      <c r="E217" s="21" t="s">
        <v>24</v>
      </c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2">
        <f>SUM(F217:P217)</f>
        <v>0</v>
      </c>
      <c r="R217" s="24"/>
      <c r="S217" s="22">
        <f t="shared" si="94"/>
        <v>0</v>
      </c>
      <c r="T217" s="109"/>
      <c r="U217" s="113"/>
      <c r="V217" s="113"/>
    </row>
    <row r="218" spans="4:24">
      <c r="D218" s="126"/>
      <c r="E218" s="21" t="s">
        <v>25</v>
      </c>
      <c r="F218" s="22">
        <f>SUM(F216:F217)</f>
        <v>0</v>
      </c>
      <c r="G218" s="22">
        <f t="shared" ref="G218:R218" si="95">SUM(G216:G217)</f>
        <v>0</v>
      </c>
      <c r="H218" s="22">
        <f t="shared" si="95"/>
        <v>0</v>
      </c>
      <c r="I218" s="22">
        <f t="shared" si="95"/>
        <v>0</v>
      </c>
      <c r="J218" s="22">
        <f t="shared" si="95"/>
        <v>0</v>
      </c>
      <c r="K218" s="22">
        <f t="shared" si="95"/>
        <v>0</v>
      </c>
      <c r="L218" s="22">
        <f t="shared" si="95"/>
        <v>0</v>
      </c>
      <c r="M218" s="22">
        <f t="shared" si="95"/>
        <v>0</v>
      </c>
      <c r="N218" s="22">
        <f t="shared" si="95"/>
        <v>0</v>
      </c>
      <c r="O218" s="22">
        <f t="shared" si="95"/>
        <v>0</v>
      </c>
      <c r="P218" s="22">
        <f t="shared" si="95"/>
        <v>0</v>
      </c>
      <c r="Q218" s="22">
        <f t="shared" si="95"/>
        <v>0</v>
      </c>
      <c r="R218" s="22">
        <f t="shared" si="95"/>
        <v>0</v>
      </c>
      <c r="S218" s="22">
        <f>SUM(S216:S217)</f>
        <v>0</v>
      </c>
      <c r="T218" s="109"/>
      <c r="U218" s="113"/>
      <c r="V218" s="113"/>
    </row>
    <row r="219" spans="4:24">
      <c r="D219" s="126">
        <v>4</v>
      </c>
      <c r="E219" s="21" t="s">
        <v>78</v>
      </c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2">
        <f>SUM(F219:P219)</f>
        <v>0</v>
      </c>
      <c r="R219" s="24"/>
      <c r="S219" s="22">
        <f t="shared" ref="S219:S220" si="96">Q219+R219</f>
        <v>0</v>
      </c>
      <c r="T219" s="109" t="s">
        <v>117</v>
      </c>
      <c r="U219" s="113" t="s">
        <v>117</v>
      </c>
      <c r="V219" s="113" t="s">
        <v>117</v>
      </c>
      <c r="X219" s="19">
        <f>Q219*0.1</f>
        <v>0</v>
      </c>
    </row>
    <row r="220" spans="4:24">
      <c r="D220" s="126"/>
      <c r="E220" s="21" t="s">
        <v>24</v>
      </c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2">
        <f>SUM(F220:P220)</f>
        <v>0</v>
      </c>
      <c r="R220" s="24"/>
      <c r="S220" s="22">
        <f t="shared" si="96"/>
        <v>0</v>
      </c>
      <c r="T220" s="109"/>
      <c r="U220" s="113"/>
      <c r="V220" s="113"/>
    </row>
    <row r="221" spans="4:24">
      <c r="D221" s="126"/>
      <c r="E221" s="21" t="s">
        <v>25</v>
      </c>
      <c r="F221" s="22">
        <f>SUM(F219:F220)</f>
        <v>0</v>
      </c>
      <c r="G221" s="22">
        <f t="shared" ref="G221:R221" si="97">SUM(G219:G220)</f>
        <v>0</v>
      </c>
      <c r="H221" s="22">
        <f t="shared" si="97"/>
        <v>0</v>
      </c>
      <c r="I221" s="22">
        <f t="shared" si="97"/>
        <v>0</v>
      </c>
      <c r="J221" s="22">
        <f t="shared" si="97"/>
        <v>0</v>
      </c>
      <c r="K221" s="22">
        <f t="shared" si="97"/>
        <v>0</v>
      </c>
      <c r="L221" s="22">
        <f t="shared" si="97"/>
        <v>0</v>
      </c>
      <c r="M221" s="22">
        <f t="shared" si="97"/>
        <v>0</v>
      </c>
      <c r="N221" s="22">
        <f t="shared" si="97"/>
        <v>0</v>
      </c>
      <c r="O221" s="22">
        <f t="shared" si="97"/>
        <v>0</v>
      </c>
      <c r="P221" s="22">
        <f t="shared" si="97"/>
        <v>0</v>
      </c>
      <c r="Q221" s="22">
        <f t="shared" si="97"/>
        <v>0</v>
      </c>
      <c r="R221" s="22">
        <f t="shared" si="97"/>
        <v>0</v>
      </c>
      <c r="S221" s="22">
        <f>SUM(S219:S220)</f>
        <v>0</v>
      </c>
      <c r="T221" s="109"/>
      <c r="U221" s="113"/>
      <c r="V221" s="113"/>
    </row>
    <row r="222" spans="4:24">
      <c r="D222" s="126">
        <v>5</v>
      </c>
      <c r="E222" s="21" t="s">
        <v>78</v>
      </c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2">
        <f>SUM(F222:P222)</f>
        <v>0</v>
      </c>
      <c r="R222" s="24"/>
      <c r="S222" s="22">
        <f t="shared" ref="S222:S223" si="98">Q222+R222</f>
        <v>0</v>
      </c>
      <c r="T222" s="109" t="s">
        <v>117</v>
      </c>
      <c r="U222" s="113" t="s">
        <v>117</v>
      </c>
      <c r="V222" s="113" t="s">
        <v>117</v>
      </c>
      <c r="X222" s="19">
        <f>Q222*0.2205</f>
        <v>0</v>
      </c>
    </row>
    <row r="223" spans="4:24">
      <c r="D223" s="126"/>
      <c r="E223" s="21" t="s">
        <v>24</v>
      </c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2">
        <f>SUM(F223:P223)</f>
        <v>0</v>
      </c>
      <c r="R223" s="24"/>
      <c r="S223" s="22">
        <f t="shared" si="98"/>
        <v>0</v>
      </c>
      <c r="T223" s="109"/>
      <c r="U223" s="113"/>
      <c r="V223" s="113"/>
    </row>
    <row r="224" spans="4:24">
      <c r="D224" s="126"/>
      <c r="E224" s="21" t="s">
        <v>25</v>
      </c>
      <c r="F224" s="22">
        <f>SUM(F222:F223)</f>
        <v>0</v>
      </c>
      <c r="G224" s="22">
        <f t="shared" ref="G224:Q224" si="99">SUM(G222:G223)</f>
        <v>0</v>
      </c>
      <c r="H224" s="22">
        <f t="shared" si="99"/>
        <v>0</v>
      </c>
      <c r="I224" s="22">
        <f t="shared" si="99"/>
        <v>0</v>
      </c>
      <c r="J224" s="22">
        <f t="shared" si="99"/>
        <v>0</v>
      </c>
      <c r="K224" s="22">
        <f t="shared" si="99"/>
        <v>0</v>
      </c>
      <c r="L224" s="22">
        <f t="shared" si="99"/>
        <v>0</v>
      </c>
      <c r="M224" s="22">
        <f t="shared" si="99"/>
        <v>0</v>
      </c>
      <c r="N224" s="22">
        <f t="shared" si="99"/>
        <v>0</v>
      </c>
      <c r="O224" s="22">
        <f t="shared" si="99"/>
        <v>0</v>
      </c>
      <c r="P224" s="22">
        <f t="shared" si="99"/>
        <v>0</v>
      </c>
      <c r="Q224" s="22">
        <f t="shared" si="99"/>
        <v>0</v>
      </c>
      <c r="R224" s="22">
        <f>SUM(R222:R223)</f>
        <v>0</v>
      </c>
      <c r="S224" s="22">
        <f>SUM(S222:S223)</f>
        <v>0</v>
      </c>
      <c r="T224" s="109"/>
      <c r="U224" s="113"/>
      <c r="V224" s="113"/>
    </row>
    <row r="225" spans="4:24">
      <c r="D225" s="126" t="s">
        <v>43</v>
      </c>
      <c r="E225" s="21" t="s">
        <v>78</v>
      </c>
      <c r="F225" s="22">
        <f>F210+F213+F216+F219+F222</f>
        <v>0</v>
      </c>
      <c r="G225" s="22">
        <f t="shared" ref="G225:S225" si="100">G210+G213+G216+G219+G222</f>
        <v>0</v>
      </c>
      <c r="H225" s="22">
        <f t="shared" si="100"/>
        <v>0</v>
      </c>
      <c r="I225" s="22">
        <f t="shared" si="100"/>
        <v>0</v>
      </c>
      <c r="J225" s="22">
        <f t="shared" si="100"/>
        <v>0</v>
      </c>
      <c r="K225" s="22">
        <f t="shared" si="100"/>
        <v>0</v>
      </c>
      <c r="L225" s="22">
        <f t="shared" si="100"/>
        <v>0</v>
      </c>
      <c r="M225" s="22">
        <f t="shared" si="100"/>
        <v>0</v>
      </c>
      <c r="N225" s="22">
        <f t="shared" si="100"/>
        <v>0</v>
      </c>
      <c r="O225" s="22">
        <f t="shared" si="100"/>
        <v>0</v>
      </c>
      <c r="P225" s="22">
        <f t="shared" si="100"/>
        <v>0</v>
      </c>
      <c r="Q225" s="22">
        <f t="shared" si="100"/>
        <v>0</v>
      </c>
      <c r="R225" s="22">
        <f t="shared" si="100"/>
        <v>0</v>
      </c>
      <c r="S225" s="22">
        <f t="shared" si="100"/>
        <v>0</v>
      </c>
      <c r="T225" s="109" t="s">
        <v>117</v>
      </c>
      <c r="U225" s="113" t="s">
        <v>117</v>
      </c>
      <c r="V225" s="113" t="s">
        <v>117</v>
      </c>
      <c r="X225" s="19">
        <f>Q225*0.1</f>
        <v>0</v>
      </c>
    </row>
    <row r="226" spans="4:24">
      <c r="D226" s="126"/>
      <c r="E226" s="21" t="s">
        <v>24</v>
      </c>
      <c r="F226" s="22">
        <f t="shared" ref="F226:S227" si="101">F211+F214+F217+F220+F223</f>
        <v>0</v>
      </c>
      <c r="G226" s="22">
        <f t="shared" si="101"/>
        <v>0</v>
      </c>
      <c r="H226" s="22">
        <f t="shared" si="101"/>
        <v>0</v>
      </c>
      <c r="I226" s="22">
        <f t="shared" si="101"/>
        <v>0</v>
      </c>
      <c r="J226" s="22">
        <f t="shared" si="101"/>
        <v>0</v>
      </c>
      <c r="K226" s="22">
        <f t="shared" si="101"/>
        <v>0</v>
      </c>
      <c r="L226" s="22">
        <f t="shared" si="101"/>
        <v>0</v>
      </c>
      <c r="M226" s="22">
        <f t="shared" si="101"/>
        <v>0</v>
      </c>
      <c r="N226" s="22">
        <f t="shared" si="101"/>
        <v>0</v>
      </c>
      <c r="O226" s="22">
        <f t="shared" si="101"/>
        <v>0</v>
      </c>
      <c r="P226" s="22">
        <f t="shared" si="101"/>
        <v>0</v>
      </c>
      <c r="Q226" s="22">
        <f t="shared" si="101"/>
        <v>0</v>
      </c>
      <c r="R226" s="22">
        <f t="shared" si="101"/>
        <v>0</v>
      </c>
      <c r="S226" s="22">
        <f t="shared" si="101"/>
        <v>0</v>
      </c>
      <c r="T226" s="109"/>
      <c r="U226" s="113"/>
      <c r="V226" s="113"/>
    </row>
    <row r="227" spans="4:24">
      <c r="D227" s="126"/>
      <c r="E227" s="21" t="s">
        <v>69</v>
      </c>
      <c r="F227" s="22">
        <f t="shared" si="101"/>
        <v>0</v>
      </c>
      <c r="G227" s="22">
        <f t="shared" si="101"/>
        <v>0</v>
      </c>
      <c r="H227" s="22">
        <f t="shared" si="101"/>
        <v>0</v>
      </c>
      <c r="I227" s="22">
        <f t="shared" si="101"/>
        <v>0</v>
      </c>
      <c r="J227" s="22">
        <f t="shared" si="101"/>
        <v>0</v>
      </c>
      <c r="K227" s="22">
        <f t="shared" si="101"/>
        <v>0</v>
      </c>
      <c r="L227" s="22">
        <f t="shared" si="101"/>
        <v>0</v>
      </c>
      <c r="M227" s="22">
        <f t="shared" si="101"/>
        <v>0</v>
      </c>
      <c r="N227" s="22">
        <f t="shared" si="101"/>
        <v>0</v>
      </c>
      <c r="O227" s="22">
        <f t="shared" si="101"/>
        <v>0</v>
      </c>
      <c r="P227" s="22">
        <f t="shared" si="101"/>
        <v>0</v>
      </c>
      <c r="Q227" s="22">
        <f t="shared" si="101"/>
        <v>0</v>
      </c>
      <c r="R227" s="22">
        <f t="shared" si="101"/>
        <v>0</v>
      </c>
      <c r="S227" s="22">
        <f t="shared" si="101"/>
        <v>0</v>
      </c>
      <c r="T227" s="109"/>
      <c r="U227" s="113"/>
      <c r="V227" s="113"/>
    </row>
    <row r="229" spans="4:24">
      <c r="D229" s="119" t="s">
        <v>162</v>
      </c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</row>
    <row r="230" spans="4:24">
      <c r="U230" s="127" t="s">
        <v>143</v>
      </c>
      <c r="V230" s="127"/>
    </row>
    <row r="231" spans="4:24">
      <c r="D231" s="107" t="s">
        <v>68</v>
      </c>
      <c r="E231" s="107"/>
      <c r="F231" s="107" t="s">
        <v>129</v>
      </c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9" t="s">
        <v>117</v>
      </c>
      <c r="U231" s="107" t="s">
        <v>107</v>
      </c>
      <c r="V231" s="107" t="s">
        <v>19</v>
      </c>
    </row>
    <row r="232" spans="4:24">
      <c r="D232" s="107"/>
      <c r="E232" s="107"/>
      <c r="F232" s="107" t="s">
        <v>46</v>
      </c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 t="s">
        <v>134</v>
      </c>
      <c r="S232" s="107" t="s">
        <v>69</v>
      </c>
      <c r="T232" s="109"/>
      <c r="U232" s="107"/>
      <c r="V232" s="107"/>
    </row>
    <row r="233" spans="4:24">
      <c r="D233" s="107"/>
      <c r="E233" s="107"/>
      <c r="F233" s="107" t="s">
        <v>121</v>
      </c>
      <c r="G233" s="107" t="s">
        <v>52</v>
      </c>
      <c r="H233" s="107"/>
      <c r="I233" s="107" t="s">
        <v>76</v>
      </c>
      <c r="J233" s="107"/>
      <c r="K233" s="107" t="s">
        <v>149</v>
      </c>
      <c r="L233" s="107" t="s">
        <v>105</v>
      </c>
      <c r="M233" s="107" t="s">
        <v>88</v>
      </c>
      <c r="N233" s="107" t="s">
        <v>35</v>
      </c>
      <c r="O233" s="107" t="s">
        <v>33</v>
      </c>
      <c r="P233" s="107" t="s">
        <v>30</v>
      </c>
      <c r="Q233" s="107" t="s">
        <v>25</v>
      </c>
      <c r="R233" s="107"/>
      <c r="S233" s="107"/>
      <c r="T233" s="109"/>
      <c r="U233" s="107"/>
      <c r="V233" s="107"/>
    </row>
    <row r="234" spans="4:24">
      <c r="D234" s="107"/>
      <c r="E234" s="107"/>
      <c r="F234" s="107"/>
      <c r="G234" s="20" t="s">
        <v>83</v>
      </c>
      <c r="H234" s="20" t="s">
        <v>102</v>
      </c>
      <c r="I234" s="20" t="s">
        <v>83</v>
      </c>
      <c r="J234" s="20" t="s">
        <v>102</v>
      </c>
      <c r="K234" s="107"/>
      <c r="L234" s="107"/>
      <c r="M234" s="107"/>
      <c r="N234" s="107"/>
      <c r="O234" s="107"/>
      <c r="P234" s="107"/>
      <c r="Q234" s="107"/>
      <c r="R234" s="107"/>
      <c r="S234" s="107"/>
      <c r="T234" s="109"/>
      <c r="U234" s="107"/>
      <c r="V234" s="107"/>
    </row>
    <row r="235" spans="4:24">
      <c r="D235" s="126">
        <v>1</v>
      </c>
      <c r="E235" s="21" t="s">
        <v>78</v>
      </c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2">
        <f>SUM(F235:P235)</f>
        <v>0</v>
      </c>
      <c r="R235" s="24"/>
      <c r="S235" s="22">
        <f>Q235+R235</f>
        <v>0</v>
      </c>
      <c r="T235" s="109" t="s">
        <v>117</v>
      </c>
      <c r="U235" s="113" t="s">
        <v>117</v>
      </c>
      <c r="V235" s="113" t="s">
        <v>117</v>
      </c>
      <c r="X235" s="19">
        <f>Q235*0.1</f>
        <v>0</v>
      </c>
    </row>
    <row r="236" spans="4:24">
      <c r="D236" s="126"/>
      <c r="E236" s="21" t="s">
        <v>24</v>
      </c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2">
        <f>SUM(F236:P236)</f>
        <v>0</v>
      </c>
      <c r="R236" s="24"/>
      <c r="S236" s="22">
        <f>Q236+R236</f>
        <v>0</v>
      </c>
      <c r="T236" s="109"/>
      <c r="U236" s="113"/>
      <c r="V236" s="113"/>
    </row>
    <row r="237" spans="4:24">
      <c r="D237" s="126"/>
      <c r="E237" s="21" t="s">
        <v>25</v>
      </c>
      <c r="F237" s="22">
        <f t="shared" ref="F237:P237" si="102">SUM(F235:F236)</f>
        <v>0</v>
      </c>
      <c r="G237" s="22">
        <f t="shared" si="102"/>
        <v>0</v>
      </c>
      <c r="H237" s="22">
        <f t="shared" si="102"/>
        <v>0</v>
      </c>
      <c r="I237" s="22">
        <f t="shared" si="102"/>
        <v>0</v>
      </c>
      <c r="J237" s="22">
        <f t="shared" si="102"/>
        <v>0</v>
      </c>
      <c r="K237" s="22">
        <f t="shared" si="102"/>
        <v>0</v>
      </c>
      <c r="L237" s="22">
        <f t="shared" si="102"/>
        <v>0</v>
      </c>
      <c r="M237" s="22">
        <f t="shared" si="102"/>
        <v>0</v>
      </c>
      <c r="N237" s="22">
        <f t="shared" si="102"/>
        <v>0</v>
      </c>
      <c r="O237" s="22">
        <f t="shared" si="102"/>
        <v>0</v>
      </c>
      <c r="P237" s="22">
        <f t="shared" si="102"/>
        <v>0</v>
      </c>
      <c r="Q237" s="22">
        <f>SUM(Q235:Q236)</f>
        <v>0</v>
      </c>
      <c r="R237" s="22">
        <f t="shared" ref="R237" si="103">SUM(R235:R236)</f>
        <v>0</v>
      </c>
      <c r="S237" s="22">
        <f>SUM(S235:S236)</f>
        <v>0</v>
      </c>
      <c r="T237" s="109"/>
      <c r="U237" s="113"/>
      <c r="V237" s="113"/>
    </row>
    <row r="238" spans="4:24">
      <c r="D238" s="126">
        <v>2</v>
      </c>
      <c r="E238" s="21" t="s">
        <v>78</v>
      </c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2">
        <f>SUM(F238:P238)</f>
        <v>0</v>
      </c>
      <c r="R238" s="24"/>
      <c r="S238" s="22">
        <f t="shared" ref="S238:S239" si="104">Q238+R238</f>
        <v>0</v>
      </c>
      <c r="T238" s="109" t="s">
        <v>117</v>
      </c>
      <c r="U238" s="113" t="s">
        <v>117</v>
      </c>
      <c r="V238" s="113" t="s">
        <v>117</v>
      </c>
      <c r="X238" s="19">
        <f>Q238*0.1</f>
        <v>0</v>
      </c>
    </row>
    <row r="239" spans="4:24">
      <c r="D239" s="126"/>
      <c r="E239" s="21" t="s">
        <v>24</v>
      </c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2">
        <f>SUM(F239:P239)</f>
        <v>0</v>
      </c>
      <c r="R239" s="24"/>
      <c r="S239" s="22">
        <f t="shared" si="104"/>
        <v>0</v>
      </c>
      <c r="T239" s="109"/>
      <c r="U239" s="113"/>
      <c r="V239" s="113"/>
    </row>
    <row r="240" spans="4:24">
      <c r="D240" s="126"/>
      <c r="E240" s="21" t="s">
        <v>25</v>
      </c>
      <c r="F240" s="22">
        <f>SUM(F238:F239)</f>
        <v>0</v>
      </c>
      <c r="G240" s="22">
        <f t="shared" ref="G240:R240" si="105">SUM(G238:G239)</f>
        <v>0</v>
      </c>
      <c r="H240" s="22">
        <f t="shared" si="105"/>
        <v>0</v>
      </c>
      <c r="I240" s="22">
        <f t="shared" si="105"/>
        <v>0</v>
      </c>
      <c r="J240" s="22">
        <f t="shared" si="105"/>
        <v>0</v>
      </c>
      <c r="K240" s="22">
        <f t="shared" si="105"/>
        <v>0</v>
      </c>
      <c r="L240" s="22">
        <f t="shared" si="105"/>
        <v>0</v>
      </c>
      <c r="M240" s="22">
        <f t="shared" si="105"/>
        <v>0</v>
      </c>
      <c r="N240" s="22">
        <f t="shared" si="105"/>
        <v>0</v>
      </c>
      <c r="O240" s="22">
        <f t="shared" si="105"/>
        <v>0</v>
      </c>
      <c r="P240" s="22">
        <f t="shared" si="105"/>
        <v>0</v>
      </c>
      <c r="Q240" s="22">
        <f t="shared" si="105"/>
        <v>0</v>
      </c>
      <c r="R240" s="22">
        <f t="shared" si="105"/>
        <v>0</v>
      </c>
      <c r="S240" s="22">
        <f>SUM(S238:S239)</f>
        <v>0</v>
      </c>
      <c r="T240" s="109"/>
      <c r="U240" s="113"/>
      <c r="V240" s="113"/>
    </row>
    <row r="241" spans="4:24">
      <c r="D241" s="126">
        <v>3</v>
      </c>
      <c r="E241" s="21" t="s">
        <v>78</v>
      </c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2">
        <f>SUM(F241:P241)</f>
        <v>0</v>
      </c>
      <c r="R241" s="24"/>
      <c r="S241" s="22">
        <f t="shared" ref="S241:S242" si="106">Q241+R241</f>
        <v>0</v>
      </c>
      <c r="T241" s="109" t="s">
        <v>117</v>
      </c>
      <c r="U241" s="113" t="s">
        <v>117</v>
      </c>
      <c r="V241" s="113" t="s">
        <v>117</v>
      </c>
      <c r="X241" s="19">
        <f>Q241*0.1</f>
        <v>0</v>
      </c>
    </row>
    <row r="242" spans="4:24">
      <c r="D242" s="126"/>
      <c r="E242" s="21" t="s">
        <v>24</v>
      </c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2">
        <f>SUM(F242:P242)</f>
        <v>0</v>
      </c>
      <c r="R242" s="24"/>
      <c r="S242" s="22">
        <f t="shared" si="106"/>
        <v>0</v>
      </c>
      <c r="T242" s="109"/>
      <c r="U242" s="113"/>
      <c r="V242" s="113"/>
    </row>
    <row r="243" spans="4:24">
      <c r="D243" s="126"/>
      <c r="E243" s="21" t="s">
        <v>25</v>
      </c>
      <c r="F243" s="22">
        <f>SUM(F241:F242)</f>
        <v>0</v>
      </c>
      <c r="G243" s="22">
        <f t="shared" ref="G243:R243" si="107">SUM(G241:G242)</f>
        <v>0</v>
      </c>
      <c r="H243" s="22">
        <f t="shared" si="107"/>
        <v>0</v>
      </c>
      <c r="I243" s="22">
        <f t="shared" si="107"/>
        <v>0</v>
      </c>
      <c r="J243" s="22">
        <f t="shared" si="107"/>
        <v>0</v>
      </c>
      <c r="K243" s="22">
        <f t="shared" si="107"/>
        <v>0</v>
      </c>
      <c r="L243" s="22">
        <f t="shared" si="107"/>
        <v>0</v>
      </c>
      <c r="M243" s="22">
        <f t="shared" si="107"/>
        <v>0</v>
      </c>
      <c r="N243" s="22">
        <f t="shared" si="107"/>
        <v>0</v>
      </c>
      <c r="O243" s="22">
        <f t="shared" si="107"/>
        <v>0</v>
      </c>
      <c r="P243" s="22">
        <f t="shared" si="107"/>
        <v>0</v>
      </c>
      <c r="Q243" s="22">
        <f t="shared" si="107"/>
        <v>0</v>
      </c>
      <c r="R243" s="22">
        <f t="shared" si="107"/>
        <v>0</v>
      </c>
      <c r="S243" s="22">
        <f>SUM(S241:S242)</f>
        <v>0</v>
      </c>
      <c r="T243" s="109"/>
      <c r="U243" s="113"/>
      <c r="V243" s="113"/>
    </row>
    <row r="244" spans="4:24">
      <c r="D244" s="126">
        <v>4</v>
      </c>
      <c r="E244" s="21" t="s">
        <v>78</v>
      </c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2">
        <f>SUM(F244:P244)</f>
        <v>0</v>
      </c>
      <c r="R244" s="24"/>
      <c r="S244" s="22">
        <f t="shared" ref="S244:S245" si="108">Q244+R244</f>
        <v>0</v>
      </c>
      <c r="T244" s="109" t="s">
        <v>117</v>
      </c>
      <c r="U244" s="113" t="s">
        <v>117</v>
      </c>
      <c r="V244" s="113" t="s">
        <v>117</v>
      </c>
      <c r="X244" s="19">
        <f>Q244*0.1</f>
        <v>0</v>
      </c>
    </row>
    <row r="245" spans="4:24">
      <c r="D245" s="126"/>
      <c r="E245" s="21" t="s">
        <v>24</v>
      </c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2">
        <f>SUM(F245:P245)</f>
        <v>0</v>
      </c>
      <c r="R245" s="24"/>
      <c r="S245" s="22">
        <f t="shared" si="108"/>
        <v>0</v>
      </c>
      <c r="T245" s="109"/>
      <c r="U245" s="113"/>
      <c r="V245" s="113"/>
    </row>
    <row r="246" spans="4:24">
      <c r="D246" s="126"/>
      <c r="E246" s="21" t="s">
        <v>25</v>
      </c>
      <c r="F246" s="22">
        <f>SUM(F244:F245)</f>
        <v>0</v>
      </c>
      <c r="G246" s="22">
        <f t="shared" ref="G246:R246" si="109">SUM(G244:G245)</f>
        <v>0</v>
      </c>
      <c r="H246" s="22">
        <f t="shared" si="109"/>
        <v>0</v>
      </c>
      <c r="I246" s="22">
        <f t="shared" si="109"/>
        <v>0</v>
      </c>
      <c r="J246" s="22">
        <f t="shared" si="109"/>
        <v>0</v>
      </c>
      <c r="K246" s="22">
        <f t="shared" si="109"/>
        <v>0</v>
      </c>
      <c r="L246" s="22">
        <f t="shared" si="109"/>
        <v>0</v>
      </c>
      <c r="M246" s="22">
        <f t="shared" si="109"/>
        <v>0</v>
      </c>
      <c r="N246" s="22">
        <f t="shared" si="109"/>
        <v>0</v>
      </c>
      <c r="O246" s="22">
        <f t="shared" si="109"/>
        <v>0</v>
      </c>
      <c r="P246" s="22">
        <f t="shared" si="109"/>
        <v>0</v>
      </c>
      <c r="Q246" s="22">
        <f t="shared" si="109"/>
        <v>0</v>
      </c>
      <c r="R246" s="22">
        <f t="shared" si="109"/>
        <v>0</v>
      </c>
      <c r="S246" s="22">
        <f>SUM(S244:S245)</f>
        <v>0</v>
      </c>
      <c r="T246" s="109"/>
      <c r="U246" s="113"/>
      <c r="V246" s="113"/>
    </row>
    <row r="247" spans="4:24">
      <c r="D247" s="126">
        <v>5</v>
      </c>
      <c r="E247" s="21" t="s">
        <v>78</v>
      </c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2">
        <f>SUM(F247:P247)</f>
        <v>0</v>
      </c>
      <c r="R247" s="24"/>
      <c r="S247" s="22">
        <f t="shared" ref="S247:S248" si="110">Q247+R247</f>
        <v>0</v>
      </c>
      <c r="T247" s="109" t="s">
        <v>117</v>
      </c>
      <c r="U247" s="113" t="s">
        <v>117</v>
      </c>
      <c r="V247" s="113" t="s">
        <v>117</v>
      </c>
      <c r="X247" s="19">
        <f>Q247*0.2205</f>
        <v>0</v>
      </c>
    </row>
    <row r="248" spans="4:24">
      <c r="D248" s="126"/>
      <c r="E248" s="21" t="s">
        <v>24</v>
      </c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2">
        <f>SUM(F248:P248)</f>
        <v>0</v>
      </c>
      <c r="R248" s="24"/>
      <c r="S248" s="22">
        <f t="shared" si="110"/>
        <v>0</v>
      </c>
      <c r="T248" s="109"/>
      <c r="U248" s="113"/>
      <c r="V248" s="113"/>
    </row>
    <row r="249" spans="4:24">
      <c r="D249" s="126"/>
      <c r="E249" s="21" t="s">
        <v>25</v>
      </c>
      <c r="F249" s="22">
        <f>SUM(F247:F248)</f>
        <v>0</v>
      </c>
      <c r="G249" s="22">
        <f t="shared" ref="G249:Q249" si="111">SUM(G247:G248)</f>
        <v>0</v>
      </c>
      <c r="H249" s="22">
        <f t="shared" si="111"/>
        <v>0</v>
      </c>
      <c r="I249" s="22">
        <f t="shared" si="111"/>
        <v>0</v>
      </c>
      <c r="J249" s="22">
        <f t="shared" si="111"/>
        <v>0</v>
      </c>
      <c r="K249" s="22">
        <f t="shared" si="111"/>
        <v>0</v>
      </c>
      <c r="L249" s="22">
        <f t="shared" si="111"/>
        <v>0</v>
      </c>
      <c r="M249" s="22">
        <f t="shared" si="111"/>
        <v>0</v>
      </c>
      <c r="N249" s="22">
        <f t="shared" si="111"/>
        <v>0</v>
      </c>
      <c r="O249" s="22">
        <f t="shared" si="111"/>
        <v>0</v>
      </c>
      <c r="P249" s="22">
        <f t="shared" si="111"/>
        <v>0</v>
      </c>
      <c r="Q249" s="22">
        <f t="shared" si="111"/>
        <v>0</v>
      </c>
      <c r="R249" s="22">
        <f>SUM(R247:R248)</f>
        <v>0</v>
      </c>
      <c r="S249" s="22">
        <f>SUM(S247:S248)</f>
        <v>0</v>
      </c>
      <c r="T249" s="109"/>
      <c r="U249" s="113"/>
      <c r="V249" s="113"/>
    </row>
    <row r="250" spans="4:24">
      <c r="D250" s="126" t="s">
        <v>43</v>
      </c>
      <c r="E250" s="21" t="s">
        <v>78</v>
      </c>
      <c r="F250" s="22">
        <f>F235+F238+F241+F244+F247</f>
        <v>0</v>
      </c>
      <c r="G250" s="22">
        <f t="shared" ref="G250:S250" si="112">G235+G238+G241+G244+G247</f>
        <v>0</v>
      </c>
      <c r="H250" s="22">
        <f t="shared" si="112"/>
        <v>0</v>
      </c>
      <c r="I250" s="22">
        <f t="shared" si="112"/>
        <v>0</v>
      </c>
      <c r="J250" s="22">
        <f t="shared" si="112"/>
        <v>0</v>
      </c>
      <c r="K250" s="22">
        <f t="shared" si="112"/>
        <v>0</v>
      </c>
      <c r="L250" s="22">
        <f t="shared" si="112"/>
        <v>0</v>
      </c>
      <c r="M250" s="22">
        <f t="shared" si="112"/>
        <v>0</v>
      </c>
      <c r="N250" s="22">
        <f t="shared" si="112"/>
        <v>0</v>
      </c>
      <c r="O250" s="22">
        <f t="shared" si="112"/>
        <v>0</v>
      </c>
      <c r="P250" s="22">
        <f t="shared" si="112"/>
        <v>0</v>
      </c>
      <c r="Q250" s="22">
        <f t="shared" si="112"/>
        <v>0</v>
      </c>
      <c r="R250" s="22">
        <f t="shared" si="112"/>
        <v>0</v>
      </c>
      <c r="S250" s="22">
        <f t="shared" si="112"/>
        <v>0</v>
      </c>
      <c r="T250" s="109" t="s">
        <v>117</v>
      </c>
      <c r="U250" s="113" t="s">
        <v>117</v>
      </c>
      <c r="V250" s="113" t="s">
        <v>117</v>
      </c>
      <c r="X250" s="19">
        <f>Q250*0.1</f>
        <v>0</v>
      </c>
    </row>
    <row r="251" spans="4:24">
      <c r="D251" s="126"/>
      <c r="E251" s="21" t="s">
        <v>24</v>
      </c>
      <c r="F251" s="22">
        <f t="shared" ref="F251:S252" si="113">F236+F239+F242+F245+F248</f>
        <v>0</v>
      </c>
      <c r="G251" s="22">
        <f t="shared" si="113"/>
        <v>0</v>
      </c>
      <c r="H251" s="22">
        <f t="shared" si="113"/>
        <v>0</v>
      </c>
      <c r="I251" s="22">
        <f t="shared" si="113"/>
        <v>0</v>
      </c>
      <c r="J251" s="22">
        <f t="shared" si="113"/>
        <v>0</v>
      </c>
      <c r="K251" s="22">
        <f t="shared" si="113"/>
        <v>0</v>
      </c>
      <c r="L251" s="22">
        <f t="shared" si="113"/>
        <v>0</v>
      </c>
      <c r="M251" s="22">
        <f t="shared" si="113"/>
        <v>0</v>
      </c>
      <c r="N251" s="22">
        <f t="shared" si="113"/>
        <v>0</v>
      </c>
      <c r="O251" s="22">
        <f t="shared" si="113"/>
        <v>0</v>
      </c>
      <c r="P251" s="22">
        <f t="shared" si="113"/>
        <v>0</v>
      </c>
      <c r="Q251" s="22">
        <f t="shared" si="113"/>
        <v>0</v>
      </c>
      <c r="R251" s="22">
        <f t="shared" si="113"/>
        <v>0</v>
      </c>
      <c r="S251" s="22">
        <f t="shared" si="113"/>
        <v>0</v>
      </c>
      <c r="T251" s="109"/>
      <c r="U251" s="113"/>
      <c r="V251" s="113"/>
    </row>
    <row r="252" spans="4:24">
      <c r="D252" s="126"/>
      <c r="E252" s="21" t="s">
        <v>69</v>
      </c>
      <c r="F252" s="22">
        <f t="shared" si="113"/>
        <v>0</v>
      </c>
      <c r="G252" s="22">
        <f t="shared" si="113"/>
        <v>0</v>
      </c>
      <c r="H252" s="22">
        <f t="shared" si="113"/>
        <v>0</v>
      </c>
      <c r="I252" s="22">
        <f t="shared" si="113"/>
        <v>0</v>
      </c>
      <c r="J252" s="22">
        <f t="shared" si="113"/>
        <v>0</v>
      </c>
      <c r="K252" s="22">
        <f t="shared" si="113"/>
        <v>0</v>
      </c>
      <c r="L252" s="22">
        <f t="shared" si="113"/>
        <v>0</v>
      </c>
      <c r="M252" s="22">
        <f t="shared" si="113"/>
        <v>0</v>
      </c>
      <c r="N252" s="22">
        <f t="shared" si="113"/>
        <v>0</v>
      </c>
      <c r="O252" s="22">
        <f t="shared" si="113"/>
        <v>0</v>
      </c>
      <c r="P252" s="22">
        <f t="shared" si="113"/>
        <v>0</v>
      </c>
      <c r="Q252" s="22">
        <f t="shared" si="113"/>
        <v>0</v>
      </c>
      <c r="R252" s="22">
        <f t="shared" si="113"/>
        <v>0</v>
      </c>
      <c r="S252" s="22">
        <f t="shared" si="113"/>
        <v>0</v>
      </c>
      <c r="T252" s="109"/>
      <c r="U252" s="113"/>
      <c r="V252" s="113"/>
    </row>
    <row r="254" spans="4:24">
      <c r="D254" s="119" t="s">
        <v>162</v>
      </c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</row>
    <row r="255" spans="4:24">
      <c r="U255" s="127" t="s">
        <v>143</v>
      </c>
      <c r="V255" s="127"/>
    </row>
    <row r="256" spans="4:24">
      <c r="D256" s="107" t="s">
        <v>68</v>
      </c>
      <c r="E256" s="107"/>
      <c r="F256" s="107" t="s">
        <v>129</v>
      </c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9" t="s">
        <v>117</v>
      </c>
      <c r="U256" s="107" t="s">
        <v>107</v>
      </c>
      <c r="V256" s="107" t="s">
        <v>19</v>
      </c>
    </row>
    <row r="257" spans="4:24">
      <c r="D257" s="107"/>
      <c r="E257" s="107"/>
      <c r="F257" s="107" t="s">
        <v>46</v>
      </c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 t="s">
        <v>134</v>
      </c>
      <c r="S257" s="107" t="s">
        <v>69</v>
      </c>
      <c r="T257" s="109"/>
      <c r="U257" s="107"/>
      <c r="V257" s="107"/>
    </row>
    <row r="258" spans="4:24">
      <c r="D258" s="107"/>
      <c r="E258" s="107"/>
      <c r="F258" s="107" t="s">
        <v>121</v>
      </c>
      <c r="G258" s="107" t="s">
        <v>52</v>
      </c>
      <c r="H258" s="107"/>
      <c r="I258" s="107" t="s">
        <v>76</v>
      </c>
      <c r="J258" s="107"/>
      <c r="K258" s="107" t="s">
        <v>149</v>
      </c>
      <c r="L258" s="107" t="s">
        <v>105</v>
      </c>
      <c r="M258" s="107" t="s">
        <v>88</v>
      </c>
      <c r="N258" s="107" t="s">
        <v>35</v>
      </c>
      <c r="O258" s="107" t="s">
        <v>33</v>
      </c>
      <c r="P258" s="107" t="s">
        <v>30</v>
      </c>
      <c r="Q258" s="107" t="s">
        <v>25</v>
      </c>
      <c r="R258" s="107"/>
      <c r="S258" s="107"/>
      <c r="T258" s="109"/>
      <c r="U258" s="107"/>
      <c r="V258" s="107"/>
    </row>
    <row r="259" spans="4:24">
      <c r="D259" s="107"/>
      <c r="E259" s="107"/>
      <c r="F259" s="107"/>
      <c r="G259" s="20" t="s">
        <v>83</v>
      </c>
      <c r="H259" s="20" t="s">
        <v>102</v>
      </c>
      <c r="I259" s="20" t="s">
        <v>83</v>
      </c>
      <c r="J259" s="20" t="s">
        <v>102</v>
      </c>
      <c r="K259" s="107"/>
      <c r="L259" s="107"/>
      <c r="M259" s="107"/>
      <c r="N259" s="107"/>
      <c r="O259" s="107"/>
      <c r="P259" s="107"/>
      <c r="Q259" s="107"/>
      <c r="R259" s="107"/>
      <c r="S259" s="107"/>
      <c r="T259" s="109"/>
      <c r="U259" s="107"/>
      <c r="V259" s="107"/>
    </row>
    <row r="260" spans="4:24">
      <c r="D260" s="126">
        <v>1</v>
      </c>
      <c r="E260" s="21" t="s">
        <v>78</v>
      </c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2">
        <f>SUM(F260:P260)</f>
        <v>0</v>
      </c>
      <c r="R260" s="24"/>
      <c r="S260" s="22">
        <f>Q260+R260</f>
        <v>0</v>
      </c>
      <c r="T260" s="109" t="s">
        <v>117</v>
      </c>
      <c r="U260" s="113" t="s">
        <v>117</v>
      </c>
      <c r="V260" s="113" t="s">
        <v>117</v>
      </c>
      <c r="X260" s="19">
        <f>Q260*0.1</f>
        <v>0</v>
      </c>
    </row>
    <row r="261" spans="4:24">
      <c r="D261" s="126"/>
      <c r="E261" s="21" t="s">
        <v>24</v>
      </c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2">
        <f>SUM(F261:P261)</f>
        <v>0</v>
      </c>
      <c r="R261" s="24"/>
      <c r="S261" s="22">
        <f>Q261+R261</f>
        <v>0</v>
      </c>
      <c r="T261" s="109"/>
      <c r="U261" s="113"/>
      <c r="V261" s="113"/>
    </row>
    <row r="262" spans="4:24">
      <c r="D262" s="126"/>
      <c r="E262" s="21" t="s">
        <v>25</v>
      </c>
      <c r="F262" s="22">
        <f t="shared" ref="F262:R262" si="114">SUM(F260:F261)</f>
        <v>0</v>
      </c>
      <c r="G262" s="22">
        <f t="shared" si="114"/>
        <v>0</v>
      </c>
      <c r="H262" s="22">
        <f t="shared" si="114"/>
        <v>0</v>
      </c>
      <c r="I262" s="22">
        <f t="shared" si="114"/>
        <v>0</v>
      </c>
      <c r="J262" s="22">
        <f t="shared" si="114"/>
        <v>0</v>
      </c>
      <c r="K262" s="22">
        <f t="shared" si="114"/>
        <v>0</v>
      </c>
      <c r="L262" s="22">
        <f t="shared" si="114"/>
        <v>0</v>
      </c>
      <c r="M262" s="22">
        <f t="shared" si="114"/>
        <v>0</v>
      </c>
      <c r="N262" s="22">
        <f t="shared" si="114"/>
        <v>0</v>
      </c>
      <c r="O262" s="22">
        <f t="shared" si="114"/>
        <v>0</v>
      </c>
      <c r="P262" s="22">
        <f t="shared" si="114"/>
        <v>0</v>
      </c>
      <c r="Q262" s="22">
        <f>SUM(Q260:Q261)</f>
        <v>0</v>
      </c>
      <c r="R262" s="22">
        <f t="shared" si="114"/>
        <v>0</v>
      </c>
      <c r="S262" s="22">
        <f>SUM(S260:S261)</f>
        <v>0</v>
      </c>
      <c r="T262" s="109"/>
      <c r="U262" s="113"/>
      <c r="V262" s="113"/>
    </row>
    <row r="263" spans="4:24">
      <c r="D263" s="126">
        <v>2</v>
      </c>
      <c r="E263" s="21" t="s">
        <v>78</v>
      </c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2">
        <f>SUM(F263:P263)</f>
        <v>0</v>
      </c>
      <c r="R263" s="24"/>
      <c r="S263" s="22">
        <f t="shared" ref="S263:S264" si="115">Q263+R263</f>
        <v>0</v>
      </c>
      <c r="T263" s="109" t="s">
        <v>117</v>
      </c>
      <c r="U263" s="113" t="s">
        <v>117</v>
      </c>
      <c r="V263" s="113" t="s">
        <v>117</v>
      </c>
      <c r="X263" s="19">
        <f>Q263*0.1</f>
        <v>0</v>
      </c>
    </row>
    <row r="264" spans="4:24">
      <c r="D264" s="126"/>
      <c r="E264" s="21" t="s">
        <v>24</v>
      </c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2">
        <f>SUM(F264:P264)</f>
        <v>0</v>
      </c>
      <c r="R264" s="24"/>
      <c r="S264" s="22">
        <f t="shared" si="115"/>
        <v>0</v>
      </c>
      <c r="T264" s="109"/>
      <c r="U264" s="113"/>
      <c r="V264" s="113"/>
    </row>
    <row r="265" spans="4:24">
      <c r="D265" s="126"/>
      <c r="E265" s="21" t="s">
        <v>25</v>
      </c>
      <c r="F265" s="22">
        <f>SUM(F263:F264)</f>
        <v>0</v>
      </c>
      <c r="G265" s="22">
        <f t="shared" ref="G265:R265" si="116">SUM(G263:G264)</f>
        <v>0</v>
      </c>
      <c r="H265" s="22">
        <f t="shared" si="116"/>
        <v>0</v>
      </c>
      <c r="I265" s="22">
        <f t="shared" si="116"/>
        <v>0</v>
      </c>
      <c r="J265" s="22">
        <f t="shared" si="116"/>
        <v>0</v>
      </c>
      <c r="K265" s="22">
        <f t="shared" si="116"/>
        <v>0</v>
      </c>
      <c r="L265" s="22">
        <f t="shared" si="116"/>
        <v>0</v>
      </c>
      <c r="M265" s="22">
        <f t="shared" si="116"/>
        <v>0</v>
      </c>
      <c r="N265" s="22">
        <f t="shared" si="116"/>
        <v>0</v>
      </c>
      <c r="O265" s="22">
        <f t="shared" si="116"/>
        <v>0</v>
      </c>
      <c r="P265" s="22">
        <f t="shared" si="116"/>
        <v>0</v>
      </c>
      <c r="Q265" s="22">
        <f t="shared" si="116"/>
        <v>0</v>
      </c>
      <c r="R265" s="22">
        <f t="shared" si="116"/>
        <v>0</v>
      </c>
      <c r="S265" s="22">
        <f>SUM(S263:S264)</f>
        <v>0</v>
      </c>
      <c r="T265" s="109"/>
      <c r="U265" s="113"/>
      <c r="V265" s="113"/>
    </row>
    <row r="266" spans="4:24">
      <c r="D266" s="126">
        <v>3</v>
      </c>
      <c r="E266" s="21" t="s">
        <v>78</v>
      </c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2">
        <f>SUM(F266:P266)</f>
        <v>0</v>
      </c>
      <c r="R266" s="24"/>
      <c r="S266" s="22">
        <f t="shared" ref="S266:S267" si="117">Q266+R266</f>
        <v>0</v>
      </c>
      <c r="T266" s="109" t="s">
        <v>117</v>
      </c>
      <c r="U266" s="113" t="s">
        <v>117</v>
      </c>
      <c r="V266" s="113" t="s">
        <v>117</v>
      </c>
      <c r="X266" s="19">
        <f>Q266*0.1</f>
        <v>0</v>
      </c>
    </row>
    <row r="267" spans="4:24">
      <c r="D267" s="126"/>
      <c r="E267" s="21" t="s">
        <v>24</v>
      </c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2">
        <f>SUM(F267:P267)</f>
        <v>0</v>
      </c>
      <c r="R267" s="24"/>
      <c r="S267" s="22">
        <f t="shared" si="117"/>
        <v>0</v>
      </c>
      <c r="T267" s="109"/>
      <c r="U267" s="113"/>
      <c r="V267" s="113"/>
    </row>
    <row r="268" spans="4:24">
      <c r="D268" s="126"/>
      <c r="E268" s="21" t="s">
        <v>25</v>
      </c>
      <c r="F268" s="22">
        <f>SUM(F266:F267)</f>
        <v>0</v>
      </c>
      <c r="G268" s="22">
        <f t="shared" ref="G268:R268" si="118">SUM(G266:G267)</f>
        <v>0</v>
      </c>
      <c r="H268" s="22">
        <f t="shared" si="118"/>
        <v>0</v>
      </c>
      <c r="I268" s="22">
        <f t="shared" si="118"/>
        <v>0</v>
      </c>
      <c r="J268" s="22">
        <f t="shared" si="118"/>
        <v>0</v>
      </c>
      <c r="K268" s="22">
        <f t="shared" si="118"/>
        <v>0</v>
      </c>
      <c r="L268" s="22">
        <f t="shared" si="118"/>
        <v>0</v>
      </c>
      <c r="M268" s="22">
        <f t="shared" si="118"/>
        <v>0</v>
      </c>
      <c r="N268" s="22">
        <f t="shared" si="118"/>
        <v>0</v>
      </c>
      <c r="O268" s="22">
        <f t="shared" si="118"/>
        <v>0</v>
      </c>
      <c r="P268" s="22">
        <f t="shared" si="118"/>
        <v>0</v>
      </c>
      <c r="Q268" s="22">
        <f t="shared" si="118"/>
        <v>0</v>
      </c>
      <c r="R268" s="22">
        <f t="shared" si="118"/>
        <v>0</v>
      </c>
      <c r="S268" s="22">
        <f>SUM(S266:S267)</f>
        <v>0</v>
      </c>
      <c r="T268" s="109"/>
      <c r="U268" s="113"/>
      <c r="V268" s="113"/>
    </row>
    <row r="269" spans="4:24">
      <c r="D269" s="126">
        <v>4</v>
      </c>
      <c r="E269" s="21" t="s">
        <v>78</v>
      </c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2">
        <f>SUM(F269:P269)</f>
        <v>0</v>
      </c>
      <c r="R269" s="24"/>
      <c r="S269" s="22">
        <f t="shared" ref="S269:S270" si="119">Q269+R269</f>
        <v>0</v>
      </c>
      <c r="T269" s="109" t="s">
        <v>117</v>
      </c>
      <c r="U269" s="113" t="s">
        <v>117</v>
      </c>
      <c r="V269" s="113" t="s">
        <v>117</v>
      </c>
      <c r="X269" s="19">
        <f>Q269*0.1</f>
        <v>0</v>
      </c>
    </row>
    <row r="270" spans="4:24">
      <c r="D270" s="126"/>
      <c r="E270" s="21" t="s">
        <v>24</v>
      </c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2">
        <f>SUM(F270:P270)</f>
        <v>0</v>
      </c>
      <c r="R270" s="24"/>
      <c r="S270" s="22">
        <f t="shared" si="119"/>
        <v>0</v>
      </c>
      <c r="T270" s="109"/>
      <c r="U270" s="113"/>
      <c r="V270" s="113"/>
    </row>
    <row r="271" spans="4:24">
      <c r="D271" s="126"/>
      <c r="E271" s="21" t="s">
        <v>25</v>
      </c>
      <c r="F271" s="22">
        <f>SUM(F269:F270)</f>
        <v>0</v>
      </c>
      <c r="G271" s="22">
        <f t="shared" ref="G271:R271" si="120">SUM(G269:G270)</f>
        <v>0</v>
      </c>
      <c r="H271" s="22">
        <f t="shared" si="120"/>
        <v>0</v>
      </c>
      <c r="I271" s="22">
        <f t="shared" si="120"/>
        <v>0</v>
      </c>
      <c r="J271" s="22">
        <f t="shared" si="120"/>
        <v>0</v>
      </c>
      <c r="K271" s="22">
        <f t="shared" si="120"/>
        <v>0</v>
      </c>
      <c r="L271" s="22">
        <f t="shared" si="120"/>
        <v>0</v>
      </c>
      <c r="M271" s="22">
        <f t="shared" si="120"/>
        <v>0</v>
      </c>
      <c r="N271" s="22">
        <f t="shared" si="120"/>
        <v>0</v>
      </c>
      <c r="O271" s="22">
        <f t="shared" si="120"/>
        <v>0</v>
      </c>
      <c r="P271" s="22">
        <f t="shared" si="120"/>
        <v>0</v>
      </c>
      <c r="Q271" s="22">
        <f t="shared" si="120"/>
        <v>0</v>
      </c>
      <c r="R271" s="22">
        <f t="shared" si="120"/>
        <v>0</v>
      </c>
      <c r="S271" s="22">
        <f>SUM(S269:S270)</f>
        <v>0</v>
      </c>
      <c r="T271" s="109"/>
      <c r="U271" s="113"/>
      <c r="V271" s="113"/>
    </row>
    <row r="272" spans="4:24">
      <c r="D272" s="126">
        <v>5</v>
      </c>
      <c r="E272" s="21" t="s">
        <v>78</v>
      </c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2">
        <f>SUM(F272:P272)</f>
        <v>0</v>
      </c>
      <c r="R272" s="24"/>
      <c r="S272" s="22">
        <f t="shared" ref="S272:S273" si="121">Q272+R272</f>
        <v>0</v>
      </c>
      <c r="T272" s="109" t="s">
        <v>117</v>
      </c>
      <c r="U272" s="113" t="s">
        <v>117</v>
      </c>
      <c r="V272" s="113" t="s">
        <v>117</v>
      </c>
      <c r="X272" s="19">
        <f>Q272*0.2205</f>
        <v>0</v>
      </c>
    </row>
    <row r="273" spans="4:24">
      <c r="D273" s="126"/>
      <c r="E273" s="21" t="s">
        <v>24</v>
      </c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2">
        <f>SUM(F273:P273)</f>
        <v>0</v>
      </c>
      <c r="R273" s="24"/>
      <c r="S273" s="22">
        <f t="shared" si="121"/>
        <v>0</v>
      </c>
      <c r="T273" s="109"/>
      <c r="U273" s="113"/>
      <c r="V273" s="113"/>
    </row>
    <row r="274" spans="4:24">
      <c r="D274" s="126"/>
      <c r="E274" s="21" t="s">
        <v>25</v>
      </c>
      <c r="F274" s="22">
        <f>SUM(F272:F273)</f>
        <v>0</v>
      </c>
      <c r="G274" s="22">
        <f t="shared" ref="G274:Q274" si="122">SUM(G272:G273)</f>
        <v>0</v>
      </c>
      <c r="H274" s="22">
        <f t="shared" si="122"/>
        <v>0</v>
      </c>
      <c r="I274" s="22">
        <f t="shared" si="122"/>
        <v>0</v>
      </c>
      <c r="J274" s="22">
        <f t="shared" si="122"/>
        <v>0</v>
      </c>
      <c r="K274" s="22">
        <f t="shared" si="122"/>
        <v>0</v>
      </c>
      <c r="L274" s="22">
        <f t="shared" si="122"/>
        <v>0</v>
      </c>
      <c r="M274" s="22">
        <f t="shared" si="122"/>
        <v>0</v>
      </c>
      <c r="N274" s="22">
        <f t="shared" si="122"/>
        <v>0</v>
      </c>
      <c r="O274" s="22">
        <f t="shared" si="122"/>
        <v>0</v>
      </c>
      <c r="P274" s="22">
        <f t="shared" si="122"/>
        <v>0</v>
      </c>
      <c r="Q274" s="22">
        <f t="shared" si="122"/>
        <v>0</v>
      </c>
      <c r="R274" s="22">
        <f>SUM(R272:R273)</f>
        <v>0</v>
      </c>
      <c r="S274" s="22">
        <f>SUM(S272:S273)</f>
        <v>0</v>
      </c>
      <c r="T274" s="109"/>
      <c r="U274" s="113"/>
      <c r="V274" s="113"/>
    </row>
    <row r="275" spans="4:24">
      <c r="D275" s="126" t="s">
        <v>43</v>
      </c>
      <c r="E275" s="21" t="s">
        <v>78</v>
      </c>
      <c r="F275" s="22">
        <f>F260+F263+F266+F269+F272</f>
        <v>0</v>
      </c>
      <c r="G275" s="22">
        <f t="shared" ref="G275:S275" si="123">G260+G263+G266+G269+G272</f>
        <v>0</v>
      </c>
      <c r="H275" s="22">
        <f t="shared" si="123"/>
        <v>0</v>
      </c>
      <c r="I275" s="22">
        <f t="shared" si="123"/>
        <v>0</v>
      </c>
      <c r="J275" s="22">
        <f t="shared" si="123"/>
        <v>0</v>
      </c>
      <c r="K275" s="22">
        <f t="shared" si="123"/>
        <v>0</v>
      </c>
      <c r="L275" s="22">
        <f t="shared" si="123"/>
        <v>0</v>
      </c>
      <c r="M275" s="22">
        <f t="shared" si="123"/>
        <v>0</v>
      </c>
      <c r="N275" s="22">
        <f t="shared" si="123"/>
        <v>0</v>
      </c>
      <c r="O275" s="22">
        <f t="shared" si="123"/>
        <v>0</v>
      </c>
      <c r="P275" s="22">
        <f t="shared" si="123"/>
        <v>0</v>
      </c>
      <c r="Q275" s="22">
        <f t="shared" si="123"/>
        <v>0</v>
      </c>
      <c r="R275" s="22">
        <f t="shared" si="123"/>
        <v>0</v>
      </c>
      <c r="S275" s="22">
        <f t="shared" si="123"/>
        <v>0</v>
      </c>
      <c r="T275" s="109" t="s">
        <v>117</v>
      </c>
      <c r="U275" s="113" t="s">
        <v>117</v>
      </c>
      <c r="V275" s="113" t="s">
        <v>117</v>
      </c>
      <c r="X275" s="19">
        <f>Q275*0.1</f>
        <v>0</v>
      </c>
    </row>
    <row r="276" spans="4:24">
      <c r="D276" s="126"/>
      <c r="E276" s="21" t="s">
        <v>24</v>
      </c>
      <c r="F276" s="22">
        <f t="shared" ref="F276:S277" si="124">F261+F264+F267+F270+F273</f>
        <v>0</v>
      </c>
      <c r="G276" s="22">
        <f t="shared" si="124"/>
        <v>0</v>
      </c>
      <c r="H276" s="22">
        <f t="shared" si="124"/>
        <v>0</v>
      </c>
      <c r="I276" s="22">
        <f t="shared" si="124"/>
        <v>0</v>
      </c>
      <c r="J276" s="22">
        <f t="shared" si="124"/>
        <v>0</v>
      </c>
      <c r="K276" s="22">
        <f t="shared" si="124"/>
        <v>0</v>
      </c>
      <c r="L276" s="22">
        <f t="shared" si="124"/>
        <v>0</v>
      </c>
      <c r="M276" s="22">
        <f t="shared" si="124"/>
        <v>0</v>
      </c>
      <c r="N276" s="22">
        <f t="shared" si="124"/>
        <v>0</v>
      </c>
      <c r="O276" s="22">
        <f t="shared" si="124"/>
        <v>0</v>
      </c>
      <c r="P276" s="22">
        <f t="shared" si="124"/>
        <v>0</v>
      </c>
      <c r="Q276" s="22">
        <f t="shared" si="124"/>
        <v>0</v>
      </c>
      <c r="R276" s="22">
        <f t="shared" si="124"/>
        <v>0</v>
      </c>
      <c r="S276" s="22">
        <f t="shared" si="124"/>
        <v>0</v>
      </c>
      <c r="T276" s="109"/>
      <c r="U276" s="113"/>
      <c r="V276" s="113"/>
    </row>
    <row r="277" spans="4:24">
      <c r="D277" s="126"/>
      <c r="E277" s="21" t="s">
        <v>69</v>
      </c>
      <c r="F277" s="22">
        <f t="shared" si="124"/>
        <v>0</v>
      </c>
      <c r="G277" s="22">
        <f t="shared" si="124"/>
        <v>0</v>
      </c>
      <c r="H277" s="22">
        <f t="shared" si="124"/>
        <v>0</v>
      </c>
      <c r="I277" s="22">
        <f t="shared" si="124"/>
        <v>0</v>
      </c>
      <c r="J277" s="22">
        <f t="shared" si="124"/>
        <v>0</v>
      </c>
      <c r="K277" s="22">
        <f t="shared" si="124"/>
        <v>0</v>
      </c>
      <c r="L277" s="22">
        <f t="shared" si="124"/>
        <v>0</v>
      </c>
      <c r="M277" s="22">
        <f t="shared" si="124"/>
        <v>0</v>
      </c>
      <c r="N277" s="22">
        <f t="shared" si="124"/>
        <v>0</v>
      </c>
      <c r="O277" s="22">
        <f t="shared" si="124"/>
        <v>0</v>
      </c>
      <c r="P277" s="22">
        <f t="shared" si="124"/>
        <v>0</v>
      </c>
      <c r="Q277" s="22">
        <f t="shared" si="124"/>
        <v>0</v>
      </c>
      <c r="R277" s="22">
        <f t="shared" si="124"/>
        <v>0</v>
      </c>
      <c r="S277" s="22">
        <f t="shared" si="124"/>
        <v>0</v>
      </c>
      <c r="T277" s="109"/>
      <c r="U277" s="113"/>
      <c r="V277" s="113"/>
    </row>
  </sheetData>
  <mergeCells count="438">
    <mergeCell ref="D272:D274"/>
    <mergeCell ref="T272:T274"/>
    <mergeCell ref="U272:U274"/>
    <mergeCell ref="V272:V274"/>
    <mergeCell ref="D275:D277"/>
    <mergeCell ref="T275:T277"/>
    <mergeCell ref="U275:U277"/>
    <mergeCell ref="V275:V277"/>
    <mergeCell ref="D266:D268"/>
    <mergeCell ref="T266:T268"/>
    <mergeCell ref="U266:U268"/>
    <mergeCell ref="V266:V268"/>
    <mergeCell ref="D269:D271"/>
    <mergeCell ref="T269:T271"/>
    <mergeCell ref="U269:U271"/>
    <mergeCell ref="V269:V271"/>
    <mergeCell ref="U260:U262"/>
    <mergeCell ref="V260:V262"/>
    <mergeCell ref="D263:D265"/>
    <mergeCell ref="T263:T265"/>
    <mergeCell ref="U263:U265"/>
    <mergeCell ref="V263:V265"/>
    <mergeCell ref="N258:N259"/>
    <mergeCell ref="O258:O259"/>
    <mergeCell ref="P258:P259"/>
    <mergeCell ref="Q258:Q259"/>
    <mergeCell ref="D260:D262"/>
    <mergeCell ref="T260:T262"/>
    <mergeCell ref="F258:F259"/>
    <mergeCell ref="G258:H258"/>
    <mergeCell ref="I258:J258"/>
    <mergeCell ref="K258:K259"/>
    <mergeCell ref="L258:L259"/>
    <mergeCell ref="M258:M259"/>
    <mergeCell ref="D254:V254"/>
    <mergeCell ref="U255:V255"/>
    <mergeCell ref="D256:E259"/>
    <mergeCell ref="F256:S256"/>
    <mergeCell ref="T256:T259"/>
    <mergeCell ref="U256:U259"/>
    <mergeCell ref="V256:V259"/>
    <mergeCell ref="F257:Q257"/>
    <mergeCell ref="R257:R259"/>
    <mergeCell ref="S257:S259"/>
    <mergeCell ref="D247:D249"/>
    <mergeCell ref="T247:T249"/>
    <mergeCell ref="U247:U249"/>
    <mergeCell ref="V247:V249"/>
    <mergeCell ref="D250:D252"/>
    <mergeCell ref="T250:T252"/>
    <mergeCell ref="U250:U252"/>
    <mergeCell ref="V250:V252"/>
    <mergeCell ref="D241:D243"/>
    <mergeCell ref="T241:T243"/>
    <mergeCell ref="U241:U243"/>
    <mergeCell ref="V241:V243"/>
    <mergeCell ref="D244:D246"/>
    <mergeCell ref="T244:T246"/>
    <mergeCell ref="U244:U246"/>
    <mergeCell ref="V244:V246"/>
    <mergeCell ref="U235:U237"/>
    <mergeCell ref="V235:V237"/>
    <mergeCell ref="D238:D240"/>
    <mergeCell ref="T238:T240"/>
    <mergeCell ref="U238:U240"/>
    <mergeCell ref="V238:V240"/>
    <mergeCell ref="N233:N234"/>
    <mergeCell ref="O233:O234"/>
    <mergeCell ref="P233:P234"/>
    <mergeCell ref="Q233:Q234"/>
    <mergeCell ref="D235:D237"/>
    <mergeCell ref="T235:T237"/>
    <mergeCell ref="F233:F234"/>
    <mergeCell ref="G233:H233"/>
    <mergeCell ref="I233:J233"/>
    <mergeCell ref="K233:K234"/>
    <mergeCell ref="L233:L234"/>
    <mergeCell ref="M233:M234"/>
    <mergeCell ref="D229:V229"/>
    <mergeCell ref="U230:V230"/>
    <mergeCell ref="D231:E234"/>
    <mergeCell ref="F231:S231"/>
    <mergeCell ref="T231:T234"/>
    <mergeCell ref="U231:U234"/>
    <mergeCell ref="V231:V234"/>
    <mergeCell ref="F232:Q232"/>
    <mergeCell ref="R232:R234"/>
    <mergeCell ref="S232:S234"/>
    <mergeCell ref="D222:D224"/>
    <mergeCell ref="T222:T224"/>
    <mergeCell ref="U222:U224"/>
    <mergeCell ref="V222:V224"/>
    <mergeCell ref="D225:D227"/>
    <mergeCell ref="T225:T227"/>
    <mergeCell ref="U225:U227"/>
    <mergeCell ref="V225:V227"/>
    <mergeCell ref="D216:D218"/>
    <mergeCell ref="T216:T218"/>
    <mergeCell ref="U216:U218"/>
    <mergeCell ref="V216:V218"/>
    <mergeCell ref="D219:D221"/>
    <mergeCell ref="T219:T221"/>
    <mergeCell ref="U219:U221"/>
    <mergeCell ref="V219:V221"/>
    <mergeCell ref="U210:U212"/>
    <mergeCell ref="V210:V212"/>
    <mergeCell ref="D213:D215"/>
    <mergeCell ref="T213:T215"/>
    <mergeCell ref="U213:U215"/>
    <mergeCell ref="V213:V215"/>
    <mergeCell ref="N208:N209"/>
    <mergeCell ref="O208:O209"/>
    <mergeCell ref="P208:P209"/>
    <mergeCell ref="Q208:Q209"/>
    <mergeCell ref="D210:D212"/>
    <mergeCell ref="T210:T212"/>
    <mergeCell ref="F208:F209"/>
    <mergeCell ref="G208:H208"/>
    <mergeCell ref="I208:J208"/>
    <mergeCell ref="K208:K209"/>
    <mergeCell ref="L208:L209"/>
    <mergeCell ref="M208:M209"/>
    <mergeCell ref="D204:V204"/>
    <mergeCell ref="U205:V205"/>
    <mergeCell ref="D206:E209"/>
    <mergeCell ref="F206:S206"/>
    <mergeCell ref="T206:T209"/>
    <mergeCell ref="U206:U209"/>
    <mergeCell ref="V206:V209"/>
    <mergeCell ref="F207:Q207"/>
    <mergeCell ref="R207:R209"/>
    <mergeCell ref="S207:S209"/>
    <mergeCell ref="D197:D199"/>
    <mergeCell ref="T197:T199"/>
    <mergeCell ref="U197:U199"/>
    <mergeCell ref="V197:V199"/>
    <mergeCell ref="D200:D202"/>
    <mergeCell ref="T200:T202"/>
    <mergeCell ref="U200:U202"/>
    <mergeCell ref="V200:V202"/>
    <mergeCell ref="D191:D193"/>
    <mergeCell ref="T191:T193"/>
    <mergeCell ref="U191:U193"/>
    <mergeCell ref="V191:V193"/>
    <mergeCell ref="D194:D196"/>
    <mergeCell ref="T194:T196"/>
    <mergeCell ref="U194:U196"/>
    <mergeCell ref="V194:V196"/>
    <mergeCell ref="U185:U187"/>
    <mergeCell ref="V185:V187"/>
    <mergeCell ref="D188:D190"/>
    <mergeCell ref="T188:T190"/>
    <mergeCell ref="U188:U190"/>
    <mergeCell ref="V188:V190"/>
    <mergeCell ref="N183:N184"/>
    <mergeCell ref="O183:O184"/>
    <mergeCell ref="P183:P184"/>
    <mergeCell ref="Q183:Q184"/>
    <mergeCell ref="D185:D187"/>
    <mergeCell ref="T185:T187"/>
    <mergeCell ref="F183:F184"/>
    <mergeCell ref="G183:H183"/>
    <mergeCell ref="I183:J183"/>
    <mergeCell ref="K183:K184"/>
    <mergeCell ref="L183:L184"/>
    <mergeCell ref="M183:M184"/>
    <mergeCell ref="D179:V179"/>
    <mergeCell ref="U180:V180"/>
    <mergeCell ref="D181:E184"/>
    <mergeCell ref="F181:S181"/>
    <mergeCell ref="T181:T184"/>
    <mergeCell ref="U181:U184"/>
    <mergeCell ref="V181:V184"/>
    <mergeCell ref="F182:Q182"/>
    <mergeCell ref="R182:R184"/>
    <mergeCell ref="S182:S184"/>
    <mergeCell ref="D172:D174"/>
    <mergeCell ref="T172:T174"/>
    <mergeCell ref="U172:U174"/>
    <mergeCell ref="V172:V174"/>
    <mergeCell ref="D175:D177"/>
    <mergeCell ref="T175:T177"/>
    <mergeCell ref="U175:U177"/>
    <mergeCell ref="V175:V177"/>
    <mergeCell ref="D166:D168"/>
    <mergeCell ref="T166:T168"/>
    <mergeCell ref="U166:U168"/>
    <mergeCell ref="V166:V168"/>
    <mergeCell ref="D169:D171"/>
    <mergeCell ref="T169:T171"/>
    <mergeCell ref="U169:U171"/>
    <mergeCell ref="V169:V171"/>
    <mergeCell ref="U160:U162"/>
    <mergeCell ref="V160:V162"/>
    <mergeCell ref="D163:D165"/>
    <mergeCell ref="T163:T165"/>
    <mergeCell ref="U163:U165"/>
    <mergeCell ref="V163:V165"/>
    <mergeCell ref="N158:N159"/>
    <mergeCell ref="O158:O159"/>
    <mergeCell ref="P158:P159"/>
    <mergeCell ref="Q158:Q159"/>
    <mergeCell ref="D160:D162"/>
    <mergeCell ref="T160:T162"/>
    <mergeCell ref="F158:F159"/>
    <mergeCell ref="G158:H158"/>
    <mergeCell ref="I158:J158"/>
    <mergeCell ref="K158:K159"/>
    <mergeCell ref="L158:L159"/>
    <mergeCell ref="M158:M159"/>
    <mergeCell ref="D154:V154"/>
    <mergeCell ref="U155:V155"/>
    <mergeCell ref="D156:E159"/>
    <mergeCell ref="F156:S156"/>
    <mergeCell ref="T156:T159"/>
    <mergeCell ref="U156:U159"/>
    <mergeCell ref="V156:V159"/>
    <mergeCell ref="F157:Q157"/>
    <mergeCell ref="R157:R159"/>
    <mergeCell ref="S157:S159"/>
    <mergeCell ref="D147:D149"/>
    <mergeCell ref="T147:T149"/>
    <mergeCell ref="U147:U149"/>
    <mergeCell ref="V147:V149"/>
    <mergeCell ref="D150:D152"/>
    <mergeCell ref="T150:T152"/>
    <mergeCell ref="U150:U152"/>
    <mergeCell ref="V150:V152"/>
    <mergeCell ref="D141:D143"/>
    <mergeCell ref="T141:T143"/>
    <mergeCell ref="U141:U143"/>
    <mergeCell ref="V141:V143"/>
    <mergeCell ref="D144:D146"/>
    <mergeCell ref="T144:T146"/>
    <mergeCell ref="U144:U146"/>
    <mergeCell ref="V144:V146"/>
    <mergeCell ref="U135:U137"/>
    <mergeCell ref="V135:V137"/>
    <mergeCell ref="D138:D140"/>
    <mergeCell ref="T138:T140"/>
    <mergeCell ref="U138:U140"/>
    <mergeCell ref="V138:V140"/>
    <mergeCell ref="N133:N134"/>
    <mergeCell ref="O133:O134"/>
    <mergeCell ref="P133:P134"/>
    <mergeCell ref="Q133:Q134"/>
    <mergeCell ref="D135:D137"/>
    <mergeCell ref="T135:T137"/>
    <mergeCell ref="F133:F134"/>
    <mergeCell ref="G133:H133"/>
    <mergeCell ref="I133:J133"/>
    <mergeCell ref="K133:K134"/>
    <mergeCell ref="L133:L134"/>
    <mergeCell ref="M133:M134"/>
    <mergeCell ref="D129:V129"/>
    <mergeCell ref="U130:V130"/>
    <mergeCell ref="D131:E134"/>
    <mergeCell ref="F131:S131"/>
    <mergeCell ref="T131:T134"/>
    <mergeCell ref="U131:U134"/>
    <mergeCell ref="V131:V134"/>
    <mergeCell ref="F132:Q132"/>
    <mergeCell ref="R132:R134"/>
    <mergeCell ref="S132:S134"/>
    <mergeCell ref="D122:D124"/>
    <mergeCell ref="T122:T124"/>
    <mergeCell ref="U122:U124"/>
    <mergeCell ref="V122:V124"/>
    <mergeCell ref="D125:D127"/>
    <mergeCell ref="T125:T127"/>
    <mergeCell ref="U125:U127"/>
    <mergeCell ref="V125:V127"/>
    <mergeCell ref="D116:D118"/>
    <mergeCell ref="T116:T118"/>
    <mergeCell ref="U116:U118"/>
    <mergeCell ref="V116:V118"/>
    <mergeCell ref="D119:D121"/>
    <mergeCell ref="T119:T121"/>
    <mergeCell ref="U119:U121"/>
    <mergeCell ref="V119:V121"/>
    <mergeCell ref="D110:D112"/>
    <mergeCell ref="T110:T112"/>
    <mergeCell ref="U110:U112"/>
    <mergeCell ref="V110:V112"/>
    <mergeCell ref="D113:D115"/>
    <mergeCell ref="T113:T115"/>
    <mergeCell ref="U113:U115"/>
    <mergeCell ref="V113:V115"/>
    <mergeCell ref="S107:S109"/>
    <mergeCell ref="F108:F109"/>
    <mergeCell ref="G108:H108"/>
    <mergeCell ref="I108:J108"/>
    <mergeCell ref="K108:K109"/>
    <mergeCell ref="L108:L109"/>
    <mergeCell ref="M108:M109"/>
    <mergeCell ref="N108:N109"/>
    <mergeCell ref="O108:O109"/>
    <mergeCell ref="P108:P109"/>
    <mergeCell ref="C103:V103"/>
    <mergeCell ref="D104:V104"/>
    <mergeCell ref="U105:V105"/>
    <mergeCell ref="D106:E109"/>
    <mergeCell ref="F106:S106"/>
    <mergeCell ref="T106:T109"/>
    <mergeCell ref="U106:U109"/>
    <mergeCell ref="V106:V109"/>
    <mergeCell ref="F107:Q107"/>
    <mergeCell ref="R107:R109"/>
    <mergeCell ref="Q108:Q109"/>
    <mergeCell ref="D96:D98"/>
    <mergeCell ref="T96:T98"/>
    <mergeCell ref="U96:U98"/>
    <mergeCell ref="V96:V98"/>
    <mergeCell ref="D99:D101"/>
    <mergeCell ref="T99:T101"/>
    <mergeCell ref="U99:U101"/>
    <mergeCell ref="V99:V101"/>
    <mergeCell ref="D90:D92"/>
    <mergeCell ref="T90:T92"/>
    <mergeCell ref="U90:U92"/>
    <mergeCell ref="V90:V92"/>
    <mergeCell ref="D93:D95"/>
    <mergeCell ref="T93:T95"/>
    <mergeCell ref="U93:U95"/>
    <mergeCell ref="V93:V95"/>
    <mergeCell ref="U84:U86"/>
    <mergeCell ref="V84:V86"/>
    <mergeCell ref="D87:D89"/>
    <mergeCell ref="T87:T89"/>
    <mergeCell ref="U87:U89"/>
    <mergeCell ref="V87:V89"/>
    <mergeCell ref="N82:N83"/>
    <mergeCell ref="O82:O83"/>
    <mergeCell ref="P82:P83"/>
    <mergeCell ref="Q82:Q83"/>
    <mergeCell ref="D84:D86"/>
    <mergeCell ref="T84:T86"/>
    <mergeCell ref="F82:F83"/>
    <mergeCell ref="G82:H82"/>
    <mergeCell ref="I82:J82"/>
    <mergeCell ref="K82:K83"/>
    <mergeCell ref="L82:L83"/>
    <mergeCell ref="M82:M83"/>
    <mergeCell ref="C78:V78"/>
    <mergeCell ref="U79:V79"/>
    <mergeCell ref="D80:E83"/>
    <mergeCell ref="F80:S80"/>
    <mergeCell ref="T80:T83"/>
    <mergeCell ref="U80:U83"/>
    <mergeCell ref="V80:V83"/>
    <mergeCell ref="F81:Q81"/>
    <mergeCell ref="R81:R83"/>
    <mergeCell ref="S81:S83"/>
    <mergeCell ref="D71:D73"/>
    <mergeCell ref="T71:T73"/>
    <mergeCell ref="U71:U73"/>
    <mergeCell ref="V71:V73"/>
    <mergeCell ref="D74:D76"/>
    <mergeCell ref="T74:T76"/>
    <mergeCell ref="U74:U76"/>
    <mergeCell ref="V74:V76"/>
    <mergeCell ref="D65:D67"/>
    <mergeCell ref="T65:T67"/>
    <mergeCell ref="U65:U67"/>
    <mergeCell ref="V65:V67"/>
    <mergeCell ref="D68:D70"/>
    <mergeCell ref="T68:T70"/>
    <mergeCell ref="U68:U70"/>
    <mergeCell ref="V68:V70"/>
    <mergeCell ref="U59:U61"/>
    <mergeCell ref="V59:V61"/>
    <mergeCell ref="D62:D64"/>
    <mergeCell ref="T62:T64"/>
    <mergeCell ref="U62:U64"/>
    <mergeCell ref="V62:V64"/>
    <mergeCell ref="U53:U55"/>
    <mergeCell ref="V53:V55"/>
    <mergeCell ref="D56:D58"/>
    <mergeCell ref="T56:T58"/>
    <mergeCell ref="U56:U58"/>
    <mergeCell ref="V56:V58"/>
    <mergeCell ref="D53:D55"/>
    <mergeCell ref="T53:T55"/>
    <mergeCell ref="F51:F52"/>
    <mergeCell ref="G51:H51"/>
    <mergeCell ref="I51:J51"/>
    <mergeCell ref="K51:K52"/>
    <mergeCell ref="L51:L52"/>
    <mergeCell ref="M51:M52"/>
    <mergeCell ref="D59:D61"/>
    <mergeCell ref="T59:T61"/>
    <mergeCell ref="C47:V47"/>
    <mergeCell ref="U48:V48"/>
    <mergeCell ref="D49:E52"/>
    <mergeCell ref="F49:S49"/>
    <mergeCell ref="T49:T52"/>
    <mergeCell ref="U49:U52"/>
    <mergeCell ref="V49:V52"/>
    <mergeCell ref="F50:Q50"/>
    <mergeCell ref="R50:R52"/>
    <mergeCell ref="S50:S52"/>
    <mergeCell ref="N51:N52"/>
    <mergeCell ref="O51:O52"/>
    <mergeCell ref="P51:P52"/>
    <mergeCell ref="Q51:Q52"/>
    <mergeCell ref="D29:D43"/>
    <mergeCell ref="E29:E35"/>
    <mergeCell ref="E36:E42"/>
    <mergeCell ref="E43:F43"/>
    <mergeCell ref="D44:F44"/>
    <mergeCell ref="B46:V46"/>
    <mergeCell ref="Q5:Q6"/>
    <mergeCell ref="R5:R6"/>
    <mergeCell ref="S5:S6"/>
    <mergeCell ref="D7:D28"/>
    <mergeCell ref="E7:E13"/>
    <mergeCell ref="E14:E20"/>
    <mergeCell ref="E21:E27"/>
    <mergeCell ref="E28:F28"/>
    <mergeCell ref="K5:K6"/>
    <mergeCell ref="L5:L6"/>
    <mergeCell ref="M5:M6"/>
    <mergeCell ref="N5:N6"/>
    <mergeCell ref="O5:O6"/>
    <mergeCell ref="P5:P6"/>
    <mergeCell ref="D5:D6"/>
    <mergeCell ref="E5:E6"/>
    <mergeCell ref="G5:G6"/>
    <mergeCell ref="H5:H6"/>
    <mergeCell ref="I5:I6"/>
    <mergeCell ref="J5:J6"/>
    <mergeCell ref="D3:F4"/>
    <mergeCell ref="H3:J3"/>
    <mergeCell ref="K3:P3"/>
    <mergeCell ref="Q3:S4"/>
    <mergeCell ref="H4:J4"/>
    <mergeCell ref="K4:M4"/>
    <mergeCell ref="N4:P4"/>
  </mergeCells>
  <phoneticPr fontId="12" type="noConversion"/>
  <conditionalFormatting sqref="Q7">
    <cfRule type="cellIs" dxfId="223" priority="60" operator="notEqual">
      <formula>$S$110</formula>
    </cfRule>
  </conditionalFormatting>
  <conditionalFormatting sqref="Q8">
    <cfRule type="cellIs" dxfId="222" priority="70" operator="notEqual">
      <formula>$S$135</formula>
    </cfRule>
  </conditionalFormatting>
  <conditionalFormatting sqref="Q9">
    <cfRule type="cellIs" dxfId="221" priority="50" operator="notEqual">
      <formula>$S$160</formula>
    </cfRule>
  </conditionalFormatting>
  <conditionalFormatting sqref="Q10">
    <cfRule type="cellIs" dxfId="220" priority="45" operator="notEqual">
      <formula>$S$185</formula>
    </cfRule>
  </conditionalFormatting>
  <conditionalFormatting sqref="Q11">
    <cfRule type="cellIs" dxfId="219" priority="40" operator="notEqual">
      <formula>$S$210</formula>
    </cfRule>
  </conditionalFormatting>
  <conditionalFormatting sqref="Q12">
    <cfRule type="cellIs" dxfId="218" priority="35" operator="notEqual">
      <formula>$S$235</formula>
    </cfRule>
  </conditionalFormatting>
  <conditionalFormatting sqref="Q13">
    <cfRule type="cellIs" dxfId="217" priority="30" operator="notEqual">
      <formula>$S$260</formula>
    </cfRule>
  </conditionalFormatting>
  <conditionalFormatting sqref="Q14">
    <cfRule type="cellIs" dxfId="216" priority="68" operator="notEqual">
      <formula>$S$113</formula>
    </cfRule>
  </conditionalFormatting>
  <conditionalFormatting sqref="Q15">
    <cfRule type="cellIs" dxfId="215" priority="59" stopIfTrue="1" operator="notEqual">
      <formula>$S$138</formula>
    </cfRule>
  </conditionalFormatting>
  <conditionalFormatting sqref="Q16">
    <cfRule type="cellIs" dxfId="214" priority="49" stopIfTrue="1" operator="notEqual">
      <formula>$S$163</formula>
    </cfRule>
  </conditionalFormatting>
  <conditionalFormatting sqref="Q17">
    <cfRule type="cellIs" dxfId="213" priority="44" stopIfTrue="1" operator="notEqual">
      <formula>$S$188</formula>
    </cfRule>
  </conditionalFormatting>
  <conditionalFormatting sqref="Q18">
    <cfRule type="cellIs" dxfId="212" priority="39" stopIfTrue="1" operator="notEqual">
      <formula>$S$213</formula>
    </cfRule>
  </conditionalFormatting>
  <conditionalFormatting sqref="Q19">
    <cfRule type="cellIs" dxfId="211" priority="34" stopIfTrue="1" operator="notEqual">
      <formula>$S$238</formula>
    </cfRule>
  </conditionalFormatting>
  <conditionalFormatting sqref="Q20">
    <cfRule type="cellIs" dxfId="210" priority="29" stopIfTrue="1" operator="notEqual">
      <formula>$S$263</formula>
    </cfRule>
  </conditionalFormatting>
  <conditionalFormatting sqref="Q21">
    <cfRule type="cellIs" dxfId="209" priority="67" operator="notEqual">
      <formula>$S$116</formula>
    </cfRule>
  </conditionalFormatting>
  <conditionalFormatting sqref="Q22">
    <cfRule type="cellIs" dxfId="208" priority="58" operator="notEqual">
      <formula>$S$141</formula>
    </cfRule>
  </conditionalFormatting>
  <conditionalFormatting sqref="Q23">
    <cfRule type="cellIs" dxfId="207" priority="48" stopIfTrue="1" operator="notEqual">
      <formula>$S$166</formula>
    </cfRule>
  </conditionalFormatting>
  <conditionalFormatting sqref="Q24">
    <cfRule type="cellIs" dxfId="206" priority="43" stopIfTrue="1" operator="notEqual">
      <formula>$S$191</formula>
    </cfRule>
  </conditionalFormatting>
  <conditionalFormatting sqref="Q25">
    <cfRule type="cellIs" dxfId="205" priority="38" stopIfTrue="1" operator="notEqual">
      <formula>$S$216</formula>
    </cfRule>
  </conditionalFormatting>
  <conditionalFormatting sqref="Q26">
    <cfRule type="cellIs" dxfId="204" priority="33" stopIfTrue="1" operator="notEqual">
      <formula>$S$241</formula>
    </cfRule>
  </conditionalFormatting>
  <conditionalFormatting sqref="Q27">
    <cfRule type="cellIs" dxfId="203" priority="28" stopIfTrue="1" operator="notEqual">
      <formula>$S$266</formula>
    </cfRule>
  </conditionalFormatting>
  <conditionalFormatting sqref="Q29">
    <cfRule type="cellIs" dxfId="202" priority="66" operator="notEqual">
      <formula>$S$119</formula>
    </cfRule>
  </conditionalFormatting>
  <conditionalFormatting sqref="Q30">
    <cfRule type="cellIs" dxfId="201" priority="57" stopIfTrue="1" operator="notEqual">
      <formula>$S$144</formula>
    </cfRule>
  </conditionalFormatting>
  <conditionalFormatting sqref="Q31">
    <cfRule type="cellIs" dxfId="200" priority="47" stopIfTrue="1" operator="notEqual">
      <formula>$S$169</formula>
    </cfRule>
  </conditionalFormatting>
  <conditionalFormatting sqref="Q32">
    <cfRule type="cellIs" dxfId="199" priority="42" stopIfTrue="1" operator="notEqual">
      <formula>$S$194</formula>
    </cfRule>
  </conditionalFormatting>
  <conditionalFormatting sqref="Q33">
    <cfRule type="cellIs" dxfId="198" priority="37" stopIfTrue="1" operator="notEqual">
      <formula>$S$219</formula>
    </cfRule>
  </conditionalFormatting>
  <conditionalFormatting sqref="Q34">
    <cfRule type="cellIs" dxfId="197" priority="32" stopIfTrue="1" operator="notEqual">
      <formula>$S$244</formula>
    </cfRule>
  </conditionalFormatting>
  <conditionalFormatting sqref="Q35">
    <cfRule type="cellIs" dxfId="196" priority="27" stopIfTrue="1" operator="notEqual">
      <formula>$S$269</formula>
    </cfRule>
  </conditionalFormatting>
  <conditionalFormatting sqref="Q36">
    <cfRule type="cellIs" dxfId="195" priority="65" operator="notEqual">
      <formula>$S$122</formula>
    </cfRule>
  </conditionalFormatting>
  <conditionalFormatting sqref="Q37">
    <cfRule type="cellIs" dxfId="194" priority="56" operator="notEqual">
      <formula>$S$147</formula>
    </cfRule>
  </conditionalFormatting>
  <conditionalFormatting sqref="Q38">
    <cfRule type="cellIs" dxfId="193" priority="46" stopIfTrue="1" operator="notEqual">
      <formula>$S$172</formula>
    </cfRule>
  </conditionalFormatting>
  <conditionalFormatting sqref="Q39">
    <cfRule type="cellIs" dxfId="192" priority="41" stopIfTrue="1" operator="notEqual">
      <formula>$S$197</formula>
    </cfRule>
  </conditionalFormatting>
  <conditionalFormatting sqref="Q40">
    <cfRule type="cellIs" dxfId="191" priority="36" stopIfTrue="1" operator="notEqual">
      <formula>$S$222</formula>
    </cfRule>
  </conditionalFormatting>
  <conditionalFormatting sqref="Q41">
    <cfRule type="cellIs" dxfId="190" priority="31" stopIfTrue="1" operator="notEqual">
      <formula>$S$247</formula>
    </cfRule>
  </conditionalFormatting>
  <conditionalFormatting sqref="Q42">
    <cfRule type="cellIs" dxfId="189" priority="26" stopIfTrue="1" operator="notEqual">
      <formula>$S$272</formula>
    </cfRule>
  </conditionalFormatting>
  <conditionalFormatting sqref="R7">
    <cfRule type="cellIs" dxfId="188" priority="69" operator="notEqual">
      <formula>$S$111</formula>
    </cfRule>
  </conditionalFormatting>
  <conditionalFormatting sqref="R8">
    <cfRule type="cellIs" dxfId="187" priority="55" operator="notEqual">
      <formula>$S$136</formula>
    </cfRule>
  </conditionalFormatting>
  <conditionalFormatting sqref="R9">
    <cfRule type="cellIs" dxfId="186" priority="25" operator="notEqual">
      <formula>$S$161</formula>
    </cfRule>
  </conditionalFormatting>
  <conditionalFormatting sqref="R10">
    <cfRule type="cellIs" dxfId="185" priority="20" operator="notEqual">
      <formula>$S$186</formula>
    </cfRule>
  </conditionalFormatting>
  <conditionalFormatting sqref="R11">
    <cfRule type="cellIs" dxfId="184" priority="15" operator="notEqual">
      <formula>$S$211</formula>
    </cfRule>
  </conditionalFormatting>
  <conditionalFormatting sqref="R12">
    <cfRule type="cellIs" dxfId="183" priority="10" operator="notEqual">
      <formula>$S$236</formula>
    </cfRule>
  </conditionalFormatting>
  <conditionalFormatting sqref="R13">
    <cfRule type="cellIs" dxfId="182" priority="5" operator="notEqual">
      <formula>$S$261</formula>
    </cfRule>
  </conditionalFormatting>
  <conditionalFormatting sqref="R14">
    <cfRule type="cellIs" dxfId="181" priority="64" operator="notEqual">
      <formula>$S$114</formula>
    </cfRule>
  </conditionalFormatting>
  <conditionalFormatting sqref="R15">
    <cfRule type="cellIs" dxfId="180" priority="54" stopIfTrue="1" operator="notEqual">
      <formula>$S$139</formula>
    </cfRule>
  </conditionalFormatting>
  <conditionalFormatting sqref="R16">
    <cfRule type="cellIs" dxfId="179" priority="24" stopIfTrue="1" operator="notEqual">
      <formula>$S$164</formula>
    </cfRule>
  </conditionalFormatting>
  <conditionalFormatting sqref="R17">
    <cfRule type="cellIs" dxfId="178" priority="19" stopIfTrue="1" operator="notEqual">
      <formula>$S$189</formula>
    </cfRule>
  </conditionalFormatting>
  <conditionalFormatting sqref="R18">
    <cfRule type="cellIs" dxfId="177" priority="14" stopIfTrue="1" operator="notEqual">
      <formula>$S$214</formula>
    </cfRule>
  </conditionalFormatting>
  <conditionalFormatting sqref="R19">
    <cfRule type="cellIs" dxfId="176" priority="9" stopIfTrue="1" operator="notEqual">
      <formula>$S$239</formula>
    </cfRule>
  </conditionalFormatting>
  <conditionalFormatting sqref="R20">
    <cfRule type="cellIs" dxfId="175" priority="4" stopIfTrue="1" operator="notEqual">
      <formula>$S$264</formula>
    </cfRule>
  </conditionalFormatting>
  <conditionalFormatting sqref="R21">
    <cfRule type="cellIs" dxfId="174" priority="63" operator="notEqual">
      <formula>$S$117</formula>
    </cfRule>
  </conditionalFormatting>
  <conditionalFormatting sqref="R22">
    <cfRule type="cellIs" dxfId="173" priority="53" stopIfTrue="1" operator="notEqual">
      <formula>$S$142</formula>
    </cfRule>
  </conditionalFormatting>
  <conditionalFormatting sqref="R23">
    <cfRule type="cellIs" dxfId="172" priority="23" stopIfTrue="1" operator="notEqual">
      <formula>$S$167</formula>
    </cfRule>
  </conditionalFormatting>
  <conditionalFormatting sqref="R24">
    <cfRule type="cellIs" dxfId="171" priority="18" stopIfTrue="1" operator="notEqual">
      <formula>$S$192</formula>
    </cfRule>
  </conditionalFormatting>
  <conditionalFormatting sqref="R25">
    <cfRule type="cellIs" dxfId="170" priority="13" stopIfTrue="1" operator="notEqual">
      <formula>$S$217</formula>
    </cfRule>
  </conditionalFormatting>
  <conditionalFormatting sqref="R26">
    <cfRule type="cellIs" dxfId="169" priority="8" stopIfTrue="1" operator="notEqual">
      <formula>$S$242</formula>
    </cfRule>
  </conditionalFormatting>
  <conditionalFormatting sqref="R27">
    <cfRule type="cellIs" dxfId="168" priority="3" stopIfTrue="1" operator="notEqual">
      <formula>$S$267</formula>
    </cfRule>
  </conditionalFormatting>
  <conditionalFormatting sqref="R29">
    <cfRule type="cellIs" dxfId="167" priority="62" operator="notEqual">
      <formula>$S$120</formula>
    </cfRule>
  </conditionalFormatting>
  <conditionalFormatting sqref="R30">
    <cfRule type="cellIs" dxfId="166" priority="52" operator="notEqual">
      <formula>$S$145</formula>
    </cfRule>
  </conditionalFormatting>
  <conditionalFormatting sqref="R31">
    <cfRule type="cellIs" dxfId="165" priority="22" stopIfTrue="1" operator="notEqual">
      <formula>$S$170</formula>
    </cfRule>
  </conditionalFormatting>
  <conditionalFormatting sqref="R32">
    <cfRule type="cellIs" dxfId="164" priority="17" stopIfTrue="1" operator="notEqual">
      <formula>$S$195</formula>
    </cfRule>
  </conditionalFormatting>
  <conditionalFormatting sqref="R33">
    <cfRule type="cellIs" dxfId="163" priority="12" stopIfTrue="1" operator="notEqual">
      <formula>$S$220</formula>
    </cfRule>
  </conditionalFormatting>
  <conditionalFormatting sqref="R34">
    <cfRule type="cellIs" dxfId="162" priority="7" stopIfTrue="1" operator="notEqual">
      <formula>$S$245</formula>
    </cfRule>
  </conditionalFormatting>
  <conditionalFormatting sqref="R35">
    <cfRule type="cellIs" dxfId="161" priority="2" stopIfTrue="1" operator="notEqual">
      <formula>$S$270</formula>
    </cfRule>
  </conditionalFormatting>
  <conditionalFormatting sqref="R36">
    <cfRule type="cellIs" dxfId="160" priority="61" operator="notEqual">
      <formula>$S$123</formula>
    </cfRule>
  </conditionalFormatting>
  <conditionalFormatting sqref="R37">
    <cfRule type="cellIs" dxfId="159" priority="51" stopIfTrue="1" operator="notEqual">
      <formula>$S$148</formula>
    </cfRule>
  </conditionalFormatting>
  <conditionalFormatting sqref="R38">
    <cfRule type="cellIs" dxfId="158" priority="21" stopIfTrue="1" operator="notEqual">
      <formula>$S$173</formula>
    </cfRule>
  </conditionalFormatting>
  <conditionalFormatting sqref="R39">
    <cfRule type="cellIs" dxfId="157" priority="16" stopIfTrue="1" operator="notEqual">
      <formula>$S$198</formula>
    </cfRule>
  </conditionalFormatting>
  <conditionalFormatting sqref="R40">
    <cfRule type="cellIs" dxfId="156" priority="11" stopIfTrue="1" operator="notEqual">
      <formula>$S$223</formula>
    </cfRule>
  </conditionalFormatting>
  <conditionalFormatting sqref="R41">
    <cfRule type="cellIs" dxfId="155" priority="6" stopIfTrue="1" operator="notEqual">
      <formula>$S$248</formula>
    </cfRule>
  </conditionalFormatting>
  <conditionalFormatting sqref="R42">
    <cfRule type="cellIs" dxfId="154" priority="1" stopIfTrue="1" operator="notEqual">
      <formula>$S$273</formula>
    </cfRule>
  </conditionalFormatting>
  <conditionalFormatting sqref="X110">
    <cfRule type="cellIs" dxfId="153" priority="107" operator="lessThan">
      <formula>$R$110</formula>
    </cfRule>
  </conditionalFormatting>
  <conditionalFormatting sqref="X113">
    <cfRule type="cellIs" dxfId="152" priority="106" operator="lessThan">
      <formula>$R$113</formula>
    </cfRule>
  </conditionalFormatting>
  <conditionalFormatting sqref="X116">
    <cfRule type="cellIs" dxfId="151" priority="105" operator="lessThan">
      <formula>$R$116</formula>
    </cfRule>
  </conditionalFormatting>
  <conditionalFormatting sqref="X119">
    <cfRule type="cellIs" dxfId="150" priority="104" operator="lessThan">
      <formula>$R$119</formula>
    </cfRule>
  </conditionalFormatting>
  <conditionalFormatting sqref="X122">
    <cfRule type="cellIs" dxfId="149" priority="87" operator="lessThan">
      <formula>$R$116</formula>
    </cfRule>
  </conditionalFormatting>
  <conditionalFormatting sqref="X125">
    <cfRule type="cellIs" dxfId="148" priority="103" operator="lessThan">
      <formula>$R$125</formula>
    </cfRule>
  </conditionalFormatting>
  <conditionalFormatting sqref="X135">
    <cfRule type="cellIs" dxfId="147" priority="92" operator="lessThan">
      <formula>$R$135</formula>
    </cfRule>
  </conditionalFormatting>
  <conditionalFormatting sqref="X138">
    <cfRule type="cellIs" dxfId="146" priority="91" operator="lessThan">
      <formula>$R$138</formula>
    </cfRule>
  </conditionalFormatting>
  <conditionalFormatting sqref="X141">
    <cfRule type="cellIs" dxfId="145" priority="90" operator="lessThan">
      <formula>$R$141</formula>
    </cfRule>
  </conditionalFormatting>
  <conditionalFormatting sqref="X144">
    <cfRule type="cellIs" dxfId="144" priority="89" operator="lessThan">
      <formula>$R$144</formula>
    </cfRule>
  </conditionalFormatting>
  <conditionalFormatting sqref="X147">
    <cfRule type="cellIs" dxfId="143" priority="86" operator="lessThan">
      <formula>$R$141</formula>
    </cfRule>
  </conditionalFormatting>
  <conditionalFormatting sqref="X150">
    <cfRule type="cellIs" dxfId="142" priority="88" operator="lessThan">
      <formula>$R$150</formula>
    </cfRule>
  </conditionalFormatting>
  <conditionalFormatting sqref="X160">
    <cfRule type="cellIs" dxfId="141" priority="102" operator="lessThan">
      <formula>$R$160</formula>
    </cfRule>
  </conditionalFormatting>
  <conditionalFormatting sqref="X163">
    <cfRule type="cellIs" dxfId="140" priority="101" operator="lessThan">
      <formula>$R$163</formula>
    </cfRule>
  </conditionalFormatting>
  <conditionalFormatting sqref="X166">
    <cfRule type="cellIs" dxfId="139" priority="100" operator="lessThan">
      <formula>$R$166</formula>
    </cfRule>
  </conditionalFormatting>
  <conditionalFormatting sqref="X169">
    <cfRule type="cellIs" dxfId="138" priority="99" operator="lessThan">
      <formula>$R$169</formula>
    </cfRule>
  </conditionalFormatting>
  <conditionalFormatting sqref="X172">
    <cfRule type="cellIs" dxfId="137" priority="85" operator="lessThan">
      <formula>$R$141</formula>
    </cfRule>
  </conditionalFormatting>
  <conditionalFormatting sqref="X175">
    <cfRule type="cellIs" dxfId="136" priority="98" operator="lessThan">
      <formula>$R$175</formula>
    </cfRule>
  </conditionalFormatting>
  <conditionalFormatting sqref="X185">
    <cfRule type="cellIs" dxfId="135" priority="112" operator="lessThan">
      <formula>$R$185</formula>
    </cfRule>
  </conditionalFormatting>
  <conditionalFormatting sqref="X188">
    <cfRule type="cellIs" dxfId="134" priority="111" operator="lessThan">
      <formula>$R$188</formula>
    </cfRule>
  </conditionalFormatting>
  <conditionalFormatting sqref="X191">
    <cfRule type="cellIs" dxfId="133" priority="110" operator="lessThan">
      <formula>$R$191</formula>
    </cfRule>
  </conditionalFormatting>
  <conditionalFormatting sqref="X194">
    <cfRule type="cellIs" dxfId="132" priority="109" operator="lessThan">
      <formula>$R$194</formula>
    </cfRule>
  </conditionalFormatting>
  <conditionalFormatting sqref="X197">
    <cfRule type="cellIs" dxfId="131" priority="84" operator="lessThan">
      <formula>$R$141</formula>
    </cfRule>
  </conditionalFormatting>
  <conditionalFormatting sqref="X200">
    <cfRule type="cellIs" dxfId="130" priority="108" operator="lessThan">
      <formula>$R$200</formula>
    </cfRule>
  </conditionalFormatting>
  <conditionalFormatting sqref="X210">
    <cfRule type="cellIs" dxfId="129" priority="97" operator="lessThan">
      <formula>$R$210</formula>
    </cfRule>
  </conditionalFormatting>
  <conditionalFormatting sqref="X213">
    <cfRule type="cellIs" dxfId="128" priority="96" operator="lessThan">
      <formula>$R$213</formula>
    </cfRule>
  </conditionalFormatting>
  <conditionalFormatting sqref="X216">
    <cfRule type="cellIs" dxfId="127" priority="95" operator="lessThan">
      <formula>$R$216</formula>
    </cfRule>
  </conditionalFormatting>
  <conditionalFormatting sqref="X219">
    <cfRule type="cellIs" dxfId="126" priority="94" operator="lessThan">
      <formula>$R$219</formula>
    </cfRule>
  </conditionalFormatting>
  <conditionalFormatting sqref="X222">
    <cfRule type="cellIs" dxfId="125" priority="83" operator="lessThan">
      <formula>$R$141</formula>
    </cfRule>
  </conditionalFormatting>
  <conditionalFormatting sqref="X225">
    <cfRule type="cellIs" dxfId="124" priority="93" operator="lessThan">
      <formula>$R$225</formula>
    </cfRule>
  </conditionalFormatting>
  <conditionalFormatting sqref="X235">
    <cfRule type="cellIs" dxfId="123" priority="82" operator="lessThan">
      <formula>$R$210</formula>
    </cfRule>
  </conditionalFormatting>
  <conditionalFormatting sqref="X238">
    <cfRule type="cellIs" dxfId="122" priority="81" operator="lessThan">
      <formula>$R$213</formula>
    </cfRule>
  </conditionalFormatting>
  <conditionalFormatting sqref="X241">
    <cfRule type="cellIs" dxfId="121" priority="80" operator="lessThan">
      <formula>$R$216</formula>
    </cfRule>
  </conditionalFormatting>
  <conditionalFormatting sqref="X244">
    <cfRule type="cellIs" dxfId="120" priority="79" operator="lessThan">
      <formula>$R$219</formula>
    </cfRule>
  </conditionalFormatting>
  <conditionalFormatting sqref="X247">
    <cfRule type="cellIs" dxfId="119" priority="77" operator="lessThan">
      <formula>$R$141</formula>
    </cfRule>
  </conditionalFormatting>
  <conditionalFormatting sqref="X250">
    <cfRule type="cellIs" dxfId="118" priority="78" operator="lessThan">
      <formula>$R$225</formula>
    </cfRule>
  </conditionalFormatting>
  <conditionalFormatting sqref="X260">
    <cfRule type="cellIs" dxfId="117" priority="76" operator="lessThan">
      <formula>$R$210</formula>
    </cfRule>
  </conditionalFormatting>
  <conditionalFormatting sqref="X263">
    <cfRule type="cellIs" dxfId="116" priority="75" operator="lessThan">
      <formula>$R$213</formula>
    </cfRule>
  </conditionalFormatting>
  <conditionalFormatting sqref="X266">
    <cfRule type="cellIs" dxfId="115" priority="74" operator="lessThan">
      <formula>$R$216</formula>
    </cfRule>
  </conditionalFormatting>
  <conditionalFormatting sqref="X269">
    <cfRule type="cellIs" dxfId="114" priority="73" operator="lessThan">
      <formula>$R$219</formula>
    </cfRule>
  </conditionalFormatting>
  <conditionalFormatting sqref="X272">
    <cfRule type="cellIs" dxfId="113" priority="71" operator="lessThan">
      <formula>$R$141</formula>
    </cfRule>
  </conditionalFormatting>
  <conditionalFormatting sqref="X275">
    <cfRule type="cellIs" dxfId="112" priority="72" operator="lessThan">
      <formula>$R$225</formula>
    </cfRule>
  </conditionalFormatting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B7865-C9C4-1A41-8E5C-59BC5F358EC7}">
  <dimension ref="B2:Y277"/>
  <sheetViews>
    <sheetView tabSelected="1" zoomScale="150" zoomScaleNormal="150" zoomScaleSheetLayoutView="146" workbookViewId="0"/>
  </sheetViews>
  <sheetFormatPr baseColWidth="10" defaultColWidth="7.7109375" defaultRowHeight="17"/>
  <cols>
    <col min="1" max="3" width="2.28515625" style="18" customWidth="1"/>
    <col min="4" max="4" width="12.28515625" style="18" bestFit="1" customWidth="1"/>
    <col min="5" max="5" width="3.85546875" style="18" bestFit="1" customWidth="1"/>
    <col min="6" max="6" width="17.28515625" style="18" bestFit="1" customWidth="1"/>
    <col min="7" max="7" width="8.7109375" style="18" bestFit="1" customWidth="1"/>
    <col min="8" max="8" width="7.5703125" style="18" bestFit="1" customWidth="1"/>
    <col min="9" max="9" width="8" style="18" bestFit="1" customWidth="1"/>
    <col min="10" max="10" width="7.85546875" style="18" bestFit="1" customWidth="1"/>
    <col min="11" max="11" width="8.28515625" style="18" bestFit="1" customWidth="1"/>
    <col min="12" max="12" width="6.5703125" style="18" bestFit="1" customWidth="1"/>
    <col min="13" max="13" width="8.85546875" style="18" bestFit="1" customWidth="1"/>
    <col min="14" max="14" width="6.5703125" style="18" bestFit="1" customWidth="1"/>
    <col min="15" max="15" width="7.5703125" style="18" bestFit="1" customWidth="1"/>
    <col min="16" max="16" width="7.7109375" style="18" bestFit="1" customWidth="1"/>
    <col min="17" max="17" width="8.5703125" style="18" bestFit="1" customWidth="1"/>
    <col min="18" max="18" width="8" style="18" bestFit="1" customWidth="1"/>
    <col min="19" max="19" width="8.5703125" style="18" bestFit="1" customWidth="1"/>
    <col min="20" max="20" width="2.28515625" style="18" customWidth="1"/>
    <col min="21" max="21" width="10.5703125" style="18" bestFit="1" customWidth="1"/>
    <col min="22" max="22" width="12.28515625" style="18" bestFit="1" customWidth="1"/>
    <col min="23" max="23" width="2.28515625" style="18" customWidth="1"/>
    <col min="24" max="24" width="13.28515625" style="18" bestFit="1" customWidth="1"/>
    <col min="25" max="26" width="7.7109375" style="18"/>
    <col min="27" max="27" width="7.85546875" style="18" bestFit="1" customWidth="1"/>
    <col min="28" max="16384" width="7.7109375" style="18"/>
  </cols>
  <sheetData>
    <row r="2" spans="2:19">
      <c r="B2" s="18" t="s">
        <v>18</v>
      </c>
    </row>
    <row r="3" spans="2:19">
      <c r="D3" s="107" t="s">
        <v>148</v>
      </c>
      <c r="E3" s="107"/>
      <c r="F3" s="107"/>
      <c r="G3" s="20" t="s">
        <v>39</v>
      </c>
      <c r="H3" s="107" t="s">
        <v>147</v>
      </c>
      <c r="I3" s="107"/>
      <c r="J3" s="107"/>
      <c r="K3" s="107" t="s">
        <v>123</v>
      </c>
      <c r="L3" s="107"/>
      <c r="M3" s="107"/>
      <c r="N3" s="107"/>
      <c r="O3" s="107"/>
      <c r="P3" s="107"/>
      <c r="Q3" s="107" t="s">
        <v>133</v>
      </c>
      <c r="R3" s="107"/>
      <c r="S3" s="107"/>
    </row>
    <row r="4" spans="2:19">
      <c r="D4" s="107"/>
      <c r="E4" s="107"/>
      <c r="F4" s="107"/>
      <c r="G4" s="20" t="s">
        <v>129</v>
      </c>
      <c r="H4" s="107" t="s">
        <v>129</v>
      </c>
      <c r="I4" s="107"/>
      <c r="J4" s="107"/>
      <c r="K4" s="107" t="s">
        <v>59</v>
      </c>
      <c r="L4" s="107"/>
      <c r="M4" s="107"/>
      <c r="N4" s="107" t="s">
        <v>106</v>
      </c>
      <c r="O4" s="107"/>
      <c r="P4" s="107"/>
      <c r="Q4" s="107"/>
      <c r="R4" s="107"/>
      <c r="S4" s="107"/>
    </row>
    <row r="5" spans="2:19">
      <c r="D5" s="107" t="s">
        <v>136</v>
      </c>
      <c r="E5" s="107" t="s">
        <v>68</v>
      </c>
      <c r="F5" s="20" t="s">
        <v>113</v>
      </c>
      <c r="G5" s="107" t="s">
        <v>78</v>
      </c>
      <c r="H5" s="107" t="s">
        <v>78</v>
      </c>
      <c r="I5" s="107" t="s">
        <v>24</v>
      </c>
      <c r="J5" s="107" t="s">
        <v>25</v>
      </c>
      <c r="K5" s="107" t="s">
        <v>78</v>
      </c>
      <c r="L5" s="107" t="s">
        <v>24</v>
      </c>
      <c r="M5" s="107" t="s">
        <v>25</v>
      </c>
      <c r="N5" s="107" t="s">
        <v>78</v>
      </c>
      <c r="O5" s="107" t="s">
        <v>24</v>
      </c>
      <c r="P5" s="107" t="s">
        <v>25</v>
      </c>
      <c r="Q5" s="107" t="s">
        <v>78</v>
      </c>
      <c r="R5" s="107" t="s">
        <v>24</v>
      </c>
      <c r="S5" s="107" t="s">
        <v>69</v>
      </c>
    </row>
    <row r="6" spans="2:19">
      <c r="D6" s="107"/>
      <c r="E6" s="107"/>
      <c r="F6" s="20" t="s">
        <v>110</v>
      </c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</row>
    <row r="7" spans="2:19">
      <c r="D7" s="110">
        <v>1</v>
      </c>
      <c r="E7" s="107">
        <v>1</v>
      </c>
      <c r="F7" s="23"/>
      <c r="G7" s="24"/>
      <c r="H7" s="24"/>
      <c r="I7" s="24"/>
      <c r="J7" s="22">
        <f t="shared" ref="J7:J42" si="0">SUM(H7:I7)</f>
        <v>0</v>
      </c>
      <c r="K7" s="22">
        <v>0</v>
      </c>
      <c r="L7" s="22">
        <v>0</v>
      </c>
      <c r="M7" s="22">
        <f>SUM(K7:L7)</f>
        <v>0</v>
      </c>
      <c r="N7" s="22">
        <v>0</v>
      </c>
      <c r="O7" s="22">
        <v>0</v>
      </c>
      <c r="P7" s="22">
        <f t="shared" ref="P7:P42" si="1">SUM(N7:O7)</f>
        <v>0</v>
      </c>
      <c r="Q7" s="22">
        <f>G7+H7+K7+N7</f>
        <v>0</v>
      </c>
      <c r="R7" s="22">
        <f>I7+L7+O7</f>
        <v>0</v>
      </c>
      <c r="S7" s="22">
        <f>SUM(Q7:R7)</f>
        <v>0</v>
      </c>
    </row>
    <row r="8" spans="2:19">
      <c r="D8" s="112"/>
      <c r="E8" s="107"/>
      <c r="F8" s="23"/>
      <c r="G8" s="24"/>
      <c r="H8" s="62"/>
      <c r="I8" s="62"/>
      <c r="J8" s="59">
        <f t="shared" si="0"/>
        <v>0</v>
      </c>
      <c r="K8" s="22">
        <v>0</v>
      </c>
      <c r="L8" s="22">
        <v>0</v>
      </c>
      <c r="M8" s="22">
        <f t="shared" ref="M8:M42" si="2">SUM(K8:L8)</f>
        <v>0</v>
      </c>
      <c r="N8" s="22">
        <v>0</v>
      </c>
      <c r="O8" s="22">
        <v>0</v>
      </c>
      <c r="P8" s="22">
        <f t="shared" si="1"/>
        <v>0</v>
      </c>
      <c r="Q8" s="22">
        <f>G8+H8+K8+N8</f>
        <v>0</v>
      </c>
      <c r="R8" s="22">
        <f t="shared" ref="R8:R42" si="3">I8+L8+O8</f>
        <v>0</v>
      </c>
      <c r="S8" s="22">
        <f t="shared" ref="S8:S42" si="4">SUM(Q8:R8)</f>
        <v>0</v>
      </c>
    </row>
    <row r="9" spans="2:19">
      <c r="D9" s="112"/>
      <c r="E9" s="107"/>
      <c r="F9" s="23"/>
      <c r="G9" s="63"/>
      <c r="H9" s="71"/>
      <c r="I9" s="71"/>
      <c r="J9" s="44">
        <f t="shared" si="0"/>
        <v>0</v>
      </c>
      <c r="K9" s="42">
        <v>0</v>
      </c>
      <c r="L9" s="22">
        <v>0</v>
      </c>
      <c r="M9" s="22">
        <f t="shared" si="2"/>
        <v>0</v>
      </c>
      <c r="N9" s="22">
        <v>0</v>
      </c>
      <c r="O9" s="22">
        <v>0</v>
      </c>
      <c r="P9" s="22">
        <f t="shared" si="1"/>
        <v>0</v>
      </c>
      <c r="Q9" s="22">
        <f t="shared" ref="Q9:Q42" si="5">G9+H9+K9+N9</f>
        <v>0</v>
      </c>
      <c r="R9" s="22">
        <f t="shared" si="3"/>
        <v>0</v>
      </c>
      <c r="S9" s="22">
        <f t="shared" si="4"/>
        <v>0</v>
      </c>
    </row>
    <row r="10" spans="2:19">
      <c r="D10" s="112"/>
      <c r="E10" s="107"/>
      <c r="F10" s="23"/>
      <c r="G10" s="24"/>
      <c r="H10" s="54"/>
      <c r="I10" s="54"/>
      <c r="J10" s="53">
        <f t="shared" si="0"/>
        <v>0</v>
      </c>
      <c r="K10" s="22">
        <v>0</v>
      </c>
      <c r="L10" s="22">
        <v>0</v>
      </c>
      <c r="M10" s="22">
        <f t="shared" si="2"/>
        <v>0</v>
      </c>
      <c r="N10" s="22">
        <v>0</v>
      </c>
      <c r="O10" s="22">
        <v>0</v>
      </c>
      <c r="P10" s="22">
        <f t="shared" si="1"/>
        <v>0</v>
      </c>
      <c r="Q10" s="22">
        <f t="shared" si="5"/>
        <v>0</v>
      </c>
      <c r="R10" s="22">
        <f t="shared" si="3"/>
        <v>0</v>
      </c>
      <c r="S10" s="22">
        <f t="shared" si="4"/>
        <v>0</v>
      </c>
    </row>
    <row r="11" spans="2:19">
      <c r="D11" s="112"/>
      <c r="E11" s="107"/>
      <c r="F11" s="23"/>
      <c r="G11" s="24"/>
      <c r="H11" s="24"/>
      <c r="I11" s="24"/>
      <c r="J11" s="22">
        <f t="shared" si="0"/>
        <v>0</v>
      </c>
      <c r="K11" s="22">
        <v>0</v>
      </c>
      <c r="L11" s="22">
        <v>0</v>
      </c>
      <c r="M11" s="22">
        <f t="shared" si="2"/>
        <v>0</v>
      </c>
      <c r="N11" s="22">
        <v>0</v>
      </c>
      <c r="O11" s="22">
        <v>0</v>
      </c>
      <c r="P11" s="22">
        <f t="shared" si="1"/>
        <v>0</v>
      </c>
      <c r="Q11" s="22">
        <f t="shared" si="5"/>
        <v>0</v>
      </c>
      <c r="R11" s="22">
        <f t="shared" si="3"/>
        <v>0</v>
      </c>
      <c r="S11" s="22">
        <f t="shared" si="4"/>
        <v>0</v>
      </c>
    </row>
    <row r="12" spans="2:19">
      <c r="D12" s="112"/>
      <c r="E12" s="107"/>
      <c r="F12" s="23"/>
      <c r="G12" s="24"/>
      <c r="H12" s="24"/>
      <c r="I12" s="24"/>
      <c r="J12" s="22">
        <f t="shared" si="0"/>
        <v>0</v>
      </c>
      <c r="K12" s="22">
        <v>0</v>
      </c>
      <c r="L12" s="22">
        <v>0</v>
      </c>
      <c r="M12" s="22">
        <f t="shared" si="2"/>
        <v>0</v>
      </c>
      <c r="N12" s="22">
        <v>0</v>
      </c>
      <c r="O12" s="22">
        <v>0</v>
      </c>
      <c r="P12" s="22">
        <f t="shared" si="1"/>
        <v>0</v>
      </c>
      <c r="Q12" s="22">
        <f t="shared" si="5"/>
        <v>0</v>
      </c>
      <c r="R12" s="22">
        <f t="shared" si="3"/>
        <v>0</v>
      </c>
      <c r="S12" s="22">
        <f t="shared" si="4"/>
        <v>0</v>
      </c>
    </row>
    <row r="13" spans="2:19">
      <c r="D13" s="112"/>
      <c r="E13" s="107"/>
      <c r="F13" s="23"/>
      <c r="G13" s="24"/>
      <c r="H13" s="24"/>
      <c r="I13" s="24"/>
      <c r="J13" s="22">
        <f t="shared" si="0"/>
        <v>0</v>
      </c>
      <c r="K13" s="22">
        <v>0</v>
      </c>
      <c r="L13" s="22">
        <v>0</v>
      </c>
      <c r="M13" s="22">
        <f t="shared" si="2"/>
        <v>0</v>
      </c>
      <c r="N13" s="22">
        <v>0</v>
      </c>
      <c r="O13" s="22">
        <v>0</v>
      </c>
      <c r="P13" s="22">
        <f t="shared" si="1"/>
        <v>0</v>
      </c>
      <c r="Q13" s="22">
        <f t="shared" si="5"/>
        <v>0</v>
      </c>
      <c r="R13" s="22">
        <f t="shared" si="3"/>
        <v>0</v>
      </c>
      <c r="S13" s="22">
        <f t="shared" si="4"/>
        <v>0</v>
      </c>
    </row>
    <row r="14" spans="2:19">
      <c r="D14" s="112"/>
      <c r="E14" s="107">
        <v>2</v>
      </c>
      <c r="F14" s="23"/>
      <c r="G14" s="24"/>
      <c r="H14" s="24"/>
      <c r="I14" s="24"/>
      <c r="J14" s="22">
        <f t="shared" si="0"/>
        <v>0</v>
      </c>
      <c r="K14" s="22">
        <v>0</v>
      </c>
      <c r="L14" s="22">
        <v>0</v>
      </c>
      <c r="M14" s="22">
        <f t="shared" si="2"/>
        <v>0</v>
      </c>
      <c r="N14" s="22">
        <v>0</v>
      </c>
      <c r="O14" s="22">
        <v>0</v>
      </c>
      <c r="P14" s="22">
        <f t="shared" si="1"/>
        <v>0</v>
      </c>
      <c r="Q14" s="22">
        <f>G14+H14+K14+N14</f>
        <v>0</v>
      </c>
      <c r="R14" s="22">
        <f>I14+L14+O14</f>
        <v>0</v>
      </c>
      <c r="S14" s="22">
        <f t="shared" si="4"/>
        <v>0</v>
      </c>
    </row>
    <row r="15" spans="2:19">
      <c r="D15" s="112"/>
      <c r="E15" s="107"/>
      <c r="F15" s="23"/>
      <c r="G15" s="24"/>
      <c r="H15" s="62"/>
      <c r="I15" s="62"/>
      <c r="J15" s="22">
        <f t="shared" si="0"/>
        <v>0</v>
      </c>
      <c r="K15" s="22">
        <v>0</v>
      </c>
      <c r="L15" s="22">
        <v>0</v>
      </c>
      <c r="M15" s="22">
        <f t="shared" si="2"/>
        <v>0</v>
      </c>
      <c r="N15" s="22">
        <v>0</v>
      </c>
      <c r="O15" s="22">
        <v>0</v>
      </c>
      <c r="P15" s="22">
        <f t="shared" si="1"/>
        <v>0</v>
      </c>
      <c r="Q15" s="22">
        <f>G15+H15+K15+N15</f>
        <v>0</v>
      </c>
      <c r="R15" s="22">
        <f t="shared" si="3"/>
        <v>0</v>
      </c>
      <c r="S15" s="22">
        <f t="shared" si="4"/>
        <v>0</v>
      </c>
    </row>
    <row r="16" spans="2:19">
      <c r="D16" s="112"/>
      <c r="E16" s="107"/>
      <c r="F16" s="23"/>
      <c r="G16" s="64"/>
      <c r="H16" s="71"/>
      <c r="I16" s="71"/>
      <c r="J16" s="42">
        <f t="shared" si="0"/>
        <v>0</v>
      </c>
      <c r="K16" s="22">
        <v>0</v>
      </c>
      <c r="L16" s="22">
        <v>0</v>
      </c>
      <c r="M16" s="22">
        <f t="shared" si="2"/>
        <v>0</v>
      </c>
      <c r="N16" s="22">
        <v>0</v>
      </c>
      <c r="O16" s="22">
        <v>0</v>
      </c>
      <c r="P16" s="22">
        <f t="shared" si="1"/>
        <v>0</v>
      </c>
      <c r="Q16" s="22">
        <f t="shared" si="5"/>
        <v>0</v>
      </c>
      <c r="R16" s="22">
        <f t="shared" si="3"/>
        <v>0</v>
      </c>
      <c r="S16" s="22">
        <f t="shared" si="4"/>
        <v>0</v>
      </c>
    </row>
    <row r="17" spans="4:19">
      <c r="D17" s="112"/>
      <c r="E17" s="107"/>
      <c r="F17" s="41"/>
      <c r="G17" s="43"/>
      <c r="H17" s="57"/>
      <c r="I17" s="54"/>
      <c r="J17" s="22">
        <f t="shared" si="0"/>
        <v>0</v>
      </c>
      <c r="K17" s="22">
        <v>0</v>
      </c>
      <c r="L17" s="22">
        <v>0</v>
      </c>
      <c r="M17" s="22">
        <f t="shared" si="2"/>
        <v>0</v>
      </c>
      <c r="N17" s="22">
        <v>0</v>
      </c>
      <c r="O17" s="22">
        <v>0</v>
      </c>
      <c r="P17" s="22">
        <f t="shared" si="1"/>
        <v>0</v>
      </c>
      <c r="Q17" s="22">
        <f t="shared" si="5"/>
        <v>0</v>
      </c>
      <c r="R17" s="22">
        <f t="shared" si="3"/>
        <v>0</v>
      </c>
      <c r="S17" s="22">
        <f t="shared" si="4"/>
        <v>0</v>
      </c>
    </row>
    <row r="18" spans="4:19">
      <c r="D18" s="112"/>
      <c r="E18" s="107"/>
      <c r="F18" s="41"/>
      <c r="G18" s="43"/>
      <c r="H18" s="56"/>
      <c r="I18" s="24"/>
      <c r="J18" s="22">
        <f t="shared" si="0"/>
        <v>0</v>
      </c>
      <c r="K18" s="22">
        <v>0</v>
      </c>
      <c r="L18" s="22">
        <v>0</v>
      </c>
      <c r="M18" s="22">
        <f t="shared" si="2"/>
        <v>0</v>
      </c>
      <c r="N18" s="22">
        <v>0</v>
      </c>
      <c r="O18" s="22">
        <v>0</v>
      </c>
      <c r="P18" s="22">
        <f t="shared" si="1"/>
        <v>0</v>
      </c>
      <c r="Q18" s="22">
        <f t="shared" si="5"/>
        <v>0</v>
      </c>
      <c r="R18" s="22">
        <f t="shared" si="3"/>
        <v>0</v>
      </c>
      <c r="S18" s="22">
        <f t="shared" si="4"/>
        <v>0</v>
      </c>
    </row>
    <row r="19" spans="4:19">
      <c r="D19" s="112"/>
      <c r="E19" s="107"/>
      <c r="F19" s="41"/>
      <c r="G19" s="43"/>
      <c r="H19" s="56"/>
      <c r="I19" s="24"/>
      <c r="J19" s="22">
        <f t="shared" si="0"/>
        <v>0</v>
      </c>
      <c r="K19" s="22">
        <v>0</v>
      </c>
      <c r="L19" s="22">
        <v>0</v>
      </c>
      <c r="M19" s="22">
        <f t="shared" si="2"/>
        <v>0</v>
      </c>
      <c r="N19" s="22">
        <v>0</v>
      </c>
      <c r="O19" s="22">
        <v>0</v>
      </c>
      <c r="P19" s="22">
        <f t="shared" si="1"/>
        <v>0</v>
      </c>
      <c r="Q19" s="22">
        <f t="shared" si="5"/>
        <v>0</v>
      </c>
      <c r="R19" s="22">
        <f t="shared" si="3"/>
        <v>0</v>
      </c>
      <c r="S19" s="22">
        <f t="shared" si="4"/>
        <v>0</v>
      </c>
    </row>
    <row r="20" spans="4:19">
      <c r="D20" s="112"/>
      <c r="E20" s="107"/>
      <c r="F20" s="41"/>
      <c r="G20" s="43"/>
      <c r="H20" s="56"/>
      <c r="I20" s="24"/>
      <c r="J20" s="22">
        <f t="shared" si="0"/>
        <v>0</v>
      </c>
      <c r="K20" s="22">
        <v>0</v>
      </c>
      <c r="L20" s="22">
        <v>0</v>
      </c>
      <c r="M20" s="22">
        <f t="shared" si="2"/>
        <v>0</v>
      </c>
      <c r="N20" s="22">
        <v>0</v>
      </c>
      <c r="O20" s="22">
        <v>0</v>
      </c>
      <c r="P20" s="22">
        <f t="shared" si="1"/>
        <v>0</v>
      </c>
      <c r="Q20" s="22">
        <f t="shared" si="5"/>
        <v>0</v>
      </c>
      <c r="R20" s="22">
        <f t="shared" si="3"/>
        <v>0</v>
      </c>
      <c r="S20" s="22">
        <f t="shared" si="4"/>
        <v>0</v>
      </c>
    </row>
    <row r="21" spans="4:19">
      <c r="D21" s="112"/>
      <c r="E21" s="107">
        <v>3</v>
      </c>
      <c r="F21" s="41"/>
      <c r="G21" s="43"/>
      <c r="H21" s="56"/>
      <c r="I21" s="24"/>
      <c r="J21" s="22">
        <f t="shared" si="0"/>
        <v>0</v>
      </c>
      <c r="K21" s="22">
        <v>0</v>
      </c>
      <c r="L21" s="22">
        <v>0</v>
      </c>
      <c r="M21" s="22">
        <f t="shared" si="2"/>
        <v>0</v>
      </c>
      <c r="N21" s="22">
        <v>0</v>
      </c>
      <c r="O21" s="22">
        <v>0</v>
      </c>
      <c r="P21" s="22">
        <f t="shared" si="1"/>
        <v>0</v>
      </c>
      <c r="Q21" s="22">
        <f>G21+H21+K21+N21</f>
        <v>0</v>
      </c>
      <c r="R21" s="22">
        <f>I21+L21+O21</f>
        <v>0</v>
      </c>
      <c r="S21" s="22">
        <f t="shared" si="4"/>
        <v>0</v>
      </c>
    </row>
    <row r="22" spans="4:19">
      <c r="D22" s="112"/>
      <c r="E22" s="107"/>
      <c r="F22" s="41"/>
      <c r="G22" s="43"/>
      <c r="H22" s="65"/>
      <c r="I22" s="62"/>
      <c r="J22" s="22">
        <f t="shared" si="0"/>
        <v>0</v>
      </c>
      <c r="K22" s="22">
        <v>0</v>
      </c>
      <c r="L22" s="22">
        <v>0</v>
      </c>
      <c r="M22" s="22">
        <f t="shared" si="2"/>
        <v>0</v>
      </c>
      <c r="N22" s="22">
        <v>0</v>
      </c>
      <c r="O22" s="22">
        <v>0</v>
      </c>
      <c r="P22" s="22">
        <f t="shared" si="1"/>
        <v>0</v>
      </c>
      <c r="Q22" s="22">
        <f>G22+H22+K22+N22</f>
        <v>0</v>
      </c>
      <c r="R22" s="22">
        <f t="shared" si="3"/>
        <v>0</v>
      </c>
      <c r="S22" s="22">
        <f t="shared" si="4"/>
        <v>0</v>
      </c>
    </row>
    <row r="23" spans="4:19">
      <c r="D23" s="112"/>
      <c r="E23" s="107"/>
      <c r="F23" s="41"/>
      <c r="G23" s="43"/>
      <c r="H23" s="71"/>
      <c r="I23" s="71"/>
      <c r="J23" s="42">
        <f t="shared" si="0"/>
        <v>0</v>
      </c>
      <c r="K23" s="22">
        <v>0</v>
      </c>
      <c r="L23" s="22">
        <v>0</v>
      </c>
      <c r="M23" s="22">
        <f t="shared" si="2"/>
        <v>0</v>
      </c>
      <c r="N23" s="22">
        <v>0</v>
      </c>
      <c r="O23" s="22">
        <v>0</v>
      </c>
      <c r="P23" s="22">
        <f t="shared" si="1"/>
        <v>0</v>
      </c>
      <c r="Q23" s="22">
        <f t="shared" si="5"/>
        <v>0</v>
      </c>
      <c r="R23" s="22">
        <f t="shared" si="3"/>
        <v>0</v>
      </c>
      <c r="S23" s="22">
        <f t="shared" si="4"/>
        <v>0</v>
      </c>
    </row>
    <row r="24" spans="4:19">
      <c r="D24" s="112"/>
      <c r="E24" s="107"/>
      <c r="F24" s="41"/>
      <c r="G24" s="43"/>
      <c r="H24" s="66"/>
      <c r="I24" s="67"/>
      <c r="J24" s="42">
        <f t="shared" si="0"/>
        <v>0</v>
      </c>
      <c r="K24" s="22">
        <v>0</v>
      </c>
      <c r="L24" s="22">
        <v>0</v>
      </c>
      <c r="M24" s="22">
        <f t="shared" si="2"/>
        <v>0</v>
      </c>
      <c r="N24" s="22">
        <v>0</v>
      </c>
      <c r="O24" s="22">
        <v>0</v>
      </c>
      <c r="P24" s="22">
        <f t="shared" si="1"/>
        <v>0</v>
      </c>
      <c r="Q24" s="22">
        <f t="shared" si="5"/>
        <v>0</v>
      </c>
      <c r="R24" s="22">
        <f t="shared" si="3"/>
        <v>0</v>
      </c>
      <c r="S24" s="22">
        <f t="shared" si="4"/>
        <v>0</v>
      </c>
    </row>
    <row r="25" spans="4:19">
      <c r="D25" s="112"/>
      <c r="E25" s="107"/>
      <c r="F25" s="41"/>
      <c r="G25" s="43"/>
      <c r="H25" s="57"/>
      <c r="I25" s="54"/>
      <c r="J25" s="22">
        <f t="shared" si="0"/>
        <v>0</v>
      </c>
      <c r="K25" s="22">
        <v>0</v>
      </c>
      <c r="L25" s="22">
        <v>0</v>
      </c>
      <c r="M25" s="22">
        <f t="shared" si="2"/>
        <v>0</v>
      </c>
      <c r="N25" s="22">
        <v>0</v>
      </c>
      <c r="O25" s="22">
        <v>0</v>
      </c>
      <c r="P25" s="22">
        <f t="shared" si="1"/>
        <v>0</v>
      </c>
      <c r="Q25" s="22">
        <f t="shared" si="5"/>
        <v>0</v>
      </c>
      <c r="R25" s="22">
        <f t="shared" si="3"/>
        <v>0</v>
      </c>
      <c r="S25" s="22">
        <f t="shared" si="4"/>
        <v>0</v>
      </c>
    </row>
    <row r="26" spans="4:19">
      <c r="D26" s="112"/>
      <c r="E26" s="107"/>
      <c r="F26" s="41"/>
      <c r="G26" s="43"/>
      <c r="H26" s="56"/>
      <c r="I26" s="24"/>
      <c r="J26" s="22">
        <f t="shared" si="0"/>
        <v>0</v>
      </c>
      <c r="K26" s="22">
        <v>0</v>
      </c>
      <c r="L26" s="22">
        <v>0</v>
      </c>
      <c r="M26" s="22">
        <f t="shared" si="2"/>
        <v>0</v>
      </c>
      <c r="N26" s="22">
        <v>0</v>
      </c>
      <c r="O26" s="22">
        <v>0</v>
      </c>
      <c r="P26" s="22">
        <f t="shared" si="1"/>
        <v>0</v>
      </c>
      <c r="Q26" s="22">
        <f t="shared" si="5"/>
        <v>0</v>
      </c>
      <c r="R26" s="22">
        <f t="shared" si="3"/>
        <v>0</v>
      </c>
      <c r="S26" s="22">
        <f t="shared" si="4"/>
        <v>0</v>
      </c>
    </row>
    <row r="27" spans="4:19">
      <c r="D27" s="112"/>
      <c r="E27" s="107"/>
      <c r="F27" s="41"/>
      <c r="G27" s="43"/>
      <c r="H27" s="56"/>
      <c r="I27" s="24"/>
      <c r="J27" s="22">
        <f t="shared" si="0"/>
        <v>0</v>
      </c>
      <c r="K27" s="22">
        <v>0</v>
      </c>
      <c r="L27" s="22">
        <v>0</v>
      </c>
      <c r="M27" s="22">
        <f t="shared" si="2"/>
        <v>0</v>
      </c>
      <c r="N27" s="22">
        <v>0</v>
      </c>
      <c r="O27" s="22">
        <v>0</v>
      </c>
      <c r="P27" s="22">
        <f t="shared" si="1"/>
        <v>0</v>
      </c>
      <c r="Q27" s="22">
        <f t="shared" si="5"/>
        <v>0</v>
      </c>
      <c r="R27" s="22">
        <f t="shared" si="3"/>
        <v>0</v>
      </c>
      <c r="S27" s="22">
        <f t="shared" si="4"/>
        <v>0</v>
      </c>
    </row>
    <row r="28" spans="4:19">
      <c r="D28" s="111"/>
      <c r="E28" s="107" t="s">
        <v>25</v>
      </c>
      <c r="F28" s="124"/>
      <c r="G28" s="44">
        <f t="shared" ref="G28:S28" si="6">SUM(G7:G27)</f>
        <v>0</v>
      </c>
      <c r="H28" s="42">
        <f t="shared" si="6"/>
        <v>0</v>
      </c>
      <c r="I28" s="22">
        <f t="shared" si="6"/>
        <v>0</v>
      </c>
      <c r="J28" s="22">
        <f t="shared" si="6"/>
        <v>0</v>
      </c>
      <c r="K28" s="22">
        <f t="shared" si="6"/>
        <v>0</v>
      </c>
      <c r="L28" s="22">
        <f t="shared" si="6"/>
        <v>0</v>
      </c>
      <c r="M28" s="22">
        <f t="shared" si="6"/>
        <v>0</v>
      </c>
      <c r="N28" s="22">
        <f t="shared" si="6"/>
        <v>0</v>
      </c>
      <c r="O28" s="22">
        <f t="shared" si="6"/>
        <v>0</v>
      </c>
      <c r="P28" s="22">
        <f t="shared" si="6"/>
        <v>0</v>
      </c>
      <c r="Q28" s="22">
        <f t="shared" si="6"/>
        <v>0</v>
      </c>
      <c r="R28" s="22">
        <f t="shared" si="6"/>
        <v>0</v>
      </c>
      <c r="S28" s="22">
        <f t="shared" si="6"/>
        <v>0</v>
      </c>
    </row>
    <row r="29" spans="4:19">
      <c r="D29" s="110">
        <v>2</v>
      </c>
      <c r="E29" s="107">
        <v>4</v>
      </c>
      <c r="F29" s="23"/>
      <c r="G29" s="54"/>
      <c r="H29" s="24"/>
      <c r="I29" s="24"/>
      <c r="J29" s="22">
        <f t="shared" si="0"/>
        <v>0</v>
      </c>
      <c r="K29" s="22">
        <v>0</v>
      </c>
      <c r="L29" s="22">
        <v>0</v>
      </c>
      <c r="M29" s="22">
        <f t="shared" si="2"/>
        <v>0</v>
      </c>
      <c r="N29" s="22">
        <v>0</v>
      </c>
      <c r="O29" s="22">
        <v>0</v>
      </c>
      <c r="P29" s="22">
        <f t="shared" si="1"/>
        <v>0</v>
      </c>
      <c r="Q29" s="22">
        <f>G29+H29+K29+N29</f>
        <v>0</v>
      </c>
      <c r="R29" s="22">
        <f>I29+L29+O29</f>
        <v>0</v>
      </c>
      <c r="S29" s="22">
        <f t="shared" si="4"/>
        <v>0</v>
      </c>
    </row>
    <row r="30" spans="4:19">
      <c r="D30" s="112"/>
      <c r="E30" s="107"/>
      <c r="F30" s="23"/>
      <c r="G30" s="24"/>
      <c r="H30" s="62"/>
      <c r="I30" s="62"/>
      <c r="J30" s="22">
        <f t="shared" si="0"/>
        <v>0</v>
      </c>
      <c r="K30" s="22">
        <v>0</v>
      </c>
      <c r="L30" s="22">
        <v>0</v>
      </c>
      <c r="M30" s="22">
        <f t="shared" si="2"/>
        <v>0</v>
      </c>
      <c r="N30" s="22">
        <v>0</v>
      </c>
      <c r="O30" s="22">
        <v>0</v>
      </c>
      <c r="P30" s="22">
        <f t="shared" si="1"/>
        <v>0</v>
      </c>
      <c r="Q30" s="22">
        <f>G30+H30+K30+N30</f>
        <v>0</v>
      </c>
      <c r="R30" s="22">
        <f t="shared" si="3"/>
        <v>0</v>
      </c>
      <c r="S30" s="22">
        <f t="shared" si="4"/>
        <v>0</v>
      </c>
    </row>
    <row r="31" spans="4:19">
      <c r="D31" s="112"/>
      <c r="E31" s="107"/>
      <c r="F31" s="23"/>
      <c r="G31" s="68"/>
      <c r="H31" s="71"/>
      <c r="I31" s="71"/>
      <c r="J31" s="42">
        <f t="shared" si="0"/>
        <v>0</v>
      </c>
      <c r="K31" s="22">
        <v>0</v>
      </c>
      <c r="L31" s="22">
        <v>0</v>
      </c>
      <c r="M31" s="22">
        <f t="shared" si="2"/>
        <v>0</v>
      </c>
      <c r="N31" s="22">
        <v>0</v>
      </c>
      <c r="O31" s="22">
        <v>0</v>
      </c>
      <c r="P31" s="22">
        <f t="shared" si="1"/>
        <v>0</v>
      </c>
      <c r="Q31" s="22">
        <f t="shared" si="5"/>
        <v>0</v>
      </c>
      <c r="R31" s="22">
        <f t="shared" si="3"/>
        <v>0</v>
      </c>
      <c r="S31" s="22">
        <f t="shared" si="4"/>
        <v>0</v>
      </c>
    </row>
    <row r="32" spans="4:19">
      <c r="D32" s="112"/>
      <c r="E32" s="107"/>
      <c r="F32" s="41"/>
      <c r="G32" s="43"/>
      <c r="H32" s="66"/>
      <c r="I32" s="67"/>
      <c r="J32" s="42">
        <f t="shared" si="0"/>
        <v>0</v>
      </c>
      <c r="K32" s="22">
        <v>0</v>
      </c>
      <c r="L32" s="22">
        <v>0</v>
      </c>
      <c r="M32" s="22">
        <f t="shared" si="2"/>
        <v>0</v>
      </c>
      <c r="N32" s="22">
        <v>0</v>
      </c>
      <c r="O32" s="22">
        <v>0</v>
      </c>
      <c r="P32" s="22">
        <f t="shared" si="1"/>
        <v>0</v>
      </c>
      <c r="Q32" s="22">
        <f t="shared" si="5"/>
        <v>0</v>
      </c>
      <c r="R32" s="22">
        <f t="shared" si="3"/>
        <v>0</v>
      </c>
      <c r="S32" s="22">
        <f t="shared" si="4"/>
        <v>0</v>
      </c>
    </row>
    <row r="33" spans="2:22">
      <c r="D33" s="112"/>
      <c r="E33" s="107"/>
      <c r="F33" s="23"/>
      <c r="G33" s="54"/>
      <c r="H33" s="54"/>
      <c r="I33" s="54"/>
      <c r="J33" s="22">
        <f t="shared" si="0"/>
        <v>0</v>
      </c>
      <c r="K33" s="22">
        <v>0</v>
      </c>
      <c r="L33" s="22">
        <v>0</v>
      </c>
      <c r="M33" s="22">
        <f t="shared" si="2"/>
        <v>0</v>
      </c>
      <c r="N33" s="22">
        <v>0</v>
      </c>
      <c r="O33" s="22">
        <v>0</v>
      </c>
      <c r="P33" s="22">
        <f t="shared" si="1"/>
        <v>0</v>
      </c>
      <c r="Q33" s="22">
        <f t="shared" si="5"/>
        <v>0</v>
      </c>
      <c r="R33" s="22">
        <f t="shared" si="3"/>
        <v>0</v>
      </c>
      <c r="S33" s="22">
        <f t="shared" si="4"/>
        <v>0</v>
      </c>
    </row>
    <row r="34" spans="2:22">
      <c r="D34" s="112"/>
      <c r="E34" s="107"/>
      <c r="F34" s="23"/>
      <c r="G34" s="24"/>
      <c r="H34" s="56"/>
      <c r="I34" s="24"/>
      <c r="J34" s="22">
        <f t="shared" si="0"/>
        <v>0</v>
      </c>
      <c r="K34" s="22">
        <v>0</v>
      </c>
      <c r="L34" s="22">
        <v>0</v>
      </c>
      <c r="M34" s="22">
        <f t="shared" si="2"/>
        <v>0</v>
      </c>
      <c r="N34" s="22">
        <v>0</v>
      </c>
      <c r="O34" s="22">
        <v>0</v>
      </c>
      <c r="P34" s="22">
        <f t="shared" si="1"/>
        <v>0</v>
      </c>
      <c r="Q34" s="22">
        <f t="shared" si="5"/>
        <v>0</v>
      </c>
      <c r="R34" s="22">
        <f t="shared" si="3"/>
        <v>0</v>
      </c>
      <c r="S34" s="22">
        <f t="shared" si="4"/>
        <v>0</v>
      </c>
    </row>
    <row r="35" spans="2:22">
      <c r="D35" s="112"/>
      <c r="E35" s="107"/>
      <c r="F35" s="23"/>
      <c r="G35" s="24"/>
      <c r="H35" s="24"/>
      <c r="I35" s="24"/>
      <c r="J35" s="22">
        <f t="shared" si="0"/>
        <v>0</v>
      </c>
      <c r="K35" s="22">
        <v>0</v>
      </c>
      <c r="L35" s="22">
        <v>0</v>
      </c>
      <c r="M35" s="22">
        <f t="shared" si="2"/>
        <v>0</v>
      </c>
      <c r="N35" s="22">
        <v>0</v>
      </c>
      <c r="O35" s="22">
        <v>0</v>
      </c>
      <c r="P35" s="22">
        <f t="shared" si="1"/>
        <v>0</v>
      </c>
      <c r="Q35" s="22">
        <f t="shared" si="5"/>
        <v>0</v>
      </c>
      <c r="R35" s="22">
        <f t="shared" si="3"/>
        <v>0</v>
      </c>
      <c r="S35" s="22">
        <f t="shared" si="4"/>
        <v>0</v>
      </c>
    </row>
    <row r="36" spans="2:22">
      <c r="D36" s="112"/>
      <c r="E36" s="107">
        <v>5</v>
      </c>
      <c r="F36" s="23"/>
      <c r="G36" s="24"/>
      <c r="H36" s="24"/>
      <c r="I36" s="24"/>
      <c r="J36" s="22">
        <f t="shared" si="0"/>
        <v>0</v>
      </c>
      <c r="K36" s="22">
        <v>0</v>
      </c>
      <c r="L36" s="22">
        <v>0</v>
      </c>
      <c r="M36" s="22">
        <f t="shared" si="2"/>
        <v>0</v>
      </c>
      <c r="N36" s="22">
        <v>0</v>
      </c>
      <c r="O36" s="22">
        <v>0</v>
      </c>
      <c r="P36" s="22">
        <f t="shared" si="1"/>
        <v>0</v>
      </c>
      <c r="Q36" s="22">
        <f>G36+H36+K36+N36</f>
        <v>0</v>
      </c>
      <c r="R36" s="22">
        <f>I36+L36+O36</f>
        <v>0</v>
      </c>
      <c r="S36" s="22">
        <f t="shared" si="4"/>
        <v>0</v>
      </c>
    </row>
    <row r="37" spans="2:22">
      <c r="D37" s="112"/>
      <c r="E37" s="107"/>
      <c r="F37" s="23"/>
      <c r="G37" s="24"/>
      <c r="H37" s="62"/>
      <c r="I37" s="62"/>
      <c r="J37" s="22">
        <f t="shared" si="0"/>
        <v>0</v>
      </c>
      <c r="K37" s="22">
        <v>0</v>
      </c>
      <c r="L37" s="22">
        <v>0</v>
      </c>
      <c r="M37" s="22">
        <f t="shared" si="2"/>
        <v>0</v>
      </c>
      <c r="N37" s="22">
        <v>0</v>
      </c>
      <c r="O37" s="22">
        <v>0</v>
      </c>
      <c r="P37" s="22">
        <f t="shared" si="1"/>
        <v>0</v>
      </c>
      <c r="Q37" s="22">
        <f>G37+H37+K37+N37</f>
        <v>0</v>
      </c>
      <c r="R37" s="22">
        <f t="shared" si="3"/>
        <v>0</v>
      </c>
      <c r="S37" s="22">
        <f t="shared" si="4"/>
        <v>0</v>
      </c>
    </row>
    <row r="38" spans="2:22">
      <c r="D38" s="112"/>
      <c r="E38" s="107"/>
      <c r="F38" s="23"/>
      <c r="G38" s="68"/>
      <c r="H38" s="72"/>
      <c r="I38" s="72"/>
      <c r="J38" s="42">
        <f t="shared" si="0"/>
        <v>0</v>
      </c>
      <c r="K38" s="22">
        <v>0</v>
      </c>
      <c r="L38" s="22">
        <v>0</v>
      </c>
      <c r="M38" s="22">
        <f t="shared" si="2"/>
        <v>0</v>
      </c>
      <c r="N38" s="22">
        <v>0</v>
      </c>
      <c r="O38" s="22">
        <v>0</v>
      </c>
      <c r="P38" s="22">
        <f t="shared" si="1"/>
        <v>0</v>
      </c>
      <c r="Q38" s="22">
        <f t="shared" si="5"/>
        <v>0</v>
      </c>
      <c r="R38" s="22">
        <f t="shared" si="3"/>
        <v>0</v>
      </c>
      <c r="S38" s="22">
        <f t="shared" si="4"/>
        <v>0</v>
      </c>
    </row>
    <row r="39" spans="2:22">
      <c r="D39" s="112"/>
      <c r="E39" s="107"/>
      <c r="F39" s="41"/>
      <c r="G39" s="43"/>
      <c r="H39" s="66"/>
      <c r="I39" s="67"/>
      <c r="J39" s="42">
        <f t="shared" si="0"/>
        <v>0</v>
      </c>
      <c r="K39" s="22">
        <v>0</v>
      </c>
      <c r="L39" s="22">
        <v>0</v>
      </c>
      <c r="M39" s="22">
        <f t="shared" si="2"/>
        <v>0</v>
      </c>
      <c r="N39" s="22">
        <v>0</v>
      </c>
      <c r="O39" s="22">
        <v>0</v>
      </c>
      <c r="P39" s="22">
        <f t="shared" si="1"/>
        <v>0</v>
      </c>
      <c r="Q39" s="22">
        <f t="shared" si="5"/>
        <v>0</v>
      </c>
      <c r="R39" s="22">
        <f t="shared" si="3"/>
        <v>0</v>
      </c>
      <c r="S39" s="22">
        <f t="shared" si="4"/>
        <v>0</v>
      </c>
    </row>
    <row r="40" spans="2:22">
      <c r="D40" s="112"/>
      <c r="E40" s="107"/>
      <c r="F40" s="23"/>
      <c r="G40" s="54"/>
      <c r="H40" s="54"/>
      <c r="I40" s="54"/>
      <c r="J40" s="22">
        <f t="shared" si="0"/>
        <v>0</v>
      </c>
      <c r="K40" s="22">
        <v>0</v>
      </c>
      <c r="L40" s="22">
        <v>0</v>
      </c>
      <c r="M40" s="22">
        <f t="shared" si="2"/>
        <v>0</v>
      </c>
      <c r="N40" s="22">
        <v>0</v>
      </c>
      <c r="O40" s="22">
        <v>0</v>
      </c>
      <c r="P40" s="22">
        <f t="shared" si="1"/>
        <v>0</v>
      </c>
      <c r="Q40" s="22">
        <f t="shared" si="5"/>
        <v>0</v>
      </c>
      <c r="R40" s="22">
        <f t="shared" si="3"/>
        <v>0</v>
      </c>
      <c r="S40" s="22">
        <f t="shared" si="4"/>
        <v>0</v>
      </c>
    </row>
    <row r="41" spans="2:22">
      <c r="D41" s="112"/>
      <c r="E41" s="107"/>
      <c r="F41" s="23"/>
      <c r="G41" s="24"/>
      <c r="H41" s="56"/>
      <c r="I41" s="24"/>
      <c r="J41" s="22">
        <f t="shared" si="0"/>
        <v>0</v>
      </c>
      <c r="K41" s="22">
        <v>0</v>
      </c>
      <c r="L41" s="22">
        <v>0</v>
      </c>
      <c r="M41" s="22">
        <f t="shared" si="2"/>
        <v>0</v>
      </c>
      <c r="N41" s="22">
        <v>0</v>
      </c>
      <c r="O41" s="22">
        <v>0</v>
      </c>
      <c r="P41" s="22">
        <f t="shared" si="1"/>
        <v>0</v>
      </c>
      <c r="Q41" s="22">
        <f t="shared" si="5"/>
        <v>0</v>
      </c>
      <c r="R41" s="22">
        <f t="shared" si="3"/>
        <v>0</v>
      </c>
      <c r="S41" s="22">
        <f t="shared" si="4"/>
        <v>0</v>
      </c>
    </row>
    <row r="42" spans="2:22">
      <c r="D42" s="112"/>
      <c r="E42" s="107"/>
      <c r="F42" s="23"/>
      <c r="G42" s="24"/>
      <c r="H42" s="24"/>
      <c r="I42" s="24"/>
      <c r="J42" s="22">
        <f t="shared" si="0"/>
        <v>0</v>
      </c>
      <c r="K42" s="22">
        <v>0</v>
      </c>
      <c r="L42" s="22">
        <v>0</v>
      </c>
      <c r="M42" s="22">
        <f t="shared" si="2"/>
        <v>0</v>
      </c>
      <c r="N42" s="22">
        <v>0</v>
      </c>
      <c r="O42" s="22">
        <v>0</v>
      </c>
      <c r="P42" s="22">
        <f t="shared" si="1"/>
        <v>0</v>
      </c>
      <c r="Q42" s="22">
        <f t="shared" si="5"/>
        <v>0</v>
      </c>
      <c r="R42" s="22">
        <f t="shared" si="3"/>
        <v>0</v>
      </c>
      <c r="S42" s="22">
        <f t="shared" si="4"/>
        <v>0</v>
      </c>
    </row>
    <row r="43" spans="2:22">
      <c r="D43" s="111"/>
      <c r="E43" s="107" t="s">
        <v>25</v>
      </c>
      <c r="F43" s="107"/>
      <c r="G43" s="22">
        <f t="shared" ref="G43:S43" si="7">SUM(G29:G42)</f>
        <v>0</v>
      </c>
      <c r="H43" s="22">
        <f t="shared" si="7"/>
        <v>0</v>
      </c>
      <c r="I43" s="22">
        <f t="shared" si="7"/>
        <v>0</v>
      </c>
      <c r="J43" s="22">
        <f t="shared" si="7"/>
        <v>0</v>
      </c>
      <c r="K43" s="22">
        <f t="shared" si="7"/>
        <v>0</v>
      </c>
      <c r="L43" s="22">
        <f t="shared" si="7"/>
        <v>0</v>
      </c>
      <c r="M43" s="22">
        <f t="shared" si="7"/>
        <v>0</v>
      </c>
      <c r="N43" s="22">
        <f t="shared" si="7"/>
        <v>0</v>
      </c>
      <c r="O43" s="22">
        <f t="shared" si="7"/>
        <v>0</v>
      </c>
      <c r="P43" s="22">
        <f t="shared" si="7"/>
        <v>0</v>
      </c>
      <c r="Q43" s="22">
        <f t="shared" si="7"/>
        <v>0</v>
      </c>
      <c r="R43" s="22">
        <f t="shared" si="7"/>
        <v>0</v>
      </c>
      <c r="S43" s="22">
        <f t="shared" si="7"/>
        <v>0</v>
      </c>
    </row>
    <row r="44" spans="2:22">
      <c r="D44" s="107" t="s">
        <v>43</v>
      </c>
      <c r="E44" s="107"/>
      <c r="F44" s="107"/>
      <c r="G44" s="22">
        <f t="shared" ref="G44:S44" si="8">G28+G43</f>
        <v>0</v>
      </c>
      <c r="H44" s="22">
        <f t="shared" si="8"/>
        <v>0</v>
      </c>
      <c r="I44" s="22">
        <f t="shared" si="8"/>
        <v>0</v>
      </c>
      <c r="J44" s="22">
        <f t="shared" si="8"/>
        <v>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0</v>
      </c>
      <c r="R44" s="22">
        <f t="shared" si="8"/>
        <v>0</v>
      </c>
      <c r="S44" s="22">
        <f t="shared" si="8"/>
        <v>0</v>
      </c>
    </row>
    <row r="46" spans="2:22">
      <c r="B46" s="119" t="s">
        <v>60</v>
      </c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</row>
    <row r="47" spans="2:22">
      <c r="C47" s="119" t="s">
        <v>50</v>
      </c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</row>
    <row r="48" spans="2:22">
      <c r="U48" s="108" t="s">
        <v>143</v>
      </c>
      <c r="V48" s="108"/>
    </row>
    <row r="49" spans="4:22">
      <c r="D49" s="107" t="s">
        <v>113</v>
      </c>
      <c r="E49" s="107"/>
      <c r="F49" s="107" t="s">
        <v>129</v>
      </c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9" t="s">
        <v>117</v>
      </c>
      <c r="U49" s="107" t="s">
        <v>107</v>
      </c>
      <c r="V49" s="107" t="s">
        <v>19</v>
      </c>
    </row>
    <row r="50" spans="4:22">
      <c r="D50" s="107"/>
      <c r="E50" s="107"/>
      <c r="F50" s="107" t="s">
        <v>46</v>
      </c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 t="s">
        <v>134</v>
      </c>
      <c r="S50" s="107" t="s">
        <v>69</v>
      </c>
      <c r="T50" s="109"/>
      <c r="U50" s="107"/>
      <c r="V50" s="107"/>
    </row>
    <row r="51" spans="4:22">
      <c r="D51" s="107"/>
      <c r="E51" s="107"/>
      <c r="F51" s="107" t="s">
        <v>121</v>
      </c>
      <c r="G51" s="107" t="s">
        <v>52</v>
      </c>
      <c r="H51" s="107"/>
      <c r="I51" s="107" t="s">
        <v>76</v>
      </c>
      <c r="J51" s="107"/>
      <c r="K51" s="107" t="s">
        <v>149</v>
      </c>
      <c r="L51" s="107" t="s">
        <v>105</v>
      </c>
      <c r="M51" s="107" t="s">
        <v>88</v>
      </c>
      <c r="N51" s="107" t="s">
        <v>35</v>
      </c>
      <c r="O51" s="107" t="s">
        <v>33</v>
      </c>
      <c r="P51" s="107" t="s">
        <v>30</v>
      </c>
      <c r="Q51" s="107" t="s">
        <v>25</v>
      </c>
      <c r="R51" s="107"/>
      <c r="S51" s="107"/>
      <c r="T51" s="109"/>
      <c r="U51" s="107"/>
      <c r="V51" s="107"/>
    </row>
    <row r="52" spans="4:22">
      <c r="D52" s="107"/>
      <c r="E52" s="107"/>
      <c r="F52" s="107"/>
      <c r="G52" s="20" t="s">
        <v>83</v>
      </c>
      <c r="H52" s="20" t="s">
        <v>102</v>
      </c>
      <c r="I52" s="20" t="s">
        <v>83</v>
      </c>
      <c r="J52" s="20" t="s">
        <v>102</v>
      </c>
      <c r="K52" s="107"/>
      <c r="L52" s="107"/>
      <c r="M52" s="107"/>
      <c r="N52" s="107"/>
      <c r="O52" s="107"/>
      <c r="P52" s="107"/>
      <c r="Q52" s="107"/>
      <c r="R52" s="107"/>
      <c r="S52" s="107"/>
      <c r="T52" s="109"/>
      <c r="U52" s="107"/>
      <c r="V52" s="107"/>
    </row>
    <row r="53" spans="4:22">
      <c r="D53" s="117"/>
      <c r="E53" s="21" t="s">
        <v>78</v>
      </c>
      <c r="F53" s="22">
        <f>F125</f>
        <v>0</v>
      </c>
      <c r="G53" s="22">
        <f t="shared" ref="G53:S53" si="9">G125</f>
        <v>0</v>
      </c>
      <c r="H53" s="22">
        <f t="shared" si="9"/>
        <v>0</v>
      </c>
      <c r="I53" s="22">
        <f t="shared" si="9"/>
        <v>0</v>
      </c>
      <c r="J53" s="22">
        <f t="shared" si="9"/>
        <v>0</v>
      </c>
      <c r="K53" s="22">
        <f t="shared" si="9"/>
        <v>0</v>
      </c>
      <c r="L53" s="22">
        <f t="shared" si="9"/>
        <v>0</v>
      </c>
      <c r="M53" s="22">
        <f t="shared" si="9"/>
        <v>0</v>
      </c>
      <c r="N53" s="22">
        <f t="shared" si="9"/>
        <v>0</v>
      </c>
      <c r="O53" s="22">
        <f t="shared" si="9"/>
        <v>0</v>
      </c>
      <c r="P53" s="22">
        <f t="shared" si="9"/>
        <v>0</v>
      </c>
      <c r="Q53" s="22">
        <f t="shared" si="9"/>
        <v>0</v>
      </c>
      <c r="R53" s="22">
        <f t="shared" si="9"/>
        <v>0</v>
      </c>
      <c r="S53" s="22">
        <f t="shared" si="9"/>
        <v>0</v>
      </c>
      <c r="T53" s="109" t="s">
        <v>117</v>
      </c>
      <c r="U53" s="113" t="s">
        <v>117</v>
      </c>
      <c r="V53" s="113" t="s">
        <v>117</v>
      </c>
    </row>
    <row r="54" spans="4:22">
      <c r="D54" s="117"/>
      <c r="E54" s="21" t="s">
        <v>24</v>
      </c>
      <c r="F54" s="22">
        <f t="shared" ref="F54:S55" si="10">F126</f>
        <v>0</v>
      </c>
      <c r="G54" s="22">
        <f t="shared" si="10"/>
        <v>0</v>
      </c>
      <c r="H54" s="22">
        <f t="shared" si="10"/>
        <v>0</v>
      </c>
      <c r="I54" s="22">
        <f t="shared" si="10"/>
        <v>0</v>
      </c>
      <c r="J54" s="22">
        <f t="shared" si="10"/>
        <v>0</v>
      </c>
      <c r="K54" s="22">
        <f t="shared" si="10"/>
        <v>0</v>
      </c>
      <c r="L54" s="22">
        <f t="shared" si="10"/>
        <v>0</v>
      </c>
      <c r="M54" s="22">
        <f t="shared" si="10"/>
        <v>0</v>
      </c>
      <c r="N54" s="22">
        <f t="shared" si="10"/>
        <v>0</v>
      </c>
      <c r="O54" s="22">
        <f t="shared" si="10"/>
        <v>0</v>
      </c>
      <c r="P54" s="22">
        <f t="shared" si="10"/>
        <v>0</v>
      </c>
      <c r="Q54" s="22">
        <f t="shared" si="10"/>
        <v>0</v>
      </c>
      <c r="R54" s="22">
        <f t="shared" si="10"/>
        <v>0</v>
      </c>
      <c r="S54" s="22">
        <f t="shared" si="10"/>
        <v>0</v>
      </c>
      <c r="T54" s="109"/>
      <c r="U54" s="113"/>
      <c r="V54" s="113"/>
    </row>
    <row r="55" spans="4:22">
      <c r="D55" s="117"/>
      <c r="E55" s="21" t="s">
        <v>25</v>
      </c>
      <c r="F55" s="22">
        <f t="shared" si="10"/>
        <v>0</v>
      </c>
      <c r="G55" s="22">
        <f t="shared" si="10"/>
        <v>0</v>
      </c>
      <c r="H55" s="22">
        <f t="shared" si="10"/>
        <v>0</v>
      </c>
      <c r="I55" s="22">
        <f t="shared" si="10"/>
        <v>0</v>
      </c>
      <c r="J55" s="22">
        <f t="shared" si="10"/>
        <v>0</v>
      </c>
      <c r="K55" s="22">
        <f t="shared" si="10"/>
        <v>0</v>
      </c>
      <c r="L55" s="22">
        <f t="shared" si="10"/>
        <v>0</v>
      </c>
      <c r="M55" s="22">
        <f t="shared" si="10"/>
        <v>0</v>
      </c>
      <c r="N55" s="22">
        <f t="shared" si="10"/>
        <v>0</v>
      </c>
      <c r="O55" s="22">
        <f t="shared" si="10"/>
        <v>0</v>
      </c>
      <c r="P55" s="22">
        <f t="shared" si="10"/>
        <v>0</v>
      </c>
      <c r="Q55" s="22">
        <f t="shared" si="10"/>
        <v>0</v>
      </c>
      <c r="R55" s="22">
        <f t="shared" si="10"/>
        <v>0</v>
      </c>
      <c r="S55" s="22">
        <f t="shared" si="10"/>
        <v>0</v>
      </c>
      <c r="T55" s="109"/>
      <c r="U55" s="113"/>
      <c r="V55" s="113"/>
    </row>
    <row r="56" spans="4:22">
      <c r="D56" s="117"/>
      <c r="E56" s="21" t="s">
        <v>78</v>
      </c>
      <c r="F56" s="22">
        <f>F150</f>
        <v>0</v>
      </c>
      <c r="G56" s="22">
        <f t="shared" ref="G56:S56" si="11">G150</f>
        <v>0</v>
      </c>
      <c r="H56" s="22">
        <f t="shared" si="11"/>
        <v>0</v>
      </c>
      <c r="I56" s="22">
        <f t="shared" si="11"/>
        <v>0</v>
      </c>
      <c r="J56" s="22">
        <f t="shared" si="11"/>
        <v>0</v>
      </c>
      <c r="K56" s="22">
        <f t="shared" si="11"/>
        <v>0</v>
      </c>
      <c r="L56" s="22">
        <f t="shared" si="11"/>
        <v>0</v>
      </c>
      <c r="M56" s="22">
        <f t="shared" si="11"/>
        <v>0</v>
      </c>
      <c r="N56" s="22">
        <f t="shared" si="11"/>
        <v>0</v>
      </c>
      <c r="O56" s="22">
        <f t="shared" si="11"/>
        <v>0</v>
      </c>
      <c r="P56" s="22">
        <f t="shared" si="11"/>
        <v>0</v>
      </c>
      <c r="Q56" s="22">
        <f t="shared" si="11"/>
        <v>0</v>
      </c>
      <c r="R56" s="22">
        <f t="shared" si="11"/>
        <v>0</v>
      </c>
      <c r="S56" s="22">
        <f t="shared" si="11"/>
        <v>0</v>
      </c>
      <c r="T56" s="109" t="s">
        <v>117</v>
      </c>
      <c r="U56" s="113" t="s">
        <v>117</v>
      </c>
      <c r="V56" s="113" t="s">
        <v>117</v>
      </c>
    </row>
    <row r="57" spans="4:22">
      <c r="D57" s="117"/>
      <c r="E57" s="21" t="s">
        <v>24</v>
      </c>
      <c r="F57" s="22">
        <f t="shared" ref="F57:S58" si="12">F151</f>
        <v>0</v>
      </c>
      <c r="G57" s="22">
        <f t="shared" si="12"/>
        <v>0</v>
      </c>
      <c r="H57" s="22">
        <f t="shared" si="12"/>
        <v>0</v>
      </c>
      <c r="I57" s="22">
        <f t="shared" si="12"/>
        <v>0</v>
      </c>
      <c r="J57" s="22">
        <f t="shared" si="12"/>
        <v>0</v>
      </c>
      <c r="K57" s="22">
        <f t="shared" si="12"/>
        <v>0</v>
      </c>
      <c r="L57" s="22">
        <f t="shared" si="12"/>
        <v>0</v>
      </c>
      <c r="M57" s="22">
        <f t="shared" si="12"/>
        <v>0</v>
      </c>
      <c r="N57" s="22">
        <f t="shared" si="12"/>
        <v>0</v>
      </c>
      <c r="O57" s="22">
        <f t="shared" si="12"/>
        <v>0</v>
      </c>
      <c r="P57" s="22">
        <f t="shared" si="12"/>
        <v>0</v>
      </c>
      <c r="Q57" s="22">
        <f t="shared" si="12"/>
        <v>0</v>
      </c>
      <c r="R57" s="22">
        <f t="shared" si="12"/>
        <v>0</v>
      </c>
      <c r="S57" s="22">
        <f t="shared" si="12"/>
        <v>0</v>
      </c>
      <c r="T57" s="109"/>
      <c r="U57" s="113"/>
      <c r="V57" s="113"/>
    </row>
    <row r="58" spans="4:22">
      <c r="D58" s="117"/>
      <c r="E58" s="21" t="s">
        <v>25</v>
      </c>
      <c r="F58" s="22">
        <f t="shared" si="12"/>
        <v>0</v>
      </c>
      <c r="G58" s="22">
        <f t="shared" si="12"/>
        <v>0</v>
      </c>
      <c r="H58" s="22">
        <f t="shared" si="12"/>
        <v>0</v>
      </c>
      <c r="I58" s="22">
        <f t="shared" si="12"/>
        <v>0</v>
      </c>
      <c r="J58" s="22">
        <f t="shared" si="12"/>
        <v>0</v>
      </c>
      <c r="K58" s="22">
        <f t="shared" si="12"/>
        <v>0</v>
      </c>
      <c r="L58" s="22">
        <f t="shared" si="12"/>
        <v>0</v>
      </c>
      <c r="M58" s="22">
        <f t="shared" si="12"/>
        <v>0</v>
      </c>
      <c r="N58" s="22">
        <f t="shared" si="12"/>
        <v>0</v>
      </c>
      <c r="O58" s="22">
        <f t="shared" si="12"/>
        <v>0</v>
      </c>
      <c r="P58" s="22">
        <f t="shared" si="12"/>
        <v>0</v>
      </c>
      <c r="Q58" s="22">
        <f t="shared" si="12"/>
        <v>0</v>
      </c>
      <c r="R58" s="22">
        <f t="shared" si="12"/>
        <v>0</v>
      </c>
      <c r="S58" s="22">
        <f t="shared" si="12"/>
        <v>0</v>
      </c>
      <c r="T58" s="109"/>
      <c r="U58" s="113"/>
      <c r="V58" s="113"/>
    </row>
    <row r="59" spans="4:22">
      <c r="D59" s="117"/>
      <c r="E59" s="21" t="s">
        <v>78</v>
      </c>
      <c r="F59" s="22">
        <f>F175</f>
        <v>0</v>
      </c>
      <c r="G59" s="22">
        <f t="shared" ref="G59:S59" si="13">G175</f>
        <v>0</v>
      </c>
      <c r="H59" s="22">
        <f t="shared" si="13"/>
        <v>0</v>
      </c>
      <c r="I59" s="22">
        <f t="shared" si="13"/>
        <v>0</v>
      </c>
      <c r="J59" s="22">
        <f t="shared" si="13"/>
        <v>0</v>
      </c>
      <c r="K59" s="22">
        <f t="shared" si="13"/>
        <v>0</v>
      </c>
      <c r="L59" s="22">
        <f t="shared" si="13"/>
        <v>0</v>
      </c>
      <c r="M59" s="22">
        <f t="shared" si="13"/>
        <v>0</v>
      </c>
      <c r="N59" s="22">
        <f t="shared" si="13"/>
        <v>0</v>
      </c>
      <c r="O59" s="22">
        <f t="shared" si="13"/>
        <v>0</v>
      </c>
      <c r="P59" s="22">
        <f t="shared" si="13"/>
        <v>0</v>
      </c>
      <c r="Q59" s="22">
        <f t="shared" si="13"/>
        <v>0</v>
      </c>
      <c r="R59" s="22">
        <f t="shared" si="13"/>
        <v>0</v>
      </c>
      <c r="S59" s="22">
        <f t="shared" si="13"/>
        <v>0</v>
      </c>
      <c r="T59" s="109" t="s">
        <v>117</v>
      </c>
      <c r="U59" s="113" t="s">
        <v>117</v>
      </c>
      <c r="V59" s="113" t="s">
        <v>117</v>
      </c>
    </row>
    <row r="60" spans="4:22">
      <c r="D60" s="117"/>
      <c r="E60" s="21" t="s">
        <v>24</v>
      </c>
      <c r="F60" s="22">
        <f t="shared" ref="F60:S61" si="14">F176</f>
        <v>0</v>
      </c>
      <c r="G60" s="22">
        <f t="shared" si="14"/>
        <v>0</v>
      </c>
      <c r="H60" s="22">
        <f t="shared" si="14"/>
        <v>0</v>
      </c>
      <c r="I60" s="22">
        <f t="shared" si="14"/>
        <v>0</v>
      </c>
      <c r="J60" s="22">
        <f t="shared" si="14"/>
        <v>0</v>
      </c>
      <c r="K60" s="22">
        <f t="shared" si="14"/>
        <v>0</v>
      </c>
      <c r="L60" s="22">
        <f t="shared" si="14"/>
        <v>0</v>
      </c>
      <c r="M60" s="22">
        <f t="shared" si="14"/>
        <v>0</v>
      </c>
      <c r="N60" s="22">
        <f t="shared" si="14"/>
        <v>0</v>
      </c>
      <c r="O60" s="22">
        <f t="shared" si="14"/>
        <v>0</v>
      </c>
      <c r="P60" s="22">
        <f t="shared" si="14"/>
        <v>0</v>
      </c>
      <c r="Q60" s="22">
        <f t="shared" si="14"/>
        <v>0</v>
      </c>
      <c r="R60" s="22">
        <f t="shared" si="14"/>
        <v>0</v>
      </c>
      <c r="S60" s="22">
        <f t="shared" si="14"/>
        <v>0</v>
      </c>
      <c r="T60" s="109"/>
      <c r="U60" s="113"/>
      <c r="V60" s="113"/>
    </row>
    <row r="61" spans="4:22">
      <c r="D61" s="117"/>
      <c r="E61" s="21" t="s">
        <v>25</v>
      </c>
      <c r="F61" s="22">
        <f t="shared" si="14"/>
        <v>0</v>
      </c>
      <c r="G61" s="22">
        <f t="shared" si="14"/>
        <v>0</v>
      </c>
      <c r="H61" s="22">
        <f t="shared" si="14"/>
        <v>0</v>
      </c>
      <c r="I61" s="22">
        <f t="shared" si="14"/>
        <v>0</v>
      </c>
      <c r="J61" s="22">
        <f t="shared" si="14"/>
        <v>0</v>
      </c>
      <c r="K61" s="22">
        <f t="shared" si="14"/>
        <v>0</v>
      </c>
      <c r="L61" s="22">
        <f t="shared" si="14"/>
        <v>0</v>
      </c>
      <c r="M61" s="22">
        <f t="shared" si="14"/>
        <v>0</v>
      </c>
      <c r="N61" s="22">
        <f t="shared" si="14"/>
        <v>0</v>
      </c>
      <c r="O61" s="22">
        <f t="shared" si="14"/>
        <v>0</v>
      </c>
      <c r="P61" s="22">
        <f t="shared" si="14"/>
        <v>0</v>
      </c>
      <c r="Q61" s="22">
        <f t="shared" si="14"/>
        <v>0</v>
      </c>
      <c r="R61" s="22">
        <f t="shared" si="14"/>
        <v>0</v>
      </c>
      <c r="S61" s="22">
        <f t="shared" si="14"/>
        <v>0</v>
      </c>
      <c r="T61" s="109"/>
      <c r="U61" s="113"/>
      <c r="V61" s="113"/>
    </row>
    <row r="62" spans="4:22">
      <c r="D62" s="117"/>
      <c r="E62" s="21" t="s">
        <v>78</v>
      </c>
      <c r="F62" s="22">
        <f>F200</f>
        <v>0</v>
      </c>
      <c r="G62" s="22">
        <f t="shared" ref="G62:S62" si="15">G200</f>
        <v>0</v>
      </c>
      <c r="H62" s="22">
        <f t="shared" si="15"/>
        <v>0</v>
      </c>
      <c r="I62" s="22">
        <f t="shared" si="15"/>
        <v>0</v>
      </c>
      <c r="J62" s="22">
        <f t="shared" si="15"/>
        <v>0</v>
      </c>
      <c r="K62" s="22">
        <f t="shared" si="15"/>
        <v>0</v>
      </c>
      <c r="L62" s="22">
        <f t="shared" si="15"/>
        <v>0</v>
      </c>
      <c r="M62" s="22">
        <f t="shared" si="15"/>
        <v>0</v>
      </c>
      <c r="N62" s="22">
        <f t="shared" si="15"/>
        <v>0</v>
      </c>
      <c r="O62" s="22">
        <f t="shared" si="15"/>
        <v>0</v>
      </c>
      <c r="P62" s="22">
        <f t="shared" si="15"/>
        <v>0</v>
      </c>
      <c r="Q62" s="22">
        <f t="shared" si="15"/>
        <v>0</v>
      </c>
      <c r="R62" s="22">
        <f t="shared" si="15"/>
        <v>0</v>
      </c>
      <c r="S62" s="22">
        <f t="shared" si="15"/>
        <v>0</v>
      </c>
      <c r="T62" s="109" t="s">
        <v>117</v>
      </c>
      <c r="U62" s="113" t="s">
        <v>117</v>
      </c>
      <c r="V62" s="113" t="s">
        <v>117</v>
      </c>
    </row>
    <row r="63" spans="4:22">
      <c r="D63" s="117"/>
      <c r="E63" s="21" t="s">
        <v>24</v>
      </c>
      <c r="F63" s="22">
        <f t="shared" ref="F63:S64" si="16">F201</f>
        <v>0</v>
      </c>
      <c r="G63" s="22">
        <f t="shared" si="16"/>
        <v>0</v>
      </c>
      <c r="H63" s="22">
        <f t="shared" si="16"/>
        <v>0</v>
      </c>
      <c r="I63" s="22">
        <f t="shared" si="16"/>
        <v>0</v>
      </c>
      <c r="J63" s="22">
        <f t="shared" si="16"/>
        <v>0</v>
      </c>
      <c r="K63" s="22">
        <f t="shared" si="16"/>
        <v>0</v>
      </c>
      <c r="L63" s="22">
        <f t="shared" si="16"/>
        <v>0</v>
      </c>
      <c r="M63" s="22">
        <f t="shared" si="16"/>
        <v>0</v>
      </c>
      <c r="N63" s="22">
        <f t="shared" si="16"/>
        <v>0</v>
      </c>
      <c r="O63" s="22">
        <f t="shared" si="16"/>
        <v>0</v>
      </c>
      <c r="P63" s="22">
        <f t="shared" si="16"/>
        <v>0</v>
      </c>
      <c r="Q63" s="22">
        <f t="shared" si="16"/>
        <v>0</v>
      </c>
      <c r="R63" s="22">
        <f t="shared" si="16"/>
        <v>0</v>
      </c>
      <c r="S63" s="22">
        <f t="shared" si="16"/>
        <v>0</v>
      </c>
      <c r="T63" s="109"/>
      <c r="U63" s="113"/>
      <c r="V63" s="113"/>
    </row>
    <row r="64" spans="4:22">
      <c r="D64" s="117"/>
      <c r="E64" s="21" t="s">
        <v>25</v>
      </c>
      <c r="F64" s="22">
        <f t="shared" si="16"/>
        <v>0</v>
      </c>
      <c r="G64" s="22">
        <f t="shared" si="16"/>
        <v>0</v>
      </c>
      <c r="H64" s="22">
        <f t="shared" si="16"/>
        <v>0</v>
      </c>
      <c r="I64" s="22">
        <f t="shared" si="16"/>
        <v>0</v>
      </c>
      <c r="J64" s="22">
        <f t="shared" si="16"/>
        <v>0</v>
      </c>
      <c r="K64" s="22">
        <f t="shared" si="16"/>
        <v>0</v>
      </c>
      <c r="L64" s="22">
        <f t="shared" si="16"/>
        <v>0</v>
      </c>
      <c r="M64" s="22">
        <f t="shared" si="16"/>
        <v>0</v>
      </c>
      <c r="N64" s="22">
        <f t="shared" si="16"/>
        <v>0</v>
      </c>
      <c r="O64" s="22">
        <f t="shared" si="16"/>
        <v>0</v>
      </c>
      <c r="P64" s="22">
        <f t="shared" si="16"/>
        <v>0</v>
      </c>
      <c r="Q64" s="22">
        <f t="shared" si="16"/>
        <v>0</v>
      </c>
      <c r="R64" s="22">
        <f t="shared" si="16"/>
        <v>0</v>
      </c>
      <c r="S64" s="22">
        <f t="shared" si="16"/>
        <v>0</v>
      </c>
      <c r="T64" s="109"/>
      <c r="U64" s="113"/>
      <c r="V64" s="113"/>
    </row>
    <row r="65" spans="3:22">
      <c r="D65" s="117"/>
      <c r="E65" s="21" t="s">
        <v>78</v>
      </c>
      <c r="F65" s="22">
        <f>F225</f>
        <v>0</v>
      </c>
      <c r="G65" s="22">
        <f t="shared" ref="G65:S65" si="17">G225</f>
        <v>0</v>
      </c>
      <c r="H65" s="22">
        <f t="shared" si="17"/>
        <v>0</v>
      </c>
      <c r="I65" s="22">
        <f t="shared" si="17"/>
        <v>0</v>
      </c>
      <c r="J65" s="22">
        <f t="shared" si="17"/>
        <v>0</v>
      </c>
      <c r="K65" s="22">
        <f t="shared" si="17"/>
        <v>0</v>
      </c>
      <c r="L65" s="22">
        <f t="shared" si="17"/>
        <v>0</v>
      </c>
      <c r="M65" s="22">
        <f t="shared" si="17"/>
        <v>0</v>
      </c>
      <c r="N65" s="22">
        <f t="shared" si="17"/>
        <v>0</v>
      </c>
      <c r="O65" s="22">
        <f t="shared" si="17"/>
        <v>0</v>
      </c>
      <c r="P65" s="22">
        <f t="shared" si="17"/>
        <v>0</v>
      </c>
      <c r="Q65" s="22">
        <f t="shared" si="17"/>
        <v>0</v>
      </c>
      <c r="R65" s="22">
        <f t="shared" si="17"/>
        <v>0</v>
      </c>
      <c r="S65" s="22">
        <f t="shared" si="17"/>
        <v>0</v>
      </c>
      <c r="T65" s="109" t="s">
        <v>117</v>
      </c>
      <c r="U65" s="113" t="s">
        <v>117</v>
      </c>
      <c r="V65" s="113" t="s">
        <v>117</v>
      </c>
    </row>
    <row r="66" spans="3:22">
      <c r="D66" s="117"/>
      <c r="E66" s="21" t="s">
        <v>24</v>
      </c>
      <c r="F66" s="22">
        <f t="shared" ref="F66:S67" si="18">F226</f>
        <v>0</v>
      </c>
      <c r="G66" s="22">
        <f t="shared" si="18"/>
        <v>0</v>
      </c>
      <c r="H66" s="22">
        <f t="shared" si="18"/>
        <v>0</v>
      </c>
      <c r="I66" s="22">
        <f t="shared" si="18"/>
        <v>0</v>
      </c>
      <c r="J66" s="22">
        <f t="shared" si="18"/>
        <v>0</v>
      </c>
      <c r="K66" s="22">
        <f t="shared" si="18"/>
        <v>0</v>
      </c>
      <c r="L66" s="22">
        <f t="shared" si="18"/>
        <v>0</v>
      </c>
      <c r="M66" s="22">
        <f t="shared" si="18"/>
        <v>0</v>
      </c>
      <c r="N66" s="22">
        <f t="shared" si="18"/>
        <v>0</v>
      </c>
      <c r="O66" s="22">
        <f t="shared" si="18"/>
        <v>0</v>
      </c>
      <c r="P66" s="22">
        <f t="shared" si="18"/>
        <v>0</v>
      </c>
      <c r="Q66" s="22">
        <f t="shared" si="18"/>
        <v>0</v>
      </c>
      <c r="R66" s="22">
        <f t="shared" si="18"/>
        <v>0</v>
      </c>
      <c r="S66" s="22">
        <f t="shared" si="18"/>
        <v>0</v>
      </c>
      <c r="T66" s="109"/>
      <c r="U66" s="113"/>
      <c r="V66" s="113"/>
    </row>
    <row r="67" spans="3:22">
      <c r="D67" s="117"/>
      <c r="E67" s="21" t="s">
        <v>25</v>
      </c>
      <c r="F67" s="22">
        <f t="shared" si="18"/>
        <v>0</v>
      </c>
      <c r="G67" s="22">
        <f t="shared" si="18"/>
        <v>0</v>
      </c>
      <c r="H67" s="22">
        <f t="shared" si="18"/>
        <v>0</v>
      </c>
      <c r="I67" s="22">
        <f t="shared" si="18"/>
        <v>0</v>
      </c>
      <c r="J67" s="22">
        <f t="shared" si="18"/>
        <v>0</v>
      </c>
      <c r="K67" s="22">
        <f t="shared" si="18"/>
        <v>0</v>
      </c>
      <c r="L67" s="22">
        <f t="shared" si="18"/>
        <v>0</v>
      </c>
      <c r="M67" s="22">
        <f t="shared" si="18"/>
        <v>0</v>
      </c>
      <c r="N67" s="22">
        <f t="shared" si="18"/>
        <v>0</v>
      </c>
      <c r="O67" s="22">
        <f t="shared" si="18"/>
        <v>0</v>
      </c>
      <c r="P67" s="22">
        <f t="shared" si="18"/>
        <v>0</v>
      </c>
      <c r="Q67" s="22">
        <f t="shared" si="18"/>
        <v>0</v>
      </c>
      <c r="R67" s="22">
        <f t="shared" si="18"/>
        <v>0</v>
      </c>
      <c r="S67" s="22">
        <f t="shared" si="18"/>
        <v>0</v>
      </c>
      <c r="T67" s="109"/>
      <c r="U67" s="113"/>
      <c r="V67" s="113"/>
    </row>
    <row r="68" spans="3:22">
      <c r="D68" s="117"/>
      <c r="E68" s="21" t="s">
        <v>78</v>
      </c>
      <c r="F68" s="22">
        <f>F250</f>
        <v>0</v>
      </c>
      <c r="G68" s="22">
        <f t="shared" ref="G68:S68" si="19">G250</f>
        <v>0</v>
      </c>
      <c r="H68" s="22">
        <f t="shared" si="19"/>
        <v>0</v>
      </c>
      <c r="I68" s="22">
        <f t="shared" si="19"/>
        <v>0</v>
      </c>
      <c r="J68" s="22">
        <f t="shared" si="19"/>
        <v>0</v>
      </c>
      <c r="K68" s="22">
        <f t="shared" si="19"/>
        <v>0</v>
      </c>
      <c r="L68" s="22">
        <f t="shared" si="19"/>
        <v>0</v>
      </c>
      <c r="M68" s="22">
        <f t="shared" si="19"/>
        <v>0</v>
      </c>
      <c r="N68" s="22">
        <f t="shared" si="19"/>
        <v>0</v>
      </c>
      <c r="O68" s="22">
        <f t="shared" si="19"/>
        <v>0</v>
      </c>
      <c r="P68" s="22">
        <f t="shared" si="19"/>
        <v>0</v>
      </c>
      <c r="Q68" s="22">
        <f t="shared" si="19"/>
        <v>0</v>
      </c>
      <c r="R68" s="22">
        <f t="shared" si="19"/>
        <v>0</v>
      </c>
      <c r="S68" s="22">
        <f t="shared" si="19"/>
        <v>0</v>
      </c>
      <c r="T68" s="109" t="s">
        <v>117</v>
      </c>
      <c r="U68" s="113" t="s">
        <v>117</v>
      </c>
      <c r="V68" s="113" t="s">
        <v>117</v>
      </c>
    </row>
    <row r="69" spans="3:22">
      <c r="D69" s="117"/>
      <c r="E69" s="21" t="s">
        <v>24</v>
      </c>
      <c r="F69" s="22">
        <f t="shared" ref="F69:S70" si="20">F251</f>
        <v>0</v>
      </c>
      <c r="G69" s="22">
        <f t="shared" si="20"/>
        <v>0</v>
      </c>
      <c r="H69" s="22">
        <f t="shared" si="20"/>
        <v>0</v>
      </c>
      <c r="I69" s="22">
        <f t="shared" si="20"/>
        <v>0</v>
      </c>
      <c r="J69" s="22">
        <f t="shared" si="20"/>
        <v>0</v>
      </c>
      <c r="K69" s="22">
        <f t="shared" si="20"/>
        <v>0</v>
      </c>
      <c r="L69" s="22">
        <f t="shared" si="20"/>
        <v>0</v>
      </c>
      <c r="M69" s="22">
        <f t="shared" si="20"/>
        <v>0</v>
      </c>
      <c r="N69" s="22">
        <f t="shared" si="20"/>
        <v>0</v>
      </c>
      <c r="O69" s="22">
        <f t="shared" si="20"/>
        <v>0</v>
      </c>
      <c r="P69" s="22">
        <f t="shared" si="20"/>
        <v>0</v>
      </c>
      <c r="Q69" s="22">
        <f t="shared" si="20"/>
        <v>0</v>
      </c>
      <c r="R69" s="22">
        <f t="shared" si="20"/>
        <v>0</v>
      </c>
      <c r="S69" s="22">
        <f t="shared" si="20"/>
        <v>0</v>
      </c>
      <c r="T69" s="109"/>
      <c r="U69" s="113"/>
      <c r="V69" s="113"/>
    </row>
    <row r="70" spans="3:22">
      <c r="D70" s="117"/>
      <c r="E70" s="21" t="s">
        <v>25</v>
      </c>
      <c r="F70" s="22">
        <f t="shared" si="20"/>
        <v>0</v>
      </c>
      <c r="G70" s="22">
        <f t="shared" si="20"/>
        <v>0</v>
      </c>
      <c r="H70" s="22">
        <f t="shared" si="20"/>
        <v>0</v>
      </c>
      <c r="I70" s="22">
        <f t="shared" si="20"/>
        <v>0</v>
      </c>
      <c r="J70" s="22">
        <f t="shared" si="20"/>
        <v>0</v>
      </c>
      <c r="K70" s="22">
        <f t="shared" si="20"/>
        <v>0</v>
      </c>
      <c r="L70" s="22">
        <f t="shared" si="20"/>
        <v>0</v>
      </c>
      <c r="M70" s="22">
        <f t="shared" si="20"/>
        <v>0</v>
      </c>
      <c r="N70" s="22">
        <f t="shared" si="20"/>
        <v>0</v>
      </c>
      <c r="O70" s="22">
        <f t="shared" si="20"/>
        <v>0</v>
      </c>
      <c r="P70" s="22">
        <f t="shared" si="20"/>
        <v>0</v>
      </c>
      <c r="Q70" s="22">
        <f t="shared" si="20"/>
        <v>0</v>
      </c>
      <c r="R70" s="22">
        <f t="shared" si="20"/>
        <v>0</v>
      </c>
      <c r="S70" s="22">
        <f t="shared" si="20"/>
        <v>0</v>
      </c>
      <c r="T70" s="109"/>
      <c r="U70" s="113"/>
      <c r="V70" s="113"/>
    </row>
    <row r="71" spans="3:22">
      <c r="D71" s="117"/>
      <c r="E71" s="21" t="s">
        <v>78</v>
      </c>
      <c r="F71" s="22">
        <f>F275</f>
        <v>0</v>
      </c>
      <c r="G71" s="22">
        <f t="shared" ref="G71:S71" si="21">G275</f>
        <v>0</v>
      </c>
      <c r="H71" s="22">
        <f t="shared" si="21"/>
        <v>0</v>
      </c>
      <c r="I71" s="22">
        <f t="shared" si="21"/>
        <v>0</v>
      </c>
      <c r="J71" s="22">
        <f t="shared" si="21"/>
        <v>0</v>
      </c>
      <c r="K71" s="22">
        <f t="shared" si="21"/>
        <v>0</v>
      </c>
      <c r="L71" s="22">
        <f t="shared" si="21"/>
        <v>0</v>
      </c>
      <c r="M71" s="22">
        <f t="shared" si="21"/>
        <v>0</v>
      </c>
      <c r="N71" s="22">
        <f t="shared" si="21"/>
        <v>0</v>
      </c>
      <c r="O71" s="22">
        <f t="shared" si="21"/>
        <v>0</v>
      </c>
      <c r="P71" s="22">
        <f t="shared" si="21"/>
        <v>0</v>
      </c>
      <c r="Q71" s="22">
        <f t="shared" si="21"/>
        <v>0</v>
      </c>
      <c r="R71" s="22">
        <f t="shared" si="21"/>
        <v>0</v>
      </c>
      <c r="S71" s="22">
        <f t="shared" si="21"/>
        <v>0</v>
      </c>
      <c r="T71" s="109" t="s">
        <v>117</v>
      </c>
      <c r="U71" s="113" t="s">
        <v>117</v>
      </c>
      <c r="V71" s="113" t="s">
        <v>117</v>
      </c>
    </row>
    <row r="72" spans="3:22">
      <c r="D72" s="117"/>
      <c r="E72" s="21" t="s">
        <v>24</v>
      </c>
      <c r="F72" s="22">
        <f t="shared" ref="F72:S73" si="22">F276</f>
        <v>0</v>
      </c>
      <c r="G72" s="22">
        <f t="shared" si="22"/>
        <v>0</v>
      </c>
      <c r="H72" s="22">
        <f t="shared" si="22"/>
        <v>0</v>
      </c>
      <c r="I72" s="22">
        <f t="shared" si="22"/>
        <v>0</v>
      </c>
      <c r="J72" s="22">
        <f t="shared" si="22"/>
        <v>0</v>
      </c>
      <c r="K72" s="22">
        <f t="shared" si="22"/>
        <v>0</v>
      </c>
      <c r="L72" s="22">
        <f t="shared" si="22"/>
        <v>0</v>
      </c>
      <c r="M72" s="22">
        <f t="shared" si="22"/>
        <v>0</v>
      </c>
      <c r="N72" s="22">
        <f t="shared" si="22"/>
        <v>0</v>
      </c>
      <c r="O72" s="22">
        <f t="shared" si="22"/>
        <v>0</v>
      </c>
      <c r="P72" s="22">
        <f t="shared" si="22"/>
        <v>0</v>
      </c>
      <c r="Q72" s="22">
        <f t="shared" si="22"/>
        <v>0</v>
      </c>
      <c r="R72" s="22">
        <f t="shared" si="22"/>
        <v>0</v>
      </c>
      <c r="S72" s="22">
        <f t="shared" si="22"/>
        <v>0</v>
      </c>
      <c r="T72" s="109"/>
      <c r="U72" s="113"/>
      <c r="V72" s="113"/>
    </row>
    <row r="73" spans="3:22">
      <c r="D73" s="117"/>
      <c r="E73" s="21" t="s">
        <v>25</v>
      </c>
      <c r="F73" s="22">
        <f t="shared" si="22"/>
        <v>0</v>
      </c>
      <c r="G73" s="22">
        <f t="shared" si="22"/>
        <v>0</v>
      </c>
      <c r="H73" s="22">
        <f t="shared" si="22"/>
        <v>0</v>
      </c>
      <c r="I73" s="22">
        <f t="shared" si="22"/>
        <v>0</v>
      </c>
      <c r="J73" s="22">
        <f t="shared" si="22"/>
        <v>0</v>
      </c>
      <c r="K73" s="22">
        <f t="shared" si="22"/>
        <v>0</v>
      </c>
      <c r="L73" s="22">
        <f t="shared" si="22"/>
        <v>0</v>
      </c>
      <c r="M73" s="22">
        <f t="shared" si="22"/>
        <v>0</v>
      </c>
      <c r="N73" s="22">
        <f t="shared" si="22"/>
        <v>0</v>
      </c>
      <c r="O73" s="22">
        <f t="shared" si="22"/>
        <v>0</v>
      </c>
      <c r="P73" s="22">
        <f t="shared" si="22"/>
        <v>0</v>
      </c>
      <c r="Q73" s="22">
        <f t="shared" si="22"/>
        <v>0</v>
      </c>
      <c r="R73" s="22">
        <f t="shared" si="22"/>
        <v>0</v>
      </c>
      <c r="S73" s="22">
        <f t="shared" si="22"/>
        <v>0</v>
      </c>
      <c r="T73" s="109"/>
      <c r="U73" s="113"/>
      <c r="V73" s="113"/>
    </row>
    <row r="74" spans="3:22">
      <c r="D74" s="126" t="s">
        <v>43</v>
      </c>
      <c r="E74" s="21" t="s">
        <v>78</v>
      </c>
      <c r="F74" s="22">
        <f>F53+F56+F59+F62+F65+F68+F71</f>
        <v>0</v>
      </c>
      <c r="G74" s="22">
        <f t="shared" ref="G74:S76" si="23">G53+G56+G59+G62+G65+G68+G71</f>
        <v>0</v>
      </c>
      <c r="H74" s="22">
        <f t="shared" si="23"/>
        <v>0</v>
      </c>
      <c r="I74" s="22">
        <f t="shared" si="23"/>
        <v>0</v>
      </c>
      <c r="J74" s="22">
        <f t="shared" si="23"/>
        <v>0</v>
      </c>
      <c r="K74" s="22">
        <f t="shared" si="23"/>
        <v>0</v>
      </c>
      <c r="L74" s="22">
        <f t="shared" si="23"/>
        <v>0</v>
      </c>
      <c r="M74" s="22">
        <f t="shared" si="23"/>
        <v>0</v>
      </c>
      <c r="N74" s="22">
        <f t="shared" si="23"/>
        <v>0</v>
      </c>
      <c r="O74" s="22">
        <f t="shared" si="23"/>
        <v>0</v>
      </c>
      <c r="P74" s="22">
        <f t="shared" si="23"/>
        <v>0</v>
      </c>
      <c r="Q74" s="22">
        <f t="shared" si="23"/>
        <v>0</v>
      </c>
      <c r="R74" s="22">
        <f t="shared" si="23"/>
        <v>0</v>
      </c>
      <c r="S74" s="22">
        <f t="shared" si="23"/>
        <v>0</v>
      </c>
      <c r="T74" s="109" t="s">
        <v>117</v>
      </c>
      <c r="U74" s="113" t="s">
        <v>117</v>
      </c>
      <c r="V74" s="113" t="s">
        <v>117</v>
      </c>
    </row>
    <row r="75" spans="3:22">
      <c r="D75" s="126"/>
      <c r="E75" s="21" t="s">
        <v>24</v>
      </c>
      <c r="F75" s="22">
        <f>F54+F57+F60+F63+F66+F69+F72</f>
        <v>0</v>
      </c>
      <c r="G75" s="22">
        <f t="shared" si="23"/>
        <v>0</v>
      </c>
      <c r="H75" s="22">
        <f t="shared" si="23"/>
        <v>0</v>
      </c>
      <c r="I75" s="22">
        <f t="shared" si="23"/>
        <v>0</v>
      </c>
      <c r="J75" s="22">
        <f t="shared" si="23"/>
        <v>0</v>
      </c>
      <c r="K75" s="22">
        <f t="shared" si="23"/>
        <v>0</v>
      </c>
      <c r="L75" s="22">
        <f t="shared" si="23"/>
        <v>0</v>
      </c>
      <c r="M75" s="22">
        <f t="shared" si="23"/>
        <v>0</v>
      </c>
      <c r="N75" s="22">
        <f t="shared" si="23"/>
        <v>0</v>
      </c>
      <c r="O75" s="22">
        <f t="shared" si="23"/>
        <v>0</v>
      </c>
      <c r="P75" s="22">
        <f t="shared" si="23"/>
        <v>0</v>
      </c>
      <c r="Q75" s="22">
        <f t="shared" si="23"/>
        <v>0</v>
      </c>
      <c r="R75" s="22">
        <f t="shared" si="23"/>
        <v>0</v>
      </c>
      <c r="S75" s="22">
        <f t="shared" si="23"/>
        <v>0</v>
      </c>
      <c r="T75" s="109"/>
      <c r="U75" s="113"/>
      <c r="V75" s="113"/>
    </row>
    <row r="76" spans="3:22">
      <c r="D76" s="126"/>
      <c r="E76" s="21" t="s">
        <v>69</v>
      </c>
      <c r="F76" s="22">
        <f>F55+F58+F61+F64+F67+F70+F73</f>
        <v>0</v>
      </c>
      <c r="G76" s="22">
        <f t="shared" si="23"/>
        <v>0</v>
      </c>
      <c r="H76" s="22">
        <f t="shared" si="23"/>
        <v>0</v>
      </c>
      <c r="I76" s="22">
        <f t="shared" si="23"/>
        <v>0</v>
      </c>
      <c r="J76" s="22">
        <f t="shared" si="23"/>
        <v>0</v>
      </c>
      <c r="K76" s="22">
        <f t="shared" si="23"/>
        <v>0</v>
      </c>
      <c r="L76" s="22">
        <f t="shared" si="23"/>
        <v>0</v>
      </c>
      <c r="M76" s="22">
        <f t="shared" si="23"/>
        <v>0</v>
      </c>
      <c r="N76" s="22">
        <f t="shared" si="23"/>
        <v>0</v>
      </c>
      <c r="O76" s="22">
        <f t="shared" si="23"/>
        <v>0</v>
      </c>
      <c r="P76" s="22">
        <f t="shared" si="23"/>
        <v>0</v>
      </c>
      <c r="Q76" s="22">
        <f t="shared" si="23"/>
        <v>0</v>
      </c>
      <c r="R76" s="22">
        <f t="shared" si="23"/>
        <v>0</v>
      </c>
      <c r="S76" s="22">
        <f t="shared" si="23"/>
        <v>0</v>
      </c>
      <c r="T76" s="109"/>
      <c r="U76" s="113"/>
      <c r="V76" s="113"/>
    </row>
    <row r="78" spans="3:22">
      <c r="C78" s="119" t="s">
        <v>16</v>
      </c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</row>
    <row r="79" spans="3:22">
      <c r="U79" s="108" t="s">
        <v>143</v>
      </c>
      <c r="V79" s="108"/>
    </row>
    <row r="80" spans="3:22">
      <c r="D80" s="107" t="s">
        <v>68</v>
      </c>
      <c r="E80" s="107"/>
      <c r="F80" s="107" t="s">
        <v>129</v>
      </c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9" t="s">
        <v>117</v>
      </c>
      <c r="U80" s="107" t="s">
        <v>107</v>
      </c>
      <c r="V80" s="107" t="s">
        <v>19</v>
      </c>
    </row>
    <row r="81" spans="4:22">
      <c r="D81" s="107"/>
      <c r="E81" s="107"/>
      <c r="F81" s="107" t="s">
        <v>46</v>
      </c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 t="s">
        <v>134</v>
      </c>
      <c r="S81" s="107" t="s">
        <v>69</v>
      </c>
      <c r="T81" s="109"/>
      <c r="U81" s="107"/>
      <c r="V81" s="107"/>
    </row>
    <row r="82" spans="4:22">
      <c r="D82" s="107"/>
      <c r="E82" s="107"/>
      <c r="F82" s="107" t="s">
        <v>121</v>
      </c>
      <c r="G82" s="107" t="s">
        <v>52</v>
      </c>
      <c r="H82" s="107"/>
      <c r="I82" s="107" t="s">
        <v>76</v>
      </c>
      <c r="J82" s="107"/>
      <c r="K82" s="107" t="s">
        <v>149</v>
      </c>
      <c r="L82" s="107" t="s">
        <v>105</v>
      </c>
      <c r="M82" s="107" t="s">
        <v>88</v>
      </c>
      <c r="N82" s="107" t="s">
        <v>35</v>
      </c>
      <c r="O82" s="107" t="s">
        <v>33</v>
      </c>
      <c r="P82" s="107" t="s">
        <v>30</v>
      </c>
      <c r="Q82" s="107" t="s">
        <v>25</v>
      </c>
      <c r="R82" s="107"/>
      <c r="S82" s="107"/>
      <c r="T82" s="109"/>
      <c r="U82" s="107"/>
      <c r="V82" s="107"/>
    </row>
    <row r="83" spans="4:22">
      <c r="D83" s="107"/>
      <c r="E83" s="107"/>
      <c r="F83" s="107"/>
      <c r="G83" s="20" t="s">
        <v>83</v>
      </c>
      <c r="H83" s="20" t="s">
        <v>102</v>
      </c>
      <c r="I83" s="20" t="s">
        <v>83</v>
      </c>
      <c r="J83" s="20" t="s">
        <v>102</v>
      </c>
      <c r="K83" s="107"/>
      <c r="L83" s="107"/>
      <c r="M83" s="107"/>
      <c r="N83" s="107"/>
      <c r="O83" s="107"/>
      <c r="P83" s="107"/>
      <c r="Q83" s="107"/>
      <c r="R83" s="107"/>
      <c r="S83" s="107"/>
      <c r="T83" s="109"/>
      <c r="U83" s="107"/>
      <c r="V83" s="107"/>
    </row>
    <row r="84" spans="4:22">
      <c r="D84" s="126">
        <v>1</v>
      </c>
      <c r="E84" s="21" t="s">
        <v>78</v>
      </c>
      <c r="F84" s="22">
        <f t="shared" ref="F84:S84" si="24">F110+F135+F160+F185+F210+F235+F260</f>
        <v>0</v>
      </c>
      <c r="G84" s="22">
        <f t="shared" si="24"/>
        <v>0</v>
      </c>
      <c r="H84" s="22">
        <f t="shared" si="24"/>
        <v>0</v>
      </c>
      <c r="I84" s="22">
        <f t="shared" si="24"/>
        <v>0</v>
      </c>
      <c r="J84" s="22">
        <f t="shared" si="24"/>
        <v>0</v>
      </c>
      <c r="K84" s="22">
        <f t="shared" si="24"/>
        <v>0</v>
      </c>
      <c r="L84" s="22">
        <f t="shared" si="24"/>
        <v>0</v>
      </c>
      <c r="M84" s="22">
        <f t="shared" si="24"/>
        <v>0</v>
      </c>
      <c r="N84" s="22">
        <f t="shared" si="24"/>
        <v>0</v>
      </c>
      <c r="O84" s="22">
        <f t="shared" si="24"/>
        <v>0</v>
      </c>
      <c r="P84" s="22">
        <f t="shared" si="24"/>
        <v>0</v>
      </c>
      <c r="Q84" s="22">
        <f t="shared" si="24"/>
        <v>0</v>
      </c>
      <c r="R84" s="22">
        <f t="shared" si="24"/>
        <v>0</v>
      </c>
      <c r="S84" s="22">
        <f t="shared" si="24"/>
        <v>0</v>
      </c>
      <c r="T84" s="109" t="s">
        <v>117</v>
      </c>
      <c r="U84" s="113" t="s">
        <v>117</v>
      </c>
      <c r="V84" s="113" t="s">
        <v>117</v>
      </c>
    </row>
    <row r="85" spans="4:22">
      <c r="D85" s="126"/>
      <c r="E85" s="21" t="s">
        <v>24</v>
      </c>
      <c r="F85" s="22">
        <f t="shared" ref="F85:S85" si="25">F111+F136+F161+F186+F211+F236+F261</f>
        <v>0</v>
      </c>
      <c r="G85" s="22">
        <f t="shared" si="25"/>
        <v>0</v>
      </c>
      <c r="H85" s="22">
        <f t="shared" si="25"/>
        <v>0</v>
      </c>
      <c r="I85" s="22">
        <f t="shared" si="25"/>
        <v>0</v>
      </c>
      <c r="J85" s="22">
        <f t="shared" si="25"/>
        <v>0</v>
      </c>
      <c r="K85" s="22">
        <f t="shared" si="25"/>
        <v>0</v>
      </c>
      <c r="L85" s="22">
        <f t="shared" si="25"/>
        <v>0</v>
      </c>
      <c r="M85" s="22">
        <f t="shared" si="25"/>
        <v>0</v>
      </c>
      <c r="N85" s="22">
        <f t="shared" si="25"/>
        <v>0</v>
      </c>
      <c r="O85" s="22">
        <f t="shared" si="25"/>
        <v>0</v>
      </c>
      <c r="P85" s="22">
        <f t="shared" si="25"/>
        <v>0</v>
      </c>
      <c r="Q85" s="22">
        <f t="shared" si="25"/>
        <v>0</v>
      </c>
      <c r="R85" s="22">
        <f t="shared" si="25"/>
        <v>0</v>
      </c>
      <c r="S85" s="22">
        <f t="shared" si="25"/>
        <v>0</v>
      </c>
      <c r="T85" s="109"/>
      <c r="U85" s="113"/>
      <c r="V85" s="113"/>
    </row>
    <row r="86" spans="4:22">
      <c r="D86" s="126"/>
      <c r="E86" s="21" t="s">
        <v>25</v>
      </c>
      <c r="F86" s="22">
        <f t="shared" ref="F86:S86" si="26">F112+F137+F162+F187+F212+F237+F262</f>
        <v>0</v>
      </c>
      <c r="G86" s="22">
        <f t="shared" si="26"/>
        <v>0</v>
      </c>
      <c r="H86" s="22">
        <f t="shared" si="26"/>
        <v>0</v>
      </c>
      <c r="I86" s="22">
        <f t="shared" si="26"/>
        <v>0</v>
      </c>
      <c r="J86" s="22">
        <f t="shared" si="26"/>
        <v>0</v>
      </c>
      <c r="K86" s="22">
        <f t="shared" si="26"/>
        <v>0</v>
      </c>
      <c r="L86" s="22">
        <f t="shared" si="26"/>
        <v>0</v>
      </c>
      <c r="M86" s="22">
        <f t="shared" si="26"/>
        <v>0</v>
      </c>
      <c r="N86" s="22">
        <f t="shared" si="26"/>
        <v>0</v>
      </c>
      <c r="O86" s="22">
        <f t="shared" si="26"/>
        <v>0</v>
      </c>
      <c r="P86" s="22">
        <f t="shared" si="26"/>
        <v>0</v>
      </c>
      <c r="Q86" s="22">
        <f t="shared" si="26"/>
        <v>0</v>
      </c>
      <c r="R86" s="22">
        <f t="shared" si="26"/>
        <v>0</v>
      </c>
      <c r="S86" s="22">
        <f t="shared" si="26"/>
        <v>0</v>
      </c>
      <c r="T86" s="109"/>
      <c r="U86" s="113"/>
      <c r="V86" s="113"/>
    </row>
    <row r="87" spans="4:22">
      <c r="D87" s="126">
        <v>2</v>
      </c>
      <c r="E87" s="21" t="s">
        <v>78</v>
      </c>
      <c r="F87" s="22">
        <f t="shared" ref="F87:S87" si="27">F113+F138+F163+F188+F213+F238+F263</f>
        <v>0</v>
      </c>
      <c r="G87" s="22">
        <f t="shared" si="27"/>
        <v>0</v>
      </c>
      <c r="H87" s="22">
        <f t="shared" si="27"/>
        <v>0</v>
      </c>
      <c r="I87" s="22">
        <f t="shared" si="27"/>
        <v>0</v>
      </c>
      <c r="J87" s="22">
        <f t="shared" si="27"/>
        <v>0</v>
      </c>
      <c r="K87" s="22">
        <f t="shared" si="27"/>
        <v>0</v>
      </c>
      <c r="L87" s="22">
        <f t="shared" si="27"/>
        <v>0</v>
      </c>
      <c r="M87" s="22">
        <f t="shared" si="27"/>
        <v>0</v>
      </c>
      <c r="N87" s="22">
        <f t="shared" si="27"/>
        <v>0</v>
      </c>
      <c r="O87" s="22">
        <f t="shared" si="27"/>
        <v>0</v>
      </c>
      <c r="P87" s="22">
        <f t="shared" si="27"/>
        <v>0</v>
      </c>
      <c r="Q87" s="22">
        <f t="shared" si="27"/>
        <v>0</v>
      </c>
      <c r="R87" s="22">
        <f t="shared" si="27"/>
        <v>0</v>
      </c>
      <c r="S87" s="22">
        <f t="shared" si="27"/>
        <v>0</v>
      </c>
      <c r="T87" s="109" t="s">
        <v>117</v>
      </c>
      <c r="U87" s="113" t="s">
        <v>117</v>
      </c>
      <c r="V87" s="113" t="s">
        <v>117</v>
      </c>
    </row>
    <row r="88" spans="4:22">
      <c r="D88" s="126"/>
      <c r="E88" s="21" t="s">
        <v>24</v>
      </c>
      <c r="F88" s="22">
        <f t="shared" ref="F88:S88" si="28">F114+F139+F164+F189+F214+F239+F264</f>
        <v>0</v>
      </c>
      <c r="G88" s="22">
        <f t="shared" si="28"/>
        <v>0</v>
      </c>
      <c r="H88" s="22">
        <f t="shared" si="28"/>
        <v>0</v>
      </c>
      <c r="I88" s="22">
        <f t="shared" si="28"/>
        <v>0</v>
      </c>
      <c r="J88" s="22">
        <f t="shared" si="28"/>
        <v>0</v>
      </c>
      <c r="K88" s="22">
        <f t="shared" si="28"/>
        <v>0</v>
      </c>
      <c r="L88" s="22">
        <f t="shared" si="28"/>
        <v>0</v>
      </c>
      <c r="M88" s="22">
        <f t="shared" si="28"/>
        <v>0</v>
      </c>
      <c r="N88" s="22">
        <f t="shared" si="28"/>
        <v>0</v>
      </c>
      <c r="O88" s="22">
        <f t="shared" si="28"/>
        <v>0</v>
      </c>
      <c r="P88" s="22">
        <f t="shared" si="28"/>
        <v>0</v>
      </c>
      <c r="Q88" s="22">
        <f t="shared" si="28"/>
        <v>0</v>
      </c>
      <c r="R88" s="22">
        <f t="shared" si="28"/>
        <v>0</v>
      </c>
      <c r="S88" s="22">
        <f t="shared" si="28"/>
        <v>0</v>
      </c>
      <c r="T88" s="109"/>
      <c r="U88" s="113"/>
      <c r="V88" s="113"/>
    </row>
    <row r="89" spans="4:22">
      <c r="D89" s="126"/>
      <c r="E89" s="21" t="s">
        <v>25</v>
      </c>
      <c r="F89" s="22">
        <f t="shared" ref="F89:S89" si="29">F115+F140+F165+F190+F215+F240+F265</f>
        <v>0</v>
      </c>
      <c r="G89" s="22">
        <f t="shared" si="29"/>
        <v>0</v>
      </c>
      <c r="H89" s="22">
        <f t="shared" si="29"/>
        <v>0</v>
      </c>
      <c r="I89" s="22">
        <f t="shared" si="29"/>
        <v>0</v>
      </c>
      <c r="J89" s="22">
        <f t="shared" si="29"/>
        <v>0</v>
      </c>
      <c r="K89" s="22">
        <f t="shared" si="29"/>
        <v>0</v>
      </c>
      <c r="L89" s="22">
        <f t="shared" si="29"/>
        <v>0</v>
      </c>
      <c r="M89" s="22">
        <f t="shared" si="29"/>
        <v>0</v>
      </c>
      <c r="N89" s="22">
        <f t="shared" si="29"/>
        <v>0</v>
      </c>
      <c r="O89" s="22">
        <f t="shared" si="29"/>
        <v>0</v>
      </c>
      <c r="P89" s="22">
        <f t="shared" si="29"/>
        <v>0</v>
      </c>
      <c r="Q89" s="22">
        <f t="shared" si="29"/>
        <v>0</v>
      </c>
      <c r="R89" s="22">
        <f t="shared" si="29"/>
        <v>0</v>
      </c>
      <c r="S89" s="22">
        <f t="shared" si="29"/>
        <v>0</v>
      </c>
      <c r="T89" s="109"/>
      <c r="U89" s="113"/>
      <c r="V89" s="113"/>
    </row>
    <row r="90" spans="4:22">
      <c r="D90" s="126">
        <v>3</v>
      </c>
      <c r="E90" s="21" t="s">
        <v>78</v>
      </c>
      <c r="F90" s="22">
        <f t="shared" ref="F90:S90" si="30">F116+F141+F166+F191+F216+F241+F266</f>
        <v>0</v>
      </c>
      <c r="G90" s="22">
        <f t="shared" si="30"/>
        <v>0</v>
      </c>
      <c r="H90" s="22">
        <f t="shared" si="30"/>
        <v>0</v>
      </c>
      <c r="I90" s="22">
        <f t="shared" si="30"/>
        <v>0</v>
      </c>
      <c r="J90" s="22">
        <f t="shared" si="30"/>
        <v>0</v>
      </c>
      <c r="K90" s="22">
        <f t="shared" si="30"/>
        <v>0</v>
      </c>
      <c r="L90" s="22">
        <f t="shared" si="30"/>
        <v>0</v>
      </c>
      <c r="M90" s="22">
        <f t="shared" si="30"/>
        <v>0</v>
      </c>
      <c r="N90" s="22">
        <f t="shared" si="30"/>
        <v>0</v>
      </c>
      <c r="O90" s="22">
        <f t="shared" si="30"/>
        <v>0</v>
      </c>
      <c r="P90" s="22">
        <f t="shared" si="30"/>
        <v>0</v>
      </c>
      <c r="Q90" s="22">
        <f t="shared" si="30"/>
        <v>0</v>
      </c>
      <c r="R90" s="22">
        <f t="shared" si="30"/>
        <v>0</v>
      </c>
      <c r="S90" s="22">
        <f t="shared" si="30"/>
        <v>0</v>
      </c>
      <c r="T90" s="109" t="s">
        <v>117</v>
      </c>
      <c r="U90" s="113" t="s">
        <v>117</v>
      </c>
      <c r="V90" s="113" t="s">
        <v>117</v>
      </c>
    </row>
    <row r="91" spans="4:22">
      <c r="D91" s="126"/>
      <c r="E91" s="21" t="s">
        <v>24</v>
      </c>
      <c r="F91" s="22">
        <f t="shared" ref="F91:S91" si="31">F117+F142+F167+F192+F217+F242+F267</f>
        <v>0</v>
      </c>
      <c r="G91" s="22">
        <f t="shared" si="31"/>
        <v>0</v>
      </c>
      <c r="H91" s="22">
        <f t="shared" si="31"/>
        <v>0</v>
      </c>
      <c r="I91" s="22">
        <f t="shared" si="31"/>
        <v>0</v>
      </c>
      <c r="J91" s="22">
        <f t="shared" si="31"/>
        <v>0</v>
      </c>
      <c r="K91" s="22">
        <f t="shared" si="31"/>
        <v>0</v>
      </c>
      <c r="L91" s="22">
        <f t="shared" si="31"/>
        <v>0</v>
      </c>
      <c r="M91" s="22">
        <f t="shared" si="31"/>
        <v>0</v>
      </c>
      <c r="N91" s="22">
        <f t="shared" si="31"/>
        <v>0</v>
      </c>
      <c r="O91" s="22">
        <f t="shared" si="31"/>
        <v>0</v>
      </c>
      <c r="P91" s="22">
        <f t="shared" si="31"/>
        <v>0</v>
      </c>
      <c r="Q91" s="22">
        <f t="shared" si="31"/>
        <v>0</v>
      </c>
      <c r="R91" s="22">
        <f t="shared" si="31"/>
        <v>0</v>
      </c>
      <c r="S91" s="22">
        <f t="shared" si="31"/>
        <v>0</v>
      </c>
      <c r="T91" s="109"/>
      <c r="U91" s="113"/>
      <c r="V91" s="113"/>
    </row>
    <row r="92" spans="4:22">
      <c r="D92" s="126"/>
      <c r="E92" s="21" t="s">
        <v>25</v>
      </c>
      <c r="F92" s="22">
        <f t="shared" ref="F92:S92" si="32">F118+F143+F168+F193+F218+F243+F268</f>
        <v>0</v>
      </c>
      <c r="G92" s="22">
        <f t="shared" si="32"/>
        <v>0</v>
      </c>
      <c r="H92" s="22">
        <f t="shared" si="32"/>
        <v>0</v>
      </c>
      <c r="I92" s="22">
        <f t="shared" si="32"/>
        <v>0</v>
      </c>
      <c r="J92" s="22">
        <f t="shared" si="32"/>
        <v>0</v>
      </c>
      <c r="K92" s="22">
        <f t="shared" si="32"/>
        <v>0</v>
      </c>
      <c r="L92" s="22">
        <f t="shared" si="32"/>
        <v>0</v>
      </c>
      <c r="M92" s="22">
        <f t="shared" si="32"/>
        <v>0</v>
      </c>
      <c r="N92" s="22">
        <f t="shared" si="32"/>
        <v>0</v>
      </c>
      <c r="O92" s="22">
        <f t="shared" si="32"/>
        <v>0</v>
      </c>
      <c r="P92" s="22">
        <f t="shared" si="32"/>
        <v>0</v>
      </c>
      <c r="Q92" s="22">
        <f t="shared" si="32"/>
        <v>0</v>
      </c>
      <c r="R92" s="22">
        <f t="shared" si="32"/>
        <v>0</v>
      </c>
      <c r="S92" s="22">
        <f t="shared" si="32"/>
        <v>0</v>
      </c>
      <c r="T92" s="109"/>
      <c r="U92" s="113"/>
      <c r="V92" s="113"/>
    </row>
    <row r="93" spans="4:22">
      <c r="D93" s="126">
        <v>4</v>
      </c>
      <c r="E93" s="21" t="s">
        <v>78</v>
      </c>
      <c r="F93" s="22">
        <f t="shared" ref="F93:S93" si="33">F119+F144+F169+F194+F219+F244+F269</f>
        <v>0</v>
      </c>
      <c r="G93" s="22">
        <f t="shared" si="33"/>
        <v>0</v>
      </c>
      <c r="H93" s="22">
        <f t="shared" si="33"/>
        <v>0</v>
      </c>
      <c r="I93" s="22">
        <f t="shared" si="33"/>
        <v>0</v>
      </c>
      <c r="J93" s="22">
        <f t="shared" si="33"/>
        <v>0</v>
      </c>
      <c r="K93" s="22">
        <f t="shared" si="33"/>
        <v>0</v>
      </c>
      <c r="L93" s="22">
        <f t="shared" si="33"/>
        <v>0</v>
      </c>
      <c r="M93" s="22">
        <f t="shared" si="33"/>
        <v>0</v>
      </c>
      <c r="N93" s="22">
        <f t="shared" si="33"/>
        <v>0</v>
      </c>
      <c r="O93" s="22">
        <f t="shared" si="33"/>
        <v>0</v>
      </c>
      <c r="P93" s="22">
        <f t="shared" si="33"/>
        <v>0</v>
      </c>
      <c r="Q93" s="22">
        <f t="shared" si="33"/>
        <v>0</v>
      </c>
      <c r="R93" s="22">
        <f t="shared" si="33"/>
        <v>0</v>
      </c>
      <c r="S93" s="22">
        <f t="shared" si="33"/>
        <v>0</v>
      </c>
      <c r="T93" s="109" t="s">
        <v>117</v>
      </c>
      <c r="U93" s="113" t="s">
        <v>117</v>
      </c>
      <c r="V93" s="113" t="s">
        <v>117</v>
      </c>
    </row>
    <row r="94" spans="4:22">
      <c r="D94" s="126"/>
      <c r="E94" s="21" t="s">
        <v>24</v>
      </c>
      <c r="F94" s="22">
        <f t="shared" ref="F94:S94" si="34">F120+F145+F170+F195+F220+F245+F270</f>
        <v>0</v>
      </c>
      <c r="G94" s="22">
        <f t="shared" si="34"/>
        <v>0</v>
      </c>
      <c r="H94" s="22">
        <f t="shared" si="34"/>
        <v>0</v>
      </c>
      <c r="I94" s="22">
        <f t="shared" si="34"/>
        <v>0</v>
      </c>
      <c r="J94" s="22">
        <f t="shared" si="34"/>
        <v>0</v>
      </c>
      <c r="K94" s="22">
        <f t="shared" si="34"/>
        <v>0</v>
      </c>
      <c r="L94" s="22">
        <f t="shared" si="34"/>
        <v>0</v>
      </c>
      <c r="M94" s="22">
        <f t="shared" si="34"/>
        <v>0</v>
      </c>
      <c r="N94" s="22">
        <f t="shared" si="34"/>
        <v>0</v>
      </c>
      <c r="O94" s="22">
        <f t="shared" si="34"/>
        <v>0</v>
      </c>
      <c r="P94" s="22">
        <f t="shared" si="34"/>
        <v>0</v>
      </c>
      <c r="Q94" s="22">
        <f t="shared" si="34"/>
        <v>0</v>
      </c>
      <c r="R94" s="22">
        <f t="shared" si="34"/>
        <v>0</v>
      </c>
      <c r="S94" s="22">
        <f t="shared" si="34"/>
        <v>0</v>
      </c>
      <c r="T94" s="109"/>
      <c r="U94" s="113"/>
      <c r="V94" s="113"/>
    </row>
    <row r="95" spans="4:22">
      <c r="D95" s="126"/>
      <c r="E95" s="21" t="s">
        <v>25</v>
      </c>
      <c r="F95" s="22">
        <f t="shared" ref="F95:S95" si="35">F121+F146+F171+F196+F221+F246+F271</f>
        <v>0</v>
      </c>
      <c r="G95" s="22">
        <f t="shared" si="35"/>
        <v>0</v>
      </c>
      <c r="H95" s="22">
        <f t="shared" si="35"/>
        <v>0</v>
      </c>
      <c r="I95" s="22">
        <f t="shared" si="35"/>
        <v>0</v>
      </c>
      <c r="J95" s="22">
        <f t="shared" si="35"/>
        <v>0</v>
      </c>
      <c r="K95" s="22">
        <f t="shared" si="35"/>
        <v>0</v>
      </c>
      <c r="L95" s="22">
        <f t="shared" si="35"/>
        <v>0</v>
      </c>
      <c r="M95" s="22">
        <f t="shared" si="35"/>
        <v>0</v>
      </c>
      <c r="N95" s="22">
        <f t="shared" si="35"/>
        <v>0</v>
      </c>
      <c r="O95" s="22">
        <f t="shared" si="35"/>
        <v>0</v>
      </c>
      <c r="P95" s="22">
        <f t="shared" si="35"/>
        <v>0</v>
      </c>
      <c r="Q95" s="22">
        <f t="shared" si="35"/>
        <v>0</v>
      </c>
      <c r="R95" s="22">
        <f t="shared" si="35"/>
        <v>0</v>
      </c>
      <c r="S95" s="22">
        <f t="shared" si="35"/>
        <v>0</v>
      </c>
      <c r="T95" s="109"/>
      <c r="U95" s="113"/>
      <c r="V95" s="113"/>
    </row>
    <row r="96" spans="4:22">
      <c r="D96" s="126">
        <v>5</v>
      </c>
      <c r="E96" s="21" t="s">
        <v>78</v>
      </c>
      <c r="F96" s="22">
        <f t="shared" ref="F96:S96" si="36">F122+F147+F172+F197+F222+F247+F272</f>
        <v>0</v>
      </c>
      <c r="G96" s="22">
        <f t="shared" si="36"/>
        <v>0</v>
      </c>
      <c r="H96" s="22">
        <f t="shared" si="36"/>
        <v>0</v>
      </c>
      <c r="I96" s="22">
        <f t="shared" si="36"/>
        <v>0</v>
      </c>
      <c r="J96" s="22">
        <f t="shared" si="36"/>
        <v>0</v>
      </c>
      <c r="K96" s="22">
        <f t="shared" si="36"/>
        <v>0</v>
      </c>
      <c r="L96" s="22">
        <f t="shared" si="36"/>
        <v>0</v>
      </c>
      <c r="M96" s="22">
        <f t="shared" si="36"/>
        <v>0</v>
      </c>
      <c r="N96" s="22">
        <f t="shared" si="36"/>
        <v>0</v>
      </c>
      <c r="O96" s="22">
        <f t="shared" si="36"/>
        <v>0</v>
      </c>
      <c r="P96" s="22">
        <f t="shared" si="36"/>
        <v>0</v>
      </c>
      <c r="Q96" s="22">
        <f t="shared" si="36"/>
        <v>0</v>
      </c>
      <c r="R96" s="22">
        <f t="shared" si="36"/>
        <v>0</v>
      </c>
      <c r="S96" s="22">
        <f t="shared" si="36"/>
        <v>0</v>
      </c>
      <c r="T96" s="109" t="s">
        <v>117</v>
      </c>
      <c r="U96" s="113" t="s">
        <v>117</v>
      </c>
      <c r="V96" s="113" t="s">
        <v>117</v>
      </c>
    </row>
    <row r="97" spans="3:24">
      <c r="D97" s="126"/>
      <c r="E97" s="21" t="s">
        <v>24</v>
      </c>
      <c r="F97" s="22">
        <f t="shared" ref="F97:S97" si="37">F123+F148+F173+F198+F223+F248+F273</f>
        <v>0</v>
      </c>
      <c r="G97" s="22">
        <f t="shared" si="37"/>
        <v>0</v>
      </c>
      <c r="H97" s="22">
        <f t="shared" si="37"/>
        <v>0</v>
      </c>
      <c r="I97" s="22">
        <f t="shared" si="37"/>
        <v>0</v>
      </c>
      <c r="J97" s="22">
        <f t="shared" si="37"/>
        <v>0</v>
      </c>
      <c r="K97" s="22">
        <f t="shared" si="37"/>
        <v>0</v>
      </c>
      <c r="L97" s="22">
        <f t="shared" si="37"/>
        <v>0</v>
      </c>
      <c r="M97" s="22">
        <f t="shared" si="37"/>
        <v>0</v>
      </c>
      <c r="N97" s="22">
        <f t="shared" si="37"/>
        <v>0</v>
      </c>
      <c r="O97" s="22">
        <f t="shared" si="37"/>
        <v>0</v>
      </c>
      <c r="P97" s="22">
        <f t="shared" si="37"/>
        <v>0</v>
      </c>
      <c r="Q97" s="22">
        <f t="shared" si="37"/>
        <v>0</v>
      </c>
      <c r="R97" s="22">
        <f t="shared" si="37"/>
        <v>0</v>
      </c>
      <c r="S97" s="22">
        <f t="shared" si="37"/>
        <v>0</v>
      </c>
      <c r="T97" s="109"/>
      <c r="U97" s="113"/>
      <c r="V97" s="113"/>
    </row>
    <row r="98" spans="3:24">
      <c r="D98" s="126"/>
      <c r="E98" s="21" t="s">
        <v>25</v>
      </c>
      <c r="F98" s="22">
        <f t="shared" ref="F98:S98" si="38">F124+F149+F174+F199+F224+F249+F274</f>
        <v>0</v>
      </c>
      <c r="G98" s="22">
        <f t="shared" si="38"/>
        <v>0</v>
      </c>
      <c r="H98" s="22">
        <f t="shared" si="38"/>
        <v>0</v>
      </c>
      <c r="I98" s="22">
        <f t="shared" si="38"/>
        <v>0</v>
      </c>
      <c r="J98" s="22">
        <f t="shared" si="38"/>
        <v>0</v>
      </c>
      <c r="K98" s="22">
        <f t="shared" si="38"/>
        <v>0</v>
      </c>
      <c r="L98" s="22">
        <f t="shared" si="38"/>
        <v>0</v>
      </c>
      <c r="M98" s="22">
        <f t="shared" si="38"/>
        <v>0</v>
      </c>
      <c r="N98" s="22">
        <f t="shared" si="38"/>
        <v>0</v>
      </c>
      <c r="O98" s="22">
        <f t="shared" si="38"/>
        <v>0</v>
      </c>
      <c r="P98" s="22">
        <f t="shared" si="38"/>
        <v>0</v>
      </c>
      <c r="Q98" s="22">
        <f t="shared" si="38"/>
        <v>0</v>
      </c>
      <c r="R98" s="22">
        <f t="shared" si="38"/>
        <v>0</v>
      </c>
      <c r="S98" s="22">
        <f t="shared" si="38"/>
        <v>0</v>
      </c>
      <c r="T98" s="109"/>
      <c r="U98" s="113"/>
      <c r="V98" s="113"/>
    </row>
    <row r="99" spans="3:24">
      <c r="D99" s="126" t="s">
        <v>43</v>
      </c>
      <c r="E99" s="21" t="s">
        <v>78</v>
      </c>
      <c r="F99" s="22">
        <f t="shared" ref="F99:S99" si="39">F125+F150+F175+F200+F225+F250+F275</f>
        <v>0</v>
      </c>
      <c r="G99" s="22">
        <f t="shared" si="39"/>
        <v>0</v>
      </c>
      <c r="H99" s="22">
        <f t="shared" si="39"/>
        <v>0</v>
      </c>
      <c r="I99" s="22">
        <f t="shared" si="39"/>
        <v>0</v>
      </c>
      <c r="J99" s="22">
        <f t="shared" si="39"/>
        <v>0</v>
      </c>
      <c r="K99" s="22">
        <f t="shared" si="39"/>
        <v>0</v>
      </c>
      <c r="L99" s="22">
        <f t="shared" si="39"/>
        <v>0</v>
      </c>
      <c r="M99" s="22">
        <f t="shared" si="39"/>
        <v>0</v>
      </c>
      <c r="N99" s="22">
        <f t="shared" si="39"/>
        <v>0</v>
      </c>
      <c r="O99" s="22">
        <f t="shared" si="39"/>
        <v>0</v>
      </c>
      <c r="P99" s="22">
        <f t="shared" si="39"/>
        <v>0</v>
      </c>
      <c r="Q99" s="22">
        <f t="shared" si="39"/>
        <v>0</v>
      </c>
      <c r="R99" s="22">
        <f t="shared" si="39"/>
        <v>0</v>
      </c>
      <c r="S99" s="22">
        <f t="shared" si="39"/>
        <v>0</v>
      </c>
      <c r="T99" s="109" t="s">
        <v>117</v>
      </c>
      <c r="U99" s="113" t="s">
        <v>117</v>
      </c>
      <c r="V99" s="113" t="s">
        <v>117</v>
      </c>
    </row>
    <row r="100" spans="3:24">
      <c r="D100" s="126"/>
      <c r="E100" s="21" t="s">
        <v>24</v>
      </c>
      <c r="F100" s="22">
        <f t="shared" ref="F100:S100" si="40">F126+F151+F176+F201+F226+F251+F276</f>
        <v>0</v>
      </c>
      <c r="G100" s="22">
        <f t="shared" si="40"/>
        <v>0</v>
      </c>
      <c r="H100" s="22">
        <f t="shared" si="40"/>
        <v>0</v>
      </c>
      <c r="I100" s="22">
        <f t="shared" si="40"/>
        <v>0</v>
      </c>
      <c r="J100" s="22">
        <f t="shared" si="40"/>
        <v>0</v>
      </c>
      <c r="K100" s="22">
        <f t="shared" si="40"/>
        <v>0</v>
      </c>
      <c r="L100" s="22">
        <f t="shared" si="40"/>
        <v>0</v>
      </c>
      <c r="M100" s="22">
        <f t="shared" si="40"/>
        <v>0</v>
      </c>
      <c r="N100" s="22">
        <f t="shared" si="40"/>
        <v>0</v>
      </c>
      <c r="O100" s="22">
        <f t="shared" si="40"/>
        <v>0</v>
      </c>
      <c r="P100" s="22">
        <f t="shared" si="40"/>
        <v>0</v>
      </c>
      <c r="Q100" s="22">
        <f t="shared" si="40"/>
        <v>0</v>
      </c>
      <c r="R100" s="22">
        <f t="shared" si="40"/>
        <v>0</v>
      </c>
      <c r="S100" s="22">
        <f t="shared" si="40"/>
        <v>0</v>
      </c>
      <c r="T100" s="109"/>
      <c r="U100" s="113"/>
      <c r="V100" s="113"/>
    </row>
    <row r="101" spans="3:24">
      <c r="D101" s="126"/>
      <c r="E101" s="21" t="s">
        <v>69</v>
      </c>
      <c r="F101" s="22">
        <f t="shared" ref="F101:S101" si="41">F127+F152+F177+F202+F227+F252+F277</f>
        <v>0</v>
      </c>
      <c r="G101" s="22">
        <f t="shared" si="41"/>
        <v>0</v>
      </c>
      <c r="H101" s="22">
        <f t="shared" si="41"/>
        <v>0</v>
      </c>
      <c r="I101" s="22">
        <f t="shared" si="41"/>
        <v>0</v>
      </c>
      <c r="J101" s="22">
        <f t="shared" si="41"/>
        <v>0</v>
      </c>
      <c r="K101" s="22">
        <f t="shared" si="41"/>
        <v>0</v>
      </c>
      <c r="L101" s="22">
        <f t="shared" si="41"/>
        <v>0</v>
      </c>
      <c r="M101" s="22">
        <f t="shared" si="41"/>
        <v>0</v>
      </c>
      <c r="N101" s="22">
        <f t="shared" si="41"/>
        <v>0</v>
      </c>
      <c r="O101" s="22">
        <f t="shared" si="41"/>
        <v>0</v>
      </c>
      <c r="P101" s="22">
        <f t="shared" si="41"/>
        <v>0</v>
      </c>
      <c r="Q101" s="22">
        <f t="shared" si="41"/>
        <v>0</v>
      </c>
      <c r="R101" s="22">
        <f t="shared" si="41"/>
        <v>0</v>
      </c>
      <c r="S101" s="22">
        <f t="shared" si="41"/>
        <v>0</v>
      </c>
      <c r="T101" s="109"/>
      <c r="U101" s="113"/>
      <c r="V101" s="113"/>
    </row>
    <row r="103" spans="3:24">
      <c r="C103" s="119" t="s">
        <v>137</v>
      </c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</row>
    <row r="104" spans="3:24">
      <c r="D104" s="119" t="s">
        <v>158</v>
      </c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</row>
    <row r="105" spans="3:24">
      <c r="U105" s="108" t="s">
        <v>143</v>
      </c>
      <c r="V105" s="108"/>
    </row>
    <row r="106" spans="3:24">
      <c r="D106" s="107" t="s">
        <v>68</v>
      </c>
      <c r="E106" s="107"/>
      <c r="F106" s="107" t="s">
        <v>129</v>
      </c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9" t="s">
        <v>117</v>
      </c>
      <c r="U106" s="107" t="s">
        <v>107</v>
      </c>
      <c r="V106" s="107" t="s">
        <v>19</v>
      </c>
    </row>
    <row r="107" spans="3:24">
      <c r="D107" s="107"/>
      <c r="E107" s="107"/>
      <c r="F107" s="107" t="s">
        <v>46</v>
      </c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 t="s">
        <v>134</v>
      </c>
      <c r="S107" s="107" t="s">
        <v>69</v>
      </c>
      <c r="T107" s="109"/>
      <c r="U107" s="107"/>
      <c r="V107" s="107"/>
    </row>
    <row r="108" spans="3:24">
      <c r="D108" s="107"/>
      <c r="E108" s="107"/>
      <c r="F108" s="107" t="s">
        <v>121</v>
      </c>
      <c r="G108" s="107" t="s">
        <v>52</v>
      </c>
      <c r="H108" s="107"/>
      <c r="I108" s="107" t="s">
        <v>76</v>
      </c>
      <c r="J108" s="107"/>
      <c r="K108" s="107" t="s">
        <v>149</v>
      </c>
      <c r="L108" s="107" t="s">
        <v>105</v>
      </c>
      <c r="M108" s="107" t="s">
        <v>88</v>
      </c>
      <c r="N108" s="107" t="s">
        <v>35</v>
      </c>
      <c r="O108" s="107" t="s">
        <v>33</v>
      </c>
      <c r="P108" s="107" t="s">
        <v>30</v>
      </c>
      <c r="Q108" s="107" t="s">
        <v>25</v>
      </c>
      <c r="R108" s="107"/>
      <c r="S108" s="107"/>
      <c r="T108" s="109"/>
      <c r="U108" s="107"/>
      <c r="V108" s="107"/>
    </row>
    <row r="109" spans="3:24">
      <c r="D109" s="107"/>
      <c r="E109" s="107"/>
      <c r="F109" s="107"/>
      <c r="G109" s="20" t="s">
        <v>83</v>
      </c>
      <c r="H109" s="20" t="s">
        <v>102</v>
      </c>
      <c r="I109" s="20" t="s">
        <v>83</v>
      </c>
      <c r="J109" s="20" t="s">
        <v>102</v>
      </c>
      <c r="K109" s="107"/>
      <c r="L109" s="107"/>
      <c r="M109" s="107"/>
      <c r="N109" s="107"/>
      <c r="O109" s="107"/>
      <c r="P109" s="107"/>
      <c r="Q109" s="107"/>
      <c r="R109" s="107"/>
      <c r="S109" s="107"/>
      <c r="T109" s="109"/>
      <c r="U109" s="107"/>
      <c r="V109" s="107"/>
    </row>
    <row r="110" spans="3:24">
      <c r="D110" s="126">
        <v>1</v>
      </c>
      <c r="E110" s="21" t="s">
        <v>78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2">
        <f>SUM(F110:P110)</f>
        <v>0</v>
      </c>
      <c r="R110" s="24"/>
      <c r="S110" s="22">
        <f>Q110+R110</f>
        <v>0</v>
      </c>
      <c r="T110" s="109" t="s">
        <v>117</v>
      </c>
      <c r="U110" s="113" t="s">
        <v>117</v>
      </c>
      <c r="V110" s="113" t="s">
        <v>117</v>
      </c>
      <c r="X110" s="19">
        <f>Q110*0.2313</f>
        <v>0</v>
      </c>
    </row>
    <row r="111" spans="3:24">
      <c r="D111" s="126"/>
      <c r="E111" s="21" t="s">
        <v>24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2">
        <f>SUM(F111:P111)</f>
        <v>0</v>
      </c>
      <c r="R111" s="24"/>
      <c r="S111" s="22">
        <f>Q111+R111</f>
        <v>0</v>
      </c>
      <c r="T111" s="109"/>
      <c r="U111" s="113"/>
      <c r="V111" s="113"/>
      <c r="X111" s="19"/>
    </row>
    <row r="112" spans="3:24">
      <c r="D112" s="126"/>
      <c r="E112" s="21" t="s">
        <v>25</v>
      </c>
      <c r="F112" s="22">
        <f t="shared" ref="F112:P112" si="42">SUM(F110:F111)</f>
        <v>0</v>
      </c>
      <c r="G112" s="22">
        <f t="shared" si="42"/>
        <v>0</v>
      </c>
      <c r="H112" s="22">
        <f t="shared" si="42"/>
        <v>0</v>
      </c>
      <c r="I112" s="22">
        <f t="shared" si="42"/>
        <v>0</v>
      </c>
      <c r="J112" s="22">
        <f t="shared" si="42"/>
        <v>0</v>
      </c>
      <c r="K112" s="22">
        <f t="shared" si="42"/>
        <v>0</v>
      </c>
      <c r="L112" s="22">
        <f t="shared" si="42"/>
        <v>0</v>
      </c>
      <c r="M112" s="22">
        <f t="shared" si="42"/>
        <v>0</v>
      </c>
      <c r="N112" s="22">
        <f t="shared" si="42"/>
        <v>0</v>
      </c>
      <c r="O112" s="22">
        <f t="shared" si="42"/>
        <v>0</v>
      </c>
      <c r="P112" s="22">
        <f t="shared" si="42"/>
        <v>0</v>
      </c>
      <c r="Q112" s="22">
        <f>SUM(Q110:Q111)</f>
        <v>0</v>
      </c>
      <c r="R112" s="22">
        <f t="shared" ref="R112" si="43">SUM(R110:R111)</f>
        <v>0</v>
      </c>
      <c r="S112" s="22">
        <f>SUM(S110:S111)</f>
        <v>0</v>
      </c>
      <c r="T112" s="109"/>
      <c r="U112" s="113"/>
      <c r="V112" s="113"/>
      <c r="X112" s="19"/>
    </row>
    <row r="113" spans="4:25">
      <c r="D113" s="126">
        <v>2</v>
      </c>
      <c r="E113" s="21" t="s">
        <v>78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2">
        <f>SUM(F113:P113)</f>
        <v>0</v>
      </c>
      <c r="R113" s="24"/>
      <c r="S113" s="22">
        <f t="shared" ref="S113:S114" si="44">Q113+R113</f>
        <v>0</v>
      </c>
      <c r="T113" s="109" t="s">
        <v>117</v>
      </c>
      <c r="U113" s="113" t="s">
        <v>117</v>
      </c>
      <c r="V113" s="113" t="s">
        <v>117</v>
      </c>
      <c r="X113" s="19">
        <f>Q113*0.2313</f>
        <v>0</v>
      </c>
    </row>
    <row r="114" spans="4:25">
      <c r="D114" s="126"/>
      <c r="E114" s="21" t="s">
        <v>24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2">
        <f>SUM(F114:P114)</f>
        <v>0</v>
      </c>
      <c r="R114" s="24"/>
      <c r="S114" s="22">
        <f t="shared" si="44"/>
        <v>0</v>
      </c>
      <c r="T114" s="109"/>
      <c r="U114" s="113"/>
      <c r="V114" s="113"/>
      <c r="X114" s="19"/>
    </row>
    <row r="115" spans="4:25">
      <c r="D115" s="126"/>
      <c r="E115" s="21" t="s">
        <v>25</v>
      </c>
      <c r="F115" s="22">
        <f>SUM(F113:F114)</f>
        <v>0</v>
      </c>
      <c r="G115" s="22">
        <f t="shared" ref="G115:R115" si="45">SUM(G113:G114)</f>
        <v>0</v>
      </c>
      <c r="H115" s="22">
        <f t="shared" si="45"/>
        <v>0</v>
      </c>
      <c r="I115" s="22">
        <f t="shared" si="45"/>
        <v>0</v>
      </c>
      <c r="J115" s="22">
        <f t="shared" si="45"/>
        <v>0</v>
      </c>
      <c r="K115" s="22">
        <f t="shared" si="45"/>
        <v>0</v>
      </c>
      <c r="L115" s="22">
        <f t="shared" si="45"/>
        <v>0</v>
      </c>
      <c r="M115" s="22">
        <f t="shared" si="45"/>
        <v>0</v>
      </c>
      <c r="N115" s="22">
        <f t="shared" si="45"/>
        <v>0</v>
      </c>
      <c r="O115" s="22">
        <f t="shared" si="45"/>
        <v>0</v>
      </c>
      <c r="P115" s="22">
        <f t="shared" si="45"/>
        <v>0</v>
      </c>
      <c r="Q115" s="22">
        <f t="shared" si="45"/>
        <v>0</v>
      </c>
      <c r="R115" s="22">
        <f t="shared" si="45"/>
        <v>0</v>
      </c>
      <c r="S115" s="22">
        <f>SUM(S113:S114)</f>
        <v>0</v>
      </c>
      <c r="T115" s="109"/>
      <c r="U115" s="113"/>
      <c r="V115" s="113"/>
      <c r="X115" s="19"/>
    </row>
    <row r="116" spans="4:25">
      <c r="D116" s="126">
        <v>3</v>
      </c>
      <c r="E116" s="21" t="s">
        <v>78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2">
        <f>SUM(F116:P116)</f>
        <v>0</v>
      </c>
      <c r="R116" s="24"/>
      <c r="S116" s="22">
        <f t="shared" ref="S116:S117" si="46">Q116+R116</f>
        <v>0</v>
      </c>
      <c r="T116" s="109" t="s">
        <v>117</v>
      </c>
      <c r="U116" s="113" t="s">
        <v>117</v>
      </c>
      <c r="V116" s="113" t="s">
        <v>117</v>
      </c>
      <c r="X116" s="19">
        <f>Q116*0.2313</f>
        <v>0</v>
      </c>
    </row>
    <row r="117" spans="4:25">
      <c r="D117" s="126"/>
      <c r="E117" s="21" t="s">
        <v>24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2">
        <f>SUM(F117:P117)</f>
        <v>0</v>
      </c>
      <c r="R117" s="24"/>
      <c r="S117" s="22">
        <f t="shared" si="46"/>
        <v>0</v>
      </c>
      <c r="T117" s="109"/>
      <c r="U117" s="113"/>
      <c r="V117" s="113"/>
      <c r="X117" s="19"/>
    </row>
    <row r="118" spans="4:25">
      <c r="D118" s="126"/>
      <c r="E118" s="21" t="s">
        <v>25</v>
      </c>
      <c r="F118" s="22">
        <f>SUM(F116:F117)</f>
        <v>0</v>
      </c>
      <c r="G118" s="22">
        <f t="shared" ref="G118:R118" si="47">SUM(G116:G117)</f>
        <v>0</v>
      </c>
      <c r="H118" s="22">
        <f t="shared" si="47"/>
        <v>0</v>
      </c>
      <c r="I118" s="22">
        <f t="shared" si="47"/>
        <v>0</v>
      </c>
      <c r="J118" s="22">
        <f t="shared" si="47"/>
        <v>0</v>
      </c>
      <c r="K118" s="22">
        <f t="shared" si="47"/>
        <v>0</v>
      </c>
      <c r="L118" s="22">
        <f t="shared" si="47"/>
        <v>0</v>
      </c>
      <c r="M118" s="22">
        <f t="shared" si="47"/>
        <v>0</v>
      </c>
      <c r="N118" s="22">
        <f t="shared" si="47"/>
        <v>0</v>
      </c>
      <c r="O118" s="22">
        <f t="shared" si="47"/>
        <v>0</v>
      </c>
      <c r="P118" s="22">
        <f t="shared" si="47"/>
        <v>0</v>
      </c>
      <c r="Q118" s="22">
        <f t="shared" si="47"/>
        <v>0</v>
      </c>
      <c r="R118" s="22">
        <f t="shared" si="47"/>
        <v>0</v>
      </c>
      <c r="S118" s="22">
        <f>SUM(S116:S117)</f>
        <v>0</v>
      </c>
      <c r="T118" s="109"/>
      <c r="U118" s="113"/>
      <c r="V118" s="113"/>
      <c r="X118" s="19"/>
    </row>
    <row r="119" spans="4:25">
      <c r="D119" s="126">
        <v>4</v>
      </c>
      <c r="E119" s="21" t="s">
        <v>78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2">
        <f>SUM(F119:P119)</f>
        <v>0</v>
      </c>
      <c r="R119" s="24"/>
      <c r="S119" s="22">
        <f t="shared" ref="S119:S120" si="48">Q119+R119</f>
        <v>0</v>
      </c>
      <c r="T119" s="109" t="s">
        <v>117</v>
      </c>
      <c r="U119" s="113" t="s">
        <v>117</v>
      </c>
      <c r="V119" s="113" t="s">
        <v>117</v>
      </c>
      <c r="X119" s="19">
        <f>Q119*0.2313</f>
        <v>0</v>
      </c>
      <c r="Y119" s="69"/>
    </row>
    <row r="120" spans="4:25">
      <c r="D120" s="126"/>
      <c r="E120" s="21" t="s">
        <v>24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2">
        <f>SUM(F120:P120)</f>
        <v>0</v>
      </c>
      <c r="R120" s="24"/>
      <c r="S120" s="22">
        <f t="shared" si="48"/>
        <v>0</v>
      </c>
      <c r="T120" s="109"/>
      <c r="U120" s="113"/>
      <c r="V120" s="113"/>
      <c r="X120" s="19"/>
    </row>
    <row r="121" spans="4:25">
      <c r="D121" s="126"/>
      <c r="E121" s="21" t="s">
        <v>25</v>
      </c>
      <c r="F121" s="22">
        <f>SUM(F119:F120)</f>
        <v>0</v>
      </c>
      <c r="G121" s="22">
        <f t="shared" ref="G121:R121" si="49">SUM(G119:G120)</f>
        <v>0</v>
      </c>
      <c r="H121" s="22">
        <f t="shared" si="49"/>
        <v>0</v>
      </c>
      <c r="I121" s="22">
        <f t="shared" si="49"/>
        <v>0</v>
      </c>
      <c r="J121" s="22">
        <f t="shared" si="49"/>
        <v>0</v>
      </c>
      <c r="K121" s="22">
        <f t="shared" si="49"/>
        <v>0</v>
      </c>
      <c r="L121" s="22">
        <f t="shared" si="49"/>
        <v>0</v>
      </c>
      <c r="M121" s="22">
        <f t="shared" si="49"/>
        <v>0</v>
      </c>
      <c r="N121" s="22">
        <f t="shared" si="49"/>
        <v>0</v>
      </c>
      <c r="O121" s="22">
        <f t="shared" si="49"/>
        <v>0</v>
      </c>
      <c r="P121" s="22">
        <f t="shared" si="49"/>
        <v>0</v>
      </c>
      <c r="Q121" s="22">
        <f t="shared" si="49"/>
        <v>0</v>
      </c>
      <c r="R121" s="22">
        <f t="shared" si="49"/>
        <v>0</v>
      </c>
      <c r="S121" s="22">
        <f>SUM(S119:S120)</f>
        <v>0</v>
      </c>
      <c r="T121" s="109"/>
      <c r="U121" s="113"/>
      <c r="V121" s="113"/>
      <c r="X121" s="19"/>
    </row>
    <row r="122" spans="4:25">
      <c r="D122" s="126">
        <v>5</v>
      </c>
      <c r="E122" s="21" t="s">
        <v>78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2">
        <f>SUM(F122:P122)</f>
        <v>0</v>
      </c>
      <c r="R122" s="24"/>
      <c r="S122" s="22">
        <f t="shared" ref="S122:S123" si="50">Q122+R122</f>
        <v>0</v>
      </c>
      <c r="T122" s="109" t="s">
        <v>117</v>
      </c>
      <c r="U122" s="113" t="s">
        <v>117</v>
      </c>
      <c r="V122" s="113" t="s">
        <v>117</v>
      </c>
      <c r="X122" s="19">
        <f>Q122*0.2313</f>
        <v>0</v>
      </c>
    </row>
    <row r="123" spans="4:25">
      <c r="D123" s="126"/>
      <c r="E123" s="21" t="s">
        <v>24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2">
        <f>SUM(F123:P123)</f>
        <v>0</v>
      </c>
      <c r="R123" s="24"/>
      <c r="S123" s="22">
        <f t="shared" si="50"/>
        <v>0</v>
      </c>
      <c r="T123" s="109"/>
      <c r="U123" s="113"/>
      <c r="V123" s="113"/>
      <c r="X123" s="19"/>
    </row>
    <row r="124" spans="4:25">
      <c r="D124" s="126"/>
      <c r="E124" s="21" t="s">
        <v>25</v>
      </c>
      <c r="F124" s="22">
        <f>SUM(F122:F123)</f>
        <v>0</v>
      </c>
      <c r="G124" s="22">
        <f t="shared" ref="G124:Q124" si="51">SUM(G122:G123)</f>
        <v>0</v>
      </c>
      <c r="H124" s="22">
        <f t="shared" si="51"/>
        <v>0</v>
      </c>
      <c r="I124" s="22">
        <f t="shared" si="51"/>
        <v>0</v>
      </c>
      <c r="J124" s="22">
        <f t="shared" si="51"/>
        <v>0</v>
      </c>
      <c r="K124" s="22">
        <f t="shared" si="51"/>
        <v>0</v>
      </c>
      <c r="L124" s="22">
        <f t="shared" si="51"/>
        <v>0</v>
      </c>
      <c r="M124" s="22">
        <f t="shared" si="51"/>
        <v>0</v>
      </c>
      <c r="N124" s="22">
        <f t="shared" si="51"/>
        <v>0</v>
      </c>
      <c r="O124" s="22">
        <f t="shared" si="51"/>
        <v>0</v>
      </c>
      <c r="P124" s="22">
        <f t="shared" si="51"/>
        <v>0</v>
      </c>
      <c r="Q124" s="22">
        <f t="shared" si="51"/>
        <v>0</v>
      </c>
      <c r="R124" s="22">
        <f>SUM(R122:R123)</f>
        <v>0</v>
      </c>
      <c r="S124" s="22">
        <f>SUM(S122:S123)</f>
        <v>0</v>
      </c>
      <c r="T124" s="109"/>
      <c r="U124" s="113"/>
      <c r="V124" s="113"/>
      <c r="X124" s="19"/>
    </row>
    <row r="125" spans="4:25">
      <c r="D125" s="126" t="s">
        <v>43</v>
      </c>
      <c r="E125" s="21" t="s">
        <v>78</v>
      </c>
      <c r="F125" s="22">
        <f>F110+F113+F116+F119+F122</f>
        <v>0</v>
      </c>
      <c r="G125" s="22">
        <f t="shared" ref="G125:S125" si="52">G110+G113+G116+G119+G122</f>
        <v>0</v>
      </c>
      <c r="H125" s="22">
        <f t="shared" si="52"/>
        <v>0</v>
      </c>
      <c r="I125" s="22">
        <f t="shared" si="52"/>
        <v>0</v>
      </c>
      <c r="J125" s="22">
        <f t="shared" si="52"/>
        <v>0</v>
      </c>
      <c r="K125" s="22">
        <f t="shared" si="52"/>
        <v>0</v>
      </c>
      <c r="L125" s="22">
        <f t="shared" si="52"/>
        <v>0</v>
      </c>
      <c r="M125" s="22">
        <f t="shared" si="52"/>
        <v>0</v>
      </c>
      <c r="N125" s="22">
        <f t="shared" si="52"/>
        <v>0</v>
      </c>
      <c r="O125" s="22">
        <f t="shared" si="52"/>
        <v>0</v>
      </c>
      <c r="P125" s="22">
        <f t="shared" si="52"/>
        <v>0</v>
      </c>
      <c r="Q125" s="22">
        <f t="shared" si="52"/>
        <v>0</v>
      </c>
      <c r="R125" s="22">
        <f t="shared" si="52"/>
        <v>0</v>
      </c>
      <c r="S125" s="22">
        <f t="shared" si="52"/>
        <v>0</v>
      </c>
      <c r="T125" s="109" t="s">
        <v>117</v>
      </c>
      <c r="U125" s="113" t="s">
        <v>117</v>
      </c>
      <c r="V125" s="113" t="s">
        <v>117</v>
      </c>
      <c r="X125" s="19">
        <f>Q125*0.2313</f>
        <v>0</v>
      </c>
    </row>
    <row r="126" spans="4:25">
      <c r="D126" s="126"/>
      <c r="E126" s="21" t="s">
        <v>24</v>
      </c>
      <c r="F126" s="22">
        <f t="shared" ref="F126:S127" si="53">F111+F114+F117+F120+F123</f>
        <v>0</v>
      </c>
      <c r="G126" s="22">
        <f t="shared" si="53"/>
        <v>0</v>
      </c>
      <c r="H126" s="22">
        <f t="shared" si="53"/>
        <v>0</v>
      </c>
      <c r="I126" s="22">
        <f t="shared" si="53"/>
        <v>0</v>
      </c>
      <c r="J126" s="22">
        <f t="shared" si="53"/>
        <v>0</v>
      </c>
      <c r="K126" s="22">
        <f t="shared" si="53"/>
        <v>0</v>
      </c>
      <c r="L126" s="22">
        <f t="shared" si="53"/>
        <v>0</v>
      </c>
      <c r="M126" s="22">
        <f t="shared" si="53"/>
        <v>0</v>
      </c>
      <c r="N126" s="22">
        <f t="shared" si="53"/>
        <v>0</v>
      </c>
      <c r="O126" s="22">
        <f t="shared" si="53"/>
        <v>0</v>
      </c>
      <c r="P126" s="22">
        <f t="shared" si="53"/>
        <v>0</v>
      </c>
      <c r="Q126" s="22">
        <f t="shared" si="53"/>
        <v>0</v>
      </c>
      <c r="R126" s="22">
        <f t="shared" si="53"/>
        <v>0</v>
      </c>
      <c r="S126" s="22">
        <f t="shared" si="53"/>
        <v>0</v>
      </c>
      <c r="T126" s="109"/>
      <c r="U126" s="113"/>
      <c r="V126" s="113"/>
    </row>
    <row r="127" spans="4:25">
      <c r="D127" s="126"/>
      <c r="E127" s="21" t="s">
        <v>69</v>
      </c>
      <c r="F127" s="22">
        <f t="shared" si="53"/>
        <v>0</v>
      </c>
      <c r="G127" s="22">
        <f t="shared" si="53"/>
        <v>0</v>
      </c>
      <c r="H127" s="22">
        <f t="shared" si="53"/>
        <v>0</v>
      </c>
      <c r="I127" s="22">
        <f t="shared" si="53"/>
        <v>0</v>
      </c>
      <c r="J127" s="22">
        <f t="shared" si="53"/>
        <v>0</v>
      </c>
      <c r="K127" s="22">
        <f t="shared" si="53"/>
        <v>0</v>
      </c>
      <c r="L127" s="22">
        <f t="shared" si="53"/>
        <v>0</v>
      </c>
      <c r="M127" s="22">
        <f t="shared" si="53"/>
        <v>0</v>
      </c>
      <c r="N127" s="22">
        <f t="shared" si="53"/>
        <v>0</v>
      </c>
      <c r="O127" s="22">
        <f t="shared" si="53"/>
        <v>0</v>
      </c>
      <c r="P127" s="22">
        <f t="shared" si="53"/>
        <v>0</v>
      </c>
      <c r="Q127" s="22">
        <f t="shared" si="53"/>
        <v>0</v>
      </c>
      <c r="R127" s="22">
        <f t="shared" si="53"/>
        <v>0</v>
      </c>
      <c r="S127" s="22">
        <f t="shared" si="53"/>
        <v>0</v>
      </c>
      <c r="T127" s="109"/>
      <c r="U127" s="113"/>
      <c r="V127" s="113"/>
    </row>
    <row r="129" spans="4:24">
      <c r="D129" s="119" t="s">
        <v>159</v>
      </c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</row>
    <row r="130" spans="4:24">
      <c r="U130" s="108" t="s">
        <v>143</v>
      </c>
      <c r="V130" s="108"/>
    </row>
    <row r="131" spans="4:24">
      <c r="D131" s="107" t="s">
        <v>68</v>
      </c>
      <c r="E131" s="107"/>
      <c r="F131" s="107" t="s">
        <v>129</v>
      </c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9" t="s">
        <v>117</v>
      </c>
      <c r="U131" s="107" t="s">
        <v>107</v>
      </c>
      <c r="V131" s="107" t="s">
        <v>19</v>
      </c>
    </row>
    <row r="132" spans="4:24">
      <c r="D132" s="107"/>
      <c r="E132" s="107"/>
      <c r="F132" s="107" t="s">
        <v>46</v>
      </c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 t="s">
        <v>134</v>
      </c>
      <c r="S132" s="107" t="s">
        <v>69</v>
      </c>
      <c r="T132" s="109"/>
      <c r="U132" s="107"/>
      <c r="V132" s="107"/>
    </row>
    <row r="133" spans="4:24">
      <c r="D133" s="107"/>
      <c r="E133" s="107"/>
      <c r="F133" s="107" t="s">
        <v>121</v>
      </c>
      <c r="G133" s="107" t="s">
        <v>52</v>
      </c>
      <c r="H133" s="107"/>
      <c r="I133" s="107" t="s">
        <v>76</v>
      </c>
      <c r="J133" s="107"/>
      <c r="K133" s="107" t="s">
        <v>149</v>
      </c>
      <c r="L133" s="107" t="s">
        <v>105</v>
      </c>
      <c r="M133" s="107" t="s">
        <v>88</v>
      </c>
      <c r="N133" s="107" t="s">
        <v>35</v>
      </c>
      <c r="O133" s="107" t="s">
        <v>33</v>
      </c>
      <c r="P133" s="107" t="s">
        <v>30</v>
      </c>
      <c r="Q133" s="107" t="s">
        <v>25</v>
      </c>
      <c r="R133" s="107"/>
      <c r="S133" s="107"/>
      <c r="T133" s="109"/>
      <c r="U133" s="107"/>
      <c r="V133" s="107"/>
    </row>
    <row r="134" spans="4:24">
      <c r="D134" s="107"/>
      <c r="E134" s="107"/>
      <c r="F134" s="107"/>
      <c r="G134" s="20" t="s">
        <v>83</v>
      </c>
      <c r="H134" s="20" t="s">
        <v>102</v>
      </c>
      <c r="I134" s="20" t="s">
        <v>83</v>
      </c>
      <c r="J134" s="20" t="s">
        <v>102</v>
      </c>
      <c r="K134" s="107"/>
      <c r="L134" s="107"/>
      <c r="M134" s="107"/>
      <c r="N134" s="107"/>
      <c r="O134" s="107"/>
      <c r="P134" s="107"/>
      <c r="Q134" s="107"/>
      <c r="R134" s="107"/>
      <c r="S134" s="107"/>
      <c r="T134" s="109"/>
      <c r="U134" s="107"/>
      <c r="V134" s="107"/>
    </row>
    <row r="135" spans="4:24">
      <c r="D135" s="126">
        <v>1</v>
      </c>
      <c r="E135" s="21" t="s">
        <v>78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2">
        <f>SUM(F135:P135)</f>
        <v>0</v>
      </c>
      <c r="R135" s="24"/>
      <c r="S135" s="22">
        <f>Q135+R135</f>
        <v>0</v>
      </c>
      <c r="T135" s="109" t="s">
        <v>117</v>
      </c>
      <c r="U135" s="113" t="s">
        <v>117</v>
      </c>
      <c r="V135" s="113" t="s">
        <v>117</v>
      </c>
      <c r="X135" s="19">
        <f>Q135*0.2205</f>
        <v>0</v>
      </c>
    </row>
    <row r="136" spans="4:24">
      <c r="D136" s="126"/>
      <c r="E136" s="21" t="s">
        <v>24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2">
        <f>SUM(F136:P136)</f>
        <v>0</v>
      </c>
      <c r="R136" s="24"/>
      <c r="S136" s="22">
        <f>Q136+R136</f>
        <v>0</v>
      </c>
      <c r="T136" s="109"/>
      <c r="U136" s="113"/>
      <c r="V136" s="113"/>
    </row>
    <row r="137" spans="4:24">
      <c r="D137" s="126"/>
      <c r="E137" s="21" t="s">
        <v>25</v>
      </c>
      <c r="F137" s="22">
        <f t="shared" ref="F137:P137" si="54">SUM(F135:F136)</f>
        <v>0</v>
      </c>
      <c r="G137" s="22">
        <f t="shared" si="54"/>
        <v>0</v>
      </c>
      <c r="H137" s="22">
        <f t="shared" si="54"/>
        <v>0</v>
      </c>
      <c r="I137" s="22">
        <f t="shared" si="54"/>
        <v>0</v>
      </c>
      <c r="J137" s="22">
        <f t="shared" si="54"/>
        <v>0</v>
      </c>
      <c r="K137" s="22">
        <f t="shared" si="54"/>
        <v>0</v>
      </c>
      <c r="L137" s="22">
        <f t="shared" si="54"/>
        <v>0</v>
      </c>
      <c r="M137" s="22">
        <f t="shared" si="54"/>
        <v>0</v>
      </c>
      <c r="N137" s="22">
        <f t="shared" si="54"/>
        <v>0</v>
      </c>
      <c r="O137" s="22">
        <f t="shared" si="54"/>
        <v>0</v>
      </c>
      <c r="P137" s="22">
        <f t="shared" si="54"/>
        <v>0</v>
      </c>
      <c r="Q137" s="22">
        <f>SUM(Q135:Q136)</f>
        <v>0</v>
      </c>
      <c r="R137" s="22">
        <f t="shared" ref="R137" si="55">SUM(R135:R136)</f>
        <v>0</v>
      </c>
      <c r="S137" s="22">
        <f>SUM(S135:S136)</f>
        <v>0</v>
      </c>
      <c r="T137" s="109"/>
      <c r="U137" s="113"/>
      <c r="V137" s="113"/>
    </row>
    <row r="138" spans="4:24">
      <c r="D138" s="126">
        <v>2</v>
      </c>
      <c r="E138" s="21" t="s">
        <v>78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2">
        <f>SUM(F138:P138)</f>
        <v>0</v>
      </c>
      <c r="R138" s="24"/>
      <c r="S138" s="22">
        <f t="shared" ref="S138:S139" si="56">Q138+R138</f>
        <v>0</v>
      </c>
      <c r="T138" s="109" t="s">
        <v>117</v>
      </c>
      <c r="U138" s="113" t="s">
        <v>117</v>
      </c>
      <c r="V138" s="113" t="s">
        <v>117</v>
      </c>
      <c r="X138" s="19">
        <f>Q138*0.2205</f>
        <v>0</v>
      </c>
    </row>
    <row r="139" spans="4:24">
      <c r="D139" s="126"/>
      <c r="E139" s="21" t="s">
        <v>24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2">
        <f>SUM(F139:P139)</f>
        <v>0</v>
      </c>
      <c r="R139" s="24"/>
      <c r="S139" s="22">
        <f t="shared" si="56"/>
        <v>0</v>
      </c>
      <c r="T139" s="109"/>
      <c r="U139" s="113"/>
      <c r="V139" s="113"/>
    </row>
    <row r="140" spans="4:24">
      <c r="D140" s="126"/>
      <c r="E140" s="21" t="s">
        <v>25</v>
      </c>
      <c r="F140" s="22">
        <f>SUM(F138:F139)</f>
        <v>0</v>
      </c>
      <c r="G140" s="22">
        <f t="shared" ref="G140:R140" si="57">SUM(G138:G139)</f>
        <v>0</v>
      </c>
      <c r="H140" s="22">
        <f t="shared" si="57"/>
        <v>0</v>
      </c>
      <c r="I140" s="22">
        <f t="shared" si="57"/>
        <v>0</v>
      </c>
      <c r="J140" s="22">
        <f t="shared" si="57"/>
        <v>0</v>
      </c>
      <c r="K140" s="22">
        <f t="shared" si="57"/>
        <v>0</v>
      </c>
      <c r="L140" s="22">
        <f t="shared" si="57"/>
        <v>0</v>
      </c>
      <c r="M140" s="22">
        <f t="shared" si="57"/>
        <v>0</v>
      </c>
      <c r="N140" s="22">
        <f t="shared" si="57"/>
        <v>0</v>
      </c>
      <c r="O140" s="22">
        <f t="shared" si="57"/>
        <v>0</v>
      </c>
      <c r="P140" s="22">
        <f t="shared" si="57"/>
        <v>0</v>
      </c>
      <c r="Q140" s="22">
        <f t="shared" si="57"/>
        <v>0</v>
      </c>
      <c r="R140" s="22">
        <f t="shared" si="57"/>
        <v>0</v>
      </c>
      <c r="S140" s="22">
        <f>SUM(S138:S139)</f>
        <v>0</v>
      </c>
      <c r="T140" s="109"/>
      <c r="U140" s="113"/>
      <c r="V140" s="113"/>
    </row>
    <row r="141" spans="4:24">
      <c r="D141" s="126">
        <v>3</v>
      </c>
      <c r="E141" s="21" t="s">
        <v>78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2">
        <f>SUM(F141:P141)</f>
        <v>0</v>
      </c>
      <c r="R141" s="24"/>
      <c r="S141" s="22">
        <f t="shared" ref="S141:S142" si="58">Q141+R141</f>
        <v>0</v>
      </c>
      <c r="T141" s="109" t="s">
        <v>117</v>
      </c>
      <c r="U141" s="113" t="s">
        <v>117</v>
      </c>
      <c r="V141" s="113" t="s">
        <v>117</v>
      </c>
      <c r="X141" s="19">
        <f>Q141*0.2205</f>
        <v>0</v>
      </c>
    </row>
    <row r="142" spans="4:24">
      <c r="D142" s="126"/>
      <c r="E142" s="21" t="s">
        <v>24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2">
        <f>SUM(F142:P142)</f>
        <v>0</v>
      </c>
      <c r="R142" s="24"/>
      <c r="S142" s="22">
        <f t="shared" si="58"/>
        <v>0</v>
      </c>
      <c r="T142" s="109"/>
      <c r="U142" s="113"/>
      <c r="V142" s="113"/>
    </row>
    <row r="143" spans="4:24">
      <c r="D143" s="126"/>
      <c r="E143" s="21" t="s">
        <v>25</v>
      </c>
      <c r="F143" s="22">
        <f>SUM(F141:F142)</f>
        <v>0</v>
      </c>
      <c r="G143" s="22">
        <f t="shared" ref="G143:R143" si="59">SUM(G141:G142)</f>
        <v>0</v>
      </c>
      <c r="H143" s="22">
        <f t="shared" si="59"/>
        <v>0</v>
      </c>
      <c r="I143" s="22">
        <f t="shared" si="59"/>
        <v>0</v>
      </c>
      <c r="J143" s="22">
        <f t="shared" si="59"/>
        <v>0</v>
      </c>
      <c r="K143" s="22">
        <f t="shared" si="59"/>
        <v>0</v>
      </c>
      <c r="L143" s="22">
        <f t="shared" si="59"/>
        <v>0</v>
      </c>
      <c r="M143" s="22">
        <f t="shared" si="59"/>
        <v>0</v>
      </c>
      <c r="N143" s="22">
        <f t="shared" si="59"/>
        <v>0</v>
      </c>
      <c r="O143" s="22">
        <f t="shared" si="59"/>
        <v>0</v>
      </c>
      <c r="P143" s="22">
        <f t="shared" si="59"/>
        <v>0</v>
      </c>
      <c r="Q143" s="22">
        <f t="shared" si="59"/>
        <v>0</v>
      </c>
      <c r="R143" s="22">
        <f t="shared" si="59"/>
        <v>0</v>
      </c>
      <c r="S143" s="22">
        <f>SUM(S141:S142)</f>
        <v>0</v>
      </c>
      <c r="T143" s="109"/>
      <c r="U143" s="113"/>
      <c r="V143" s="113"/>
    </row>
    <row r="144" spans="4:24">
      <c r="D144" s="126">
        <v>4</v>
      </c>
      <c r="E144" s="21" t="s">
        <v>78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2">
        <f>SUM(F144:P144)</f>
        <v>0</v>
      </c>
      <c r="R144" s="24"/>
      <c r="S144" s="22">
        <f t="shared" ref="S144:S145" si="60">Q144+R144</f>
        <v>0</v>
      </c>
      <c r="T144" s="109" t="s">
        <v>117</v>
      </c>
      <c r="U144" s="113" t="s">
        <v>117</v>
      </c>
      <c r="V144" s="113" t="s">
        <v>117</v>
      </c>
      <c r="X144" s="19">
        <f>Q144*0.2205</f>
        <v>0</v>
      </c>
    </row>
    <row r="145" spans="4:24">
      <c r="D145" s="126"/>
      <c r="E145" s="21" t="s">
        <v>24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2">
        <f>SUM(F145:P145)</f>
        <v>0</v>
      </c>
      <c r="R145" s="24"/>
      <c r="S145" s="22">
        <f t="shared" si="60"/>
        <v>0</v>
      </c>
      <c r="T145" s="109"/>
      <c r="U145" s="113"/>
      <c r="V145" s="113"/>
    </row>
    <row r="146" spans="4:24">
      <c r="D146" s="126"/>
      <c r="E146" s="21" t="s">
        <v>25</v>
      </c>
      <c r="F146" s="22">
        <f>SUM(F144:F145)</f>
        <v>0</v>
      </c>
      <c r="G146" s="22">
        <f t="shared" ref="G146:R146" si="61">SUM(G144:G145)</f>
        <v>0</v>
      </c>
      <c r="H146" s="22">
        <f t="shared" si="61"/>
        <v>0</v>
      </c>
      <c r="I146" s="22">
        <f t="shared" si="61"/>
        <v>0</v>
      </c>
      <c r="J146" s="22">
        <f t="shared" si="61"/>
        <v>0</v>
      </c>
      <c r="K146" s="22">
        <f t="shared" si="61"/>
        <v>0</v>
      </c>
      <c r="L146" s="22">
        <f t="shared" si="61"/>
        <v>0</v>
      </c>
      <c r="M146" s="22">
        <f t="shared" si="61"/>
        <v>0</v>
      </c>
      <c r="N146" s="22">
        <f t="shared" si="61"/>
        <v>0</v>
      </c>
      <c r="O146" s="22">
        <f t="shared" si="61"/>
        <v>0</v>
      </c>
      <c r="P146" s="22">
        <f t="shared" si="61"/>
        <v>0</v>
      </c>
      <c r="Q146" s="22">
        <f t="shared" si="61"/>
        <v>0</v>
      </c>
      <c r="R146" s="22">
        <f t="shared" si="61"/>
        <v>0</v>
      </c>
      <c r="S146" s="22">
        <f>SUM(S144:S145)</f>
        <v>0</v>
      </c>
      <c r="T146" s="109"/>
      <c r="U146" s="113"/>
      <c r="V146" s="113"/>
    </row>
    <row r="147" spans="4:24">
      <c r="D147" s="126">
        <v>5</v>
      </c>
      <c r="E147" s="21" t="s">
        <v>78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2">
        <f>SUM(F147:P147)</f>
        <v>0</v>
      </c>
      <c r="R147" s="24"/>
      <c r="S147" s="22">
        <f t="shared" ref="S147:S148" si="62">Q147+R147</f>
        <v>0</v>
      </c>
      <c r="T147" s="109" t="s">
        <v>117</v>
      </c>
      <c r="U147" s="113" t="s">
        <v>117</v>
      </c>
      <c r="V147" s="113" t="s">
        <v>117</v>
      </c>
      <c r="X147" s="19">
        <f>Q147*0.2205</f>
        <v>0</v>
      </c>
    </row>
    <row r="148" spans="4:24">
      <c r="D148" s="126"/>
      <c r="E148" s="21" t="s">
        <v>24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2">
        <f>SUM(F148:P148)</f>
        <v>0</v>
      </c>
      <c r="R148" s="24"/>
      <c r="S148" s="22">
        <f t="shared" si="62"/>
        <v>0</v>
      </c>
      <c r="T148" s="109"/>
      <c r="U148" s="113"/>
      <c r="V148" s="113"/>
    </row>
    <row r="149" spans="4:24">
      <c r="D149" s="126"/>
      <c r="E149" s="21" t="s">
        <v>25</v>
      </c>
      <c r="F149" s="22">
        <f>SUM(F147:F148)</f>
        <v>0</v>
      </c>
      <c r="G149" s="22">
        <f t="shared" ref="G149:Q149" si="63">SUM(G147:G148)</f>
        <v>0</v>
      </c>
      <c r="H149" s="22">
        <f t="shared" si="63"/>
        <v>0</v>
      </c>
      <c r="I149" s="22">
        <f t="shared" si="63"/>
        <v>0</v>
      </c>
      <c r="J149" s="22">
        <f t="shared" si="63"/>
        <v>0</v>
      </c>
      <c r="K149" s="22">
        <f t="shared" si="63"/>
        <v>0</v>
      </c>
      <c r="L149" s="22">
        <f t="shared" si="63"/>
        <v>0</v>
      </c>
      <c r="M149" s="22">
        <f t="shared" si="63"/>
        <v>0</v>
      </c>
      <c r="N149" s="22">
        <f t="shared" si="63"/>
        <v>0</v>
      </c>
      <c r="O149" s="22">
        <f t="shared" si="63"/>
        <v>0</v>
      </c>
      <c r="P149" s="22">
        <f t="shared" si="63"/>
        <v>0</v>
      </c>
      <c r="Q149" s="22">
        <f t="shared" si="63"/>
        <v>0</v>
      </c>
      <c r="R149" s="22">
        <f>SUM(R147:R148)</f>
        <v>0</v>
      </c>
      <c r="S149" s="22">
        <f>SUM(S147:S148)</f>
        <v>0</v>
      </c>
      <c r="T149" s="109"/>
      <c r="U149" s="113"/>
      <c r="V149" s="113"/>
    </row>
    <row r="150" spans="4:24">
      <c r="D150" s="126" t="s">
        <v>43</v>
      </c>
      <c r="E150" s="21" t="s">
        <v>78</v>
      </c>
      <c r="F150" s="22">
        <f>F135+F138+F141+F144+F147</f>
        <v>0</v>
      </c>
      <c r="G150" s="22">
        <f t="shared" ref="G150:S150" si="64">G135+G138+G141+G144+G147</f>
        <v>0</v>
      </c>
      <c r="H150" s="22">
        <f t="shared" si="64"/>
        <v>0</v>
      </c>
      <c r="I150" s="22">
        <f t="shared" si="64"/>
        <v>0</v>
      </c>
      <c r="J150" s="22">
        <f t="shared" si="64"/>
        <v>0</v>
      </c>
      <c r="K150" s="22">
        <f t="shared" si="64"/>
        <v>0</v>
      </c>
      <c r="L150" s="22">
        <f t="shared" si="64"/>
        <v>0</v>
      </c>
      <c r="M150" s="22">
        <f t="shared" si="64"/>
        <v>0</v>
      </c>
      <c r="N150" s="22">
        <f t="shared" si="64"/>
        <v>0</v>
      </c>
      <c r="O150" s="22">
        <f t="shared" si="64"/>
        <v>0</v>
      </c>
      <c r="P150" s="22">
        <f t="shared" si="64"/>
        <v>0</v>
      </c>
      <c r="Q150" s="22">
        <f t="shared" si="64"/>
        <v>0</v>
      </c>
      <c r="R150" s="22">
        <f t="shared" si="64"/>
        <v>0</v>
      </c>
      <c r="S150" s="22">
        <f t="shared" si="64"/>
        <v>0</v>
      </c>
      <c r="T150" s="109" t="s">
        <v>117</v>
      </c>
      <c r="U150" s="113" t="s">
        <v>117</v>
      </c>
      <c r="V150" s="113" t="s">
        <v>117</v>
      </c>
      <c r="X150" s="19">
        <f>Q150*0.2205</f>
        <v>0</v>
      </c>
    </row>
    <row r="151" spans="4:24">
      <c r="D151" s="126"/>
      <c r="E151" s="21" t="s">
        <v>24</v>
      </c>
      <c r="F151" s="22">
        <f t="shared" ref="F151:S152" si="65">F136+F139+F142+F145+F148</f>
        <v>0</v>
      </c>
      <c r="G151" s="22">
        <f t="shared" si="65"/>
        <v>0</v>
      </c>
      <c r="H151" s="22">
        <f t="shared" si="65"/>
        <v>0</v>
      </c>
      <c r="I151" s="22">
        <f t="shared" si="65"/>
        <v>0</v>
      </c>
      <c r="J151" s="22">
        <f t="shared" si="65"/>
        <v>0</v>
      </c>
      <c r="K151" s="22">
        <f t="shared" si="65"/>
        <v>0</v>
      </c>
      <c r="L151" s="22">
        <f t="shared" si="65"/>
        <v>0</v>
      </c>
      <c r="M151" s="22">
        <f t="shared" si="65"/>
        <v>0</v>
      </c>
      <c r="N151" s="22">
        <f t="shared" si="65"/>
        <v>0</v>
      </c>
      <c r="O151" s="22">
        <f t="shared" si="65"/>
        <v>0</v>
      </c>
      <c r="P151" s="22">
        <f t="shared" si="65"/>
        <v>0</v>
      </c>
      <c r="Q151" s="22">
        <f t="shared" si="65"/>
        <v>0</v>
      </c>
      <c r="R151" s="22">
        <f t="shared" si="65"/>
        <v>0</v>
      </c>
      <c r="S151" s="22">
        <f t="shared" si="65"/>
        <v>0</v>
      </c>
      <c r="T151" s="109"/>
      <c r="U151" s="113"/>
      <c r="V151" s="113"/>
    </row>
    <row r="152" spans="4:24">
      <c r="D152" s="126"/>
      <c r="E152" s="21" t="s">
        <v>69</v>
      </c>
      <c r="F152" s="22">
        <f t="shared" si="65"/>
        <v>0</v>
      </c>
      <c r="G152" s="22">
        <f t="shared" si="65"/>
        <v>0</v>
      </c>
      <c r="H152" s="22">
        <f t="shared" si="65"/>
        <v>0</v>
      </c>
      <c r="I152" s="22">
        <f t="shared" si="65"/>
        <v>0</v>
      </c>
      <c r="J152" s="22">
        <f t="shared" si="65"/>
        <v>0</v>
      </c>
      <c r="K152" s="22">
        <f t="shared" si="65"/>
        <v>0</v>
      </c>
      <c r="L152" s="22">
        <f t="shared" si="65"/>
        <v>0</v>
      </c>
      <c r="M152" s="22">
        <f t="shared" si="65"/>
        <v>0</v>
      </c>
      <c r="N152" s="22">
        <f t="shared" si="65"/>
        <v>0</v>
      </c>
      <c r="O152" s="22">
        <f t="shared" si="65"/>
        <v>0</v>
      </c>
      <c r="P152" s="22">
        <f t="shared" si="65"/>
        <v>0</v>
      </c>
      <c r="Q152" s="22">
        <f t="shared" si="65"/>
        <v>0</v>
      </c>
      <c r="R152" s="22">
        <f t="shared" si="65"/>
        <v>0</v>
      </c>
      <c r="S152" s="22">
        <f t="shared" si="65"/>
        <v>0</v>
      </c>
      <c r="T152" s="109"/>
      <c r="U152" s="113"/>
      <c r="V152" s="113"/>
    </row>
    <row r="154" spans="4:24">
      <c r="D154" s="119" t="s">
        <v>160</v>
      </c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</row>
    <row r="155" spans="4:24">
      <c r="U155" s="127" t="s">
        <v>143</v>
      </c>
      <c r="V155" s="127"/>
    </row>
    <row r="156" spans="4:24">
      <c r="D156" s="107" t="s">
        <v>68</v>
      </c>
      <c r="E156" s="107"/>
      <c r="F156" s="107" t="s">
        <v>129</v>
      </c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9" t="s">
        <v>117</v>
      </c>
      <c r="U156" s="107" t="s">
        <v>107</v>
      </c>
      <c r="V156" s="107" t="s">
        <v>19</v>
      </c>
    </row>
    <row r="157" spans="4:24">
      <c r="D157" s="107"/>
      <c r="E157" s="107"/>
      <c r="F157" s="107" t="s">
        <v>46</v>
      </c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 t="s">
        <v>134</v>
      </c>
      <c r="S157" s="107" t="s">
        <v>69</v>
      </c>
      <c r="T157" s="109"/>
      <c r="U157" s="107"/>
      <c r="V157" s="107"/>
    </row>
    <row r="158" spans="4:24">
      <c r="D158" s="107"/>
      <c r="E158" s="107"/>
      <c r="F158" s="107" t="s">
        <v>121</v>
      </c>
      <c r="G158" s="107" t="s">
        <v>52</v>
      </c>
      <c r="H158" s="107"/>
      <c r="I158" s="107" t="s">
        <v>76</v>
      </c>
      <c r="J158" s="107"/>
      <c r="K158" s="107" t="s">
        <v>149</v>
      </c>
      <c r="L158" s="107" t="s">
        <v>105</v>
      </c>
      <c r="M158" s="107" t="s">
        <v>88</v>
      </c>
      <c r="N158" s="107" t="s">
        <v>35</v>
      </c>
      <c r="O158" s="107" t="s">
        <v>33</v>
      </c>
      <c r="P158" s="107" t="s">
        <v>30</v>
      </c>
      <c r="Q158" s="107" t="s">
        <v>25</v>
      </c>
      <c r="R158" s="107"/>
      <c r="S158" s="107"/>
      <c r="T158" s="109"/>
      <c r="U158" s="107"/>
      <c r="V158" s="107"/>
    </row>
    <row r="159" spans="4:24">
      <c r="D159" s="107"/>
      <c r="E159" s="107"/>
      <c r="F159" s="107"/>
      <c r="G159" s="20" t="s">
        <v>83</v>
      </c>
      <c r="H159" s="20" t="s">
        <v>102</v>
      </c>
      <c r="I159" s="20" t="s">
        <v>83</v>
      </c>
      <c r="J159" s="20" t="s">
        <v>102</v>
      </c>
      <c r="K159" s="107"/>
      <c r="L159" s="107"/>
      <c r="M159" s="107"/>
      <c r="N159" s="107"/>
      <c r="O159" s="107"/>
      <c r="P159" s="107"/>
      <c r="Q159" s="107"/>
      <c r="R159" s="107"/>
      <c r="S159" s="107"/>
      <c r="T159" s="109"/>
      <c r="U159" s="107"/>
      <c r="V159" s="107"/>
    </row>
    <row r="160" spans="4:24">
      <c r="D160" s="126">
        <v>1</v>
      </c>
      <c r="E160" s="21" t="s">
        <v>78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2">
        <f>SUM(F160:P160)</f>
        <v>0</v>
      </c>
      <c r="R160" s="24"/>
      <c r="S160" s="22">
        <f>Q160+R160</f>
        <v>0</v>
      </c>
      <c r="T160" s="109" t="s">
        <v>117</v>
      </c>
      <c r="U160" s="113" t="s">
        <v>117</v>
      </c>
      <c r="V160" s="113" t="s">
        <v>117</v>
      </c>
      <c r="X160" s="19">
        <f>Q160*0.1</f>
        <v>0</v>
      </c>
    </row>
    <row r="161" spans="4:24">
      <c r="D161" s="126"/>
      <c r="E161" s="21" t="s">
        <v>24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2">
        <f>SUM(F161:P161)</f>
        <v>0</v>
      </c>
      <c r="R161" s="24"/>
      <c r="S161" s="22">
        <f>Q161+R161</f>
        <v>0</v>
      </c>
      <c r="T161" s="109"/>
      <c r="U161" s="113"/>
      <c r="V161" s="113"/>
    </row>
    <row r="162" spans="4:24">
      <c r="D162" s="126"/>
      <c r="E162" s="21" t="s">
        <v>25</v>
      </c>
      <c r="F162" s="22">
        <f t="shared" ref="F162:P162" si="66">SUM(F160:F161)</f>
        <v>0</v>
      </c>
      <c r="G162" s="22">
        <f t="shared" si="66"/>
        <v>0</v>
      </c>
      <c r="H162" s="22">
        <f t="shared" si="66"/>
        <v>0</v>
      </c>
      <c r="I162" s="22">
        <f t="shared" si="66"/>
        <v>0</v>
      </c>
      <c r="J162" s="22">
        <f t="shared" si="66"/>
        <v>0</v>
      </c>
      <c r="K162" s="22">
        <f t="shared" si="66"/>
        <v>0</v>
      </c>
      <c r="L162" s="22">
        <f t="shared" si="66"/>
        <v>0</v>
      </c>
      <c r="M162" s="22">
        <f t="shared" si="66"/>
        <v>0</v>
      </c>
      <c r="N162" s="22">
        <f t="shared" si="66"/>
        <v>0</v>
      </c>
      <c r="O162" s="22">
        <f t="shared" si="66"/>
        <v>0</v>
      </c>
      <c r="P162" s="22">
        <f t="shared" si="66"/>
        <v>0</v>
      </c>
      <c r="Q162" s="22">
        <f>SUM(Q160:Q161)</f>
        <v>0</v>
      </c>
      <c r="R162" s="22">
        <f t="shared" ref="R162" si="67">SUM(R160:R161)</f>
        <v>0</v>
      </c>
      <c r="S162" s="22">
        <f>SUM(S160:S161)</f>
        <v>0</v>
      </c>
      <c r="T162" s="109"/>
      <c r="U162" s="113"/>
      <c r="V162" s="113"/>
    </row>
    <row r="163" spans="4:24">
      <c r="D163" s="126">
        <v>2</v>
      </c>
      <c r="E163" s="21" t="s">
        <v>78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2">
        <f>SUM(F163:P163)</f>
        <v>0</v>
      </c>
      <c r="R163" s="24"/>
      <c r="S163" s="22">
        <f t="shared" ref="S163:S164" si="68">Q163+R163</f>
        <v>0</v>
      </c>
      <c r="T163" s="109" t="s">
        <v>117</v>
      </c>
      <c r="U163" s="113" t="s">
        <v>117</v>
      </c>
      <c r="V163" s="113" t="s">
        <v>117</v>
      </c>
      <c r="X163" s="19">
        <f>Q163*0.1</f>
        <v>0</v>
      </c>
    </row>
    <row r="164" spans="4:24">
      <c r="D164" s="126"/>
      <c r="E164" s="21" t="s">
        <v>24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2">
        <f>SUM(F164:P164)</f>
        <v>0</v>
      </c>
      <c r="R164" s="24"/>
      <c r="S164" s="22">
        <f t="shared" si="68"/>
        <v>0</v>
      </c>
      <c r="T164" s="109"/>
      <c r="U164" s="113"/>
      <c r="V164" s="113"/>
    </row>
    <row r="165" spans="4:24">
      <c r="D165" s="126"/>
      <c r="E165" s="21" t="s">
        <v>25</v>
      </c>
      <c r="F165" s="22">
        <f>SUM(F163:F164)</f>
        <v>0</v>
      </c>
      <c r="G165" s="22">
        <f t="shared" ref="G165:R165" si="69">SUM(G163:G164)</f>
        <v>0</v>
      </c>
      <c r="H165" s="22">
        <f t="shared" si="69"/>
        <v>0</v>
      </c>
      <c r="I165" s="22">
        <f t="shared" si="69"/>
        <v>0</v>
      </c>
      <c r="J165" s="22">
        <f t="shared" si="69"/>
        <v>0</v>
      </c>
      <c r="K165" s="22">
        <f t="shared" si="69"/>
        <v>0</v>
      </c>
      <c r="L165" s="22">
        <f t="shared" si="69"/>
        <v>0</v>
      </c>
      <c r="M165" s="22">
        <f t="shared" si="69"/>
        <v>0</v>
      </c>
      <c r="N165" s="22">
        <f t="shared" si="69"/>
        <v>0</v>
      </c>
      <c r="O165" s="22">
        <f t="shared" si="69"/>
        <v>0</v>
      </c>
      <c r="P165" s="22">
        <f t="shared" si="69"/>
        <v>0</v>
      </c>
      <c r="Q165" s="22">
        <f t="shared" si="69"/>
        <v>0</v>
      </c>
      <c r="R165" s="22">
        <f t="shared" si="69"/>
        <v>0</v>
      </c>
      <c r="S165" s="22">
        <f>SUM(S163:S164)</f>
        <v>0</v>
      </c>
      <c r="T165" s="109"/>
      <c r="U165" s="113"/>
      <c r="V165" s="113"/>
    </row>
    <row r="166" spans="4:24">
      <c r="D166" s="126">
        <v>3</v>
      </c>
      <c r="E166" s="21" t="s">
        <v>78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2">
        <f>SUM(F166:P166)</f>
        <v>0</v>
      </c>
      <c r="R166" s="24"/>
      <c r="S166" s="22">
        <f t="shared" ref="S166:S167" si="70">Q166+R166</f>
        <v>0</v>
      </c>
      <c r="T166" s="109" t="s">
        <v>117</v>
      </c>
      <c r="U166" s="113" t="s">
        <v>117</v>
      </c>
      <c r="V166" s="113" t="s">
        <v>117</v>
      </c>
      <c r="X166" s="19">
        <f>Q166*0.1</f>
        <v>0</v>
      </c>
    </row>
    <row r="167" spans="4:24">
      <c r="D167" s="126"/>
      <c r="E167" s="21" t="s">
        <v>24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2">
        <f>SUM(F167:P167)</f>
        <v>0</v>
      </c>
      <c r="R167" s="24"/>
      <c r="S167" s="22">
        <f t="shared" si="70"/>
        <v>0</v>
      </c>
      <c r="T167" s="109"/>
      <c r="U167" s="113"/>
      <c r="V167" s="113"/>
    </row>
    <row r="168" spans="4:24">
      <c r="D168" s="126"/>
      <c r="E168" s="21" t="s">
        <v>25</v>
      </c>
      <c r="F168" s="22">
        <f>SUM(F166:F167)</f>
        <v>0</v>
      </c>
      <c r="G168" s="22">
        <f t="shared" ref="G168:R168" si="71">SUM(G166:G167)</f>
        <v>0</v>
      </c>
      <c r="H168" s="22">
        <f t="shared" si="71"/>
        <v>0</v>
      </c>
      <c r="I168" s="22">
        <f t="shared" si="71"/>
        <v>0</v>
      </c>
      <c r="J168" s="22">
        <f t="shared" si="71"/>
        <v>0</v>
      </c>
      <c r="K168" s="22">
        <f t="shared" si="71"/>
        <v>0</v>
      </c>
      <c r="L168" s="22">
        <f t="shared" si="71"/>
        <v>0</v>
      </c>
      <c r="M168" s="22">
        <f t="shared" si="71"/>
        <v>0</v>
      </c>
      <c r="N168" s="22">
        <f t="shared" si="71"/>
        <v>0</v>
      </c>
      <c r="O168" s="22">
        <f t="shared" si="71"/>
        <v>0</v>
      </c>
      <c r="P168" s="22">
        <f t="shared" si="71"/>
        <v>0</v>
      </c>
      <c r="Q168" s="22">
        <f t="shared" si="71"/>
        <v>0</v>
      </c>
      <c r="R168" s="22">
        <f t="shared" si="71"/>
        <v>0</v>
      </c>
      <c r="S168" s="22">
        <f>SUM(S166:S167)</f>
        <v>0</v>
      </c>
      <c r="T168" s="109"/>
      <c r="U168" s="113"/>
      <c r="V168" s="113"/>
    </row>
    <row r="169" spans="4:24">
      <c r="D169" s="126">
        <v>4</v>
      </c>
      <c r="E169" s="21" t="s">
        <v>78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2">
        <f>SUM(F169:P169)</f>
        <v>0</v>
      </c>
      <c r="R169" s="24"/>
      <c r="S169" s="22">
        <f t="shared" ref="S169:S170" si="72">Q169+R169</f>
        <v>0</v>
      </c>
      <c r="T169" s="109" t="s">
        <v>117</v>
      </c>
      <c r="U169" s="113" t="s">
        <v>117</v>
      </c>
      <c r="V169" s="113" t="s">
        <v>117</v>
      </c>
      <c r="X169" s="19">
        <f>Q169*0.1</f>
        <v>0</v>
      </c>
    </row>
    <row r="170" spans="4:24">
      <c r="D170" s="126"/>
      <c r="E170" s="21" t="s">
        <v>24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2">
        <f>SUM(F170:P170)</f>
        <v>0</v>
      </c>
      <c r="R170" s="24"/>
      <c r="S170" s="22">
        <f t="shared" si="72"/>
        <v>0</v>
      </c>
      <c r="T170" s="109"/>
      <c r="U170" s="113"/>
      <c r="V170" s="113"/>
    </row>
    <row r="171" spans="4:24">
      <c r="D171" s="126"/>
      <c r="E171" s="21" t="s">
        <v>25</v>
      </c>
      <c r="F171" s="22">
        <f>SUM(F169:F170)</f>
        <v>0</v>
      </c>
      <c r="G171" s="22">
        <f t="shared" ref="G171:R171" si="73">SUM(G169:G170)</f>
        <v>0</v>
      </c>
      <c r="H171" s="22">
        <f t="shared" si="73"/>
        <v>0</v>
      </c>
      <c r="I171" s="22">
        <f t="shared" si="73"/>
        <v>0</v>
      </c>
      <c r="J171" s="22">
        <f t="shared" si="73"/>
        <v>0</v>
      </c>
      <c r="K171" s="22">
        <f t="shared" si="73"/>
        <v>0</v>
      </c>
      <c r="L171" s="22">
        <f t="shared" si="73"/>
        <v>0</v>
      </c>
      <c r="M171" s="22">
        <f t="shared" si="73"/>
        <v>0</v>
      </c>
      <c r="N171" s="22">
        <f t="shared" si="73"/>
        <v>0</v>
      </c>
      <c r="O171" s="22">
        <f t="shared" si="73"/>
        <v>0</v>
      </c>
      <c r="P171" s="22">
        <f t="shared" si="73"/>
        <v>0</v>
      </c>
      <c r="Q171" s="22">
        <f t="shared" si="73"/>
        <v>0</v>
      </c>
      <c r="R171" s="22">
        <f t="shared" si="73"/>
        <v>0</v>
      </c>
      <c r="S171" s="22">
        <f>SUM(S169:S170)</f>
        <v>0</v>
      </c>
      <c r="T171" s="109"/>
      <c r="U171" s="113"/>
      <c r="V171" s="113"/>
    </row>
    <row r="172" spans="4:24">
      <c r="D172" s="126">
        <v>5</v>
      </c>
      <c r="E172" s="21" t="s">
        <v>78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2">
        <f>SUM(F172:P172)</f>
        <v>0</v>
      </c>
      <c r="R172" s="24"/>
      <c r="S172" s="22">
        <f t="shared" ref="S172:S173" si="74">Q172+R172</f>
        <v>0</v>
      </c>
      <c r="T172" s="109" t="s">
        <v>117</v>
      </c>
      <c r="U172" s="113" t="s">
        <v>117</v>
      </c>
      <c r="V172" s="113" t="s">
        <v>117</v>
      </c>
      <c r="X172" s="19">
        <f>Q172*0.2205</f>
        <v>0</v>
      </c>
    </row>
    <row r="173" spans="4:24">
      <c r="D173" s="126"/>
      <c r="E173" s="21" t="s">
        <v>24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2">
        <f>SUM(F173:P173)</f>
        <v>0</v>
      </c>
      <c r="R173" s="24"/>
      <c r="S173" s="22">
        <f t="shared" si="74"/>
        <v>0</v>
      </c>
      <c r="T173" s="109"/>
      <c r="U173" s="113"/>
      <c r="V173" s="113"/>
    </row>
    <row r="174" spans="4:24">
      <c r="D174" s="126"/>
      <c r="E174" s="21" t="s">
        <v>25</v>
      </c>
      <c r="F174" s="22">
        <f>SUM(F172:F173)</f>
        <v>0</v>
      </c>
      <c r="G174" s="22">
        <f t="shared" ref="G174:Q174" si="75">SUM(G172:G173)</f>
        <v>0</v>
      </c>
      <c r="H174" s="22">
        <f t="shared" si="75"/>
        <v>0</v>
      </c>
      <c r="I174" s="22">
        <f t="shared" si="75"/>
        <v>0</v>
      </c>
      <c r="J174" s="22">
        <f t="shared" si="75"/>
        <v>0</v>
      </c>
      <c r="K174" s="22">
        <f t="shared" si="75"/>
        <v>0</v>
      </c>
      <c r="L174" s="22">
        <f t="shared" si="75"/>
        <v>0</v>
      </c>
      <c r="M174" s="22">
        <f t="shared" si="75"/>
        <v>0</v>
      </c>
      <c r="N174" s="22">
        <f t="shared" si="75"/>
        <v>0</v>
      </c>
      <c r="O174" s="22">
        <f t="shared" si="75"/>
        <v>0</v>
      </c>
      <c r="P174" s="22">
        <f t="shared" si="75"/>
        <v>0</v>
      </c>
      <c r="Q174" s="22">
        <f t="shared" si="75"/>
        <v>0</v>
      </c>
      <c r="R174" s="22">
        <f>SUM(R172:R173)</f>
        <v>0</v>
      </c>
      <c r="S174" s="22">
        <f>SUM(S172:S173)</f>
        <v>0</v>
      </c>
      <c r="T174" s="109"/>
      <c r="U174" s="113"/>
      <c r="V174" s="113"/>
    </row>
    <row r="175" spans="4:24">
      <c r="D175" s="126" t="s">
        <v>43</v>
      </c>
      <c r="E175" s="21" t="s">
        <v>78</v>
      </c>
      <c r="F175" s="22">
        <f>F160+F163+F166+F169+F172</f>
        <v>0</v>
      </c>
      <c r="G175" s="22">
        <f t="shared" ref="G175:S175" si="76">G160+G163+G166+G169+G172</f>
        <v>0</v>
      </c>
      <c r="H175" s="22">
        <f t="shared" si="76"/>
        <v>0</v>
      </c>
      <c r="I175" s="22">
        <f t="shared" si="76"/>
        <v>0</v>
      </c>
      <c r="J175" s="22">
        <f t="shared" si="76"/>
        <v>0</v>
      </c>
      <c r="K175" s="22">
        <f t="shared" si="76"/>
        <v>0</v>
      </c>
      <c r="L175" s="22">
        <f t="shared" si="76"/>
        <v>0</v>
      </c>
      <c r="M175" s="22">
        <f t="shared" si="76"/>
        <v>0</v>
      </c>
      <c r="N175" s="22">
        <f t="shared" si="76"/>
        <v>0</v>
      </c>
      <c r="O175" s="22">
        <f t="shared" si="76"/>
        <v>0</v>
      </c>
      <c r="P175" s="22">
        <f t="shared" si="76"/>
        <v>0</v>
      </c>
      <c r="Q175" s="22">
        <f t="shared" si="76"/>
        <v>0</v>
      </c>
      <c r="R175" s="22">
        <f t="shared" si="76"/>
        <v>0</v>
      </c>
      <c r="S175" s="22">
        <f t="shared" si="76"/>
        <v>0</v>
      </c>
      <c r="T175" s="109" t="s">
        <v>117</v>
      </c>
      <c r="U175" s="113" t="s">
        <v>117</v>
      </c>
      <c r="V175" s="113" t="s">
        <v>117</v>
      </c>
      <c r="X175" s="19">
        <f>Q175*0.1</f>
        <v>0</v>
      </c>
    </row>
    <row r="176" spans="4:24">
      <c r="D176" s="126"/>
      <c r="E176" s="21" t="s">
        <v>24</v>
      </c>
      <c r="F176" s="22">
        <f t="shared" ref="F176:S177" si="77">F161+F164+F167+F170+F173</f>
        <v>0</v>
      </c>
      <c r="G176" s="22">
        <f t="shared" si="77"/>
        <v>0</v>
      </c>
      <c r="H176" s="22">
        <f t="shared" si="77"/>
        <v>0</v>
      </c>
      <c r="I176" s="22">
        <f t="shared" si="77"/>
        <v>0</v>
      </c>
      <c r="J176" s="22">
        <f t="shared" si="77"/>
        <v>0</v>
      </c>
      <c r="K176" s="22">
        <f t="shared" si="77"/>
        <v>0</v>
      </c>
      <c r="L176" s="22">
        <f t="shared" si="77"/>
        <v>0</v>
      </c>
      <c r="M176" s="22">
        <f t="shared" si="77"/>
        <v>0</v>
      </c>
      <c r="N176" s="22">
        <f t="shared" si="77"/>
        <v>0</v>
      </c>
      <c r="O176" s="22">
        <f t="shared" si="77"/>
        <v>0</v>
      </c>
      <c r="P176" s="22">
        <f t="shared" si="77"/>
        <v>0</v>
      </c>
      <c r="Q176" s="22">
        <f t="shared" si="77"/>
        <v>0</v>
      </c>
      <c r="R176" s="22">
        <f t="shared" si="77"/>
        <v>0</v>
      </c>
      <c r="S176" s="22">
        <f t="shared" si="77"/>
        <v>0</v>
      </c>
      <c r="T176" s="109"/>
      <c r="U176" s="113"/>
      <c r="V176" s="113"/>
    </row>
    <row r="177" spans="4:24">
      <c r="D177" s="126"/>
      <c r="E177" s="21" t="s">
        <v>69</v>
      </c>
      <c r="F177" s="22">
        <f t="shared" si="77"/>
        <v>0</v>
      </c>
      <c r="G177" s="22">
        <f t="shared" si="77"/>
        <v>0</v>
      </c>
      <c r="H177" s="22">
        <f t="shared" si="77"/>
        <v>0</v>
      </c>
      <c r="I177" s="22">
        <f t="shared" si="77"/>
        <v>0</v>
      </c>
      <c r="J177" s="22">
        <f t="shared" si="77"/>
        <v>0</v>
      </c>
      <c r="K177" s="22">
        <f t="shared" si="77"/>
        <v>0</v>
      </c>
      <c r="L177" s="22">
        <f t="shared" si="77"/>
        <v>0</v>
      </c>
      <c r="M177" s="22">
        <f t="shared" si="77"/>
        <v>0</v>
      </c>
      <c r="N177" s="22">
        <f t="shared" si="77"/>
        <v>0</v>
      </c>
      <c r="O177" s="22">
        <f t="shared" si="77"/>
        <v>0</v>
      </c>
      <c r="P177" s="22">
        <f t="shared" si="77"/>
        <v>0</v>
      </c>
      <c r="Q177" s="22">
        <f t="shared" si="77"/>
        <v>0</v>
      </c>
      <c r="R177" s="22">
        <f t="shared" si="77"/>
        <v>0</v>
      </c>
      <c r="S177" s="22">
        <f t="shared" si="77"/>
        <v>0</v>
      </c>
      <c r="T177" s="109"/>
      <c r="U177" s="113"/>
      <c r="V177" s="113"/>
    </row>
    <row r="179" spans="4:24">
      <c r="D179" s="119" t="s">
        <v>161</v>
      </c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</row>
    <row r="180" spans="4:24">
      <c r="U180" s="127" t="s">
        <v>143</v>
      </c>
      <c r="V180" s="127"/>
    </row>
    <row r="181" spans="4:24">
      <c r="D181" s="107" t="s">
        <v>68</v>
      </c>
      <c r="E181" s="107"/>
      <c r="F181" s="107" t="s">
        <v>129</v>
      </c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9" t="s">
        <v>117</v>
      </c>
      <c r="U181" s="107" t="s">
        <v>107</v>
      </c>
      <c r="V181" s="107" t="s">
        <v>19</v>
      </c>
    </row>
    <row r="182" spans="4:24">
      <c r="D182" s="107"/>
      <c r="E182" s="107"/>
      <c r="F182" s="107" t="s">
        <v>46</v>
      </c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 t="s">
        <v>134</v>
      </c>
      <c r="S182" s="107" t="s">
        <v>69</v>
      </c>
      <c r="T182" s="109"/>
      <c r="U182" s="107"/>
      <c r="V182" s="107"/>
    </row>
    <row r="183" spans="4:24">
      <c r="D183" s="107"/>
      <c r="E183" s="107"/>
      <c r="F183" s="107" t="s">
        <v>121</v>
      </c>
      <c r="G183" s="107" t="s">
        <v>52</v>
      </c>
      <c r="H183" s="107"/>
      <c r="I183" s="107" t="s">
        <v>76</v>
      </c>
      <c r="J183" s="107"/>
      <c r="K183" s="107" t="s">
        <v>149</v>
      </c>
      <c r="L183" s="107" t="s">
        <v>105</v>
      </c>
      <c r="M183" s="107" t="s">
        <v>88</v>
      </c>
      <c r="N183" s="107" t="s">
        <v>35</v>
      </c>
      <c r="O183" s="107" t="s">
        <v>33</v>
      </c>
      <c r="P183" s="107" t="s">
        <v>30</v>
      </c>
      <c r="Q183" s="107" t="s">
        <v>25</v>
      </c>
      <c r="R183" s="107"/>
      <c r="S183" s="107"/>
      <c r="T183" s="109"/>
      <c r="U183" s="107"/>
      <c r="V183" s="107"/>
    </row>
    <row r="184" spans="4:24">
      <c r="D184" s="107"/>
      <c r="E184" s="107"/>
      <c r="F184" s="110"/>
      <c r="G184" s="51" t="s">
        <v>83</v>
      </c>
      <c r="H184" s="51" t="s">
        <v>102</v>
      </c>
      <c r="I184" s="51" t="s">
        <v>83</v>
      </c>
      <c r="J184" s="51" t="s">
        <v>102</v>
      </c>
      <c r="K184" s="110"/>
      <c r="L184" s="110"/>
      <c r="M184" s="110"/>
      <c r="N184" s="110"/>
      <c r="O184" s="110"/>
      <c r="P184" s="110"/>
      <c r="Q184" s="110"/>
      <c r="R184" s="110"/>
      <c r="S184" s="107"/>
      <c r="T184" s="109"/>
      <c r="U184" s="107"/>
      <c r="V184" s="107"/>
    </row>
    <row r="185" spans="4:24">
      <c r="D185" s="126">
        <v>1</v>
      </c>
      <c r="E185" s="52" t="s">
        <v>78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2">
        <f>SUM(F185:P185)</f>
        <v>0</v>
      </c>
      <c r="R185" s="24"/>
      <c r="S185" s="22">
        <f>Q185+R185</f>
        <v>0</v>
      </c>
      <c r="T185" s="109" t="s">
        <v>117</v>
      </c>
      <c r="U185" s="113" t="s">
        <v>117</v>
      </c>
      <c r="V185" s="113" t="s">
        <v>117</v>
      </c>
      <c r="X185" s="19">
        <f>Q185*0.17</f>
        <v>0</v>
      </c>
    </row>
    <row r="186" spans="4:24">
      <c r="D186" s="126"/>
      <c r="E186" s="52" t="s">
        <v>24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2">
        <f>SUM(F186:P186)</f>
        <v>0</v>
      </c>
      <c r="R186" s="24"/>
      <c r="S186" s="22">
        <f>Q186+R186</f>
        <v>0</v>
      </c>
      <c r="T186" s="109"/>
      <c r="U186" s="113"/>
      <c r="V186" s="113"/>
      <c r="X186" s="19"/>
    </row>
    <row r="187" spans="4:24">
      <c r="D187" s="126"/>
      <c r="E187" s="52" t="s">
        <v>25</v>
      </c>
      <c r="F187" s="22">
        <f t="shared" ref="F187:P187" si="78">SUM(F185:F186)</f>
        <v>0</v>
      </c>
      <c r="G187" s="22">
        <f t="shared" si="78"/>
        <v>0</v>
      </c>
      <c r="H187" s="22">
        <f t="shared" si="78"/>
        <v>0</v>
      </c>
      <c r="I187" s="22">
        <f t="shared" si="78"/>
        <v>0</v>
      </c>
      <c r="J187" s="22">
        <f t="shared" si="78"/>
        <v>0</v>
      </c>
      <c r="K187" s="22">
        <f t="shared" si="78"/>
        <v>0</v>
      </c>
      <c r="L187" s="22">
        <f t="shared" si="78"/>
        <v>0</v>
      </c>
      <c r="M187" s="22">
        <f t="shared" si="78"/>
        <v>0</v>
      </c>
      <c r="N187" s="22">
        <f t="shared" si="78"/>
        <v>0</v>
      </c>
      <c r="O187" s="22">
        <f t="shared" si="78"/>
        <v>0</v>
      </c>
      <c r="P187" s="22">
        <f t="shared" si="78"/>
        <v>0</v>
      </c>
      <c r="Q187" s="22">
        <f>SUM(Q185:Q186)</f>
        <v>0</v>
      </c>
      <c r="R187" s="22">
        <f t="shared" ref="R187" si="79">SUM(R185:R186)</f>
        <v>0</v>
      </c>
      <c r="S187" s="22">
        <f>SUM(S185:S186)</f>
        <v>0</v>
      </c>
      <c r="T187" s="109"/>
      <c r="U187" s="113"/>
      <c r="V187" s="113"/>
      <c r="X187" s="19"/>
    </row>
    <row r="188" spans="4:24">
      <c r="D188" s="126">
        <v>2</v>
      </c>
      <c r="E188" s="52" t="s">
        <v>78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2">
        <f>SUM(F188:P188)</f>
        <v>0</v>
      </c>
      <c r="R188" s="24"/>
      <c r="S188" s="22">
        <f t="shared" ref="S188:S189" si="80">Q188+R188</f>
        <v>0</v>
      </c>
      <c r="T188" s="109" t="s">
        <v>117</v>
      </c>
      <c r="U188" s="113" t="s">
        <v>117</v>
      </c>
      <c r="V188" s="113" t="s">
        <v>117</v>
      </c>
      <c r="X188" s="19">
        <f>Q188*0.17</f>
        <v>0</v>
      </c>
    </row>
    <row r="189" spans="4:24">
      <c r="D189" s="126"/>
      <c r="E189" s="52" t="s">
        <v>24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2">
        <f>SUM(F189:P189)</f>
        <v>0</v>
      </c>
      <c r="R189" s="24"/>
      <c r="S189" s="22">
        <f t="shared" si="80"/>
        <v>0</v>
      </c>
      <c r="T189" s="109"/>
      <c r="U189" s="113"/>
      <c r="V189" s="113"/>
      <c r="X189" s="19"/>
    </row>
    <row r="190" spans="4:24">
      <c r="D190" s="126"/>
      <c r="E190" s="52" t="s">
        <v>25</v>
      </c>
      <c r="F190" s="22">
        <f>SUM(F188:F189)</f>
        <v>0</v>
      </c>
      <c r="G190" s="22">
        <f t="shared" ref="G190:R190" si="81">SUM(G188:G189)</f>
        <v>0</v>
      </c>
      <c r="H190" s="22">
        <f t="shared" si="81"/>
        <v>0</v>
      </c>
      <c r="I190" s="22">
        <f t="shared" si="81"/>
        <v>0</v>
      </c>
      <c r="J190" s="22">
        <f t="shared" si="81"/>
        <v>0</v>
      </c>
      <c r="K190" s="22">
        <f t="shared" si="81"/>
        <v>0</v>
      </c>
      <c r="L190" s="22">
        <f t="shared" si="81"/>
        <v>0</v>
      </c>
      <c r="M190" s="22">
        <f t="shared" si="81"/>
        <v>0</v>
      </c>
      <c r="N190" s="22">
        <f t="shared" si="81"/>
        <v>0</v>
      </c>
      <c r="O190" s="22">
        <f t="shared" si="81"/>
        <v>0</v>
      </c>
      <c r="P190" s="22">
        <f t="shared" si="81"/>
        <v>0</v>
      </c>
      <c r="Q190" s="22">
        <f t="shared" si="81"/>
        <v>0</v>
      </c>
      <c r="R190" s="22">
        <f t="shared" si="81"/>
        <v>0</v>
      </c>
      <c r="S190" s="22">
        <f>SUM(S188:S189)</f>
        <v>0</v>
      </c>
      <c r="T190" s="109"/>
      <c r="U190" s="113"/>
      <c r="V190" s="113"/>
      <c r="X190" s="19"/>
    </row>
    <row r="191" spans="4:24">
      <c r="D191" s="126">
        <v>3</v>
      </c>
      <c r="E191" s="52" t="s">
        <v>78</v>
      </c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2">
        <f>SUM(F191:P191)</f>
        <v>0</v>
      </c>
      <c r="R191" s="24"/>
      <c r="S191" s="22">
        <f t="shared" ref="S191:S192" si="82">Q191+R191</f>
        <v>0</v>
      </c>
      <c r="T191" s="109" t="s">
        <v>117</v>
      </c>
      <c r="U191" s="113" t="s">
        <v>117</v>
      </c>
      <c r="V191" s="113" t="s">
        <v>117</v>
      </c>
      <c r="X191" s="19">
        <f>Q191*0.17</f>
        <v>0</v>
      </c>
    </row>
    <row r="192" spans="4:24">
      <c r="D192" s="126"/>
      <c r="E192" s="52" t="s">
        <v>24</v>
      </c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2">
        <f>SUM(F192:P192)</f>
        <v>0</v>
      </c>
      <c r="R192" s="24"/>
      <c r="S192" s="22">
        <f t="shared" si="82"/>
        <v>0</v>
      </c>
      <c r="T192" s="109"/>
      <c r="U192" s="113"/>
      <c r="V192" s="113"/>
      <c r="X192" s="19"/>
    </row>
    <row r="193" spans="4:24">
      <c r="D193" s="126"/>
      <c r="E193" s="52" t="s">
        <v>25</v>
      </c>
      <c r="F193" s="22">
        <f>SUM(F191:F192)</f>
        <v>0</v>
      </c>
      <c r="G193" s="22">
        <f t="shared" ref="G193:R193" si="83">SUM(G191:G192)</f>
        <v>0</v>
      </c>
      <c r="H193" s="22">
        <f t="shared" si="83"/>
        <v>0</v>
      </c>
      <c r="I193" s="22">
        <f t="shared" si="83"/>
        <v>0</v>
      </c>
      <c r="J193" s="22">
        <f t="shared" si="83"/>
        <v>0</v>
      </c>
      <c r="K193" s="22">
        <f t="shared" si="83"/>
        <v>0</v>
      </c>
      <c r="L193" s="22">
        <f t="shared" si="83"/>
        <v>0</v>
      </c>
      <c r="M193" s="22">
        <f t="shared" si="83"/>
        <v>0</v>
      </c>
      <c r="N193" s="22">
        <f t="shared" si="83"/>
        <v>0</v>
      </c>
      <c r="O193" s="22">
        <f t="shared" si="83"/>
        <v>0</v>
      </c>
      <c r="P193" s="22">
        <f t="shared" si="83"/>
        <v>0</v>
      </c>
      <c r="Q193" s="22">
        <f t="shared" si="83"/>
        <v>0</v>
      </c>
      <c r="R193" s="22">
        <f t="shared" si="83"/>
        <v>0</v>
      </c>
      <c r="S193" s="22">
        <f>SUM(S191:S192)</f>
        <v>0</v>
      </c>
      <c r="T193" s="109"/>
      <c r="U193" s="113"/>
      <c r="V193" s="113"/>
      <c r="X193" s="19"/>
    </row>
    <row r="194" spans="4:24">
      <c r="D194" s="126">
        <v>4</v>
      </c>
      <c r="E194" s="52" t="s">
        <v>78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2">
        <f>SUM(F194:P194)</f>
        <v>0</v>
      </c>
      <c r="R194" s="24"/>
      <c r="S194" s="22">
        <f t="shared" ref="S194:S195" si="84">Q194+R194</f>
        <v>0</v>
      </c>
      <c r="T194" s="109" t="s">
        <v>117</v>
      </c>
      <c r="U194" s="113" t="s">
        <v>117</v>
      </c>
      <c r="V194" s="113" t="s">
        <v>117</v>
      </c>
      <c r="X194" s="19">
        <f>Q194*0.17</f>
        <v>0</v>
      </c>
    </row>
    <row r="195" spans="4:24">
      <c r="D195" s="126"/>
      <c r="E195" s="52" t="s">
        <v>24</v>
      </c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2">
        <f>SUM(F195:P195)</f>
        <v>0</v>
      </c>
      <c r="R195" s="24"/>
      <c r="S195" s="22">
        <f t="shared" si="84"/>
        <v>0</v>
      </c>
      <c r="T195" s="109"/>
      <c r="U195" s="113"/>
      <c r="V195" s="113"/>
      <c r="X195" s="19"/>
    </row>
    <row r="196" spans="4:24">
      <c r="D196" s="126"/>
      <c r="E196" s="52" t="s">
        <v>25</v>
      </c>
      <c r="F196" s="22">
        <f>SUM(F194:F195)</f>
        <v>0</v>
      </c>
      <c r="G196" s="22">
        <f t="shared" ref="G196:R196" si="85">SUM(G194:G195)</f>
        <v>0</v>
      </c>
      <c r="H196" s="22">
        <f t="shared" si="85"/>
        <v>0</v>
      </c>
      <c r="I196" s="22">
        <f t="shared" si="85"/>
        <v>0</v>
      </c>
      <c r="J196" s="22">
        <f t="shared" si="85"/>
        <v>0</v>
      </c>
      <c r="K196" s="22">
        <f t="shared" si="85"/>
        <v>0</v>
      </c>
      <c r="L196" s="22">
        <f t="shared" si="85"/>
        <v>0</v>
      </c>
      <c r="M196" s="22">
        <f t="shared" si="85"/>
        <v>0</v>
      </c>
      <c r="N196" s="22">
        <f t="shared" si="85"/>
        <v>0</v>
      </c>
      <c r="O196" s="22">
        <f t="shared" si="85"/>
        <v>0</v>
      </c>
      <c r="P196" s="22">
        <f t="shared" si="85"/>
        <v>0</v>
      </c>
      <c r="Q196" s="22">
        <f t="shared" si="85"/>
        <v>0</v>
      </c>
      <c r="R196" s="22">
        <f t="shared" si="85"/>
        <v>0</v>
      </c>
      <c r="S196" s="22">
        <f>SUM(S194:S195)</f>
        <v>0</v>
      </c>
      <c r="T196" s="109"/>
      <c r="U196" s="113"/>
      <c r="V196" s="113"/>
      <c r="X196" s="19"/>
    </row>
    <row r="197" spans="4:24">
      <c r="D197" s="126">
        <v>5</v>
      </c>
      <c r="E197" s="52" t="s">
        <v>78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2">
        <f>SUM(F197:P197)</f>
        <v>0</v>
      </c>
      <c r="R197" s="24"/>
      <c r="S197" s="22">
        <f t="shared" ref="S197:S198" si="86">Q197+R197</f>
        <v>0</v>
      </c>
      <c r="T197" s="109" t="s">
        <v>117</v>
      </c>
      <c r="U197" s="113" t="s">
        <v>117</v>
      </c>
      <c r="V197" s="113" t="s">
        <v>117</v>
      </c>
      <c r="X197" s="19">
        <f>Q197*0.2205</f>
        <v>0</v>
      </c>
    </row>
    <row r="198" spans="4:24">
      <c r="D198" s="126"/>
      <c r="E198" s="52" t="s">
        <v>24</v>
      </c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2">
        <f>SUM(F198:P198)</f>
        <v>0</v>
      </c>
      <c r="R198" s="24"/>
      <c r="S198" s="22">
        <f t="shared" si="86"/>
        <v>0</v>
      </c>
      <c r="T198" s="109"/>
      <c r="U198" s="113"/>
      <c r="V198" s="113"/>
    </row>
    <row r="199" spans="4:24">
      <c r="D199" s="126"/>
      <c r="E199" s="52" t="s">
        <v>25</v>
      </c>
      <c r="F199" s="22">
        <f>SUM(F197:F198)</f>
        <v>0</v>
      </c>
      <c r="G199" s="22">
        <f t="shared" ref="G199:Q199" si="87">SUM(G197:G198)</f>
        <v>0</v>
      </c>
      <c r="H199" s="22">
        <f t="shared" si="87"/>
        <v>0</v>
      </c>
      <c r="I199" s="22">
        <f t="shared" si="87"/>
        <v>0</v>
      </c>
      <c r="J199" s="22">
        <f t="shared" si="87"/>
        <v>0</v>
      </c>
      <c r="K199" s="22">
        <f t="shared" si="87"/>
        <v>0</v>
      </c>
      <c r="L199" s="22">
        <f t="shared" si="87"/>
        <v>0</v>
      </c>
      <c r="M199" s="22">
        <f t="shared" si="87"/>
        <v>0</v>
      </c>
      <c r="N199" s="22">
        <f t="shared" si="87"/>
        <v>0</v>
      </c>
      <c r="O199" s="22">
        <f t="shared" si="87"/>
        <v>0</v>
      </c>
      <c r="P199" s="22">
        <f t="shared" si="87"/>
        <v>0</v>
      </c>
      <c r="Q199" s="22">
        <f t="shared" si="87"/>
        <v>0</v>
      </c>
      <c r="R199" s="22">
        <f>SUM(R197:R198)</f>
        <v>0</v>
      </c>
      <c r="S199" s="22">
        <f>SUM(S197:S198)</f>
        <v>0</v>
      </c>
      <c r="T199" s="109"/>
      <c r="U199" s="113"/>
      <c r="V199" s="113"/>
    </row>
    <row r="200" spans="4:24">
      <c r="D200" s="126" t="s">
        <v>43</v>
      </c>
      <c r="E200" s="21" t="s">
        <v>78</v>
      </c>
      <c r="F200" s="22">
        <f>F185+F188+F191+F194+F197</f>
        <v>0</v>
      </c>
      <c r="G200" s="22">
        <f t="shared" ref="G200:S200" si="88">G185+G188+G191+G194+G197</f>
        <v>0</v>
      </c>
      <c r="H200" s="22">
        <f t="shared" si="88"/>
        <v>0</v>
      </c>
      <c r="I200" s="22">
        <f t="shared" si="88"/>
        <v>0</v>
      </c>
      <c r="J200" s="22">
        <f t="shared" si="88"/>
        <v>0</v>
      </c>
      <c r="K200" s="22">
        <f t="shared" si="88"/>
        <v>0</v>
      </c>
      <c r="L200" s="22">
        <f t="shared" si="88"/>
        <v>0</v>
      </c>
      <c r="M200" s="22">
        <f t="shared" si="88"/>
        <v>0</v>
      </c>
      <c r="N200" s="22">
        <f t="shared" si="88"/>
        <v>0</v>
      </c>
      <c r="O200" s="22">
        <f t="shared" si="88"/>
        <v>0</v>
      </c>
      <c r="P200" s="22">
        <f t="shared" si="88"/>
        <v>0</v>
      </c>
      <c r="Q200" s="22">
        <f t="shared" si="88"/>
        <v>0</v>
      </c>
      <c r="R200" s="22">
        <f t="shared" si="88"/>
        <v>0</v>
      </c>
      <c r="S200" s="22">
        <f t="shared" si="88"/>
        <v>0</v>
      </c>
      <c r="T200" s="109" t="s">
        <v>117</v>
      </c>
      <c r="U200" s="113" t="s">
        <v>117</v>
      </c>
      <c r="V200" s="113" t="s">
        <v>117</v>
      </c>
      <c r="X200" s="19">
        <f>Q200*0.17</f>
        <v>0</v>
      </c>
    </row>
    <row r="201" spans="4:24">
      <c r="D201" s="126"/>
      <c r="E201" s="21" t="s">
        <v>24</v>
      </c>
      <c r="F201" s="22">
        <f t="shared" ref="F201:S202" si="89">F186+F189+F192+F195+F198</f>
        <v>0</v>
      </c>
      <c r="G201" s="22">
        <f t="shared" si="89"/>
        <v>0</v>
      </c>
      <c r="H201" s="22">
        <f t="shared" si="89"/>
        <v>0</v>
      </c>
      <c r="I201" s="22">
        <f t="shared" si="89"/>
        <v>0</v>
      </c>
      <c r="J201" s="22">
        <f t="shared" si="89"/>
        <v>0</v>
      </c>
      <c r="K201" s="22">
        <f t="shared" si="89"/>
        <v>0</v>
      </c>
      <c r="L201" s="22">
        <f t="shared" si="89"/>
        <v>0</v>
      </c>
      <c r="M201" s="22">
        <f t="shared" si="89"/>
        <v>0</v>
      </c>
      <c r="N201" s="22">
        <f t="shared" si="89"/>
        <v>0</v>
      </c>
      <c r="O201" s="22">
        <f t="shared" si="89"/>
        <v>0</v>
      </c>
      <c r="P201" s="22">
        <f t="shared" si="89"/>
        <v>0</v>
      </c>
      <c r="Q201" s="22">
        <f t="shared" si="89"/>
        <v>0</v>
      </c>
      <c r="R201" s="22">
        <f t="shared" si="89"/>
        <v>0</v>
      </c>
      <c r="S201" s="22">
        <f t="shared" si="89"/>
        <v>0</v>
      </c>
      <c r="T201" s="109"/>
      <c r="U201" s="113"/>
      <c r="V201" s="113"/>
    </row>
    <row r="202" spans="4:24">
      <c r="D202" s="126"/>
      <c r="E202" s="21" t="s">
        <v>69</v>
      </c>
      <c r="F202" s="22">
        <f t="shared" si="89"/>
        <v>0</v>
      </c>
      <c r="G202" s="22">
        <f t="shared" si="89"/>
        <v>0</v>
      </c>
      <c r="H202" s="22">
        <f t="shared" si="89"/>
        <v>0</v>
      </c>
      <c r="I202" s="22">
        <f t="shared" si="89"/>
        <v>0</v>
      </c>
      <c r="J202" s="22">
        <f t="shared" si="89"/>
        <v>0</v>
      </c>
      <c r="K202" s="22">
        <f t="shared" si="89"/>
        <v>0</v>
      </c>
      <c r="L202" s="22">
        <f t="shared" si="89"/>
        <v>0</v>
      </c>
      <c r="M202" s="22">
        <f t="shared" si="89"/>
        <v>0</v>
      </c>
      <c r="N202" s="22">
        <f t="shared" si="89"/>
        <v>0</v>
      </c>
      <c r="O202" s="22">
        <f t="shared" si="89"/>
        <v>0</v>
      </c>
      <c r="P202" s="22">
        <f t="shared" si="89"/>
        <v>0</v>
      </c>
      <c r="Q202" s="22">
        <f t="shared" si="89"/>
        <v>0</v>
      </c>
      <c r="R202" s="22">
        <f t="shared" si="89"/>
        <v>0</v>
      </c>
      <c r="S202" s="22">
        <f t="shared" si="89"/>
        <v>0</v>
      </c>
      <c r="T202" s="109"/>
      <c r="U202" s="113"/>
      <c r="V202" s="113"/>
    </row>
    <row r="204" spans="4:24">
      <c r="D204" s="119" t="s">
        <v>162</v>
      </c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</row>
    <row r="205" spans="4:24">
      <c r="U205" s="127" t="s">
        <v>143</v>
      </c>
      <c r="V205" s="127"/>
    </row>
    <row r="206" spans="4:24">
      <c r="D206" s="107" t="s">
        <v>68</v>
      </c>
      <c r="E206" s="107"/>
      <c r="F206" s="107" t="s">
        <v>129</v>
      </c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9" t="s">
        <v>117</v>
      </c>
      <c r="U206" s="107" t="s">
        <v>107</v>
      </c>
      <c r="V206" s="107" t="s">
        <v>19</v>
      </c>
    </row>
    <row r="207" spans="4:24">
      <c r="D207" s="107"/>
      <c r="E207" s="107"/>
      <c r="F207" s="107" t="s">
        <v>46</v>
      </c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 t="s">
        <v>134</v>
      </c>
      <c r="S207" s="107" t="s">
        <v>69</v>
      </c>
      <c r="T207" s="109"/>
      <c r="U207" s="107"/>
      <c r="V207" s="107"/>
    </row>
    <row r="208" spans="4:24">
      <c r="D208" s="107"/>
      <c r="E208" s="107"/>
      <c r="F208" s="107" t="s">
        <v>121</v>
      </c>
      <c r="G208" s="107" t="s">
        <v>52</v>
      </c>
      <c r="H208" s="107"/>
      <c r="I208" s="107" t="s">
        <v>76</v>
      </c>
      <c r="J208" s="107"/>
      <c r="K208" s="107" t="s">
        <v>149</v>
      </c>
      <c r="L208" s="107" t="s">
        <v>105</v>
      </c>
      <c r="M208" s="107" t="s">
        <v>88</v>
      </c>
      <c r="N208" s="107" t="s">
        <v>35</v>
      </c>
      <c r="O208" s="107" t="s">
        <v>33</v>
      </c>
      <c r="P208" s="107" t="s">
        <v>30</v>
      </c>
      <c r="Q208" s="107" t="s">
        <v>25</v>
      </c>
      <c r="R208" s="107"/>
      <c r="S208" s="107"/>
      <c r="T208" s="109"/>
      <c r="U208" s="107"/>
      <c r="V208" s="107"/>
    </row>
    <row r="209" spans="4:24">
      <c r="D209" s="107"/>
      <c r="E209" s="107"/>
      <c r="F209" s="107"/>
      <c r="G209" s="20" t="s">
        <v>83</v>
      </c>
      <c r="H209" s="20" t="s">
        <v>102</v>
      </c>
      <c r="I209" s="20" t="s">
        <v>83</v>
      </c>
      <c r="J209" s="20" t="s">
        <v>102</v>
      </c>
      <c r="K209" s="107"/>
      <c r="L209" s="107"/>
      <c r="M209" s="107"/>
      <c r="N209" s="107"/>
      <c r="O209" s="107"/>
      <c r="P209" s="107"/>
      <c r="Q209" s="107"/>
      <c r="R209" s="107"/>
      <c r="S209" s="107"/>
      <c r="T209" s="109"/>
      <c r="U209" s="107"/>
      <c r="V209" s="107"/>
    </row>
    <row r="210" spans="4:24">
      <c r="D210" s="126">
        <v>1</v>
      </c>
      <c r="E210" s="21" t="s">
        <v>78</v>
      </c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2">
        <f>SUM(F210:P210)</f>
        <v>0</v>
      </c>
      <c r="R210" s="24"/>
      <c r="S210" s="22">
        <f>Q210+R210</f>
        <v>0</v>
      </c>
      <c r="T210" s="109" t="s">
        <v>117</v>
      </c>
      <c r="U210" s="113" t="s">
        <v>117</v>
      </c>
      <c r="V210" s="113" t="s">
        <v>117</v>
      </c>
      <c r="X210" s="19">
        <f>Q210*0.1</f>
        <v>0</v>
      </c>
    </row>
    <row r="211" spans="4:24">
      <c r="D211" s="126"/>
      <c r="E211" s="21" t="s">
        <v>24</v>
      </c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2">
        <f>SUM(F211:P211)</f>
        <v>0</v>
      </c>
      <c r="R211" s="24"/>
      <c r="S211" s="22">
        <f>Q211+R211</f>
        <v>0</v>
      </c>
      <c r="T211" s="109"/>
      <c r="U211" s="113"/>
      <c r="V211" s="113"/>
    </row>
    <row r="212" spans="4:24">
      <c r="D212" s="126"/>
      <c r="E212" s="21" t="s">
        <v>25</v>
      </c>
      <c r="F212" s="22">
        <f t="shared" ref="F212:P212" si="90">SUM(F210:F211)</f>
        <v>0</v>
      </c>
      <c r="G212" s="22">
        <f t="shared" si="90"/>
        <v>0</v>
      </c>
      <c r="H212" s="22">
        <f t="shared" si="90"/>
        <v>0</v>
      </c>
      <c r="I212" s="22">
        <f t="shared" si="90"/>
        <v>0</v>
      </c>
      <c r="J212" s="22">
        <f t="shared" si="90"/>
        <v>0</v>
      </c>
      <c r="K212" s="22">
        <f t="shared" si="90"/>
        <v>0</v>
      </c>
      <c r="L212" s="22">
        <f t="shared" si="90"/>
        <v>0</v>
      </c>
      <c r="M212" s="22">
        <f t="shared" si="90"/>
        <v>0</v>
      </c>
      <c r="N212" s="22">
        <f t="shared" si="90"/>
        <v>0</v>
      </c>
      <c r="O212" s="22">
        <f t="shared" si="90"/>
        <v>0</v>
      </c>
      <c r="P212" s="22">
        <f t="shared" si="90"/>
        <v>0</v>
      </c>
      <c r="Q212" s="22">
        <f>SUM(Q210:Q211)</f>
        <v>0</v>
      </c>
      <c r="R212" s="22">
        <f t="shared" ref="R212" si="91">SUM(R210:R211)</f>
        <v>0</v>
      </c>
      <c r="S212" s="22">
        <f>SUM(S210:S211)</f>
        <v>0</v>
      </c>
      <c r="T212" s="109"/>
      <c r="U212" s="113"/>
      <c r="V212" s="113"/>
    </row>
    <row r="213" spans="4:24">
      <c r="D213" s="126">
        <v>2</v>
      </c>
      <c r="E213" s="21" t="s">
        <v>78</v>
      </c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2">
        <f>SUM(F213:P213)</f>
        <v>0</v>
      </c>
      <c r="R213" s="24"/>
      <c r="S213" s="22">
        <f t="shared" ref="S213:S214" si="92">Q213+R213</f>
        <v>0</v>
      </c>
      <c r="T213" s="109" t="s">
        <v>117</v>
      </c>
      <c r="U213" s="113" t="s">
        <v>117</v>
      </c>
      <c r="V213" s="113" t="s">
        <v>117</v>
      </c>
      <c r="X213" s="19">
        <f>Q213*0.1</f>
        <v>0</v>
      </c>
    </row>
    <row r="214" spans="4:24">
      <c r="D214" s="126"/>
      <c r="E214" s="21" t="s">
        <v>24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2">
        <f>SUM(F214:P214)</f>
        <v>0</v>
      </c>
      <c r="R214" s="24"/>
      <c r="S214" s="22">
        <f t="shared" si="92"/>
        <v>0</v>
      </c>
      <c r="T214" s="109"/>
      <c r="U214" s="113"/>
      <c r="V214" s="113"/>
    </row>
    <row r="215" spans="4:24">
      <c r="D215" s="126"/>
      <c r="E215" s="21" t="s">
        <v>25</v>
      </c>
      <c r="F215" s="22">
        <f>SUM(F213:F214)</f>
        <v>0</v>
      </c>
      <c r="G215" s="22">
        <f t="shared" ref="G215:R215" si="93">SUM(G213:G214)</f>
        <v>0</v>
      </c>
      <c r="H215" s="22">
        <f t="shared" si="93"/>
        <v>0</v>
      </c>
      <c r="I215" s="22">
        <f t="shared" si="93"/>
        <v>0</v>
      </c>
      <c r="J215" s="22">
        <f t="shared" si="93"/>
        <v>0</v>
      </c>
      <c r="K215" s="22">
        <f t="shared" si="93"/>
        <v>0</v>
      </c>
      <c r="L215" s="22">
        <f t="shared" si="93"/>
        <v>0</v>
      </c>
      <c r="M215" s="22">
        <f t="shared" si="93"/>
        <v>0</v>
      </c>
      <c r="N215" s="22">
        <f t="shared" si="93"/>
        <v>0</v>
      </c>
      <c r="O215" s="22">
        <f t="shared" si="93"/>
        <v>0</v>
      </c>
      <c r="P215" s="22">
        <f t="shared" si="93"/>
        <v>0</v>
      </c>
      <c r="Q215" s="22">
        <f t="shared" si="93"/>
        <v>0</v>
      </c>
      <c r="R215" s="22">
        <f t="shared" si="93"/>
        <v>0</v>
      </c>
      <c r="S215" s="22">
        <f>SUM(S213:S214)</f>
        <v>0</v>
      </c>
      <c r="T215" s="109"/>
      <c r="U215" s="113"/>
      <c r="V215" s="113"/>
    </row>
    <row r="216" spans="4:24">
      <c r="D216" s="126">
        <v>3</v>
      </c>
      <c r="E216" s="21" t="s">
        <v>78</v>
      </c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2">
        <f>SUM(F216:P216)</f>
        <v>0</v>
      </c>
      <c r="R216" s="24"/>
      <c r="S216" s="22">
        <f t="shared" ref="S216:S217" si="94">Q216+R216</f>
        <v>0</v>
      </c>
      <c r="T216" s="109" t="s">
        <v>117</v>
      </c>
      <c r="U216" s="113" t="s">
        <v>117</v>
      </c>
      <c r="V216" s="113" t="s">
        <v>117</v>
      </c>
      <c r="X216" s="19">
        <f>Q216*0.1</f>
        <v>0</v>
      </c>
    </row>
    <row r="217" spans="4:24">
      <c r="D217" s="126"/>
      <c r="E217" s="21" t="s">
        <v>24</v>
      </c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2">
        <f>SUM(F217:P217)</f>
        <v>0</v>
      </c>
      <c r="R217" s="24"/>
      <c r="S217" s="22">
        <f t="shared" si="94"/>
        <v>0</v>
      </c>
      <c r="T217" s="109"/>
      <c r="U217" s="113"/>
      <c r="V217" s="113"/>
    </row>
    <row r="218" spans="4:24">
      <c r="D218" s="126"/>
      <c r="E218" s="21" t="s">
        <v>25</v>
      </c>
      <c r="F218" s="22">
        <f>SUM(F216:F217)</f>
        <v>0</v>
      </c>
      <c r="G218" s="22">
        <f t="shared" ref="G218:R218" si="95">SUM(G216:G217)</f>
        <v>0</v>
      </c>
      <c r="H218" s="22">
        <f t="shared" si="95"/>
        <v>0</v>
      </c>
      <c r="I218" s="22">
        <f t="shared" si="95"/>
        <v>0</v>
      </c>
      <c r="J218" s="22">
        <f t="shared" si="95"/>
        <v>0</v>
      </c>
      <c r="K218" s="22">
        <f t="shared" si="95"/>
        <v>0</v>
      </c>
      <c r="L218" s="22">
        <f t="shared" si="95"/>
        <v>0</v>
      </c>
      <c r="M218" s="22">
        <f t="shared" si="95"/>
        <v>0</v>
      </c>
      <c r="N218" s="22">
        <f t="shared" si="95"/>
        <v>0</v>
      </c>
      <c r="O218" s="22">
        <f t="shared" si="95"/>
        <v>0</v>
      </c>
      <c r="P218" s="22">
        <f t="shared" si="95"/>
        <v>0</v>
      </c>
      <c r="Q218" s="22">
        <f t="shared" si="95"/>
        <v>0</v>
      </c>
      <c r="R218" s="22">
        <f t="shared" si="95"/>
        <v>0</v>
      </c>
      <c r="S218" s="22">
        <f>SUM(S216:S217)</f>
        <v>0</v>
      </c>
      <c r="T218" s="109"/>
      <c r="U218" s="113"/>
      <c r="V218" s="113"/>
    </row>
    <row r="219" spans="4:24">
      <c r="D219" s="126">
        <v>4</v>
      </c>
      <c r="E219" s="21" t="s">
        <v>78</v>
      </c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2">
        <f>SUM(F219:P219)</f>
        <v>0</v>
      </c>
      <c r="R219" s="24"/>
      <c r="S219" s="22">
        <f t="shared" ref="S219:S220" si="96">Q219+R219</f>
        <v>0</v>
      </c>
      <c r="T219" s="109" t="s">
        <v>117</v>
      </c>
      <c r="U219" s="113" t="s">
        <v>117</v>
      </c>
      <c r="V219" s="113" t="s">
        <v>117</v>
      </c>
      <c r="X219" s="19">
        <f>Q219*0.1</f>
        <v>0</v>
      </c>
    </row>
    <row r="220" spans="4:24">
      <c r="D220" s="126"/>
      <c r="E220" s="21" t="s">
        <v>24</v>
      </c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2">
        <f>SUM(F220:P220)</f>
        <v>0</v>
      </c>
      <c r="R220" s="24"/>
      <c r="S220" s="22">
        <f t="shared" si="96"/>
        <v>0</v>
      </c>
      <c r="T220" s="109"/>
      <c r="U220" s="113"/>
      <c r="V220" s="113"/>
    </row>
    <row r="221" spans="4:24">
      <c r="D221" s="126"/>
      <c r="E221" s="21" t="s">
        <v>25</v>
      </c>
      <c r="F221" s="22">
        <f>SUM(F219:F220)</f>
        <v>0</v>
      </c>
      <c r="G221" s="22">
        <f t="shared" ref="G221:R221" si="97">SUM(G219:G220)</f>
        <v>0</v>
      </c>
      <c r="H221" s="22">
        <f t="shared" si="97"/>
        <v>0</v>
      </c>
      <c r="I221" s="22">
        <f t="shared" si="97"/>
        <v>0</v>
      </c>
      <c r="J221" s="22">
        <f t="shared" si="97"/>
        <v>0</v>
      </c>
      <c r="K221" s="22">
        <f t="shared" si="97"/>
        <v>0</v>
      </c>
      <c r="L221" s="22">
        <f t="shared" si="97"/>
        <v>0</v>
      </c>
      <c r="M221" s="22">
        <f t="shared" si="97"/>
        <v>0</v>
      </c>
      <c r="N221" s="22">
        <f t="shared" si="97"/>
        <v>0</v>
      </c>
      <c r="O221" s="22">
        <f t="shared" si="97"/>
        <v>0</v>
      </c>
      <c r="P221" s="22">
        <f t="shared" si="97"/>
        <v>0</v>
      </c>
      <c r="Q221" s="22">
        <f t="shared" si="97"/>
        <v>0</v>
      </c>
      <c r="R221" s="22">
        <f t="shared" si="97"/>
        <v>0</v>
      </c>
      <c r="S221" s="22">
        <f>SUM(S219:S220)</f>
        <v>0</v>
      </c>
      <c r="T221" s="109"/>
      <c r="U221" s="113"/>
      <c r="V221" s="113"/>
    </row>
    <row r="222" spans="4:24">
      <c r="D222" s="126">
        <v>5</v>
      </c>
      <c r="E222" s="21" t="s">
        <v>78</v>
      </c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2">
        <f>SUM(F222:P222)</f>
        <v>0</v>
      </c>
      <c r="R222" s="24"/>
      <c r="S222" s="22">
        <f t="shared" ref="S222:S223" si="98">Q222+R222</f>
        <v>0</v>
      </c>
      <c r="T222" s="109" t="s">
        <v>117</v>
      </c>
      <c r="U222" s="113" t="s">
        <v>117</v>
      </c>
      <c r="V222" s="113" t="s">
        <v>117</v>
      </c>
      <c r="X222" s="19">
        <f>Q222*0.2205</f>
        <v>0</v>
      </c>
    </row>
    <row r="223" spans="4:24">
      <c r="D223" s="126"/>
      <c r="E223" s="21" t="s">
        <v>24</v>
      </c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2">
        <f>SUM(F223:P223)</f>
        <v>0</v>
      </c>
      <c r="R223" s="24"/>
      <c r="S223" s="22">
        <f t="shared" si="98"/>
        <v>0</v>
      </c>
      <c r="T223" s="109"/>
      <c r="U223" s="113"/>
      <c r="V223" s="113"/>
    </row>
    <row r="224" spans="4:24">
      <c r="D224" s="126"/>
      <c r="E224" s="21" t="s">
        <v>25</v>
      </c>
      <c r="F224" s="22">
        <f>SUM(F222:F223)</f>
        <v>0</v>
      </c>
      <c r="G224" s="22">
        <f t="shared" ref="G224:Q224" si="99">SUM(G222:G223)</f>
        <v>0</v>
      </c>
      <c r="H224" s="22">
        <f t="shared" si="99"/>
        <v>0</v>
      </c>
      <c r="I224" s="22">
        <f t="shared" si="99"/>
        <v>0</v>
      </c>
      <c r="J224" s="22">
        <f t="shared" si="99"/>
        <v>0</v>
      </c>
      <c r="K224" s="22">
        <f t="shared" si="99"/>
        <v>0</v>
      </c>
      <c r="L224" s="22">
        <f t="shared" si="99"/>
        <v>0</v>
      </c>
      <c r="M224" s="22">
        <f t="shared" si="99"/>
        <v>0</v>
      </c>
      <c r="N224" s="22">
        <f t="shared" si="99"/>
        <v>0</v>
      </c>
      <c r="O224" s="22">
        <f t="shared" si="99"/>
        <v>0</v>
      </c>
      <c r="P224" s="22">
        <f t="shared" si="99"/>
        <v>0</v>
      </c>
      <c r="Q224" s="22">
        <f t="shared" si="99"/>
        <v>0</v>
      </c>
      <c r="R224" s="22">
        <f>SUM(R222:R223)</f>
        <v>0</v>
      </c>
      <c r="S224" s="22">
        <f>SUM(S222:S223)</f>
        <v>0</v>
      </c>
      <c r="T224" s="109"/>
      <c r="U224" s="113"/>
      <c r="V224" s="113"/>
    </row>
    <row r="225" spans="4:24">
      <c r="D225" s="126" t="s">
        <v>43</v>
      </c>
      <c r="E225" s="21" t="s">
        <v>78</v>
      </c>
      <c r="F225" s="22">
        <f>F210+F213+F216+F219+F222</f>
        <v>0</v>
      </c>
      <c r="G225" s="22">
        <f t="shared" ref="G225:S225" si="100">G210+G213+G216+G219+G222</f>
        <v>0</v>
      </c>
      <c r="H225" s="22">
        <f t="shared" si="100"/>
        <v>0</v>
      </c>
      <c r="I225" s="22">
        <f t="shared" si="100"/>
        <v>0</v>
      </c>
      <c r="J225" s="22">
        <f t="shared" si="100"/>
        <v>0</v>
      </c>
      <c r="K225" s="22">
        <f t="shared" si="100"/>
        <v>0</v>
      </c>
      <c r="L225" s="22">
        <f t="shared" si="100"/>
        <v>0</v>
      </c>
      <c r="M225" s="22">
        <f t="shared" si="100"/>
        <v>0</v>
      </c>
      <c r="N225" s="22">
        <f t="shared" si="100"/>
        <v>0</v>
      </c>
      <c r="O225" s="22">
        <f t="shared" si="100"/>
        <v>0</v>
      </c>
      <c r="P225" s="22">
        <f t="shared" si="100"/>
        <v>0</v>
      </c>
      <c r="Q225" s="22">
        <f t="shared" si="100"/>
        <v>0</v>
      </c>
      <c r="R225" s="22">
        <f t="shared" si="100"/>
        <v>0</v>
      </c>
      <c r="S225" s="22">
        <f t="shared" si="100"/>
        <v>0</v>
      </c>
      <c r="T225" s="109" t="s">
        <v>117</v>
      </c>
      <c r="U225" s="113" t="s">
        <v>117</v>
      </c>
      <c r="V225" s="113" t="s">
        <v>117</v>
      </c>
      <c r="X225" s="19">
        <f>Q225*0.1</f>
        <v>0</v>
      </c>
    </row>
    <row r="226" spans="4:24">
      <c r="D226" s="126"/>
      <c r="E226" s="21" t="s">
        <v>24</v>
      </c>
      <c r="F226" s="22">
        <f t="shared" ref="F226:S227" si="101">F211+F214+F217+F220+F223</f>
        <v>0</v>
      </c>
      <c r="G226" s="22">
        <f t="shared" si="101"/>
        <v>0</v>
      </c>
      <c r="H226" s="22">
        <f t="shared" si="101"/>
        <v>0</v>
      </c>
      <c r="I226" s="22">
        <f t="shared" si="101"/>
        <v>0</v>
      </c>
      <c r="J226" s="22">
        <f t="shared" si="101"/>
        <v>0</v>
      </c>
      <c r="K226" s="22">
        <f t="shared" si="101"/>
        <v>0</v>
      </c>
      <c r="L226" s="22">
        <f t="shared" si="101"/>
        <v>0</v>
      </c>
      <c r="M226" s="22">
        <f t="shared" si="101"/>
        <v>0</v>
      </c>
      <c r="N226" s="22">
        <f t="shared" si="101"/>
        <v>0</v>
      </c>
      <c r="O226" s="22">
        <f t="shared" si="101"/>
        <v>0</v>
      </c>
      <c r="P226" s="22">
        <f t="shared" si="101"/>
        <v>0</v>
      </c>
      <c r="Q226" s="22">
        <f t="shared" si="101"/>
        <v>0</v>
      </c>
      <c r="R226" s="22">
        <f t="shared" si="101"/>
        <v>0</v>
      </c>
      <c r="S226" s="22">
        <f t="shared" si="101"/>
        <v>0</v>
      </c>
      <c r="T226" s="109"/>
      <c r="U226" s="113"/>
      <c r="V226" s="113"/>
    </row>
    <row r="227" spans="4:24">
      <c r="D227" s="126"/>
      <c r="E227" s="21" t="s">
        <v>69</v>
      </c>
      <c r="F227" s="22">
        <f t="shared" si="101"/>
        <v>0</v>
      </c>
      <c r="G227" s="22">
        <f t="shared" si="101"/>
        <v>0</v>
      </c>
      <c r="H227" s="22">
        <f t="shared" si="101"/>
        <v>0</v>
      </c>
      <c r="I227" s="22">
        <f t="shared" si="101"/>
        <v>0</v>
      </c>
      <c r="J227" s="22">
        <f t="shared" si="101"/>
        <v>0</v>
      </c>
      <c r="K227" s="22">
        <f t="shared" si="101"/>
        <v>0</v>
      </c>
      <c r="L227" s="22">
        <f t="shared" si="101"/>
        <v>0</v>
      </c>
      <c r="M227" s="22">
        <f t="shared" si="101"/>
        <v>0</v>
      </c>
      <c r="N227" s="22">
        <f t="shared" si="101"/>
        <v>0</v>
      </c>
      <c r="O227" s="22">
        <f t="shared" si="101"/>
        <v>0</v>
      </c>
      <c r="P227" s="22">
        <f t="shared" si="101"/>
        <v>0</v>
      </c>
      <c r="Q227" s="22">
        <f t="shared" si="101"/>
        <v>0</v>
      </c>
      <c r="R227" s="22">
        <f t="shared" si="101"/>
        <v>0</v>
      </c>
      <c r="S227" s="22">
        <f t="shared" si="101"/>
        <v>0</v>
      </c>
      <c r="T227" s="109"/>
      <c r="U227" s="113"/>
      <c r="V227" s="113"/>
    </row>
    <row r="229" spans="4:24">
      <c r="D229" s="119" t="s">
        <v>162</v>
      </c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</row>
    <row r="230" spans="4:24">
      <c r="U230" s="127" t="s">
        <v>143</v>
      </c>
      <c r="V230" s="127"/>
    </row>
    <row r="231" spans="4:24">
      <c r="D231" s="107" t="s">
        <v>68</v>
      </c>
      <c r="E231" s="107"/>
      <c r="F231" s="107" t="s">
        <v>129</v>
      </c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9" t="s">
        <v>117</v>
      </c>
      <c r="U231" s="107" t="s">
        <v>107</v>
      </c>
      <c r="V231" s="107" t="s">
        <v>19</v>
      </c>
    </row>
    <row r="232" spans="4:24">
      <c r="D232" s="107"/>
      <c r="E232" s="107"/>
      <c r="F232" s="107" t="s">
        <v>46</v>
      </c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 t="s">
        <v>134</v>
      </c>
      <c r="S232" s="107" t="s">
        <v>69</v>
      </c>
      <c r="T232" s="109"/>
      <c r="U232" s="107"/>
      <c r="V232" s="107"/>
    </row>
    <row r="233" spans="4:24">
      <c r="D233" s="107"/>
      <c r="E233" s="107"/>
      <c r="F233" s="107" t="s">
        <v>121</v>
      </c>
      <c r="G233" s="107" t="s">
        <v>52</v>
      </c>
      <c r="H233" s="107"/>
      <c r="I233" s="107" t="s">
        <v>76</v>
      </c>
      <c r="J233" s="107"/>
      <c r="K233" s="107" t="s">
        <v>149</v>
      </c>
      <c r="L233" s="107" t="s">
        <v>105</v>
      </c>
      <c r="M233" s="107" t="s">
        <v>88</v>
      </c>
      <c r="N233" s="107" t="s">
        <v>35</v>
      </c>
      <c r="O233" s="107" t="s">
        <v>33</v>
      </c>
      <c r="P233" s="107" t="s">
        <v>30</v>
      </c>
      <c r="Q233" s="107" t="s">
        <v>25</v>
      </c>
      <c r="R233" s="107"/>
      <c r="S233" s="107"/>
      <c r="T233" s="109"/>
      <c r="U233" s="107"/>
      <c r="V233" s="107"/>
    </row>
    <row r="234" spans="4:24">
      <c r="D234" s="107"/>
      <c r="E234" s="107"/>
      <c r="F234" s="107"/>
      <c r="G234" s="20" t="s">
        <v>83</v>
      </c>
      <c r="H234" s="20" t="s">
        <v>102</v>
      </c>
      <c r="I234" s="20" t="s">
        <v>83</v>
      </c>
      <c r="J234" s="20" t="s">
        <v>102</v>
      </c>
      <c r="K234" s="107"/>
      <c r="L234" s="107"/>
      <c r="M234" s="107"/>
      <c r="N234" s="107"/>
      <c r="O234" s="107"/>
      <c r="P234" s="107"/>
      <c r="Q234" s="107"/>
      <c r="R234" s="107"/>
      <c r="S234" s="107"/>
      <c r="T234" s="109"/>
      <c r="U234" s="107"/>
      <c r="V234" s="107"/>
    </row>
    <row r="235" spans="4:24">
      <c r="D235" s="126">
        <v>1</v>
      </c>
      <c r="E235" s="21" t="s">
        <v>78</v>
      </c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2">
        <f>SUM(F235:P235)</f>
        <v>0</v>
      </c>
      <c r="R235" s="24"/>
      <c r="S235" s="22">
        <f>Q235+R235</f>
        <v>0</v>
      </c>
      <c r="T235" s="109" t="s">
        <v>117</v>
      </c>
      <c r="U235" s="113" t="s">
        <v>117</v>
      </c>
      <c r="V235" s="113" t="s">
        <v>117</v>
      </c>
      <c r="X235" s="19">
        <f>Q235*0.1</f>
        <v>0</v>
      </c>
    </row>
    <row r="236" spans="4:24">
      <c r="D236" s="126"/>
      <c r="E236" s="21" t="s">
        <v>24</v>
      </c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2">
        <f>SUM(F236:P236)</f>
        <v>0</v>
      </c>
      <c r="R236" s="24"/>
      <c r="S236" s="22">
        <f>Q236+R236</f>
        <v>0</v>
      </c>
      <c r="T236" s="109"/>
      <c r="U236" s="113"/>
      <c r="V236" s="113"/>
    </row>
    <row r="237" spans="4:24">
      <c r="D237" s="126"/>
      <c r="E237" s="21" t="s">
        <v>25</v>
      </c>
      <c r="F237" s="22">
        <f t="shared" ref="F237:P237" si="102">SUM(F235:F236)</f>
        <v>0</v>
      </c>
      <c r="G237" s="22">
        <f t="shared" si="102"/>
        <v>0</v>
      </c>
      <c r="H237" s="22">
        <f t="shared" si="102"/>
        <v>0</v>
      </c>
      <c r="I237" s="22">
        <f t="shared" si="102"/>
        <v>0</v>
      </c>
      <c r="J237" s="22">
        <f t="shared" si="102"/>
        <v>0</v>
      </c>
      <c r="K237" s="22">
        <f t="shared" si="102"/>
        <v>0</v>
      </c>
      <c r="L237" s="22">
        <f t="shared" si="102"/>
        <v>0</v>
      </c>
      <c r="M237" s="22">
        <f t="shared" si="102"/>
        <v>0</v>
      </c>
      <c r="N237" s="22">
        <f t="shared" si="102"/>
        <v>0</v>
      </c>
      <c r="O237" s="22">
        <f t="shared" si="102"/>
        <v>0</v>
      </c>
      <c r="P237" s="22">
        <f t="shared" si="102"/>
        <v>0</v>
      </c>
      <c r="Q237" s="22">
        <f>SUM(Q235:Q236)</f>
        <v>0</v>
      </c>
      <c r="R237" s="22">
        <f t="shared" ref="R237" si="103">SUM(R235:R236)</f>
        <v>0</v>
      </c>
      <c r="S237" s="22">
        <f>SUM(S235:S236)</f>
        <v>0</v>
      </c>
      <c r="T237" s="109"/>
      <c r="U237" s="113"/>
      <c r="V237" s="113"/>
    </row>
    <row r="238" spans="4:24">
      <c r="D238" s="126">
        <v>2</v>
      </c>
      <c r="E238" s="21" t="s">
        <v>78</v>
      </c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2">
        <f>SUM(F238:P238)</f>
        <v>0</v>
      </c>
      <c r="R238" s="24"/>
      <c r="S238" s="22">
        <f t="shared" ref="S238:S239" si="104">Q238+R238</f>
        <v>0</v>
      </c>
      <c r="T238" s="109" t="s">
        <v>117</v>
      </c>
      <c r="U238" s="113" t="s">
        <v>117</v>
      </c>
      <c r="V238" s="113" t="s">
        <v>117</v>
      </c>
      <c r="X238" s="19">
        <f>Q238*0.1</f>
        <v>0</v>
      </c>
    </row>
    <row r="239" spans="4:24">
      <c r="D239" s="126"/>
      <c r="E239" s="21" t="s">
        <v>24</v>
      </c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2">
        <f>SUM(F239:P239)</f>
        <v>0</v>
      </c>
      <c r="R239" s="24"/>
      <c r="S239" s="22">
        <f t="shared" si="104"/>
        <v>0</v>
      </c>
      <c r="T239" s="109"/>
      <c r="U239" s="113"/>
      <c r="V239" s="113"/>
    </row>
    <row r="240" spans="4:24">
      <c r="D240" s="126"/>
      <c r="E240" s="21" t="s">
        <v>25</v>
      </c>
      <c r="F240" s="22">
        <f>SUM(F238:F239)</f>
        <v>0</v>
      </c>
      <c r="G240" s="22">
        <f t="shared" ref="G240:R240" si="105">SUM(G238:G239)</f>
        <v>0</v>
      </c>
      <c r="H240" s="22">
        <f t="shared" si="105"/>
        <v>0</v>
      </c>
      <c r="I240" s="22">
        <f t="shared" si="105"/>
        <v>0</v>
      </c>
      <c r="J240" s="22">
        <f t="shared" si="105"/>
        <v>0</v>
      </c>
      <c r="K240" s="22">
        <f t="shared" si="105"/>
        <v>0</v>
      </c>
      <c r="L240" s="22">
        <f t="shared" si="105"/>
        <v>0</v>
      </c>
      <c r="M240" s="22">
        <f t="shared" si="105"/>
        <v>0</v>
      </c>
      <c r="N240" s="22">
        <f t="shared" si="105"/>
        <v>0</v>
      </c>
      <c r="O240" s="22">
        <f t="shared" si="105"/>
        <v>0</v>
      </c>
      <c r="P240" s="22">
        <f t="shared" si="105"/>
        <v>0</v>
      </c>
      <c r="Q240" s="22">
        <f t="shared" si="105"/>
        <v>0</v>
      </c>
      <c r="R240" s="22">
        <f t="shared" si="105"/>
        <v>0</v>
      </c>
      <c r="S240" s="22">
        <f>SUM(S238:S239)</f>
        <v>0</v>
      </c>
      <c r="T240" s="109"/>
      <c r="U240" s="113"/>
      <c r="V240" s="113"/>
    </row>
    <row r="241" spans="4:24">
      <c r="D241" s="126">
        <v>3</v>
      </c>
      <c r="E241" s="21" t="s">
        <v>78</v>
      </c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2">
        <f>SUM(F241:P241)</f>
        <v>0</v>
      </c>
      <c r="R241" s="24"/>
      <c r="S241" s="22">
        <f t="shared" ref="S241:S242" si="106">Q241+R241</f>
        <v>0</v>
      </c>
      <c r="T241" s="109" t="s">
        <v>117</v>
      </c>
      <c r="U241" s="113" t="s">
        <v>117</v>
      </c>
      <c r="V241" s="113" t="s">
        <v>117</v>
      </c>
      <c r="X241" s="19">
        <f>Q241*0.1</f>
        <v>0</v>
      </c>
    </row>
    <row r="242" spans="4:24">
      <c r="D242" s="126"/>
      <c r="E242" s="21" t="s">
        <v>24</v>
      </c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2">
        <f>SUM(F242:P242)</f>
        <v>0</v>
      </c>
      <c r="R242" s="24"/>
      <c r="S242" s="22">
        <f t="shared" si="106"/>
        <v>0</v>
      </c>
      <c r="T242" s="109"/>
      <c r="U242" s="113"/>
      <c r="V242" s="113"/>
    </row>
    <row r="243" spans="4:24">
      <c r="D243" s="126"/>
      <c r="E243" s="21" t="s">
        <v>25</v>
      </c>
      <c r="F243" s="22">
        <f>SUM(F241:F242)</f>
        <v>0</v>
      </c>
      <c r="G243" s="22">
        <f t="shared" ref="G243:R243" si="107">SUM(G241:G242)</f>
        <v>0</v>
      </c>
      <c r="H243" s="22">
        <f t="shared" si="107"/>
        <v>0</v>
      </c>
      <c r="I243" s="22">
        <f t="shared" si="107"/>
        <v>0</v>
      </c>
      <c r="J243" s="22">
        <f t="shared" si="107"/>
        <v>0</v>
      </c>
      <c r="K243" s="22">
        <f t="shared" si="107"/>
        <v>0</v>
      </c>
      <c r="L243" s="22">
        <f t="shared" si="107"/>
        <v>0</v>
      </c>
      <c r="M243" s="22">
        <f t="shared" si="107"/>
        <v>0</v>
      </c>
      <c r="N243" s="22">
        <f t="shared" si="107"/>
        <v>0</v>
      </c>
      <c r="O243" s="22">
        <f t="shared" si="107"/>
        <v>0</v>
      </c>
      <c r="P243" s="22">
        <f t="shared" si="107"/>
        <v>0</v>
      </c>
      <c r="Q243" s="22">
        <f t="shared" si="107"/>
        <v>0</v>
      </c>
      <c r="R243" s="22">
        <f t="shared" si="107"/>
        <v>0</v>
      </c>
      <c r="S243" s="22">
        <f>SUM(S241:S242)</f>
        <v>0</v>
      </c>
      <c r="T243" s="109"/>
      <c r="U243" s="113"/>
      <c r="V243" s="113"/>
    </row>
    <row r="244" spans="4:24">
      <c r="D244" s="126">
        <v>4</v>
      </c>
      <c r="E244" s="21" t="s">
        <v>78</v>
      </c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2">
        <f>SUM(F244:P244)</f>
        <v>0</v>
      </c>
      <c r="R244" s="24"/>
      <c r="S244" s="22">
        <f t="shared" ref="S244:S245" si="108">Q244+R244</f>
        <v>0</v>
      </c>
      <c r="T244" s="109" t="s">
        <v>117</v>
      </c>
      <c r="U244" s="113" t="s">
        <v>117</v>
      </c>
      <c r="V244" s="113" t="s">
        <v>117</v>
      </c>
      <c r="X244" s="19">
        <f>Q244*0.1</f>
        <v>0</v>
      </c>
    </row>
    <row r="245" spans="4:24">
      <c r="D245" s="126"/>
      <c r="E245" s="21" t="s">
        <v>24</v>
      </c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2">
        <f>SUM(F245:P245)</f>
        <v>0</v>
      </c>
      <c r="R245" s="24"/>
      <c r="S245" s="22">
        <f t="shared" si="108"/>
        <v>0</v>
      </c>
      <c r="T245" s="109"/>
      <c r="U245" s="113"/>
      <c r="V245" s="113"/>
    </row>
    <row r="246" spans="4:24">
      <c r="D246" s="126"/>
      <c r="E246" s="21" t="s">
        <v>25</v>
      </c>
      <c r="F246" s="22">
        <f>SUM(F244:F245)</f>
        <v>0</v>
      </c>
      <c r="G246" s="22">
        <f t="shared" ref="G246:R246" si="109">SUM(G244:G245)</f>
        <v>0</v>
      </c>
      <c r="H246" s="22">
        <f t="shared" si="109"/>
        <v>0</v>
      </c>
      <c r="I246" s="22">
        <f t="shared" si="109"/>
        <v>0</v>
      </c>
      <c r="J246" s="22">
        <f t="shared" si="109"/>
        <v>0</v>
      </c>
      <c r="K246" s="22">
        <f t="shared" si="109"/>
        <v>0</v>
      </c>
      <c r="L246" s="22">
        <f t="shared" si="109"/>
        <v>0</v>
      </c>
      <c r="M246" s="22">
        <f t="shared" si="109"/>
        <v>0</v>
      </c>
      <c r="N246" s="22">
        <f t="shared" si="109"/>
        <v>0</v>
      </c>
      <c r="O246" s="22">
        <f t="shared" si="109"/>
        <v>0</v>
      </c>
      <c r="P246" s="22">
        <f t="shared" si="109"/>
        <v>0</v>
      </c>
      <c r="Q246" s="22">
        <f t="shared" si="109"/>
        <v>0</v>
      </c>
      <c r="R246" s="22">
        <f t="shared" si="109"/>
        <v>0</v>
      </c>
      <c r="S246" s="22">
        <f>SUM(S244:S245)</f>
        <v>0</v>
      </c>
      <c r="T246" s="109"/>
      <c r="U246" s="113"/>
      <c r="V246" s="113"/>
    </row>
    <row r="247" spans="4:24">
      <c r="D247" s="126">
        <v>5</v>
      </c>
      <c r="E247" s="21" t="s">
        <v>78</v>
      </c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2">
        <f>SUM(F247:P247)</f>
        <v>0</v>
      </c>
      <c r="R247" s="24"/>
      <c r="S247" s="22">
        <f t="shared" ref="S247:S248" si="110">Q247+R247</f>
        <v>0</v>
      </c>
      <c r="T247" s="109" t="s">
        <v>117</v>
      </c>
      <c r="U247" s="113" t="s">
        <v>117</v>
      </c>
      <c r="V247" s="113" t="s">
        <v>117</v>
      </c>
      <c r="X247" s="19">
        <f>Q247*0.2205</f>
        <v>0</v>
      </c>
    </row>
    <row r="248" spans="4:24">
      <c r="D248" s="126"/>
      <c r="E248" s="21" t="s">
        <v>24</v>
      </c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2">
        <f>SUM(F248:P248)</f>
        <v>0</v>
      </c>
      <c r="R248" s="24"/>
      <c r="S248" s="22">
        <f t="shared" si="110"/>
        <v>0</v>
      </c>
      <c r="T248" s="109"/>
      <c r="U248" s="113"/>
      <c r="V248" s="113"/>
    </row>
    <row r="249" spans="4:24">
      <c r="D249" s="126"/>
      <c r="E249" s="21" t="s">
        <v>25</v>
      </c>
      <c r="F249" s="22">
        <f>SUM(F247:F248)</f>
        <v>0</v>
      </c>
      <c r="G249" s="22">
        <f t="shared" ref="G249:Q249" si="111">SUM(G247:G248)</f>
        <v>0</v>
      </c>
      <c r="H249" s="22">
        <f t="shared" si="111"/>
        <v>0</v>
      </c>
      <c r="I249" s="22">
        <f t="shared" si="111"/>
        <v>0</v>
      </c>
      <c r="J249" s="22">
        <f t="shared" si="111"/>
        <v>0</v>
      </c>
      <c r="K249" s="22">
        <f t="shared" si="111"/>
        <v>0</v>
      </c>
      <c r="L249" s="22">
        <f t="shared" si="111"/>
        <v>0</v>
      </c>
      <c r="M249" s="22">
        <f t="shared" si="111"/>
        <v>0</v>
      </c>
      <c r="N249" s="22">
        <f t="shared" si="111"/>
        <v>0</v>
      </c>
      <c r="O249" s="22">
        <f t="shared" si="111"/>
        <v>0</v>
      </c>
      <c r="P249" s="22">
        <f t="shared" si="111"/>
        <v>0</v>
      </c>
      <c r="Q249" s="22">
        <f t="shared" si="111"/>
        <v>0</v>
      </c>
      <c r="R249" s="22">
        <f>SUM(R247:R248)</f>
        <v>0</v>
      </c>
      <c r="S249" s="22">
        <f>SUM(S247:S248)</f>
        <v>0</v>
      </c>
      <c r="T249" s="109"/>
      <c r="U249" s="113"/>
      <c r="V249" s="113"/>
    </row>
    <row r="250" spans="4:24">
      <c r="D250" s="126" t="s">
        <v>43</v>
      </c>
      <c r="E250" s="21" t="s">
        <v>78</v>
      </c>
      <c r="F250" s="22">
        <f>F235+F238+F241+F244+F247</f>
        <v>0</v>
      </c>
      <c r="G250" s="22">
        <f t="shared" ref="G250:S250" si="112">G235+G238+G241+G244+G247</f>
        <v>0</v>
      </c>
      <c r="H250" s="22">
        <f t="shared" si="112"/>
        <v>0</v>
      </c>
      <c r="I250" s="22">
        <f t="shared" si="112"/>
        <v>0</v>
      </c>
      <c r="J250" s="22">
        <f t="shared" si="112"/>
        <v>0</v>
      </c>
      <c r="K250" s="22">
        <f t="shared" si="112"/>
        <v>0</v>
      </c>
      <c r="L250" s="22">
        <f t="shared" si="112"/>
        <v>0</v>
      </c>
      <c r="M250" s="22">
        <f t="shared" si="112"/>
        <v>0</v>
      </c>
      <c r="N250" s="22">
        <f t="shared" si="112"/>
        <v>0</v>
      </c>
      <c r="O250" s="22">
        <f t="shared" si="112"/>
        <v>0</v>
      </c>
      <c r="P250" s="22">
        <f t="shared" si="112"/>
        <v>0</v>
      </c>
      <c r="Q250" s="22">
        <f t="shared" si="112"/>
        <v>0</v>
      </c>
      <c r="R250" s="22">
        <f t="shared" si="112"/>
        <v>0</v>
      </c>
      <c r="S250" s="22">
        <f t="shared" si="112"/>
        <v>0</v>
      </c>
      <c r="T250" s="109" t="s">
        <v>117</v>
      </c>
      <c r="U250" s="113" t="s">
        <v>117</v>
      </c>
      <c r="V250" s="113" t="s">
        <v>117</v>
      </c>
      <c r="X250" s="19">
        <f>Q250*0.1</f>
        <v>0</v>
      </c>
    </row>
    <row r="251" spans="4:24">
      <c r="D251" s="126"/>
      <c r="E251" s="21" t="s">
        <v>24</v>
      </c>
      <c r="F251" s="22">
        <f t="shared" ref="F251:S252" si="113">F236+F239+F242+F245+F248</f>
        <v>0</v>
      </c>
      <c r="G251" s="22">
        <f t="shared" si="113"/>
        <v>0</v>
      </c>
      <c r="H251" s="22">
        <f t="shared" si="113"/>
        <v>0</v>
      </c>
      <c r="I251" s="22">
        <f t="shared" si="113"/>
        <v>0</v>
      </c>
      <c r="J251" s="22">
        <f t="shared" si="113"/>
        <v>0</v>
      </c>
      <c r="K251" s="22">
        <f t="shared" si="113"/>
        <v>0</v>
      </c>
      <c r="L251" s="22">
        <f t="shared" si="113"/>
        <v>0</v>
      </c>
      <c r="M251" s="22">
        <f t="shared" si="113"/>
        <v>0</v>
      </c>
      <c r="N251" s="22">
        <f t="shared" si="113"/>
        <v>0</v>
      </c>
      <c r="O251" s="22">
        <f t="shared" si="113"/>
        <v>0</v>
      </c>
      <c r="P251" s="22">
        <f t="shared" si="113"/>
        <v>0</v>
      </c>
      <c r="Q251" s="22">
        <f t="shared" si="113"/>
        <v>0</v>
      </c>
      <c r="R251" s="22">
        <f t="shared" si="113"/>
        <v>0</v>
      </c>
      <c r="S251" s="22">
        <f t="shared" si="113"/>
        <v>0</v>
      </c>
      <c r="T251" s="109"/>
      <c r="U251" s="113"/>
      <c r="V251" s="113"/>
    </row>
    <row r="252" spans="4:24">
      <c r="D252" s="126"/>
      <c r="E252" s="21" t="s">
        <v>69</v>
      </c>
      <c r="F252" s="22">
        <f t="shared" si="113"/>
        <v>0</v>
      </c>
      <c r="G252" s="22">
        <f t="shared" si="113"/>
        <v>0</v>
      </c>
      <c r="H252" s="22">
        <f t="shared" si="113"/>
        <v>0</v>
      </c>
      <c r="I252" s="22">
        <f t="shared" si="113"/>
        <v>0</v>
      </c>
      <c r="J252" s="22">
        <f t="shared" si="113"/>
        <v>0</v>
      </c>
      <c r="K252" s="22">
        <f t="shared" si="113"/>
        <v>0</v>
      </c>
      <c r="L252" s="22">
        <f t="shared" si="113"/>
        <v>0</v>
      </c>
      <c r="M252" s="22">
        <f t="shared" si="113"/>
        <v>0</v>
      </c>
      <c r="N252" s="22">
        <f t="shared" si="113"/>
        <v>0</v>
      </c>
      <c r="O252" s="22">
        <f t="shared" si="113"/>
        <v>0</v>
      </c>
      <c r="P252" s="22">
        <f t="shared" si="113"/>
        <v>0</v>
      </c>
      <c r="Q252" s="22">
        <f t="shared" si="113"/>
        <v>0</v>
      </c>
      <c r="R252" s="22">
        <f t="shared" si="113"/>
        <v>0</v>
      </c>
      <c r="S252" s="22">
        <f t="shared" si="113"/>
        <v>0</v>
      </c>
      <c r="T252" s="109"/>
      <c r="U252" s="113"/>
      <c r="V252" s="113"/>
    </row>
    <row r="254" spans="4:24">
      <c r="D254" s="119" t="s">
        <v>162</v>
      </c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</row>
    <row r="255" spans="4:24">
      <c r="U255" s="127" t="s">
        <v>143</v>
      </c>
      <c r="V255" s="127"/>
    </row>
    <row r="256" spans="4:24">
      <c r="D256" s="107" t="s">
        <v>68</v>
      </c>
      <c r="E256" s="107"/>
      <c r="F256" s="107" t="s">
        <v>129</v>
      </c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9" t="s">
        <v>117</v>
      </c>
      <c r="U256" s="107" t="s">
        <v>107</v>
      </c>
      <c r="V256" s="107" t="s">
        <v>19</v>
      </c>
    </row>
    <row r="257" spans="4:24">
      <c r="D257" s="107"/>
      <c r="E257" s="107"/>
      <c r="F257" s="107" t="s">
        <v>46</v>
      </c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 t="s">
        <v>134</v>
      </c>
      <c r="S257" s="107" t="s">
        <v>69</v>
      </c>
      <c r="T257" s="109"/>
      <c r="U257" s="107"/>
      <c r="V257" s="107"/>
    </row>
    <row r="258" spans="4:24">
      <c r="D258" s="107"/>
      <c r="E258" s="107"/>
      <c r="F258" s="107" t="s">
        <v>121</v>
      </c>
      <c r="G258" s="107" t="s">
        <v>52</v>
      </c>
      <c r="H258" s="107"/>
      <c r="I258" s="107" t="s">
        <v>76</v>
      </c>
      <c r="J258" s="107"/>
      <c r="K258" s="107" t="s">
        <v>149</v>
      </c>
      <c r="L258" s="107" t="s">
        <v>105</v>
      </c>
      <c r="M258" s="107" t="s">
        <v>88</v>
      </c>
      <c r="N258" s="107" t="s">
        <v>35</v>
      </c>
      <c r="O258" s="107" t="s">
        <v>33</v>
      </c>
      <c r="P258" s="107" t="s">
        <v>30</v>
      </c>
      <c r="Q258" s="107" t="s">
        <v>25</v>
      </c>
      <c r="R258" s="107"/>
      <c r="S258" s="107"/>
      <c r="T258" s="109"/>
      <c r="U258" s="107"/>
      <c r="V258" s="107"/>
    </row>
    <row r="259" spans="4:24">
      <c r="D259" s="107"/>
      <c r="E259" s="107"/>
      <c r="F259" s="107"/>
      <c r="G259" s="20" t="s">
        <v>83</v>
      </c>
      <c r="H259" s="20" t="s">
        <v>102</v>
      </c>
      <c r="I259" s="20" t="s">
        <v>83</v>
      </c>
      <c r="J259" s="20" t="s">
        <v>102</v>
      </c>
      <c r="K259" s="107"/>
      <c r="L259" s="107"/>
      <c r="M259" s="107"/>
      <c r="N259" s="107"/>
      <c r="O259" s="107"/>
      <c r="P259" s="107"/>
      <c r="Q259" s="107"/>
      <c r="R259" s="107"/>
      <c r="S259" s="107"/>
      <c r="T259" s="109"/>
      <c r="U259" s="107"/>
      <c r="V259" s="107"/>
    </row>
    <row r="260" spans="4:24">
      <c r="D260" s="126">
        <v>1</v>
      </c>
      <c r="E260" s="21" t="s">
        <v>78</v>
      </c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2">
        <f>SUM(F260:P260)</f>
        <v>0</v>
      </c>
      <c r="R260" s="24"/>
      <c r="S260" s="22">
        <f>Q260+R260</f>
        <v>0</v>
      </c>
      <c r="T260" s="109" t="s">
        <v>117</v>
      </c>
      <c r="U260" s="113" t="s">
        <v>117</v>
      </c>
      <c r="V260" s="113" t="s">
        <v>117</v>
      </c>
      <c r="X260" s="19">
        <f>Q260*0.1</f>
        <v>0</v>
      </c>
    </row>
    <row r="261" spans="4:24">
      <c r="D261" s="126"/>
      <c r="E261" s="21" t="s">
        <v>24</v>
      </c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2">
        <f>SUM(F261:P261)</f>
        <v>0</v>
      </c>
      <c r="R261" s="24"/>
      <c r="S261" s="22">
        <f>Q261+R261</f>
        <v>0</v>
      </c>
      <c r="T261" s="109"/>
      <c r="U261" s="113"/>
      <c r="V261" s="113"/>
    </row>
    <row r="262" spans="4:24">
      <c r="D262" s="126"/>
      <c r="E262" s="21" t="s">
        <v>25</v>
      </c>
      <c r="F262" s="22">
        <f t="shared" ref="F262:R262" si="114">SUM(F260:F261)</f>
        <v>0</v>
      </c>
      <c r="G262" s="22">
        <f t="shared" si="114"/>
        <v>0</v>
      </c>
      <c r="H262" s="22">
        <f t="shared" si="114"/>
        <v>0</v>
      </c>
      <c r="I262" s="22">
        <f t="shared" si="114"/>
        <v>0</v>
      </c>
      <c r="J262" s="22">
        <f t="shared" si="114"/>
        <v>0</v>
      </c>
      <c r="K262" s="22">
        <f t="shared" si="114"/>
        <v>0</v>
      </c>
      <c r="L262" s="22">
        <f t="shared" si="114"/>
        <v>0</v>
      </c>
      <c r="M262" s="22">
        <f t="shared" si="114"/>
        <v>0</v>
      </c>
      <c r="N262" s="22">
        <f t="shared" si="114"/>
        <v>0</v>
      </c>
      <c r="O262" s="22">
        <f t="shared" si="114"/>
        <v>0</v>
      </c>
      <c r="P262" s="22">
        <f t="shared" si="114"/>
        <v>0</v>
      </c>
      <c r="Q262" s="22">
        <f>SUM(Q260:Q261)</f>
        <v>0</v>
      </c>
      <c r="R262" s="22">
        <f t="shared" si="114"/>
        <v>0</v>
      </c>
      <c r="S262" s="22">
        <f>SUM(S260:S261)</f>
        <v>0</v>
      </c>
      <c r="T262" s="109"/>
      <c r="U262" s="113"/>
      <c r="V262" s="113"/>
    </row>
    <row r="263" spans="4:24">
      <c r="D263" s="126">
        <v>2</v>
      </c>
      <c r="E263" s="21" t="s">
        <v>78</v>
      </c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2">
        <f>SUM(F263:P263)</f>
        <v>0</v>
      </c>
      <c r="R263" s="24"/>
      <c r="S263" s="22">
        <f t="shared" ref="S263:S264" si="115">Q263+R263</f>
        <v>0</v>
      </c>
      <c r="T263" s="109" t="s">
        <v>117</v>
      </c>
      <c r="U263" s="113" t="s">
        <v>117</v>
      </c>
      <c r="V263" s="113" t="s">
        <v>117</v>
      </c>
      <c r="X263" s="19">
        <f>Q263*0.1</f>
        <v>0</v>
      </c>
    </row>
    <row r="264" spans="4:24">
      <c r="D264" s="126"/>
      <c r="E264" s="21" t="s">
        <v>24</v>
      </c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2">
        <f>SUM(F264:P264)</f>
        <v>0</v>
      </c>
      <c r="R264" s="24"/>
      <c r="S264" s="22">
        <f t="shared" si="115"/>
        <v>0</v>
      </c>
      <c r="T264" s="109"/>
      <c r="U264" s="113"/>
      <c r="V264" s="113"/>
    </row>
    <row r="265" spans="4:24">
      <c r="D265" s="126"/>
      <c r="E265" s="21" t="s">
        <v>25</v>
      </c>
      <c r="F265" s="22">
        <f>SUM(F263:F264)</f>
        <v>0</v>
      </c>
      <c r="G265" s="22">
        <f t="shared" ref="G265:R265" si="116">SUM(G263:G264)</f>
        <v>0</v>
      </c>
      <c r="H265" s="22">
        <f t="shared" si="116"/>
        <v>0</v>
      </c>
      <c r="I265" s="22">
        <f t="shared" si="116"/>
        <v>0</v>
      </c>
      <c r="J265" s="22">
        <f t="shared" si="116"/>
        <v>0</v>
      </c>
      <c r="K265" s="22">
        <f t="shared" si="116"/>
        <v>0</v>
      </c>
      <c r="L265" s="22">
        <f t="shared" si="116"/>
        <v>0</v>
      </c>
      <c r="M265" s="22">
        <f t="shared" si="116"/>
        <v>0</v>
      </c>
      <c r="N265" s="22">
        <f t="shared" si="116"/>
        <v>0</v>
      </c>
      <c r="O265" s="22">
        <f t="shared" si="116"/>
        <v>0</v>
      </c>
      <c r="P265" s="22">
        <f t="shared" si="116"/>
        <v>0</v>
      </c>
      <c r="Q265" s="22">
        <f t="shared" si="116"/>
        <v>0</v>
      </c>
      <c r="R265" s="22">
        <f t="shared" si="116"/>
        <v>0</v>
      </c>
      <c r="S265" s="22">
        <f>SUM(S263:S264)</f>
        <v>0</v>
      </c>
      <c r="T265" s="109"/>
      <c r="U265" s="113"/>
      <c r="V265" s="113"/>
    </row>
    <row r="266" spans="4:24">
      <c r="D266" s="126">
        <v>3</v>
      </c>
      <c r="E266" s="21" t="s">
        <v>78</v>
      </c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2">
        <f>SUM(F266:P266)</f>
        <v>0</v>
      </c>
      <c r="R266" s="24"/>
      <c r="S266" s="22">
        <f t="shared" ref="S266:S267" si="117">Q266+R266</f>
        <v>0</v>
      </c>
      <c r="T266" s="109" t="s">
        <v>117</v>
      </c>
      <c r="U266" s="113" t="s">
        <v>117</v>
      </c>
      <c r="V266" s="113" t="s">
        <v>117</v>
      </c>
      <c r="X266" s="19">
        <f>Q266*0.1</f>
        <v>0</v>
      </c>
    </row>
    <row r="267" spans="4:24">
      <c r="D267" s="126"/>
      <c r="E267" s="21" t="s">
        <v>24</v>
      </c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2">
        <f>SUM(F267:P267)</f>
        <v>0</v>
      </c>
      <c r="R267" s="24"/>
      <c r="S267" s="22">
        <f t="shared" si="117"/>
        <v>0</v>
      </c>
      <c r="T267" s="109"/>
      <c r="U267" s="113"/>
      <c r="V267" s="113"/>
    </row>
    <row r="268" spans="4:24">
      <c r="D268" s="126"/>
      <c r="E268" s="21" t="s">
        <v>25</v>
      </c>
      <c r="F268" s="22">
        <f>SUM(F266:F267)</f>
        <v>0</v>
      </c>
      <c r="G268" s="22">
        <f t="shared" ref="G268:R268" si="118">SUM(G266:G267)</f>
        <v>0</v>
      </c>
      <c r="H268" s="22">
        <f t="shared" si="118"/>
        <v>0</v>
      </c>
      <c r="I268" s="22">
        <f t="shared" si="118"/>
        <v>0</v>
      </c>
      <c r="J268" s="22">
        <f t="shared" si="118"/>
        <v>0</v>
      </c>
      <c r="K268" s="22">
        <f t="shared" si="118"/>
        <v>0</v>
      </c>
      <c r="L268" s="22">
        <f t="shared" si="118"/>
        <v>0</v>
      </c>
      <c r="M268" s="22">
        <f t="shared" si="118"/>
        <v>0</v>
      </c>
      <c r="N268" s="22">
        <f t="shared" si="118"/>
        <v>0</v>
      </c>
      <c r="O268" s="22">
        <f t="shared" si="118"/>
        <v>0</v>
      </c>
      <c r="P268" s="22">
        <f t="shared" si="118"/>
        <v>0</v>
      </c>
      <c r="Q268" s="22">
        <f t="shared" si="118"/>
        <v>0</v>
      </c>
      <c r="R268" s="22">
        <f t="shared" si="118"/>
        <v>0</v>
      </c>
      <c r="S268" s="22">
        <f>SUM(S266:S267)</f>
        <v>0</v>
      </c>
      <c r="T268" s="109"/>
      <c r="U268" s="113"/>
      <c r="V268" s="113"/>
    </row>
    <row r="269" spans="4:24">
      <c r="D269" s="126">
        <v>4</v>
      </c>
      <c r="E269" s="21" t="s">
        <v>78</v>
      </c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2">
        <f>SUM(F269:P269)</f>
        <v>0</v>
      </c>
      <c r="R269" s="24"/>
      <c r="S269" s="22">
        <f t="shared" ref="S269:S270" si="119">Q269+R269</f>
        <v>0</v>
      </c>
      <c r="T269" s="109" t="s">
        <v>117</v>
      </c>
      <c r="U269" s="113" t="s">
        <v>117</v>
      </c>
      <c r="V269" s="113" t="s">
        <v>117</v>
      </c>
      <c r="X269" s="19">
        <f>Q269*0.1</f>
        <v>0</v>
      </c>
    </row>
    <row r="270" spans="4:24">
      <c r="D270" s="126"/>
      <c r="E270" s="21" t="s">
        <v>24</v>
      </c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2">
        <f>SUM(F270:P270)</f>
        <v>0</v>
      </c>
      <c r="R270" s="24"/>
      <c r="S270" s="22">
        <f t="shared" si="119"/>
        <v>0</v>
      </c>
      <c r="T270" s="109"/>
      <c r="U270" s="113"/>
      <c r="V270" s="113"/>
    </row>
    <row r="271" spans="4:24">
      <c r="D271" s="126"/>
      <c r="E271" s="21" t="s">
        <v>25</v>
      </c>
      <c r="F271" s="22">
        <f>SUM(F269:F270)</f>
        <v>0</v>
      </c>
      <c r="G271" s="22">
        <f t="shared" ref="G271:R271" si="120">SUM(G269:G270)</f>
        <v>0</v>
      </c>
      <c r="H271" s="22">
        <f t="shared" si="120"/>
        <v>0</v>
      </c>
      <c r="I271" s="22">
        <f t="shared" si="120"/>
        <v>0</v>
      </c>
      <c r="J271" s="22">
        <f t="shared" si="120"/>
        <v>0</v>
      </c>
      <c r="K271" s="22">
        <f t="shared" si="120"/>
        <v>0</v>
      </c>
      <c r="L271" s="22">
        <f t="shared" si="120"/>
        <v>0</v>
      </c>
      <c r="M271" s="22">
        <f t="shared" si="120"/>
        <v>0</v>
      </c>
      <c r="N271" s="22">
        <f t="shared" si="120"/>
        <v>0</v>
      </c>
      <c r="O271" s="22">
        <f t="shared" si="120"/>
        <v>0</v>
      </c>
      <c r="P271" s="22">
        <f t="shared" si="120"/>
        <v>0</v>
      </c>
      <c r="Q271" s="22">
        <f t="shared" si="120"/>
        <v>0</v>
      </c>
      <c r="R271" s="22">
        <f t="shared" si="120"/>
        <v>0</v>
      </c>
      <c r="S271" s="22">
        <f>SUM(S269:S270)</f>
        <v>0</v>
      </c>
      <c r="T271" s="109"/>
      <c r="U271" s="113"/>
      <c r="V271" s="113"/>
    </row>
    <row r="272" spans="4:24">
      <c r="D272" s="126">
        <v>5</v>
      </c>
      <c r="E272" s="21" t="s">
        <v>78</v>
      </c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2">
        <f>SUM(F272:P272)</f>
        <v>0</v>
      </c>
      <c r="R272" s="24"/>
      <c r="S272" s="22">
        <f t="shared" ref="S272:S273" si="121">Q272+R272</f>
        <v>0</v>
      </c>
      <c r="T272" s="109" t="s">
        <v>117</v>
      </c>
      <c r="U272" s="113" t="s">
        <v>117</v>
      </c>
      <c r="V272" s="113" t="s">
        <v>117</v>
      </c>
      <c r="X272" s="19">
        <f>Q272*0.2205</f>
        <v>0</v>
      </c>
    </row>
    <row r="273" spans="4:24">
      <c r="D273" s="126"/>
      <c r="E273" s="21" t="s">
        <v>24</v>
      </c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2">
        <f>SUM(F273:P273)</f>
        <v>0</v>
      </c>
      <c r="R273" s="24"/>
      <c r="S273" s="22">
        <f t="shared" si="121"/>
        <v>0</v>
      </c>
      <c r="T273" s="109"/>
      <c r="U273" s="113"/>
      <c r="V273" s="113"/>
    </row>
    <row r="274" spans="4:24">
      <c r="D274" s="126"/>
      <c r="E274" s="21" t="s">
        <v>25</v>
      </c>
      <c r="F274" s="22">
        <f>SUM(F272:F273)</f>
        <v>0</v>
      </c>
      <c r="G274" s="22">
        <f t="shared" ref="G274:Q274" si="122">SUM(G272:G273)</f>
        <v>0</v>
      </c>
      <c r="H274" s="22">
        <f t="shared" si="122"/>
        <v>0</v>
      </c>
      <c r="I274" s="22">
        <f t="shared" si="122"/>
        <v>0</v>
      </c>
      <c r="J274" s="22">
        <f t="shared" si="122"/>
        <v>0</v>
      </c>
      <c r="K274" s="22">
        <f t="shared" si="122"/>
        <v>0</v>
      </c>
      <c r="L274" s="22">
        <f t="shared" si="122"/>
        <v>0</v>
      </c>
      <c r="M274" s="22">
        <f t="shared" si="122"/>
        <v>0</v>
      </c>
      <c r="N274" s="22">
        <f t="shared" si="122"/>
        <v>0</v>
      </c>
      <c r="O274" s="22">
        <f t="shared" si="122"/>
        <v>0</v>
      </c>
      <c r="P274" s="22">
        <f t="shared" si="122"/>
        <v>0</v>
      </c>
      <c r="Q274" s="22">
        <f t="shared" si="122"/>
        <v>0</v>
      </c>
      <c r="R274" s="22">
        <f>SUM(R272:R273)</f>
        <v>0</v>
      </c>
      <c r="S274" s="22">
        <f>SUM(S272:S273)</f>
        <v>0</v>
      </c>
      <c r="T274" s="109"/>
      <c r="U274" s="113"/>
      <c r="V274" s="113"/>
    </row>
    <row r="275" spans="4:24">
      <c r="D275" s="126" t="s">
        <v>43</v>
      </c>
      <c r="E275" s="21" t="s">
        <v>78</v>
      </c>
      <c r="F275" s="22">
        <f>F260+F263+F266+F269+F272</f>
        <v>0</v>
      </c>
      <c r="G275" s="22">
        <f t="shared" ref="G275:S275" si="123">G260+G263+G266+G269+G272</f>
        <v>0</v>
      </c>
      <c r="H275" s="22">
        <f t="shared" si="123"/>
        <v>0</v>
      </c>
      <c r="I275" s="22">
        <f t="shared" si="123"/>
        <v>0</v>
      </c>
      <c r="J275" s="22">
        <f t="shared" si="123"/>
        <v>0</v>
      </c>
      <c r="K275" s="22">
        <f t="shared" si="123"/>
        <v>0</v>
      </c>
      <c r="L275" s="22">
        <f t="shared" si="123"/>
        <v>0</v>
      </c>
      <c r="M275" s="22">
        <f t="shared" si="123"/>
        <v>0</v>
      </c>
      <c r="N275" s="22">
        <f t="shared" si="123"/>
        <v>0</v>
      </c>
      <c r="O275" s="22">
        <f t="shared" si="123"/>
        <v>0</v>
      </c>
      <c r="P275" s="22">
        <f t="shared" si="123"/>
        <v>0</v>
      </c>
      <c r="Q275" s="22">
        <f t="shared" si="123"/>
        <v>0</v>
      </c>
      <c r="R275" s="22">
        <f t="shared" si="123"/>
        <v>0</v>
      </c>
      <c r="S275" s="22">
        <f t="shared" si="123"/>
        <v>0</v>
      </c>
      <c r="T275" s="109" t="s">
        <v>117</v>
      </c>
      <c r="U275" s="113" t="s">
        <v>117</v>
      </c>
      <c r="V275" s="113" t="s">
        <v>117</v>
      </c>
      <c r="X275" s="19">
        <f>Q275*0.1</f>
        <v>0</v>
      </c>
    </row>
    <row r="276" spans="4:24">
      <c r="D276" s="126"/>
      <c r="E276" s="21" t="s">
        <v>24</v>
      </c>
      <c r="F276" s="22">
        <f t="shared" ref="F276:S277" si="124">F261+F264+F267+F270+F273</f>
        <v>0</v>
      </c>
      <c r="G276" s="22">
        <f t="shared" si="124"/>
        <v>0</v>
      </c>
      <c r="H276" s="22">
        <f t="shared" si="124"/>
        <v>0</v>
      </c>
      <c r="I276" s="22">
        <f t="shared" si="124"/>
        <v>0</v>
      </c>
      <c r="J276" s="22">
        <f t="shared" si="124"/>
        <v>0</v>
      </c>
      <c r="K276" s="22">
        <f t="shared" si="124"/>
        <v>0</v>
      </c>
      <c r="L276" s="22">
        <f t="shared" si="124"/>
        <v>0</v>
      </c>
      <c r="M276" s="22">
        <f t="shared" si="124"/>
        <v>0</v>
      </c>
      <c r="N276" s="22">
        <f t="shared" si="124"/>
        <v>0</v>
      </c>
      <c r="O276" s="22">
        <f t="shared" si="124"/>
        <v>0</v>
      </c>
      <c r="P276" s="22">
        <f t="shared" si="124"/>
        <v>0</v>
      </c>
      <c r="Q276" s="22">
        <f t="shared" si="124"/>
        <v>0</v>
      </c>
      <c r="R276" s="22">
        <f t="shared" si="124"/>
        <v>0</v>
      </c>
      <c r="S276" s="22">
        <f t="shared" si="124"/>
        <v>0</v>
      </c>
      <c r="T276" s="109"/>
      <c r="U276" s="113"/>
      <c r="V276" s="113"/>
    </row>
    <row r="277" spans="4:24">
      <c r="D277" s="126"/>
      <c r="E277" s="21" t="s">
        <v>69</v>
      </c>
      <c r="F277" s="22">
        <f t="shared" si="124"/>
        <v>0</v>
      </c>
      <c r="G277" s="22">
        <f t="shared" si="124"/>
        <v>0</v>
      </c>
      <c r="H277" s="22">
        <f t="shared" si="124"/>
        <v>0</v>
      </c>
      <c r="I277" s="22">
        <f t="shared" si="124"/>
        <v>0</v>
      </c>
      <c r="J277" s="22">
        <f t="shared" si="124"/>
        <v>0</v>
      </c>
      <c r="K277" s="22">
        <f t="shared" si="124"/>
        <v>0</v>
      </c>
      <c r="L277" s="22">
        <f t="shared" si="124"/>
        <v>0</v>
      </c>
      <c r="M277" s="22">
        <f t="shared" si="124"/>
        <v>0</v>
      </c>
      <c r="N277" s="22">
        <f t="shared" si="124"/>
        <v>0</v>
      </c>
      <c r="O277" s="22">
        <f t="shared" si="124"/>
        <v>0</v>
      </c>
      <c r="P277" s="22">
        <f t="shared" si="124"/>
        <v>0</v>
      </c>
      <c r="Q277" s="22">
        <f t="shared" si="124"/>
        <v>0</v>
      </c>
      <c r="R277" s="22">
        <f t="shared" si="124"/>
        <v>0</v>
      </c>
      <c r="S277" s="22">
        <f t="shared" si="124"/>
        <v>0</v>
      </c>
      <c r="T277" s="109"/>
      <c r="U277" s="113"/>
      <c r="V277" s="113"/>
    </row>
  </sheetData>
  <mergeCells count="438">
    <mergeCell ref="D272:D274"/>
    <mergeCell ref="T272:T274"/>
    <mergeCell ref="U272:U274"/>
    <mergeCell ref="V272:V274"/>
    <mergeCell ref="D275:D277"/>
    <mergeCell ref="T275:T277"/>
    <mergeCell ref="U275:U277"/>
    <mergeCell ref="V275:V277"/>
    <mergeCell ref="D266:D268"/>
    <mergeCell ref="T266:T268"/>
    <mergeCell ref="U266:U268"/>
    <mergeCell ref="V266:V268"/>
    <mergeCell ref="D269:D271"/>
    <mergeCell ref="T269:T271"/>
    <mergeCell ref="U269:U271"/>
    <mergeCell ref="V269:V271"/>
    <mergeCell ref="U260:U262"/>
    <mergeCell ref="V260:V262"/>
    <mergeCell ref="D263:D265"/>
    <mergeCell ref="T263:T265"/>
    <mergeCell ref="U263:U265"/>
    <mergeCell ref="V263:V265"/>
    <mergeCell ref="N258:N259"/>
    <mergeCell ref="O258:O259"/>
    <mergeCell ref="P258:P259"/>
    <mergeCell ref="Q258:Q259"/>
    <mergeCell ref="D260:D262"/>
    <mergeCell ref="T260:T262"/>
    <mergeCell ref="F258:F259"/>
    <mergeCell ref="G258:H258"/>
    <mergeCell ref="I258:J258"/>
    <mergeCell ref="K258:K259"/>
    <mergeCell ref="L258:L259"/>
    <mergeCell ref="M258:M259"/>
    <mergeCell ref="D254:V254"/>
    <mergeCell ref="U255:V255"/>
    <mergeCell ref="D256:E259"/>
    <mergeCell ref="F256:S256"/>
    <mergeCell ref="T256:T259"/>
    <mergeCell ref="U256:U259"/>
    <mergeCell ref="V256:V259"/>
    <mergeCell ref="F257:Q257"/>
    <mergeCell ref="R257:R259"/>
    <mergeCell ref="S257:S259"/>
    <mergeCell ref="D247:D249"/>
    <mergeCell ref="T247:T249"/>
    <mergeCell ref="U247:U249"/>
    <mergeCell ref="V247:V249"/>
    <mergeCell ref="D250:D252"/>
    <mergeCell ref="T250:T252"/>
    <mergeCell ref="U250:U252"/>
    <mergeCell ref="V250:V252"/>
    <mergeCell ref="D241:D243"/>
    <mergeCell ref="T241:T243"/>
    <mergeCell ref="U241:U243"/>
    <mergeCell ref="V241:V243"/>
    <mergeCell ref="D244:D246"/>
    <mergeCell ref="T244:T246"/>
    <mergeCell ref="U244:U246"/>
    <mergeCell ref="V244:V246"/>
    <mergeCell ref="U235:U237"/>
    <mergeCell ref="V235:V237"/>
    <mergeCell ref="D238:D240"/>
    <mergeCell ref="T238:T240"/>
    <mergeCell ref="U238:U240"/>
    <mergeCell ref="V238:V240"/>
    <mergeCell ref="N233:N234"/>
    <mergeCell ref="O233:O234"/>
    <mergeCell ref="P233:P234"/>
    <mergeCell ref="Q233:Q234"/>
    <mergeCell ref="D235:D237"/>
    <mergeCell ref="T235:T237"/>
    <mergeCell ref="F233:F234"/>
    <mergeCell ref="G233:H233"/>
    <mergeCell ref="I233:J233"/>
    <mergeCell ref="K233:K234"/>
    <mergeCell ref="L233:L234"/>
    <mergeCell ref="M233:M234"/>
    <mergeCell ref="D229:V229"/>
    <mergeCell ref="U230:V230"/>
    <mergeCell ref="D231:E234"/>
    <mergeCell ref="F231:S231"/>
    <mergeCell ref="T231:T234"/>
    <mergeCell ref="U231:U234"/>
    <mergeCell ref="V231:V234"/>
    <mergeCell ref="F232:Q232"/>
    <mergeCell ref="R232:R234"/>
    <mergeCell ref="S232:S234"/>
    <mergeCell ref="D222:D224"/>
    <mergeCell ref="T222:T224"/>
    <mergeCell ref="U222:U224"/>
    <mergeCell ref="V222:V224"/>
    <mergeCell ref="D225:D227"/>
    <mergeCell ref="T225:T227"/>
    <mergeCell ref="U225:U227"/>
    <mergeCell ref="V225:V227"/>
    <mergeCell ref="D216:D218"/>
    <mergeCell ref="T216:T218"/>
    <mergeCell ref="U216:U218"/>
    <mergeCell ref="V216:V218"/>
    <mergeCell ref="D219:D221"/>
    <mergeCell ref="T219:T221"/>
    <mergeCell ref="U219:U221"/>
    <mergeCell ref="V219:V221"/>
    <mergeCell ref="U210:U212"/>
    <mergeCell ref="V210:V212"/>
    <mergeCell ref="D213:D215"/>
    <mergeCell ref="T213:T215"/>
    <mergeCell ref="U213:U215"/>
    <mergeCell ref="V213:V215"/>
    <mergeCell ref="N208:N209"/>
    <mergeCell ref="O208:O209"/>
    <mergeCell ref="P208:P209"/>
    <mergeCell ref="Q208:Q209"/>
    <mergeCell ref="D210:D212"/>
    <mergeCell ref="T210:T212"/>
    <mergeCell ref="F208:F209"/>
    <mergeCell ref="G208:H208"/>
    <mergeCell ref="I208:J208"/>
    <mergeCell ref="K208:K209"/>
    <mergeCell ref="L208:L209"/>
    <mergeCell ref="M208:M209"/>
    <mergeCell ref="D204:V204"/>
    <mergeCell ref="U205:V205"/>
    <mergeCell ref="D206:E209"/>
    <mergeCell ref="F206:S206"/>
    <mergeCell ref="T206:T209"/>
    <mergeCell ref="U206:U209"/>
    <mergeCell ref="V206:V209"/>
    <mergeCell ref="F207:Q207"/>
    <mergeCell ref="R207:R209"/>
    <mergeCell ref="S207:S209"/>
    <mergeCell ref="D197:D199"/>
    <mergeCell ref="T197:T199"/>
    <mergeCell ref="U197:U199"/>
    <mergeCell ref="V197:V199"/>
    <mergeCell ref="D200:D202"/>
    <mergeCell ref="T200:T202"/>
    <mergeCell ref="U200:U202"/>
    <mergeCell ref="V200:V202"/>
    <mergeCell ref="D191:D193"/>
    <mergeCell ref="T191:T193"/>
    <mergeCell ref="U191:U193"/>
    <mergeCell ref="V191:V193"/>
    <mergeCell ref="D194:D196"/>
    <mergeCell ref="T194:T196"/>
    <mergeCell ref="U194:U196"/>
    <mergeCell ref="V194:V196"/>
    <mergeCell ref="U185:U187"/>
    <mergeCell ref="V185:V187"/>
    <mergeCell ref="D188:D190"/>
    <mergeCell ref="T188:T190"/>
    <mergeCell ref="U188:U190"/>
    <mergeCell ref="V188:V190"/>
    <mergeCell ref="N183:N184"/>
    <mergeCell ref="O183:O184"/>
    <mergeCell ref="P183:P184"/>
    <mergeCell ref="Q183:Q184"/>
    <mergeCell ref="D185:D187"/>
    <mergeCell ref="T185:T187"/>
    <mergeCell ref="F183:F184"/>
    <mergeCell ref="G183:H183"/>
    <mergeCell ref="I183:J183"/>
    <mergeCell ref="K183:K184"/>
    <mergeCell ref="L183:L184"/>
    <mergeCell ref="M183:M184"/>
    <mergeCell ref="D179:V179"/>
    <mergeCell ref="U180:V180"/>
    <mergeCell ref="D181:E184"/>
    <mergeCell ref="F181:S181"/>
    <mergeCell ref="T181:T184"/>
    <mergeCell ref="U181:U184"/>
    <mergeCell ref="V181:V184"/>
    <mergeCell ref="F182:Q182"/>
    <mergeCell ref="R182:R184"/>
    <mergeCell ref="S182:S184"/>
    <mergeCell ref="D172:D174"/>
    <mergeCell ref="T172:T174"/>
    <mergeCell ref="U172:U174"/>
    <mergeCell ref="V172:V174"/>
    <mergeCell ref="D175:D177"/>
    <mergeCell ref="T175:T177"/>
    <mergeCell ref="U175:U177"/>
    <mergeCell ref="V175:V177"/>
    <mergeCell ref="D166:D168"/>
    <mergeCell ref="T166:T168"/>
    <mergeCell ref="U166:U168"/>
    <mergeCell ref="V166:V168"/>
    <mergeCell ref="D169:D171"/>
    <mergeCell ref="T169:T171"/>
    <mergeCell ref="U169:U171"/>
    <mergeCell ref="V169:V171"/>
    <mergeCell ref="U160:U162"/>
    <mergeCell ref="V160:V162"/>
    <mergeCell ref="D163:D165"/>
    <mergeCell ref="T163:T165"/>
    <mergeCell ref="U163:U165"/>
    <mergeCell ref="V163:V165"/>
    <mergeCell ref="N158:N159"/>
    <mergeCell ref="O158:O159"/>
    <mergeCell ref="P158:P159"/>
    <mergeCell ref="Q158:Q159"/>
    <mergeCell ref="D160:D162"/>
    <mergeCell ref="T160:T162"/>
    <mergeCell ref="F158:F159"/>
    <mergeCell ref="G158:H158"/>
    <mergeCell ref="I158:J158"/>
    <mergeCell ref="K158:K159"/>
    <mergeCell ref="L158:L159"/>
    <mergeCell ref="M158:M159"/>
    <mergeCell ref="D154:V154"/>
    <mergeCell ref="U155:V155"/>
    <mergeCell ref="D156:E159"/>
    <mergeCell ref="F156:S156"/>
    <mergeCell ref="T156:T159"/>
    <mergeCell ref="U156:U159"/>
    <mergeCell ref="V156:V159"/>
    <mergeCell ref="F157:Q157"/>
    <mergeCell ref="R157:R159"/>
    <mergeCell ref="S157:S159"/>
    <mergeCell ref="D147:D149"/>
    <mergeCell ref="T147:T149"/>
    <mergeCell ref="U147:U149"/>
    <mergeCell ref="V147:V149"/>
    <mergeCell ref="D150:D152"/>
    <mergeCell ref="T150:T152"/>
    <mergeCell ref="U150:U152"/>
    <mergeCell ref="V150:V152"/>
    <mergeCell ref="D141:D143"/>
    <mergeCell ref="T141:T143"/>
    <mergeCell ref="U141:U143"/>
    <mergeCell ref="V141:V143"/>
    <mergeCell ref="D144:D146"/>
    <mergeCell ref="T144:T146"/>
    <mergeCell ref="U144:U146"/>
    <mergeCell ref="V144:V146"/>
    <mergeCell ref="U135:U137"/>
    <mergeCell ref="V135:V137"/>
    <mergeCell ref="D138:D140"/>
    <mergeCell ref="T138:T140"/>
    <mergeCell ref="U138:U140"/>
    <mergeCell ref="V138:V140"/>
    <mergeCell ref="N133:N134"/>
    <mergeCell ref="O133:O134"/>
    <mergeCell ref="P133:P134"/>
    <mergeCell ref="Q133:Q134"/>
    <mergeCell ref="D135:D137"/>
    <mergeCell ref="T135:T137"/>
    <mergeCell ref="F133:F134"/>
    <mergeCell ref="G133:H133"/>
    <mergeCell ref="I133:J133"/>
    <mergeCell ref="K133:K134"/>
    <mergeCell ref="L133:L134"/>
    <mergeCell ref="M133:M134"/>
    <mergeCell ref="D129:V129"/>
    <mergeCell ref="U130:V130"/>
    <mergeCell ref="D131:E134"/>
    <mergeCell ref="F131:S131"/>
    <mergeCell ref="T131:T134"/>
    <mergeCell ref="U131:U134"/>
    <mergeCell ref="V131:V134"/>
    <mergeCell ref="F132:Q132"/>
    <mergeCell ref="R132:R134"/>
    <mergeCell ref="S132:S134"/>
    <mergeCell ref="D122:D124"/>
    <mergeCell ref="T122:T124"/>
    <mergeCell ref="U122:U124"/>
    <mergeCell ref="V122:V124"/>
    <mergeCell ref="D125:D127"/>
    <mergeCell ref="T125:T127"/>
    <mergeCell ref="U125:U127"/>
    <mergeCell ref="V125:V127"/>
    <mergeCell ref="D116:D118"/>
    <mergeCell ref="T116:T118"/>
    <mergeCell ref="U116:U118"/>
    <mergeCell ref="V116:V118"/>
    <mergeCell ref="D119:D121"/>
    <mergeCell ref="T119:T121"/>
    <mergeCell ref="U119:U121"/>
    <mergeCell ref="V119:V121"/>
    <mergeCell ref="D110:D112"/>
    <mergeCell ref="T110:T112"/>
    <mergeCell ref="U110:U112"/>
    <mergeCell ref="V110:V112"/>
    <mergeCell ref="D113:D115"/>
    <mergeCell ref="T113:T115"/>
    <mergeCell ref="U113:U115"/>
    <mergeCell ref="V113:V115"/>
    <mergeCell ref="S107:S109"/>
    <mergeCell ref="F108:F109"/>
    <mergeCell ref="G108:H108"/>
    <mergeCell ref="I108:J108"/>
    <mergeCell ref="K108:K109"/>
    <mergeCell ref="L108:L109"/>
    <mergeCell ref="M108:M109"/>
    <mergeCell ref="N108:N109"/>
    <mergeCell ref="O108:O109"/>
    <mergeCell ref="P108:P109"/>
    <mergeCell ref="C103:V103"/>
    <mergeCell ref="D104:V104"/>
    <mergeCell ref="U105:V105"/>
    <mergeCell ref="D106:E109"/>
    <mergeCell ref="F106:S106"/>
    <mergeCell ref="T106:T109"/>
    <mergeCell ref="U106:U109"/>
    <mergeCell ref="V106:V109"/>
    <mergeCell ref="F107:Q107"/>
    <mergeCell ref="R107:R109"/>
    <mergeCell ref="Q108:Q109"/>
    <mergeCell ref="D96:D98"/>
    <mergeCell ref="T96:T98"/>
    <mergeCell ref="U96:U98"/>
    <mergeCell ref="V96:V98"/>
    <mergeCell ref="D99:D101"/>
    <mergeCell ref="T99:T101"/>
    <mergeCell ref="U99:U101"/>
    <mergeCell ref="V99:V101"/>
    <mergeCell ref="D90:D92"/>
    <mergeCell ref="T90:T92"/>
    <mergeCell ref="U90:U92"/>
    <mergeCell ref="V90:V92"/>
    <mergeCell ref="D93:D95"/>
    <mergeCell ref="T93:T95"/>
    <mergeCell ref="U93:U95"/>
    <mergeCell ref="V93:V95"/>
    <mergeCell ref="U84:U86"/>
    <mergeCell ref="V84:V86"/>
    <mergeCell ref="D87:D89"/>
    <mergeCell ref="T87:T89"/>
    <mergeCell ref="U87:U89"/>
    <mergeCell ref="V87:V89"/>
    <mergeCell ref="N82:N83"/>
    <mergeCell ref="O82:O83"/>
    <mergeCell ref="P82:P83"/>
    <mergeCell ref="Q82:Q83"/>
    <mergeCell ref="D84:D86"/>
    <mergeCell ref="T84:T86"/>
    <mergeCell ref="F82:F83"/>
    <mergeCell ref="G82:H82"/>
    <mergeCell ref="I82:J82"/>
    <mergeCell ref="K82:K83"/>
    <mergeCell ref="L82:L83"/>
    <mergeCell ref="M82:M83"/>
    <mergeCell ref="C78:V78"/>
    <mergeCell ref="U79:V79"/>
    <mergeCell ref="D80:E83"/>
    <mergeCell ref="F80:S80"/>
    <mergeCell ref="T80:T83"/>
    <mergeCell ref="U80:U83"/>
    <mergeCell ref="V80:V83"/>
    <mergeCell ref="F81:Q81"/>
    <mergeCell ref="R81:R83"/>
    <mergeCell ref="S81:S83"/>
    <mergeCell ref="D71:D73"/>
    <mergeCell ref="T71:T73"/>
    <mergeCell ref="U71:U73"/>
    <mergeCell ref="V71:V73"/>
    <mergeCell ref="D74:D76"/>
    <mergeCell ref="T74:T76"/>
    <mergeCell ref="U74:U76"/>
    <mergeCell ref="V74:V76"/>
    <mergeCell ref="D65:D67"/>
    <mergeCell ref="T65:T67"/>
    <mergeCell ref="U65:U67"/>
    <mergeCell ref="V65:V67"/>
    <mergeCell ref="D68:D70"/>
    <mergeCell ref="T68:T70"/>
    <mergeCell ref="U68:U70"/>
    <mergeCell ref="V68:V70"/>
    <mergeCell ref="U59:U61"/>
    <mergeCell ref="V59:V61"/>
    <mergeCell ref="D62:D64"/>
    <mergeCell ref="T62:T64"/>
    <mergeCell ref="U62:U64"/>
    <mergeCell ref="V62:V64"/>
    <mergeCell ref="U53:U55"/>
    <mergeCell ref="V53:V55"/>
    <mergeCell ref="D56:D58"/>
    <mergeCell ref="T56:T58"/>
    <mergeCell ref="U56:U58"/>
    <mergeCell ref="V56:V58"/>
    <mergeCell ref="D53:D55"/>
    <mergeCell ref="T53:T55"/>
    <mergeCell ref="F51:F52"/>
    <mergeCell ref="G51:H51"/>
    <mergeCell ref="I51:J51"/>
    <mergeCell ref="K51:K52"/>
    <mergeCell ref="L51:L52"/>
    <mergeCell ref="M51:M52"/>
    <mergeCell ref="D59:D61"/>
    <mergeCell ref="T59:T61"/>
    <mergeCell ref="C47:V47"/>
    <mergeCell ref="U48:V48"/>
    <mergeCell ref="D49:E52"/>
    <mergeCell ref="F49:S49"/>
    <mergeCell ref="T49:T52"/>
    <mergeCell ref="U49:U52"/>
    <mergeCell ref="V49:V52"/>
    <mergeCell ref="F50:Q50"/>
    <mergeCell ref="R50:R52"/>
    <mergeCell ref="S50:S52"/>
    <mergeCell ref="N51:N52"/>
    <mergeCell ref="O51:O52"/>
    <mergeCell ref="P51:P52"/>
    <mergeCell ref="Q51:Q52"/>
    <mergeCell ref="D29:D43"/>
    <mergeCell ref="E29:E35"/>
    <mergeCell ref="E36:E42"/>
    <mergeCell ref="E43:F43"/>
    <mergeCell ref="D44:F44"/>
    <mergeCell ref="B46:V46"/>
    <mergeCell ref="Q5:Q6"/>
    <mergeCell ref="R5:R6"/>
    <mergeCell ref="S5:S6"/>
    <mergeCell ref="D7:D28"/>
    <mergeCell ref="E7:E13"/>
    <mergeCell ref="E14:E20"/>
    <mergeCell ref="E21:E27"/>
    <mergeCell ref="E28:F28"/>
    <mergeCell ref="K5:K6"/>
    <mergeCell ref="L5:L6"/>
    <mergeCell ref="M5:M6"/>
    <mergeCell ref="N5:N6"/>
    <mergeCell ref="O5:O6"/>
    <mergeCell ref="P5:P6"/>
    <mergeCell ref="D5:D6"/>
    <mergeCell ref="E5:E6"/>
    <mergeCell ref="G5:G6"/>
    <mergeCell ref="H5:H6"/>
    <mergeCell ref="I5:I6"/>
    <mergeCell ref="J5:J6"/>
    <mergeCell ref="D3:F4"/>
    <mergeCell ref="H3:J3"/>
    <mergeCell ref="K3:P3"/>
    <mergeCell ref="Q3:S4"/>
    <mergeCell ref="H4:J4"/>
    <mergeCell ref="K4:M4"/>
    <mergeCell ref="N4:P4"/>
  </mergeCells>
  <phoneticPr fontId="12" type="noConversion"/>
  <conditionalFormatting sqref="Q7">
    <cfRule type="cellIs" dxfId="111" priority="60" operator="notEqual">
      <formula>$S$110</formula>
    </cfRule>
  </conditionalFormatting>
  <conditionalFormatting sqref="Q8">
    <cfRule type="cellIs" dxfId="110" priority="70" operator="notEqual">
      <formula>$S$135</formula>
    </cfRule>
  </conditionalFormatting>
  <conditionalFormatting sqref="Q9">
    <cfRule type="cellIs" dxfId="109" priority="50" operator="notEqual">
      <formula>$S$160</formula>
    </cfRule>
  </conditionalFormatting>
  <conditionalFormatting sqref="Q10">
    <cfRule type="cellIs" dxfId="108" priority="45" operator="notEqual">
      <formula>$S$185</formula>
    </cfRule>
  </conditionalFormatting>
  <conditionalFormatting sqref="Q11">
    <cfRule type="cellIs" dxfId="107" priority="40" operator="notEqual">
      <formula>$S$210</formula>
    </cfRule>
  </conditionalFormatting>
  <conditionalFormatting sqref="Q12">
    <cfRule type="cellIs" dxfId="106" priority="35" operator="notEqual">
      <formula>$S$235</formula>
    </cfRule>
  </conditionalFormatting>
  <conditionalFormatting sqref="Q13">
    <cfRule type="cellIs" dxfId="105" priority="30" operator="notEqual">
      <formula>$S$260</formula>
    </cfRule>
  </conditionalFormatting>
  <conditionalFormatting sqref="Q14">
    <cfRule type="cellIs" dxfId="104" priority="68" operator="notEqual">
      <formula>$S$113</formula>
    </cfRule>
  </conditionalFormatting>
  <conditionalFormatting sqref="Q15">
    <cfRule type="cellIs" dxfId="103" priority="59" stopIfTrue="1" operator="notEqual">
      <formula>$S$138</formula>
    </cfRule>
  </conditionalFormatting>
  <conditionalFormatting sqref="Q16">
    <cfRule type="cellIs" dxfId="102" priority="49" stopIfTrue="1" operator="notEqual">
      <formula>$S$163</formula>
    </cfRule>
  </conditionalFormatting>
  <conditionalFormatting sqref="Q17">
    <cfRule type="cellIs" dxfId="101" priority="44" stopIfTrue="1" operator="notEqual">
      <formula>$S$188</formula>
    </cfRule>
  </conditionalFormatting>
  <conditionalFormatting sqref="Q18">
    <cfRule type="cellIs" dxfId="100" priority="39" stopIfTrue="1" operator="notEqual">
      <formula>$S$213</formula>
    </cfRule>
  </conditionalFormatting>
  <conditionalFormatting sqref="Q19">
    <cfRule type="cellIs" dxfId="99" priority="34" stopIfTrue="1" operator="notEqual">
      <formula>$S$238</formula>
    </cfRule>
  </conditionalFormatting>
  <conditionalFormatting sqref="Q20">
    <cfRule type="cellIs" dxfId="98" priority="29" stopIfTrue="1" operator="notEqual">
      <formula>$S$263</formula>
    </cfRule>
  </conditionalFormatting>
  <conditionalFormatting sqref="Q21">
    <cfRule type="cellIs" dxfId="97" priority="67" operator="notEqual">
      <formula>$S$116</formula>
    </cfRule>
  </conditionalFormatting>
  <conditionalFormatting sqref="Q22">
    <cfRule type="cellIs" dxfId="96" priority="58" operator="notEqual">
      <formula>$S$141</formula>
    </cfRule>
  </conditionalFormatting>
  <conditionalFormatting sqref="Q23">
    <cfRule type="cellIs" dxfId="95" priority="48" stopIfTrue="1" operator="notEqual">
      <formula>$S$166</formula>
    </cfRule>
  </conditionalFormatting>
  <conditionalFormatting sqref="Q24">
    <cfRule type="cellIs" dxfId="94" priority="43" stopIfTrue="1" operator="notEqual">
      <formula>$S$191</formula>
    </cfRule>
  </conditionalFormatting>
  <conditionalFormatting sqref="Q25">
    <cfRule type="cellIs" dxfId="93" priority="38" stopIfTrue="1" operator="notEqual">
      <formula>$S$216</formula>
    </cfRule>
  </conditionalFormatting>
  <conditionalFormatting sqref="Q26">
    <cfRule type="cellIs" dxfId="92" priority="33" stopIfTrue="1" operator="notEqual">
      <formula>$S$241</formula>
    </cfRule>
  </conditionalFormatting>
  <conditionalFormatting sqref="Q27">
    <cfRule type="cellIs" dxfId="91" priority="28" stopIfTrue="1" operator="notEqual">
      <formula>$S$266</formula>
    </cfRule>
  </conditionalFormatting>
  <conditionalFormatting sqref="Q29">
    <cfRule type="cellIs" dxfId="90" priority="66" operator="notEqual">
      <formula>$S$119</formula>
    </cfRule>
  </conditionalFormatting>
  <conditionalFormatting sqref="Q30">
    <cfRule type="cellIs" dxfId="89" priority="57" stopIfTrue="1" operator="notEqual">
      <formula>$S$144</formula>
    </cfRule>
  </conditionalFormatting>
  <conditionalFormatting sqref="Q31">
    <cfRule type="cellIs" dxfId="88" priority="47" stopIfTrue="1" operator="notEqual">
      <formula>$S$169</formula>
    </cfRule>
  </conditionalFormatting>
  <conditionalFormatting sqref="Q32">
    <cfRule type="cellIs" dxfId="87" priority="42" stopIfTrue="1" operator="notEqual">
      <formula>$S$194</formula>
    </cfRule>
  </conditionalFormatting>
  <conditionalFormatting sqref="Q33">
    <cfRule type="cellIs" dxfId="86" priority="37" stopIfTrue="1" operator="notEqual">
      <formula>$S$219</formula>
    </cfRule>
  </conditionalFormatting>
  <conditionalFormatting sqref="Q34">
    <cfRule type="cellIs" dxfId="85" priority="32" stopIfTrue="1" operator="notEqual">
      <formula>$S$244</formula>
    </cfRule>
  </conditionalFormatting>
  <conditionalFormatting sqref="Q35">
    <cfRule type="cellIs" dxfId="84" priority="27" stopIfTrue="1" operator="notEqual">
      <formula>$S$269</formula>
    </cfRule>
  </conditionalFormatting>
  <conditionalFormatting sqref="Q36">
    <cfRule type="cellIs" dxfId="83" priority="65" operator="notEqual">
      <formula>$S$122</formula>
    </cfRule>
  </conditionalFormatting>
  <conditionalFormatting sqref="Q37">
    <cfRule type="cellIs" dxfId="82" priority="56" operator="notEqual">
      <formula>$S$147</formula>
    </cfRule>
  </conditionalFormatting>
  <conditionalFormatting sqref="Q38">
    <cfRule type="cellIs" dxfId="81" priority="46" stopIfTrue="1" operator="notEqual">
      <formula>$S$172</formula>
    </cfRule>
  </conditionalFormatting>
  <conditionalFormatting sqref="Q39">
    <cfRule type="cellIs" dxfId="80" priority="41" stopIfTrue="1" operator="notEqual">
      <formula>$S$197</formula>
    </cfRule>
  </conditionalFormatting>
  <conditionalFormatting sqref="Q40">
    <cfRule type="cellIs" dxfId="79" priority="36" stopIfTrue="1" operator="notEqual">
      <formula>$S$222</formula>
    </cfRule>
  </conditionalFormatting>
  <conditionalFormatting sqref="Q41">
    <cfRule type="cellIs" dxfId="78" priority="31" stopIfTrue="1" operator="notEqual">
      <formula>$S$247</formula>
    </cfRule>
  </conditionalFormatting>
  <conditionalFormatting sqref="Q42">
    <cfRule type="cellIs" dxfId="77" priority="26" stopIfTrue="1" operator="notEqual">
      <formula>$S$272</formula>
    </cfRule>
  </conditionalFormatting>
  <conditionalFormatting sqref="R7">
    <cfRule type="cellIs" dxfId="76" priority="69" operator="notEqual">
      <formula>$S$111</formula>
    </cfRule>
  </conditionalFormatting>
  <conditionalFormatting sqref="R8">
    <cfRule type="cellIs" dxfId="75" priority="55" operator="notEqual">
      <formula>$S$136</formula>
    </cfRule>
  </conditionalFormatting>
  <conditionalFormatting sqref="R9">
    <cfRule type="cellIs" dxfId="74" priority="25" operator="notEqual">
      <formula>$S$161</formula>
    </cfRule>
  </conditionalFormatting>
  <conditionalFormatting sqref="R10">
    <cfRule type="cellIs" dxfId="73" priority="20" operator="notEqual">
      <formula>$S$186</formula>
    </cfRule>
  </conditionalFormatting>
  <conditionalFormatting sqref="R11">
    <cfRule type="cellIs" dxfId="72" priority="15" operator="notEqual">
      <formula>$S$211</formula>
    </cfRule>
  </conditionalFormatting>
  <conditionalFormatting sqref="R12">
    <cfRule type="cellIs" dxfId="71" priority="10" operator="notEqual">
      <formula>$S$236</formula>
    </cfRule>
  </conditionalFormatting>
  <conditionalFormatting sqref="R13">
    <cfRule type="cellIs" dxfId="70" priority="5" operator="notEqual">
      <formula>$S$261</formula>
    </cfRule>
  </conditionalFormatting>
  <conditionalFormatting sqref="R14">
    <cfRule type="cellIs" dxfId="69" priority="64" operator="notEqual">
      <formula>$S$114</formula>
    </cfRule>
  </conditionalFormatting>
  <conditionalFormatting sqref="R15">
    <cfRule type="cellIs" dxfId="68" priority="54" stopIfTrue="1" operator="notEqual">
      <formula>$S$139</formula>
    </cfRule>
  </conditionalFormatting>
  <conditionalFormatting sqref="R16">
    <cfRule type="cellIs" dxfId="67" priority="24" stopIfTrue="1" operator="notEqual">
      <formula>$S$164</formula>
    </cfRule>
  </conditionalFormatting>
  <conditionalFormatting sqref="R17">
    <cfRule type="cellIs" dxfId="66" priority="19" stopIfTrue="1" operator="notEqual">
      <formula>$S$189</formula>
    </cfRule>
  </conditionalFormatting>
  <conditionalFormatting sqref="R18">
    <cfRule type="cellIs" dxfId="65" priority="14" stopIfTrue="1" operator="notEqual">
      <formula>$S$214</formula>
    </cfRule>
  </conditionalFormatting>
  <conditionalFormatting sqref="R19">
    <cfRule type="cellIs" dxfId="64" priority="9" stopIfTrue="1" operator="notEqual">
      <formula>$S$239</formula>
    </cfRule>
  </conditionalFormatting>
  <conditionalFormatting sqref="R20">
    <cfRule type="cellIs" dxfId="63" priority="4" stopIfTrue="1" operator="notEqual">
      <formula>$S$264</formula>
    </cfRule>
  </conditionalFormatting>
  <conditionalFormatting sqref="R21">
    <cfRule type="cellIs" dxfId="62" priority="63" operator="notEqual">
      <formula>$S$117</formula>
    </cfRule>
  </conditionalFormatting>
  <conditionalFormatting sqref="R22">
    <cfRule type="cellIs" dxfId="61" priority="53" stopIfTrue="1" operator="notEqual">
      <formula>$S$142</formula>
    </cfRule>
  </conditionalFormatting>
  <conditionalFormatting sqref="R23">
    <cfRule type="cellIs" dxfId="60" priority="23" stopIfTrue="1" operator="notEqual">
      <formula>$S$167</formula>
    </cfRule>
  </conditionalFormatting>
  <conditionalFormatting sqref="R24">
    <cfRule type="cellIs" dxfId="59" priority="18" stopIfTrue="1" operator="notEqual">
      <formula>$S$192</formula>
    </cfRule>
  </conditionalFormatting>
  <conditionalFormatting sqref="R25">
    <cfRule type="cellIs" dxfId="58" priority="13" stopIfTrue="1" operator="notEqual">
      <formula>$S$217</formula>
    </cfRule>
  </conditionalFormatting>
  <conditionalFormatting sqref="R26">
    <cfRule type="cellIs" dxfId="57" priority="8" stopIfTrue="1" operator="notEqual">
      <formula>$S$242</formula>
    </cfRule>
  </conditionalFormatting>
  <conditionalFormatting sqref="R27">
    <cfRule type="cellIs" dxfId="56" priority="3" stopIfTrue="1" operator="notEqual">
      <formula>$S$267</formula>
    </cfRule>
  </conditionalFormatting>
  <conditionalFormatting sqref="R29">
    <cfRule type="cellIs" dxfId="55" priority="62" operator="notEqual">
      <formula>$S$120</formula>
    </cfRule>
  </conditionalFormatting>
  <conditionalFormatting sqref="R30">
    <cfRule type="cellIs" dxfId="54" priority="52" operator="notEqual">
      <formula>$S$145</formula>
    </cfRule>
  </conditionalFormatting>
  <conditionalFormatting sqref="R31">
    <cfRule type="cellIs" dxfId="53" priority="22" stopIfTrue="1" operator="notEqual">
      <formula>$S$170</formula>
    </cfRule>
  </conditionalFormatting>
  <conditionalFormatting sqref="R32">
    <cfRule type="cellIs" dxfId="52" priority="17" stopIfTrue="1" operator="notEqual">
      <formula>$S$195</formula>
    </cfRule>
  </conditionalFormatting>
  <conditionalFormatting sqref="R33">
    <cfRule type="cellIs" dxfId="51" priority="12" stopIfTrue="1" operator="notEqual">
      <formula>$S$220</formula>
    </cfRule>
  </conditionalFormatting>
  <conditionalFormatting sqref="R34">
    <cfRule type="cellIs" dxfId="50" priority="7" stopIfTrue="1" operator="notEqual">
      <formula>$S$245</formula>
    </cfRule>
  </conditionalFormatting>
  <conditionalFormatting sqref="R35">
    <cfRule type="cellIs" dxfId="49" priority="2" stopIfTrue="1" operator="notEqual">
      <formula>$S$270</formula>
    </cfRule>
  </conditionalFormatting>
  <conditionalFormatting sqref="R36">
    <cfRule type="cellIs" dxfId="48" priority="61" operator="notEqual">
      <formula>$S$123</formula>
    </cfRule>
  </conditionalFormatting>
  <conditionalFormatting sqref="R37">
    <cfRule type="cellIs" dxfId="47" priority="51" stopIfTrue="1" operator="notEqual">
      <formula>$S$148</formula>
    </cfRule>
  </conditionalFormatting>
  <conditionalFormatting sqref="R38">
    <cfRule type="cellIs" dxfId="46" priority="21" stopIfTrue="1" operator="notEqual">
      <formula>$S$173</formula>
    </cfRule>
  </conditionalFormatting>
  <conditionalFormatting sqref="R39">
    <cfRule type="cellIs" dxfId="45" priority="16" stopIfTrue="1" operator="notEqual">
      <formula>$S$198</formula>
    </cfRule>
  </conditionalFormatting>
  <conditionalFormatting sqref="R40">
    <cfRule type="cellIs" dxfId="44" priority="11" stopIfTrue="1" operator="notEqual">
      <formula>$S$223</formula>
    </cfRule>
  </conditionalFormatting>
  <conditionalFormatting sqref="R41">
    <cfRule type="cellIs" dxfId="43" priority="6" stopIfTrue="1" operator="notEqual">
      <formula>$S$248</formula>
    </cfRule>
  </conditionalFormatting>
  <conditionalFormatting sqref="R42">
    <cfRule type="cellIs" dxfId="42" priority="1" stopIfTrue="1" operator="notEqual">
      <formula>$S$273</formula>
    </cfRule>
  </conditionalFormatting>
  <conditionalFormatting sqref="X110">
    <cfRule type="cellIs" dxfId="41" priority="107" operator="lessThan">
      <formula>$R$110</formula>
    </cfRule>
  </conditionalFormatting>
  <conditionalFormatting sqref="X113">
    <cfRule type="cellIs" dxfId="40" priority="106" operator="lessThan">
      <formula>$R$113</formula>
    </cfRule>
  </conditionalFormatting>
  <conditionalFormatting sqref="X116">
    <cfRule type="cellIs" dxfId="39" priority="105" operator="lessThan">
      <formula>$R$116</formula>
    </cfRule>
  </conditionalFormatting>
  <conditionalFormatting sqref="X119">
    <cfRule type="cellIs" dxfId="38" priority="104" operator="lessThan">
      <formula>$R$119</formula>
    </cfRule>
  </conditionalFormatting>
  <conditionalFormatting sqref="X122">
    <cfRule type="cellIs" dxfId="37" priority="87" operator="lessThan">
      <formula>$R$116</formula>
    </cfRule>
  </conditionalFormatting>
  <conditionalFormatting sqref="X125">
    <cfRule type="cellIs" dxfId="36" priority="103" operator="lessThan">
      <formula>$R$125</formula>
    </cfRule>
  </conditionalFormatting>
  <conditionalFormatting sqref="X135">
    <cfRule type="cellIs" dxfId="35" priority="92" operator="lessThan">
      <formula>$R$135</formula>
    </cfRule>
  </conditionalFormatting>
  <conditionalFormatting sqref="X138">
    <cfRule type="cellIs" dxfId="34" priority="91" operator="lessThan">
      <formula>$R$138</formula>
    </cfRule>
  </conditionalFormatting>
  <conditionalFormatting sqref="X141">
    <cfRule type="cellIs" dxfId="33" priority="90" operator="lessThan">
      <formula>$R$141</formula>
    </cfRule>
  </conditionalFormatting>
  <conditionalFormatting sqref="X144">
    <cfRule type="cellIs" dxfId="32" priority="89" operator="lessThan">
      <formula>$R$144</formula>
    </cfRule>
  </conditionalFormatting>
  <conditionalFormatting sqref="X147">
    <cfRule type="cellIs" dxfId="31" priority="86" operator="lessThan">
      <formula>$R$141</formula>
    </cfRule>
  </conditionalFormatting>
  <conditionalFormatting sqref="X150">
    <cfRule type="cellIs" dxfId="30" priority="88" operator="lessThan">
      <formula>$R$150</formula>
    </cfRule>
  </conditionalFormatting>
  <conditionalFormatting sqref="X160">
    <cfRule type="cellIs" dxfId="29" priority="102" operator="lessThan">
      <formula>$R$160</formula>
    </cfRule>
  </conditionalFormatting>
  <conditionalFormatting sqref="X163">
    <cfRule type="cellIs" dxfId="28" priority="101" operator="lessThan">
      <formula>$R$163</formula>
    </cfRule>
  </conditionalFormatting>
  <conditionalFormatting sqref="X166">
    <cfRule type="cellIs" dxfId="27" priority="100" operator="lessThan">
      <formula>$R$166</formula>
    </cfRule>
  </conditionalFormatting>
  <conditionalFormatting sqref="X169">
    <cfRule type="cellIs" dxfId="26" priority="99" operator="lessThan">
      <formula>$R$169</formula>
    </cfRule>
  </conditionalFormatting>
  <conditionalFormatting sqref="X172">
    <cfRule type="cellIs" dxfId="25" priority="85" operator="lessThan">
      <formula>$R$141</formula>
    </cfRule>
  </conditionalFormatting>
  <conditionalFormatting sqref="X175">
    <cfRule type="cellIs" dxfId="24" priority="98" operator="lessThan">
      <formula>$R$175</formula>
    </cfRule>
  </conditionalFormatting>
  <conditionalFormatting sqref="X185">
    <cfRule type="cellIs" dxfId="23" priority="112" operator="lessThan">
      <formula>$R$185</formula>
    </cfRule>
  </conditionalFormatting>
  <conditionalFormatting sqref="X188">
    <cfRule type="cellIs" dxfId="22" priority="111" operator="lessThan">
      <formula>$R$188</formula>
    </cfRule>
  </conditionalFormatting>
  <conditionalFormatting sqref="X191">
    <cfRule type="cellIs" dxfId="21" priority="110" operator="lessThan">
      <formula>$R$191</formula>
    </cfRule>
  </conditionalFormatting>
  <conditionalFormatting sqref="X194">
    <cfRule type="cellIs" dxfId="20" priority="109" operator="lessThan">
      <formula>$R$194</formula>
    </cfRule>
  </conditionalFormatting>
  <conditionalFormatting sqref="X197">
    <cfRule type="cellIs" dxfId="19" priority="84" operator="lessThan">
      <formula>$R$141</formula>
    </cfRule>
  </conditionalFormatting>
  <conditionalFormatting sqref="X200">
    <cfRule type="cellIs" dxfId="18" priority="108" operator="lessThan">
      <formula>$R$200</formula>
    </cfRule>
  </conditionalFormatting>
  <conditionalFormatting sqref="X210">
    <cfRule type="cellIs" dxfId="17" priority="97" operator="lessThan">
      <formula>$R$210</formula>
    </cfRule>
  </conditionalFormatting>
  <conditionalFormatting sqref="X213">
    <cfRule type="cellIs" dxfId="16" priority="96" operator="lessThan">
      <formula>$R$213</formula>
    </cfRule>
  </conditionalFormatting>
  <conditionalFormatting sqref="X216">
    <cfRule type="cellIs" dxfId="15" priority="95" operator="lessThan">
      <formula>$R$216</formula>
    </cfRule>
  </conditionalFormatting>
  <conditionalFormatting sqref="X219">
    <cfRule type="cellIs" dxfId="14" priority="94" operator="lessThan">
      <formula>$R$219</formula>
    </cfRule>
  </conditionalFormatting>
  <conditionalFormatting sqref="X222">
    <cfRule type="cellIs" dxfId="13" priority="83" operator="lessThan">
      <formula>$R$141</formula>
    </cfRule>
  </conditionalFormatting>
  <conditionalFormatting sqref="X225">
    <cfRule type="cellIs" dxfId="12" priority="93" operator="lessThan">
      <formula>$R$225</formula>
    </cfRule>
  </conditionalFormatting>
  <conditionalFormatting sqref="X235">
    <cfRule type="cellIs" dxfId="11" priority="82" operator="lessThan">
      <formula>$R$210</formula>
    </cfRule>
  </conditionalFormatting>
  <conditionalFormatting sqref="X238">
    <cfRule type="cellIs" dxfId="10" priority="81" operator="lessThan">
      <formula>$R$213</formula>
    </cfRule>
  </conditionalFormatting>
  <conditionalFormatting sqref="X241">
    <cfRule type="cellIs" dxfId="9" priority="80" operator="lessThan">
      <formula>$R$216</formula>
    </cfRule>
  </conditionalFormatting>
  <conditionalFormatting sqref="X244">
    <cfRule type="cellIs" dxfId="8" priority="79" operator="lessThan">
      <formula>$R$219</formula>
    </cfRule>
  </conditionalFormatting>
  <conditionalFormatting sqref="X247">
    <cfRule type="cellIs" dxfId="7" priority="77" operator="lessThan">
      <formula>$R$141</formula>
    </cfRule>
  </conditionalFormatting>
  <conditionalFormatting sqref="X250">
    <cfRule type="cellIs" dxfId="6" priority="78" operator="lessThan">
      <formula>$R$225</formula>
    </cfRule>
  </conditionalFormatting>
  <conditionalFormatting sqref="X260">
    <cfRule type="cellIs" dxfId="5" priority="76" operator="lessThan">
      <formula>$R$210</formula>
    </cfRule>
  </conditionalFormatting>
  <conditionalFormatting sqref="X263">
    <cfRule type="cellIs" dxfId="4" priority="75" operator="lessThan">
      <formula>$R$213</formula>
    </cfRule>
  </conditionalFormatting>
  <conditionalFormatting sqref="X266">
    <cfRule type="cellIs" dxfId="3" priority="74" operator="lessThan">
      <formula>$R$216</formula>
    </cfRule>
  </conditionalFormatting>
  <conditionalFormatting sqref="X269">
    <cfRule type="cellIs" dxfId="2" priority="73" operator="lessThan">
      <formula>$R$219</formula>
    </cfRule>
  </conditionalFormatting>
  <conditionalFormatting sqref="X272">
    <cfRule type="cellIs" dxfId="1" priority="71" operator="lessThan">
      <formula>$R$141</formula>
    </cfRule>
  </conditionalFormatting>
  <conditionalFormatting sqref="X275">
    <cfRule type="cellIs" dxfId="0" priority="72" operator="lessThan">
      <formula>$R$225</formula>
    </cfRule>
  </conditionalFormatting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</vt:i4>
      </vt:variant>
    </vt:vector>
  </HeadingPairs>
  <TitlesOfParts>
    <vt:vector size="13" baseType="lpstr">
      <vt:lpstr>서류준비(1세부)</vt:lpstr>
      <vt:lpstr>연구내용(1세부)</vt:lpstr>
      <vt:lpstr>성과지표(총괄)</vt:lpstr>
      <vt:lpstr>성과지표(1세부)</vt:lpstr>
      <vt:lpstr>성과지표(2세부)</vt:lpstr>
      <vt:lpstr>성과지표(3세부)</vt:lpstr>
      <vt:lpstr>성과지표(4세부)</vt:lpstr>
      <vt:lpstr>연구개발비(총괄)</vt:lpstr>
      <vt:lpstr>연구개발비(1세부)</vt:lpstr>
      <vt:lpstr>연구개발비(2세부)</vt:lpstr>
      <vt:lpstr>연구개발비(3세부)</vt:lpstr>
      <vt:lpstr>연구개발비(4세부)</vt:lpstr>
      <vt:lpstr>'서류준비(1세부)'!Print_Area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Chun-Gi Lyuh</dc:creator>
  <cp:lastModifiedBy>김 현기</cp:lastModifiedBy>
  <cp:revision>18</cp:revision>
  <cp:lastPrinted>2025-01-25T01:24:22Z</cp:lastPrinted>
  <dcterms:created xsi:type="dcterms:W3CDTF">2025-01-03T06:12:28Z</dcterms:created>
  <dcterms:modified xsi:type="dcterms:W3CDTF">2025-07-01T09:00:55Z</dcterms:modified>
  <cp:version>1200.0100.06</cp:version>
</cp:coreProperties>
</file>