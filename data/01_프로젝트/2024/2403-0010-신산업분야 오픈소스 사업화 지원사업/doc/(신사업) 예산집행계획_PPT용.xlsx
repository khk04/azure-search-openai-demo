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k/Desktop/"/>
    </mc:Choice>
  </mc:AlternateContent>
  <xr:revisionPtr revIDLastSave="0" documentId="13_ncr:1_{CF78A925-6FCA-FA4B-9851-3EF390F00686}" xr6:coauthVersionLast="47" xr6:coauthVersionMax="47" xr10:uidLastSave="{00000000-0000-0000-0000-000000000000}"/>
  <bookViews>
    <workbookView xWindow="38420" yWindow="500" windowWidth="38400" windowHeight="21100" activeTab="1" xr2:uid="{18E1D30E-FD49-7846-8B4B-8C1BF2D987F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E17" i="1"/>
  <c r="E12" i="1"/>
  <c r="E11" i="1"/>
  <c r="E19" i="1" l="1"/>
  <c r="F19" i="1" s="1"/>
  <c r="F17" i="1"/>
  <c r="F18" i="1"/>
  <c r="F11" i="1"/>
  <c r="F12" i="1"/>
</calcChain>
</file>

<file path=xl/sharedStrings.xml><?xml version="1.0" encoding="utf-8"?>
<sst xmlns="http://schemas.openxmlformats.org/spreadsheetml/2006/main" count="54" uniqueCount="44">
  <si>
    <t>비목</t>
    <phoneticPr fontId="3" type="noConversion"/>
  </si>
  <si>
    <t>인건비</t>
    <phoneticPr fontId="3" type="noConversion"/>
  </si>
  <si>
    <t>세목</t>
    <phoneticPr fontId="3" type="noConversion"/>
  </si>
  <si>
    <t>보수</t>
    <phoneticPr fontId="3" type="noConversion"/>
  </si>
  <si>
    <t>계</t>
    <phoneticPr fontId="3" type="noConversion"/>
  </si>
  <si>
    <t>비율</t>
    <phoneticPr fontId="3" type="noConversion"/>
  </si>
  <si>
    <t>운영비</t>
    <phoneticPr fontId="3" type="noConversion"/>
  </si>
  <si>
    <t>일반수용비</t>
  </si>
  <si>
    <t>업무추진비</t>
    <phoneticPr fontId="3" type="noConversion"/>
  </si>
  <si>
    <t>사업추진비</t>
  </si>
  <si>
    <t>자산취득비</t>
  </si>
  <si>
    <t>주관기간 
(현금+현물)</t>
    <phoneticPr fontId="3" type="noConversion"/>
  </si>
  <si>
    <t>공공요금 및 제세</t>
  </si>
  <si>
    <t>시설장비유지비</t>
  </si>
  <si>
    <t>복리후생비</t>
  </si>
  <si>
    <t>기타운영비</t>
  </si>
  <si>
    <t>유형자산</t>
    <phoneticPr fontId="3" type="noConversion"/>
  </si>
  <si>
    <t>총액</t>
    <phoneticPr fontId="3" type="noConversion"/>
  </si>
  <si>
    <t>성과지표</t>
  </si>
  <si>
    <t>목표</t>
  </si>
  <si>
    <t>목표 사유</t>
  </si>
  <si>
    <t>검증방법</t>
  </si>
  <si>
    <t>검증기관</t>
  </si>
  <si>
    <t>일정</t>
  </si>
  <si>
    <t>바이오 워크플로우 파이프라인 도구 평가</t>
  </si>
  <si>
    <r>
      <t xml:space="preserve">특허 출원 </t>
    </r>
    <r>
      <rPr>
        <sz val="14"/>
        <color rgb="FF000000"/>
        <rFont val="Helvetica"/>
        <family val="2"/>
      </rPr>
      <t>1</t>
    </r>
    <r>
      <rPr>
        <sz val="14"/>
        <color rgb="FF000000"/>
        <rFont val="Arial"/>
        <family val="2"/>
      </rPr>
      <t>종</t>
    </r>
  </si>
  <si>
    <t>서비스 웹 페이지 </t>
  </si>
  <si>
    <r>
      <t xml:space="preserve">3 </t>
    </r>
    <r>
      <rPr>
        <sz val="12"/>
        <color rgb="FF000000"/>
        <rFont val="Arial"/>
        <family val="2"/>
      </rPr>
      <t>가지 이상의 워크플로우 생성 확인</t>
    </r>
  </si>
  <si>
    <t>핵심 서비스</t>
  </si>
  <si>
    <t>공인 시험성적서</t>
  </si>
  <si>
    <t>KCL</t>
  </si>
  <si>
    <r>
      <t>12</t>
    </r>
    <r>
      <rPr>
        <sz val="12"/>
        <color rgb="FF000000"/>
        <rFont val="Arial"/>
        <family val="2"/>
      </rPr>
      <t>월</t>
    </r>
  </si>
  <si>
    <r>
      <t xml:space="preserve">유효성이 검증된 </t>
    </r>
    <r>
      <rPr>
        <sz val="12"/>
        <color rgb="FF000000"/>
        <rFont val="Helvetica"/>
        <family val="2"/>
      </rPr>
      <t>WDL</t>
    </r>
    <r>
      <rPr>
        <sz val="12"/>
        <color rgb="FF000000"/>
        <rFont val="Arial"/>
        <family val="2"/>
      </rPr>
      <t>의 오픈소프트웨어에 적용</t>
    </r>
  </si>
  <si>
    <r>
      <t xml:space="preserve"> Cromwell </t>
    </r>
    <r>
      <rPr>
        <sz val="12"/>
        <color rgb="FF000000"/>
        <rFont val="Arial"/>
        <family val="2"/>
      </rPr>
      <t>에서의 동작여부 확인</t>
    </r>
  </si>
  <si>
    <t>워크플로우 수행시 워크로드의 로그 수집</t>
  </si>
  <si>
    <t> 워크플로우 모니티링 화면에서 로그 확인</t>
  </si>
  <si>
    <r>
      <t>1</t>
    </r>
    <r>
      <rPr>
        <sz val="14"/>
        <color rgb="FF000000"/>
        <rFont val="Arial"/>
        <family val="2"/>
      </rPr>
      <t>건 출원</t>
    </r>
  </si>
  <si>
    <t>서비스 페이지 링크</t>
  </si>
  <si>
    <t>출원서류 제출</t>
  </si>
  <si>
    <t>페이지 링크</t>
  </si>
  <si>
    <r>
      <rPr>
        <sz val="12"/>
        <color rgb="FF000000"/>
        <rFont val="맑은 고딕"/>
        <family val="2"/>
        <charset val="129"/>
      </rPr>
      <t>사용자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2"/>
        <charset val="129"/>
      </rPr>
      <t>서비스</t>
    </r>
    <phoneticPr fontId="3" type="noConversion"/>
  </si>
  <si>
    <t>특허청</t>
    <phoneticPr fontId="3" type="noConversion"/>
  </si>
  <si>
    <t>-</t>
    <phoneticPr fontId="3" type="noConversion"/>
  </si>
  <si>
    <t>비즈니스 안정성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</si>
</sst>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0"/>
      <color theme="1"/>
      <name val="Malgun Gothic"/>
      <family val="2"/>
      <charset val="129"/>
    </font>
    <font>
      <sz val="8"/>
      <name val="맑은 고딕"/>
      <family val="2"/>
      <charset val="129"/>
      <scheme val="minor"/>
    </font>
    <font>
      <sz val="14"/>
      <color rgb="FF000000"/>
      <name val="Arial"/>
      <family val="2"/>
    </font>
    <font>
      <sz val="14"/>
      <color rgb="FF000000"/>
      <name val="Helvetica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Helvetica"/>
      <family val="2"/>
    </font>
    <font>
      <sz val="12"/>
      <color rgb="FF000000"/>
      <name val="맑은 고딕"/>
      <family val="2"/>
      <charset val="129"/>
    </font>
    <font>
      <sz val="12"/>
      <color rgb="FF000000"/>
      <name val="Batang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3" fontId="0" fillId="0" borderId="0" xfId="0" applyNumberFormat="1">
      <alignment vertical="center"/>
    </xf>
    <xf numFmtId="3" fontId="2" fillId="0" borderId="0" xfId="0" applyNumberFormat="1" applyFont="1">
      <alignment vertical="center"/>
    </xf>
    <xf numFmtId="0" fontId="0" fillId="0" borderId="0" xfId="0" applyAlignment="1">
      <alignment vertical="center" wrapText="1"/>
    </xf>
    <xf numFmtId="9" fontId="0" fillId="0" borderId="0" xfId="1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9" fontId="0" fillId="0" borderId="0" xfId="1" applyFon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4" fillId="0" borderId="1" xfId="0" applyFont="1" applyBorder="1" applyAlignment="1">
      <alignment horizontal="center" vertical="center" wrapText="1" readingOrder="1"/>
    </xf>
    <xf numFmtId="0" fontId="6" fillId="2" borderId="1" xfId="0" applyFont="1" applyFill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7" fillId="0" borderId="2" xfId="0" applyFont="1" applyFill="1" applyBorder="1" applyAlignment="1">
      <alignment horizontal="center" vertical="center" wrapText="1" readingOrder="1"/>
    </xf>
    <xf numFmtId="0" fontId="9" fillId="0" borderId="0" xfId="0" applyFont="1" applyFill="1" applyBorder="1" applyAlignment="1">
      <alignment horizontal="center" vertical="center" wrapText="1" readingOrder="1"/>
    </xf>
    <xf numFmtId="0" fontId="10" fillId="0" borderId="0" xfId="0" applyFont="1" applyFill="1" applyBorder="1" applyAlignment="1">
      <alignment horizontal="center" vertical="center" wrapText="1" readingOrder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7F011-DD68-3249-8D86-51C029106B6F}">
  <dimension ref="B10:F19"/>
  <sheetViews>
    <sheetView workbookViewId="0">
      <selection activeCell="C26" sqref="C26"/>
    </sheetView>
  </sheetViews>
  <sheetFormatPr baseColWidth="10" defaultRowHeight="18"/>
  <cols>
    <col min="3" max="3" width="12.7109375" bestFit="1" customWidth="1"/>
  </cols>
  <sheetData>
    <row r="10" spans="2:6" ht="38">
      <c r="B10" t="s">
        <v>0</v>
      </c>
      <c r="C10" t="s">
        <v>2</v>
      </c>
      <c r="D10" s="4" t="s">
        <v>11</v>
      </c>
      <c r="E10" t="s">
        <v>4</v>
      </c>
      <c r="F10" t="s">
        <v>5</v>
      </c>
    </row>
    <row r="11" spans="2:6">
      <c r="B11" t="s">
        <v>1</v>
      </c>
      <c r="C11" t="s">
        <v>3</v>
      </c>
      <c r="D11" s="2">
        <v>232800</v>
      </c>
      <c r="E11" s="2">
        <f>D11</f>
        <v>232800</v>
      </c>
      <c r="F11" s="5">
        <f>E11/$E$19</f>
        <v>0.77600000000000002</v>
      </c>
    </row>
    <row r="12" spans="2:6">
      <c r="B12" s="7" t="s">
        <v>6</v>
      </c>
      <c r="C12" s="1" t="s">
        <v>7</v>
      </c>
      <c r="D12" s="3">
        <v>17500</v>
      </c>
      <c r="E12" s="9">
        <f>SUM(D12:D16)</f>
        <v>24200</v>
      </c>
      <c r="F12" s="8">
        <f>E12/$E$19</f>
        <v>8.0666666666666664E-2</v>
      </c>
    </row>
    <row r="13" spans="2:6">
      <c r="B13" s="7"/>
      <c r="C13" s="1" t="s">
        <v>12</v>
      </c>
      <c r="D13" s="3">
        <v>3000</v>
      </c>
      <c r="E13" s="9"/>
      <c r="F13" s="8"/>
    </row>
    <row r="14" spans="2:6">
      <c r="B14" s="7"/>
      <c r="C14" s="1" t="s">
        <v>13</v>
      </c>
      <c r="D14" s="3">
        <v>2400</v>
      </c>
      <c r="E14" s="9"/>
      <c r="F14" s="8"/>
    </row>
    <row r="15" spans="2:6">
      <c r="B15" s="7"/>
      <c r="C15" s="1" t="s">
        <v>14</v>
      </c>
      <c r="D15" s="1">
        <v>500</v>
      </c>
      <c r="E15" s="9"/>
      <c r="F15" s="8"/>
    </row>
    <row r="16" spans="2:6">
      <c r="B16" s="7"/>
      <c r="C16" s="1" t="s">
        <v>15</v>
      </c>
      <c r="D16" s="1">
        <v>800</v>
      </c>
      <c r="E16" s="9"/>
      <c r="F16" s="8"/>
    </row>
    <row r="17" spans="2:6">
      <c r="B17" t="s">
        <v>8</v>
      </c>
      <c r="C17" s="1" t="s">
        <v>9</v>
      </c>
      <c r="D17" s="3">
        <v>3000</v>
      </c>
      <c r="E17" s="2">
        <f>D17</f>
        <v>3000</v>
      </c>
      <c r="F17" s="5">
        <f>E17/$E$19</f>
        <v>0.01</v>
      </c>
    </row>
    <row r="18" spans="2:6">
      <c r="B18" t="s">
        <v>16</v>
      </c>
      <c r="C18" s="1" t="s">
        <v>10</v>
      </c>
      <c r="D18" s="3">
        <v>40000</v>
      </c>
      <c r="E18" s="2">
        <f>D18</f>
        <v>40000</v>
      </c>
      <c r="F18" s="5">
        <f>E18/$E$19</f>
        <v>0.13333333333333333</v>
      </c>
    </row>
    <row r="19" spans="2:6">
      <c r="B19" s="6" t="s">
        <v>17</v>
      </c>
      <c r="C19" s="6"/>
      <c r="D19" s="6"/>
      <c r="E19" s="2">
        <f>SUM(E11:E18)</f>
        <v>300000</v>
      </c>
      <c r="F19" s="5">
        <f>E19/$E$19</f>
        <v>1</v>
      </c>
    </row>
  </sheetData>
  <mergeCells count="4">
    <mergeCell ref="B12:B16"/>
    <mergeCell ref="E12:E16"/>
    <mergeCell ref="F12:F16"/>
    <mergeCell ref="B19:D19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7ACCA-6CA8-134E-8E3D-997063055AFE}">
  <dimension ref="B10:G15"/>
  <sheetViews>
    <sheetView tabSelected="1" workbookViewId="0">
      <selection activeCell="B10" sqref="B10:G15"/>
    </sheetView>
  </sheetViews>
  <sheetFormatPr baseColWidth="10" defaultRowHeight="18"/>
  <cols>
    <col min="2" max="2" width="25.28515625" customWidth="1"/>
    <col min="3" max="3" width="20.42578125" customWidth="1"/>
    <col min="4" max="4" width="19.85546875" customWidth="1"/>
    <col min="5" max="5" width="23.85546875" customWidth="1"/>
  </cols>
  <sheetData>
    <row r="10" spans="2:7">
      <c r="B10" s="11" t="s">
        <v>18</v>
      </c>
      <c r="C10" s="11" t="s">
        <v>19</v>
      </c>
      <c r="D10" s="11" t="s">
        <v>20</v>
      </c>
      <c r="E10" s="11" t="s">
        <v>21</v>
      </c>
      <c r="F10" s="11" t="s">
        <v>22</v>
      </c>
      <c r="G10" s="11" t="s">
        <v>23</v>
      </c>
    </row>
    <row r="11" spans="2:7" ht="68">
      <c r="B11" s="12" t="s">
        <v>24</v>
      </c>
      <c r="C11" s="13" t="s">
        <v>27</v>
      </c>
      <c r="D11" s="12" t="s">
        <v>28</v>
      </c>
      <c r="E11" s="12" t="s">
        <v>29</v>
      </c>
      <c r="F11" s="13" t="s">
        <v>30</v>
      </c>
      <c r="G11" s="13" t="s">
        <v>31</v>
      </c>
    </row>
    <row r="12" spans="2:7" ht="68">
      <c r="B12" s="12" t="s">
        <v>32</v>
      </c>
      <c r="C12" s="13" t="s">
        <v>33</v>
      </c>
      <c r="D12" s="12" t="s">
        <v>28</v>
      </c>
      <c r="E12" s="12" t="s">
        <v>29</v>
      </c>
      <c r="F12" s="13" t="s">
        <v>30</v>
      </c>
      <c r="G12" s="13" t="s">
        <v>31</v>
      </c>
    </row>
    <row r="13" spans="2:7" ht="34">
      <c r="B13" s="12" t="s">
        <v>34</v>
      </c>
      <c r="C13" s="13" t="s">
        <v>35</v>
      </c>
      <c r="D13" s="12" t="s">
        <v>28</v>
      </c>
      <c r="E13" s="12" t="s">
        <v>29</v>
      </c>
      <c r="F13" s="13" t="s">
        <v>30</v>
      </c>
      <c r="G13" s="13" t="s">
        <v>31</v>
      </c>
    </row>
    <row r="14" spans="2:7" ht="19">
      <c r="B14" s="10" t="s">
        <v>25</v>
      </c>
      <c r="C14" s="14" t="s">
        <v>36</v>
      </c>
      <c r="D14" s="16" t="s">
        <v>43</v>
      </c>
      <c r="E14" s="10" t="s">
        <v>38</v>
      </c>
      <c r="F14" s="16" t="s">
        <v>41</v>
      </c>
      <c r="G14" s="13" t="s">
        <v>31</v>
      </c>
    </row>
    <row r="15" spans="2:7" ht="19">
      <c r="B15" s="10" t="s">
        <v>26</v>
      </c>
      <c r="C15" s="10" t="s">
        <v>37</v>
      </c>
      <c r="D15" s="15" t="s">
        <v>40</v>
      </c>
      <c r="E15" s="10" t="s">
        <v>39</v>
      </c>
      <c r="F15" s="17" t="s">
        <v>42</v>
      </c>
      <c r="G15" s="13" t="s">
        <v>31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김현기 (Hyunki Kim)</dc:creator>
  <cp:lastModifiedBy>김현기 (Hyunki Kim)</cp:lastModifiedBy>
  <dcterms:created xsi:type="dcterms:W3CDTF">2024-04-18T01:43:47Z</dcterms:created>
  <dcterms:modified xsi:type="dcterms:W3CDTF">2024-04-18T02:48:29Z</dcterms:modified>
</cp:coreProperties>
</file>