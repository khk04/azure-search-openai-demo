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boggle70/Library/Mobile Documents/com~apple~CloudDocs/Juxtagene/2024/0112-정부지원사업계획서/신산업분야 오픈소스 사업화 지원사업/예산/"/>
    </mc:Choice>
  </mc:AlternateContent>
  <xr:revisionPtr revIDLastSave="0" documentId="13_ncr:1_{19C3F1DC-A53E-4A4F-99D8-E2CAC7B18040}" xr6:coauthVersionLast="47" xr6:coauthVersionMax="47" xr10:uidLastSave="{00000000-0000-0000-0000-000000000000}"/>
  <bookViews>
    <workbookView xWindow="6860" yWindow="-20700" windowWidth="36800" windowHeight="20980" activeTab="1" xr2:uid="{00000000-000D-0000-FFFF-FFFF00000000}"/>
  </bookViews>
  <sheets>
    <sheet name="과제비_젝사젠_8개월" sheetId="6" r:id="rId1"/>
    <sheet name="과제비_젝사젠_8개월-현물없이" sheetId="7" r:id="rId2"/>
    <sheet name="사업비_정출금배분" sheetId="4" r:id="rId3"/>
    <sheet name="사업비_총사업비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7" l="1"/>
  <c r="I12" i="7" l="1"/>
  <c r="I13" i="7"/>
  <c r="I63" i="7"/>
  <c r="I62" i="7"/>
  <c r="I61" i="7"/>
  <c r="I60" i="7"/>
  <c r="I59" i="7"/>
  <c r="I58" i="7"/>
  <c r="I57" i="7"/>
  <c r="J56" i="7"/>
  <c r="J64" i="7" s="1"/>
  <c r="I56" i="7"/>
  <c r="I55" i="7"/>
  <c r="I53" i="7"/>
  <c r="I52" i="7"/>
  <c r="I50" i="7"/>
  <c r="J43" i="7"/>
  <c r="I41" i="7"/>
  <c r="I39" i="7"/>
  <c r="I37" i="7"/>
  <c r="I43" i="7" s="1"/>
  <c r="J44" i="7" s="1"/>
  <c r="I36" i="7"/>
  <c r="I35" i="7"/>
  <c r="I34" i="7"/>
  <c r="I33" i="7"/>
  <c r="J25" i="7"/>
  <c r="N11" i="7" s="1"/>
  <c r="N12" i="7" s="1"/>
  <c r="I15" i="7"/>
  <c r="I14" i="7"/>
  <c r="G2" i="7"/>
  <c r="G4" i="7" s="1"/>
  <c r="I18" i="6"/>
  <c r="I17" i="6"/>
  <c r="I15" i="6"/>
  <c r="I14" i="6"/>
  <c r="J13" i="6"/>
  <c r="J12" i="6"/>
  <c r="I41" i="6"/>
  <c r="I63" i="6"/>
  <c r="I62" i="6"/>
  <c r="I61" i="6"/>
  <c r="I60" i="6"/>
  <c r="I59" i="6"/>
  <c r="I58" i="6"/>
  <c r="I57" i="6"/>
  <c r="J56" i="6"/>
  <c r="J64" i="6" s="1"/>
  <c r="I56" i="6"/>
  <c r="I55" i="6"/>
  <c r="I53" i="6"/>
  <c r="I52" i="6"/>
  <c r="I50" i="6"/>
  <c r="J43" i="6"/>
  <c r="I39" i="6"/>
  <c r="I37" i="6"/>
  <c r="I36" i="6"/>
  <c r="I35" i="6"/>
  <c r="I34" i="6"/>
  <c r="I33" i="6"/>
  <c r="G2" i="6"/>
  <c r="I64" i="7" l="1"/>
  <c r="J65" i="7" s="1"/>
  <c r="K65" i="7" s="1"/>
  <c r="I25" i="7"/>
  <c r="J26" i="7" s="1"/>
  <c r="K26" i="7" s="1"/>
  <c r="K44" i="7"/>
  <c r="G3" i="7"/>
  <c r="G5" i="7"/>
  <c r="G6" i="7"/>
  <c r="J25" i="6"/>
  <c r="I64" i="6"/>
  <c r="J65" i="6" s="1"/>
  <c r="K65" i="6" s="1"/>
  <c r="I43" i="6"/>
  <c r="J44" i="6" s="1"/>
  <c r="K44" i="6" s="1"/>
  <c r="I25" i="6"/>
  <c r="N11" i="6"/>
  <c r="N12" i="6" s="1"/>
  <c r="G3" i="6"/>
  <c r="G4" i="6"/>
  <c r="G5" i="6"/>
  <c r="G6" i="6"/>
  <c r="M11" i="7" l="1"/>
  <c r="J6" i="7"/>
  <c r="J26" i="6"/>
  <c r="K26" i="6" s="1"/>
  <c r="M11" i="6"/>
  <c r="J7" i="2"/>
  <c r="J6" i="6" l="1"/>
  <c r="F4" i="4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H3" i="4"/>
  <c r="I5" i="4"/>
  <c r="I6" i="4"/>
  <c r="I7" i="4"/>
  <c r="I4" i="4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F5" i="4"/>
  <c r="F6" i="4"/>
  <c r="F7" i="4"/>
  <c r="D5" i="4"/>
  <c r="D6" i="4"/>
  <c r="D7" i="4"/>
  <c r="D4" i="4"/>
  <c r="G8" i="4"/>
  <c r="E8" i="4"/>
  <c r="B5" i="4"/>
  <c r="B6" i="4"/>
  <c r="B7" i="4"/>
  <c r="B4" i="4"/>
  <c r="K15" i="2" l="1"/>
  <c r="E16" i="2"/>
  <c r="J18" i="2"/>
  <c r="K14" i="2" s="1"/>
  <c r="E10" i="2"/>
  <c r="E11" i="2"/>
  <c r="J13" i="2"/>
  <c r="K9" i="2" s="1"/>
  <c r="K10" i="2"/>
  <c r="K11" i="2"/>
  <c r="H4" i="4"/>
  <c r="H7" i="4"/>
  <c r="H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F8" i="4"/>
  <c r="I8" i="4"/>
  <c r="D8" i="4"/>
  <c r="H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H8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8" i="4"/>
  <c r="C8" i="4"/>
  <c r="M7" i="2" l="1"/>
  <c r="M8" i="2" s="1"/>
</calcChain>
</file>

<file path=xl/sharedStrings.xml><?xml version="1.0" encoding="utf-8"?>
<sst xmlns="http://schemas.openxmlformats.org/spreadsheetml/2006/main" count="247" uniqueCount="108">
  <si>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</si>
  <si>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</si>
  <si>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</si>
  <si>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</si>
  <si>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</si>
  <si>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</si>
  <si>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</si>
  <si>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</si>
  <si>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</si>
  <si>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</si>
  <si>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</si>
  <si>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</si>
  <si>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</si>
  <si>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</si>
  <si>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</si>
  <si>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</si>
  <si>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전자부품연구원</t>
    <phoneticPr fontId="6" type="noConversion"/>
  </si>
  <si>
    <t>전자부품연구원</t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</si>
  <si>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</si>
  <si>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</si>
  <si>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</si>
  <si>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40%이상</t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</si>
  <si>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</si>
  <si>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</si>
  <si>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</si>
  <si>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</si>
  <si>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</si>
  <si>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</si>
  <si>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</si>
  <si>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</si>
  <si>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서울과학기술대학교</t>
    <phoneticPr fontId="6" type="noConversion"/>
  </si>
  <si>
    <t>대학</t>
    <phoneticPr fontId="6" type="noConversion"/>
  </si>
  <si>
    <t>17.11~18.05(6개월)</t>
    <phoneticPr fontId="6" type="noConversion"/>
  </si>
  <si>
    <t>18.05~19.04(12개월)</t>
    <phoneticPr fontId="6" type="noConversion"/>
  </si>
  <si>
    <t>19.05~19.12(8개월)</t>
    <phoneticPr fontId="6" type="noConversion"/>
  </si>
  <si>
    <t>서울과학기술대학교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</si>
  <si>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</si>
  <si>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</si>
  <si>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</si>
  <si>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67%이하</t>
    <phoneticPr fontId="6" type="noConversion"/>
  </si>
  <si>
    <t>과제유형 : 혁신제품형</t>
    <phoneticPr fontId="6" type="noConversion"/>
  </si>
  <si>
    <t>FA리눅스</t>
    <phoneticPr fontId="6" type="noConversion"/>
  </si>
  <si>
    <t>FA리눅스</t>
    <phoneticPr fontId="6" type="noConversion"/>
  </si>
  <si>
    <t>모바일어플라이언스</t>
    <phoneticPr fontId="6" type="noConversion"/>
  </si>
  <si>
    <t>모바일어플라이언스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</si>
  <si>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</si>
  <si>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</si>
  <si>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</si>
  <si>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</si>
  <si>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</si>
  <si>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</si>
  <si>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</si>
  <si>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</si>
  <si>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</si>
  <si>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</si>
  <si>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</si>
  <si>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</si>
  <si>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</si>
  <si>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</si>
  <si>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</si>
  <si>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</si>
  <si>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</si>
  <si>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</si>
  <si>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</si>
  <si>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</si>
  <si>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</si>
  <si>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</si>
  <si>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</si>
  <si>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</si>
  <si>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</si>
  <si>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장길석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</si>
  <si>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</si>
  <si>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</si>
  <si>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</si>
  <si>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</si>
  <si>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보안 방화벽 장비</t>
    <phoneticPr fontId="6" type="noConversion"/>
  </si>
  <si>
    <t>비상전원공급장치</t>
    <phoneticPr fontId="6" type="noConversion"/>
  </si>
  <si>
    <t>네트워크 스위치</t>
    <phoneticPr fontId="6" type="noConversion"/>
  </si>
  <si>
    <t>L7 라우터</t>
    <phoneticPr fontId="6" type="noConversion"/>
  </si>
  <si>
    <t>특허</t>
    <phoneticPr fontId="6" type="noConversion"/>
  </si>
  <si>
    <t>지급 수수료</t>
    <phoneticPr fontId="6" type="noConversion"/>
  </si>
  <si>
    <t>여비</t>
    <phoneticPr fontId="6" type="noConversion"/>
  </si>
  <si>
    <t>현물합계</t>
    <phoneticPr fontId="6" type="noConversion"/>
  </si>
  <si>
    <t>해외 바이오 전시 참가 3인</t>
    <phoneticPr fontId="6" type="noConversion"/>
  </si>
  <si>
    <t>광고 선전비</t>
    <phoneticPr fontId="6" type="noConversion"/>
  </si>
  <si>
    <t>홈페이지 제작비</t>
    <phoneticPr fontId="6" type="noConversion"/>
  </si>
  <si>
    <t>홍보물 제작비</t>
    <phoneticPr fontId="6" type="noConversion"/>
  </si>
  <si>
    <t>로드밸런스 및 API 서버</t>
    <phoneticPr fontId="6" type="noConversion"/>
  </si>
  <si>
    <t>자기부담</t>
    <phoneticPr fontId="6" type="noConversion"/>
  </si>
  <si>
    <t>세미나 개최비</t>
    <phoneticPr fontId="6" type="noConversion"/>
  </si>
  <si>
    <t>김현기</t>
    <phoneticPr fontId="6" type="noConversion"/>
  </si>
  <si>
    <t>한태현</t>
    <phoneticPr fontId="6" type="noConversion"/>
  </si>
  <si>
    <t>수석</t>
    <phoneticPr fontId="6" type="noConversion"/>
  </si>
  <si>
    <t>책임</t>
    <phoneticPr fontId="6" type="noConversion"/>
  </si>
  <si>
    <t>선임</t>
    <phoneticPr fontId="6" type="noConversion"/>
  </si>
  <si>
    <t/>
  </si>
  <si>
    <t>파일 서버 스토리지용  디스크</t>
    <phoneticPr fontId="6" type="noConversion"/>
  </si>
  <si>
    <t>국내 바이오 전시회 참가비</t>
    <phoneticPr fontId="6" type="noConversion"/>
  </si>
  <si>
    <t>위탁연구</t>
    <phoneticPr fontId="6" type="noConversion"/>
  </si>
  <si>
    <t>전북대</t>
    <phoneticPr fontId="6" type="noConversion"/>
  </si>
  <si>
    <t>수수료</t>
    <phoneticPr fontId="6" type="noConversion"/>
  </si>
  <si>
    <t>위탁정산수수료</t>
    <phoneticPr fontId="6" type="noConversion"/>
  </si>
  <si>
    <t>시제품 제작</t>
    <phoneticPr fontId="6" type="noConversion"/>
  </si>
  <si>
    <t>특허 출원</t>
    <phoneticPr fontId="6" type="noConversion"/>
  </si>
  <si>
    <t>수행기간</t>
    <phoneticPr fontId="6" type="noConversion"/>
  </si>
  <si>
    <t>개월</t>
    <phoneticPr fontId="6" type="noConversion"/>
  </si>
  <si>
    <t>미정</t>
    <phoneticPr fontId="6" type="noConversion"/>
  </si>
  <si>
    <t>회의비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</si>
</sst>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_-* #,##0.00_-;\-* #,##0.00_-;_-* &quot;-&quot;??_-;_-@_-"/>
    <numFmt numFmtId="178" formatCode="0.0%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176" fontId="0" fillId="0" borderId="0" xfId="2" applyFont="1">
      <alignment vertical="center"/>
    </xf>
    <xf numFmtId="176" fontId="0" fillId="4" borderId="32" xfId="2" applyFont="1" applyFill="1" applyBorder="1" applyAlignment="1">
      <alignment horizontal="center" vertical="center"/>
    </xf>
    <xf numFmtId="176" fontId="9" fillId="0" borderId="33" xfId="2" applyFont="1" applyBorder="1" applyAlignment="1">
      <alignment horizontal="center" vertical="center"/>
    </xf>
    <xf numFmtId="176" fontId="9" fillId="0" borderId="29" xfId="2" applyFont="1" applyBorder="1" applyAlignment="1">
      <alignment horizontal="center" vertical="center"/>
    </xf>
    <xf numFmtId="176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176" fontId="13" fillId="0" borderId="37" xfId="2" applyFont="1" applyBorder="1">
      <alignment vertical="center"/>
    </xf>
    <xf numFmtId="176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176" fontId="16" fillId="0" borderId="26" xfId="2" applyFont="1" applyBorder="1" applyAlignment="1">
      <alignment horizontal="center" vertical="center" wrapText="1"/>
    </xf>
    <xf numFmtId="176" fontId="16" fillId="0" borderId="5" xfId="2" applyFont="1" applyBorder="1" applyAlignment="1">
      <alignment horizontal="center" vertical="center" wrapText="1"/>
    </xf>
    <xf numFmtId="176" fontId="16" fillId="0" borderId="12" xfId="2" applyFont="1" applyBorder="1" applyAlignment="1">
      <alignment horizontal="center" vertical="center" wrapText="1"/>
    </xf>
    <xf numFmtId="176" fontId="16" fillId="0" borderId="22" xfId="2" applyFont="1" applyBorder="1" applyAlignment="1">
      <alignment horizontal="center" vertical="center" wrapText="1"/>
    </xf>
    <xf numFmtId="176" fontId="16" fillId="0" borderId="9" xfId="2" applyFont="1" applyBorder="1" applyAlignment="1">
      <alignment horizontal="center" vertical="center" wrapText="1"/>
    </xf>
    <xf numFmtId="176" fontId="3" fillId="0" borderId="28" xfId="2" applyFont="1" applyBorder="1" applyAlignment="1">
      <alignment horizontal="center" vertical="center" wrapText="1"/>
    </xf>
    <xf numFmtId="176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77" fontId="0" fillId="0" borderId="47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1" xfId="0" applyNumberFormat="1" applyBorder="1">
      <alignment vertical="center"/>
    </xf>
    <xf numFmtId="176" fontId="16" fillId="0" borderId="7" xfId="2" applyFont="1" applyBorder="1" applyAlignment="1">
      <alignment horizontal="center" vertical="center" wrapText="1"/>
    </xf>
    <xf numFmtId="176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8" fontId="3" fillId="0" borderId="34" xfId="1" applyNumberFormat="1" applyFont="1" applyBorder="1" applyAlignment="1">
      <alignment horizontal="center" vertical="center" wrapText="1"/>
    </xf>
    <xf numFmtId="178" fontId="3" fillId="0" borderId="35" xfId="1" applyNumberFormat="1" applyFont="1" applyBorder="1" applyAlignment="1">
      <alignment horizontal="center" vertical="center" wrapText="1"/>
    </xf>
    <xf numFmtId="178" fontId="3" fillId="0" borderId="37" xfId="1" applyNumberFormat="1" applyFont="1" applyBorder="1" applyAlignment="1">
      <alignment horizontal="center" vertical="center" wrapText="1"/>
    </xf>
    <xf numFmtId="178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176" fontId="3" fillId="0" borderId="32" xfId="2" applyFont="1" applyBorder="1" applyAlignment="1">
      <alignment horizontal="center" vertical="center" wrapText="1"/>
    </xf>
    <xf numFmtId="176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9" fontId="17" fillId="6" borderId="69" xfId="0" applyNumberFormat="1" applyFont="1" applyFill="1" applyBorder="1" applyAlignment="1">
      <alignment horizontal="right" vertical="center"/>
    </xf>
    <xf numFmtId="0" fontId="17" fillId="6" borderId="69" xfId="0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176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9" fontId="17" fillId="6" borderId="71" xfId="0" quotePrefix="1" applyNumberFormat="1" applyFont="1" applyFill="1" applyBorder="1" applyAlignment="1">
      <alignment horizontal="right"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10" fontId="17" fillId="6" borderId="37" xfId="1" applyNumberFormat="1" applyFont="1" applyFill="1" applyBorder="1">
      <alignment vertical="center"/>
    </xf>
    <xf numFmtId="10" fontId="0" fillId="0" borderId="78" xfId="1" applyNumberFormat="1" applyFont="1" applyBorder="1">
      <alignment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6" fontId="0" fillId="4" borderId="38" xfId="2" applyFont="1" applyFill="1" applyBorder="1" applyAlignment="1">
      <alignment horizontal="center" vertical="center"/>
    </xf>
    <xf numFmtId="176" fontId="0" fillId="4" borderId="39" xfId="2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2</xdr:row>
      <xdr:rowOff>101599</xdr:rowOff>
    </xdr:from>
    <xdr:to>
      <xdr:col>26</xdr:col>
      <xdr:colOff>63500</xdr:colOff>
      <xdr:row>29</xdr:row>
      <xdr:rowOff>195228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95CAED9-B9E3-1115-EE6A-87426C876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0" y="533399"/>
          <a:ext cx="7277100" cy="5961029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41</xdr:row>
      <xdr:rowOff>222250</xdr:rowOff>
    </xdr:from>
    <xdr:to>
      <xdr:col>21</xdr:col>
      <xdr:colOff>381000</xdr:colOff>
      <xdr:row>75</xdr:row>
      <xdr:rowOff>127000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521949-D72C-139F-1758-E9B692484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9264650"/>
          <a:ext cx="4864100" cy="7296150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30</xdr:row>
      <xdr:rowOff>190500</xdr:rowOff>
    </xdr:from>
    <xdr:to>
      <xdr:col>22</xdr:col>
      <xdr:colOff>292100</xdr:colOff>
      <xdr:row>41</xdr:row>
      <xdr:rowOff>8046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8ABAF05-CCCB-3622-5DCA-4F7FE436B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58700" y="6718300"/>
          <a:ext cx="5562600" cy="2332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2</xdr:row>
      <xdr:rowOff>101599</xdr:rowOff>
    </xdr:from>
    <xdr:to>
      <xdr:col>26</xdr:col>
      <xdr:colOff>63500</xdr:colOff>
      <xdr:row>29</xdr:row>
      <xdr:rowOff>195228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5E9C88-709E-CD40-A99B-001BB7ACB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0" y="533399"/>
          <a:ext cx="7277100" cy="5961029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41</xdr:row>
      <xdr:rowOff>222250</xdr:rowOff>
    </xdr:from>
    <xdr:to>
      <xdr:col>21</xdr:col>
      <xdr:colOff>381000</xdr:colOff>
      <xdr:row>75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7A8526-A625-1642-A946-8E770231F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0" y="9264650"/>
          <a:ext cx="4864100" cy="7296150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30</xdr:row>
      <xdr:rowOff>190500</xdr:rowOff>
    </xdr:from>
    <xdr:to>
      <xdr:col>22</xdr:col>
      <xdr:colOff>292100</xdr:colOff>
      <xdr:row>41</xdr:row>
      <xdr:rowOff>8046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8467597-35B1-A445-B05B-F8A30F59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58700" y="6718300"/>
          <a:ext cx="5562600" cy="2332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41</xdr:row>
      <xdr:rowOff>85725</xdr:rowOff>
    </xdr:from>
    <xdr:to>
      <xdr:col>8</xdr:col>
      <xdr:colOff>399229</xdr:colOff>
      <xdr:row>48</xdr:row>
      <xdr:rowOff>95065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8724900"/>
          <a:ext cx="6571429" cy="1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33</xdr:row>
      <xdr:rowOff>109912</xdr:rowOff>
    </xdr:from>
    <xdr:to>
      <xdr:col>6</xdr:col>
      <xdr:colOff>320040</xdr:colOff>
      <xdr:row>41</xdr:row>
      <xdr:rowOff>83820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7379392"/>
          <a:ext cx="5143500" cy="1741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144780</xdr:colOff>
      <xdr:row>49</xdr:row>
      <xdr:rowOff>0</xdr:rowOff>
    </xdr:from>
    <xdr:to>
      <xdr:col>8</xdr:col>
      <xdr:colOff>342900</xdr:colOff>
      <xdr:row>61</xdr:row>
      <xdr:rowOff>106680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10805160"/>
          <a:ext cx="6492240" cy="2758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5C44-ADA4-3143-A24A-C36FDCFFAE3F}">
  <dimension ref="B2:N70"/>
  <sheetViews>
    <sheetView workbookViewId="0">
      <selection activeCell="F63" sqref="F63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72</v>
      </c>
      <c r="G2">
        <f>D3+D4+D5</f>
        <v>320000</v>
      </c>
    </row>
    <row r="3" spans="2:14">
      <c r="B3" s="75" t="s">
        <v>59</v>
      </c>
      <c r="C3" t="s">
        <v>73</v>
      </c>
      <c r="D3">
        <v>240000</v>
      </c>
      <c r="F3" t="s">
        <v>73</v>
      </c>
      <c r="G3" s="45">
        <f>D3/$G$2</f>
        <v>0.75</v>
      </c>
    </row>
    <row r="4" spans="2:14">
      <c r="C4" t="s">
        <v>60</v>
      </c>
      <c r="F4" t="s">
        <v>60</v>
      </c>
      <c r="G4" s="45">
        <f>D4/$G$2</f>
        <v>0</v>
      </c>
    </row>
    <row r="5" spans="2:14">
      <c r="C5" t="s">
        <v>61</v>
      </c>
      <c r="D5">
        <v>80000</v>
      </c>
      <c r="F5" t="s">
        <v>61</v>
      </c>
      <c r="G5" s="45">
        <f>D5/$G$2</f>
        <v>0.25</v>
      </c>
    </row>
    <row r="6" spans="2:14">
      <c r="F6" t="s">
        <v>88</v>
      </c>
      <c r="G6" s="45">
        <f>(D4+D5)/G2</f>
        <v>0.25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46</v>
      </c>
      <c r="H9" t="s">
        <v>104</v>
      </c>
      <c r="I9">
        <v>8</v>
      </c>
      <c r="J9" t="s">
        <v>105</v>
      </c>
    </row>
    <row r="10" spans="2:14">
      <c r="C10" s="148" t="s">
        <v>47</v>
      </c>
      <c r="D10" s="150" t="s">
        <v>48</v>
      </c>
      <c r="E10" s="150" t="s">
        <v>49</v>
      </c>
      <c r="F10" s="150" t="s">
        <v>50</v>
      </c>
      <c r="G10" s="150" t="s">
        <v>51</v>
      </c>
      <c r="H10" s="150" t="s">
        <v>52</v>
      </c>
      <c r="I10" s="132" t="s">
        <v>53</v>
      </c>
      <c r="J10" s="133"/>
      <c r="K10" s="134"/>
      <c r="M10" t="s">
        <v>74</v>
      </c>
      <c r="N10" t="s">
        <v>82</v>
      </c>
    </row>
    <row r="11" spans="2:14" ht="18" thickBot="1">
      <c r="C11" s="149"/>
      <c r="D11" s="151"/>
      <c r="E11" s="151"/>
      <c r="F11" s="151"/>
      <c r="G11" s="151"/>
      <c r="H11" s="151"/>
      <c r="I11" s="59" t="s">
        <v>54</v>
      </c>
      <c r="J11" s="60" t="s">
        <v>55</v>
      </c>
      <c r="K11" s="61" t="s">
        <v>0</v>
      </c>
      <c r="M11" s="78">
        <f>I25+I43+I64</f>
        <v>240000</v>
      </c>
      <c r="N11" s="78">
        <f>J25+J43+J64</f>
        <v>80000</v>
      </c>
    </row>
    <row r="12" spans="2:14">
      <c r="C12" s="135"/>
      <c r="D12" s="138"/>
      <c r="E12" s="62" t="s">
        <v>69</v>
      </c>
      <c r="F12" s="62" t="s">
        <v>71</v>
      </c>
      <c r="G12" s="63">
        <v>120000</v>
      </c>
      <c r="H12" s="64">
        <v>0.75</v>
      </c>
      <c r="I12" s="65"/>
      <c r="J12" s="66">
        <f>G12*H12/12*$I$9</f>
        <v>60000</v>
      </c>
      <c r="K12" s="67"/>
      <c r="N12" s="78">
        <f>D5-N11</f>
        <v>0</v>
      </c>
    </row>
    <row r="13" spans="2:14">
      <c r="C13" s="136"/>
      <c r="D13" s="139"/>
      <c r="E13" s="68" t="s">
        <v>70</v>
      </c>
      <c r="F13" s="68" t="s">
        <v>92</v>
      </c>
      <c r="G13" s="69">
        <v>30000</v>
      </c>
      <c r="H13" s="70">
        <v>1</v>
      </c>
      <c r="I13" s="66"/>
      <c r="J13" s="66">
        <f>G13*H13/12*$I$9</f>
        <v>20000</v>
      </c>
      <c r="K13" s="67"/>
    </row>
    <row r="14" spans="2:14">
      <c r="C14" s="136"/>
      <c r="D14" s="139"/>
      <c r="E14" s="68" t="s">
        <v>90</v>
      </c>
      <c r="F14" s="68" t="s">
        <v>93</v>
      </c>
      <c r="G14" s="69">
        <v>72000</v>
      </c>
      <c r="H14" s="70">
        <v>0.5</v>
      </c>
      <c r="I14" s="66">
        <f>G14*H14/12*$I$9</f>
        <v>24000</v>
      </c>
      <c r="J14" s="66"/>
      <c r="K14" s="67"/>
    </row>
    <row r="15" spans="2:14">
      <c r="C15" s="136"/>
      <c r="D15" s="139"/>
      <c r="E15" s="68" t="s">
        <v>91</v>
      </c>
      <c r="F15" s="68" t="s">
        <v>94</v>
      </c>
      <c r="G15" s="69">
        <v>54000</v>
      </c>
      <c r="H15" s="70">
        <v>0.5</v>
      </c>
      <c r="I15" s="66">
        <f>G15*H15/12*$I$9</f>
        <v>18000</v>
      </c>
      <c r="J15" s="66"/>
      <c r="K15" s="67"/>
    </row>
    <row r="16" spans="2:14">
      <c r="C16" s="136"/>
      <c r="D16" s="139"/>
      <c r="E16" s="68"/>
      <c r="F16" s="68"/>
      <c r="G16" s="69"/>
      <c r="H16" s="82" t="s">
        <v>95</v>
      </c>
      <c r="I16" s="71"/>
      <c r="J16" s="66"/>
      <c r="K16" s="67"/>
    </row>
    <row r="17" spans="2:11">
      <c r="C17" s="136"/>
      <c r="D17" s="139"/>
      <c r="E17" s="68" t="s">
        <v>106</v>
      </c>
      <c r="F17" s="68" t="s">
        <v>92</v>
      </c>
      <c r="G17" s="69">
        <v>102000</v>
      </c>
      <c r="H17" s="70">
        <v>1</v>
      </c>
      <c r="I17" s="66">
        <f>G17*H17/12*$I$9</f>
        <v>68000</v>
      </c>
      <c r="J17" s="66"/>
      <c r="K17" s="67"/>
    </row>
    <row r="18" spans="2:11">
      <c r="C18" s="136"/>
      <c r="D18" s="139"/>
      <c r="E18" s="68" t="s">
        <v>106</v>
      </c>
      <c r="F18" s="68" t="s">
        <v>93</v>
      </c>
      <c r="G18" s="69">
        <v>81000</v>
      </c>
      <c r="H18" s="70">
        <v>1</v>
      </c>
      <c r="I18" s="66">
        <f>G18*H18/12*$I$9</f>
        <v>54000</v>
      </c>
      <c r="J18" s="66"/>
      <c r="K18" s="67"/>
    </row>
    <row r="19" spans="2:11">
      <c r="C19" s="136"/>
      <c r="D19" s="139"/>
      <c r="E19" s="68"/>
      <c r="F19" s="68"/>
      <c r="G19" s="69"/>
      <c r="H19" s="70">
        <v>0.2</v>
      </c>
      <c r="I19" s="71"/>
      <c r="J19" s="66"/>
      <c r="K19" s="67"/>
    </row>
    <row r="20" spans="2:11">
      <c r="C20" s="136"/>
      <c r="D20" s="139"/>
      <c r="E20" s="68"/>
      <c r="F20" s="68"/>
      <c r="G20" s="69"/>
      <c r="H20" s="70">
        <v>0.1</v>
      </c>
      <c r="I20" s="71"/>
      <c r="J20" s="66"/>
      <c r="K20" s="67"/>
    </row>
    <row r="21" spans="2:11">
      <c r="C21" s="136"/>
      <c r="D21" s="139"/>
      <c r="E21" s="68"/>
      <c r="F21" s="68"/>
      <c r="G21" s="69"/>
      <c r="H21" s="70">
        <v>0.2</v>
      </c>
      <c r="I21" s="71"/>
      <c r="J21" s="66"/>
      <c r="K21" s="67"/>
    </row>
    <row r="22" spans="2:11">
      <c r="C22" s="136"/>
      <c r="D22" s="139"/>
      <c r="E22" s="68"/>
      <c r="F22" s="68"/>
      <c r="G22" s="69"/>
      <c r="H22" s="70">
        <v>0.13</v>
      </c>
      <c r="I22" s="71"/>
      <c r="J22" s="66"/>
      <c r="K22" s="67"/>
    </row>
    <row r="23" spans="2:11">
      <c r="C23" s="136"/>
      <c r="D23" s="139"/>
      <c r="E23" s="68"/>
      <c r="F23" s="68"/>
      <c r="G23" s="69"/>
      <c r="H23" s="70">
        <v>1</v>
      </c>
      <c r="I23" s="83"/>
      <c r="J23" s="84"/>
      <c r="K23" s="67"/>
    </row>
    <row r="24" spans="2:11">
      <c r="C24" s="136"/>
      <c r="D24" s="140"/>
      <c r="E24" s="68"/>
      <c r="F24" s="68"/>
      <c r="G24" s="69"/>
      <c r="H24" s="70">
        <v>1</v>
      </c>
      <c r="I24" s="83"/>
      <c r="J24" s="84"/>
      <c r="K24" s="67"/>
    </row>
    <row r="25" spans="2:11">
      <c r="C25" s="137"/>
      <c r="D25" s="68" t="s">
        <v>56</v>
      </c>
      <c r="E25" s="72"/>
      <c r="F25" s="72"/>
      <c r="G25" s="72"/>
      <c r="H25" s="72"/>
      <c r="I25" s="83">
        <f>SUM(I11:I24)</f>
        <v>164000</v>
      </c>
      <c r="J25" s="73">
        <f>SUM(J11:J24)</f>
        <v>80000</v>
      </c>
      <c r="K25" s="67"/>
    </row>
    <row r="26" spans="2:11" ht="18" thickBot="1">
      <c r="C26" s="141" t="s">
        <v>57</v>
      </c>
      <c r="D26" s="142"/>
      <c r="E26" s="142"/>
      <c r="F26" s="142"/>
      <c r="G26" s="142"/>
      <c r="H26" s="143"/>
      <c r="I26" s="59">
        <v>0</v>
      </c>
      <c r="J26" s="74">
        <f>I25+J25</f>
        <v>244000</v>
      </c>
      <c r="K26" s="85">
        <f>J26/G2</f>
        <v>0.76249999999999996</v>
      </c>
    </row>
    <row r="27" spans="2:11">
      <c r="J27" s="73"/>
    </row>
    <row r="29" spans="2:11">
      <c r="B29" t="s">
        <v>62</v>
      </c>
    </row>
    <row r="30" spans="2:11" ht="18">
      <c r="B30" s="76"/>
      <c r="C30" s="144" t="s">
        <v>63</v>
      </c>
      <c r="D30" s="144" t="s">
        <v>64</v>
      </c>
      <c r="E30" s="144" t="s">
        <v>65</v>
      </c>
      <c r="F30" s="144" t="s">
        <v>66</v>
      </c>
      <c r="G30" s="146"/>
      <c r="H30" s="147"/>
      <c r="I30" s="146" t="s">
        <v>67</v>
      </c>
      <c r="J30" s="147"/>
      <c r="K30" s="77" t="s">
        <v>8</v>
      </c>
    </row>
    <row r="31" spans="2:11" ht="18">
      <c r="B31" s="76"/>
      <c r="C31" s="145"/>
      <c r="D31" s="145"/>
      <c r="E31" s="145"/>
      <c r="F31" s="145"/>
      <c r="G31" s="77"/>
      <c r="H31" s="77"/>
      <c r="I31" s="77" t="s">
        <v>60</v>
      </c>
      <c r="J31" s="77" t="s">
        <v>61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102</v>
      </c>
      <c r="D33" s="77" t="s">
        <v>78</v>
      </c>
      <c r="E33" s="77">
        <v>3000</v>
      </c>
      <c r="F33" s="77">
        <v>1</v>
      </c>
      <c r="G33" s="77"/>
      <c r="H33" s="77"/>
      <c r="I33" s="81">
        <f>E33*F33</f>
        <v>3000</v>
      </c>
      <c r="J33" s="81"/>
      <c r="K33" s="77"/>
    </row>
    <row r="34" spans="2:11" ht="18">
      <c r="B34" s="76"/>
      <c r="C34" s="77"/>
      <c r="D34" s="77" t="s">
        <v>77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75</v>
      </c>
      <c r="E35" s="77">
        <v>4000</v>
      </c>
      <c r="F35" s="77">
        <v>1</v>
      </c>
      <c r="G35" s="77"/>
      <c r="H35" s="77"/>
      <c r="I35" s="81">
        <f t="shared" ref="I35:I37" si="0">E35*F35</f>
        <v>4000</v>
      </c>
      <c r="J35" s="81"/>
      <c r="K35" s="77"/>
    </row>
    <row r="36" spans="2:11" ht="18">
      <c r="B36" s="76"/>
      <c r="C36" s="77"/>
      <c r="D36" s="77" t="s">
        <v>76</v>
      </c>
      <c r="E36" s="77">
        <v>6000</v>
      </c>
      <c r="F36" s="77"/>
      <c r="G36" s="77"/>
      <c r="H36" s="77"/>
      <c r="I36" s="81">
        <f t="shared" si="0"/>
        <v>0</v>
      </c>
      <c r="J36" s="81"/>
      <c r="K36" s="77"/>
    </row>
    <row r="37" spans="2:11" ht="18">
      <c r="B37" s="76"/>
      <c r="C37" s="77"/>
      <c r="D37" s="77" t="s">
        <v>87</v>
      </c>
      <c r="E37" s="77">
        <v>10000</v>
      </c>
      <c r="F37" s="77"/>
      <c r="G37" s="77"/>
      <c r="H37" s="77"/>
      <c r="I37" s="81">
        <f t="shared" si="0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68</v>
      </c>
      <c r="D39" s="77" t="s">
        <v>96</v>
      </c>
      <c r="E39" s="77">
        <v>300</v>
      </c>
      <c r="F39" s="77"/>
      <c r="G39" s="77"/>
      <c r="H39" s="77"/>
      <c r="I39" s="81">
        <f t="shared" ref="I39" si="1">E39*F39</f>
        <v>0</v>
      </c>
      <c r="J39" s="81"/>
      <c r="K39" s="77"/>
    </row>
    <row r="40" spans="2:11" ht="18">
      <c r="B40" s="76"/>
      <c r="C40" s="77"/>
      <c r="D40" s="77"/>
      <c r="E40" s="77"/>
      <c r="F40" s="77"/>
      <c r="G40" s="77"/>
      <c r="H40" s="77"/>
      <c r="I40" s="81">
        <v>0</v>
      </c>
      <c r="J40" s="81">
        <v>0</v>
      </c>
      <c r="K40" s="77"/>
    </row>
    <row r="41" spans="2:11" ht="18">
      <c r="B41" s="76"/>
      <c r="C41" s="77" t="s">
        <v>98</v>
      </c>
      <c r="D41" s="77" t="s">
        <v>99</v>
      </c>
      <c r="E41" s="77">
        <v>50000</v>
      </c>
      <c r="F41" s="77">
        <v>1</v>
      </c>
      <c r="G41" s="77"/>
      <c r="H41" s="77"/>
      <c r="I41" s="81">
        <f t="shared" ref="I41" si="2">E41*F41</f>
        <v>50000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56</v>
      </c>
      <c r="E43" s="72"/>
      <c r="F43" s="72"/>
      <c r="G43" s="72"/>
      <c r="H43" s="72"/>
      <c r="I43" s="81">
        <f>SUM(I32:I42)</f>
        <v>57000</v>
      </c>
      <c r="J43" s="81">
        <f>SUM(J32:J42)</f>
        <v>0</v>
      </c>
      <c r="K43" s="77"/>
    </row>
    <row r="44" spans="2:11" ht="18">
      <c r="B44" s="76"/>
      <c r="C44" s="146" t="s">
        <v>9</v>
      </c>
      <c r="D44" s="152"/>
      <c r="E44" s="152"/>
      <c r="F44" s="152"/>
      <c r="G44" s="152"/>
      <c r="H44" s="147"/>
      <c r="I44" s="79"/>
      <c r="J44" s="81">
        <f>I43+J43</f>
        <v>57000</v>
      </c>
      <c r="K44" s="86">
        <f>J44/G2</f>
        <v>0.17812500000000001</v>
      </c>
    </row>
    <row r="45" spans="2:11" ht="18">
      <c r="B45" s="76"/>
    </row>
    <row r="46" spans="2:11">
      <c r="B46" t="s">
        <v>58</v>
      </c>
    </row>
    <row r="47" spans="2:11">
      <c r="C47" s="144" t="s">
        <v>63</v>
      </c>
      <c r="D47" s="144" t="s">
        <v>64</v>
      </c>
      <c r="E47" s="144" t="s">
        <v>65</v>
      </c>
      <c r="F47" s="144" t="s">
        <v>66</v>
      </c>
      <c r="G47" s="146"/>
      <c r="H47" s="147"/>
      <c r="I47" s="146" t="s">
        <v>67</v>
      </c>
      <c r="J47" s="147"/>
      <c r="K47" s="77" t="s">
        <v>8</v>
      </c>
    </row>
    <row r="48" spans="2:11">
      <c r="C48" s="145"/>
      <c r="D48" s="145"/>
      <c r="E48" s="145"/>
      <c r="F48" s="145"/>
      <c r="G48" s="77"/>
      <c r="H48" s="77"/>
      <c r="I48" s="77" t="s">
        <v>60</v>
      </c>
      <c r="J48" s="77" t="s">
        <v>61</v>
      </c>
      <c r="K48" s="77"/>
    </row>
    <row r="49" spans="3:11">
      <c r="C49" s="77"/>
      <c r="D49" s="77"/>
      <c r="E49" s="77"/>
      <c r="F49" s="77"/>
      <c r="G49" s="77"/>
      <c r="H49" s="77"/>
      <c r="I49" s="81"/>
      <c r="J49" s="81"/>
      <c r="K49" s="77"/>
    </row>
    <row r="50" spans="3:11">
      <c r="C50" s="77" t="s">
        <v>79</v>
      </c>
      <c r="D50" s="77" t="s">
        <v>103</v>
      </c>
      <c r="E50" s="77">
        <v>3000</v>
      </c>
      <c r="F50" s="77">
        <v>1</v>
      </c>
      <c r="G50" s="77"/>
      <c r="H50" s="77"/>
      <c r="I50" s="81">
        <f t="shared" ref="I50:I63" si="3">E50*F50</f>
        <v>3000</v>
      </c>
      <c r="J50" s="81">
        <v>0</v>
      </c>
      <c r="K50" s="77"/>
    </row>
    <row r="51" spans="3:11">
      <c r="C51" s="77"/>
      <c r="D51" s="77"/>
      <c r="E51" s="77"/>
      <c r="F51" s="77"/>
      <c r="G51" s="77"/>
      <c r="H51" s="77"/>
      <c r="I51" s="81"/>
      <c r="J51" s="81"/>
      <c r="K51" s="77"/>
    </row>
    <row r="52" spans="3:11">
      <c r="C52" s="77" t="s">
        <v>80</v>
      </c>
      <c r="D52" s="77" t="s">
        <v>97</v>
      </c>
      <c r="E52" s="77">
        <v>3400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1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1">
      <c r="C54" s="77"/>
      <c r="D54" s="77"/>
      <c r="E54" s="77"/>
      <c r="F54" s="77"/>
      <c r="G54" s="77"/>
      <c r="H54" s="77"/>
      <c r="I54" s="81"/>
      <c r="J54" s="81"/>
      <c r="K54" s="77"/>
    </row>
    <row r="55" spans="3:11">
      <c r="C55" s="77" t="s">
        <v>81</v>
      </c>
      <c r="D55" s="77" t="s">
        <v>83</v>
      </c>
      <c r="E55" s="77">
        <v>2500</v>
      </c>
      <c r="F55" s="77"/>
      <c r="G55" s="77"/>
      <c r="H55" s="77"/>
      <c r="I55" s="81">
        <f t="shared" si="3"/>
        <v>0</v>
      </c>
      <c r="J55" s="81"/>
      <c r="K55" s="77"/>
    </row>
    <row r="56" spans="3:11">
      <c r="C56" s="77"/>
      <c r="D56" s="77"/>
      <c r="E56" s="77"/>
      <c r="F56" s="77"/>
      <c r="G56" s="77"/>
      <c r="H56" s="77"/>
      <c r="I56" s="81">
        <f t="shared" si="3"/>
        <v>0</v>
      </c>
      <c r="J56" s="81">
        <f>E56*F56</f>
        <v>0</v>
      </c>
      <c r="K56" s="77"/>
    </row>
    <row r="57" spans="3:11">
      <c r="C57" s="77" t="s">
        <v>100</v>
      </c>
      <c r="D57" s="77" t="s">
        <v>101</v>
      </c>
      <c r="E57" s="77">
        <v>1500</v>
      </c>
      <c r="F57" s="77">
        <v>1</v>
      </c>
      <c r="G57" s="77"/>
      <c r="H57" s="77"/>
      <c r="I57" s="81">
        <f t="shared" si="3"/>
        <v>1500</v>
      </c>
      <c r="J57" s="81"/>
      <c r="K57" s="77"/>
    </row>
    <row r="58" spans="3:11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1">
      <c r="C59" s="77" t="s">
        <v>84</v>
      </c>
      <c r="D59" s="77" t="s">
        <v>85</v>
      </c>
      <c r="E59" s="77">
        <v>2850</v>
      </c>
      <c r="F59" s="77"/>
      <c r="G59" s="77"/>
      <c r="H59" s="77"/>
      <c r="I59" s="81">
        <f t="shared" si="3"/>
        <v>0</v>
      </c>
      <c r="J59" s="81"/>
      <c r="K59" s="77"/>
    </row>
    <row r="60" spans="3:11">
      <c r="C60" s="77"/>
      <c r="D60" s="77" t="s">
        <v>86</v>
      </c>
      <c r="E60" s="77">
        <v>3000</v>
      </c>
      <c r="F60" s="77">
        <v>2</v>
      </c>
      <c r="G60" s="77"/>
      <c r="H60" s="77"/>
      <c r="I60" s="81">
        <f t="shared" si="3"/>
        <v>6000</v>
      </c>
      <c r="J60" s="81"/>
      <c r="K60" s="77"/>
    </row>
    <row r="61" spans="3:11">
      <c r="C61" s="77"/>
      <c r="D61" s="77" t="s">
        <v>89</v>
      </c>
      <c r="E61" s="77">
        <v>3000</v>
      </c>
      <c r="F61" s="77">
        <v>2</v>
      </c>
      <c r="G61" s="77"/>
      <c r="H61" s="77"/>
      <c r="I61" s="81">
        <f t="shared" si="3"/>
        <v>6000</v>
      </c>
      <c r="J61" s="81"/>
      <c r="K61" s="77"/>
    </row>
    <row r="62" spans="3:11">
      <c r="C62" s="77"/>
      <c r="D62" s="77" t="s">
        <v>107</v>
      </c>
      <c r="E62" s="77">
        <v>2500</v>
      </c>
      <c r="F62" s="77">
        <v>1</v>
      </c>
      <c r="G62" s="77"/>
      <c r="H62" s="77"/>
      <c r="I62" s="81">
        <f t="shared" si="3"/>
        <v>2500</v>
      </c>
      <c r="J62" s="81"/>
      <c r="K62" s="77"/>
    </row>
    <row r="63" spans="3:11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1">
      <c r="C64" s="77"/>
      <c r="D64" s="68" t="s">
        <v>56</v>
      </c>
      <c r="E64" s="72"/>
      <c r="F64" s="72"/>
      <c r="G64" s="72"/>
      <c r="H64" s="72"/>
      <c r="I64" s="81">
        <f>SUM(I49:I63)</f>
        <v>19000</v>
      </c>
      <c r="J64" s="81">
        <f>SUM(J49:J63)</f>
        <v>0</v>
      </c>
      <c r="K64" s="77"/>
    </row>
    <row r="65" spans="3:11">
      <c r="C65" s="146" t="s">
        <v>9</v>
      </c>
      <c r="D65" s="152"/>
      <c r="E65" s="152"/>
      <c r="F65" s="152"/>
      <c r="G65" s="152"/>
      <c r="H65" s="147"/>
      <c r="I65" s="79"/>
      <c r="J65" s="81">
        <f>I64+J64</f>
        <v>19000</v>
      </c>
      <c r="K65" s="86">
        <f>J65/G2</f>
        <v>5.9374999999999997E-2</v>
      </c>
    </row>
    <row r="67" spans="3:11">
      <c r="G67" s="16"/>
    </row>
    <row r="70" spans="3:11">
      <c r="G70" s="16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FA4C-B6C2-994D-A77A-CB5E0F636493}">
  <dimension ref="B2:N70"/>
  <sheetViews>
    <sheetView tabSelected="1" workbookViewId="0">
      <selection activeCell="E61" sqref="E61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72</v>
      </c>
      <c r="G2">
        <f>D3+D4+D5</f>
        <v>250000</v>
      </c>
    </row>
    <row r="3" spans="2:14">
      <c r="B3" s="75" t="s">
        <v>59</v>
      </c>
      <c r="C3" t="s">
        <v>73</v>
      </c>
      <c r="D3">
        <v>250000</v>
      </c>
      <c r="F3" t="s">
        <v>73</v>
      </c>
      <c r="G3" s="45">
        <f>D3/$G$2</f>
        <v>1</v>
      </c>
    </row>
    <row r="4" spans="2:14">
      <c r="C4" t="s">
        <v>60</v>
      </c>
      <c r="F4" t="s">
        <v>60</v>
      </c>
      <c r="G4" s="45">
        <f>D4/$G$2</f>
        <v>0</v>
      </c>
    </row>
    <row r="5" spans="2:14">
      <c r="C5" t="s">
        <v>61</v>
      </c>
      <c r="F5" t="s">
        <v>61</v>
      </c>
      <c r="G5" s="45">
        <f>D5/$G$2</f>
        <v>0</v>
      </c>
    </row>
    <row r="6" spans="2:14">
      <c r="F6" t="s">
        <v>88</v>
      </c>
      <c r="G6" s="45">
        <f>(D4+D5)/G2</f>
        <v>0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46</v>
      </c>
      <c r="H9" t="s">
        <v>104</v>
      </c>
      <c r="I9">
        <v>8</v>
      </c>
      <c r="J9" t="s">
        <v>105</v>
      </c>
    </row>
    <row r="10" spans="2:14">
      <c r="C10" s="148" t="s">
        <v>47</v>
      </c>
      <c r="D10" s="150" t="s">
        <v>48</v>
      </c>
      <c r="E10" s="150" t="s">
        <v>49</v>
      </c>
      <c r="F10" s="150" t="s">
        <v>50</v>
      </c>
      <c r="G10" s="150" t="s">
        <v>51</v>
      </c>
      <c r="H10" s="150" t="s">
        <v>52</v>
      </c>
      <c r="I10" s="132" t="s">
        <v>53</v>
      </c>
      <c r="J10" s="133"/>
      <c r="K10" s="134"/>
      <c r="M10" t="s">
        <v>74</v>
      </c>
      <c r="N10" t="s">
        <v>82</v>
      </c>
    </row>
    <row r="11" spans="2:14" ht="18" thickBot="1">
      <c r="C11" s="149"/>
      <c r="D11" s="151"/>
      <c r="E11" s="151"/>
      <c r="F11" s="151"/>
      <c r="G11" s="151"/>
      <c r="H11" s="151"/>
      <c r="I11" s="59" t="s">
        <v>54</v>
      </c>
      <c r="J11" s="60" t="s">
        <v>55</v>
      </c>
      <c r="K11" s="61" t="s">
        <v>0</v>
      </c>
      <c r="M11" s="78">
        <f>I25+I43+I64</f>
        <v>250000</v>
      </c>
      <c r="N11" s="78">
        <f>J25+J43+J64</f>
        <v>0</v>
      </c>
    </row>
    <row r="12" spans="2:14">
      <c r="C12" s="135"/>
      <c r="D12" s="138"/>
      <c r="E12" s="62" t="s">
        <v>69</v>
      </c>
      <c r="F12" s="62" t="s">
        <v>71</v>
      </c>
      <c r="G12" s="63">
        <v>120000</v>
      </c>
      <c r="H12" s="64">
        <v>0.7</v>
      </c>
      <c r="I12" s="66">
        <f>G12*H12/12*$I$9</f>
        <v>56000</v>
      </c>
      <c r="J12" s="66"/>
      <c r="K12" s="67"/>
      <c r="N12" s="78">
        <f>D5-N11</f>
        <v>0</v>
      </c>
    </row>
    <row r="13" spans="2:14">
      <c r="C13" s="136"/>
      <c r="D13" s="139"/>
      <c r="E13" s="68" t="s">
        <v>70</v>
      </c>
      <c r="F13" s="68" t="s">
        <v>92</v>
      </c>
      <c r="G13" s="69">
        <v>90000</v>
      </c>
      <c r="H13" s="70">
        <v>0.6</v>
      </c>
      <c r="I13" s="66">
        <f>G13*H13/12*$I$9</f>
        <v>36000</v>
      </c>
      <c r="J13" s="66"/>
      <c r="K13" s="67"/>
      <c r="L13">
        <f>G13*(100%-H13)</f>
        <v>36000</v>
      </c>
    </row>
    <row r="14" spans="2:14">
      <c r="C14" s="136"/>
      <c r="D14" s="139"/>
      <c r="E14" s="68" t="s">
        <v>90</v>
      </c>
      <c r="F14" s="68" t="s">
        <v>93</v>
      </c>
      <c r="G14" s="69">
        <v>75000</v>
      </c>
      <c r="H14" s="70">
        <v>0.5</v>
      </c>
      <c r="I14" s="66">
        <f>G14*H14/12*$I$9</f>
        <v>25000</v>
      </c>
      <c r="J14" s="66"/>
      <c r="K14" s="67"/>
    </row>
    <row r="15" spans="2:14">
      <c r="C15" s="136"/>
      <c r="D15" s="139"/>
      <c r="E15" s="68" t="s">
        <v>91</v>
      </c>
      <c r="F15" s="68" t="s">
        <v>94</v>
      </c>
      <c r="G15" s="69">
        <v>54000</v>
      </c>
      <c r="H15" s="70">
        <v>0.5</v>
      </c>
      <c r="I15" s="66">
        <f>G15*H15/12*$I$9</f>
        <v>18000</v>
      </c>
      <c r="J15" s="66"/>
      <c r="K15" s="67"/>
    </row>
    <row r="16" spans="2:14">
      <c r="C16" s="136"/>
      <c r="D16" s="139"/>
      <c r="E16" s="68"/>
      <c r="F16" s="68"/>
      <c r="G16" s="69"/>
      <c r="H16" s="82" t="s">
        <v>95</v>
      </c>
      <c r="I16" s="71"/>
      <c r="J16" s="66"/>
      <c r="K16" s="67"/>
    </row>
    <row r="17" spans="2:11">
      <c r="C17" s="136"/>
      <c r="D17" s="139"/>
      <c r="E17" s="68" t="s">
        <v>106</v>
      </c>
      <c r="F17" s="68" t="s">
        <v>92</v>
      </c>
      <c r="G17" s="69">
        <v>102000</v>
      </c>
      <c r="H17" s="70">
        <v>1</v>
      </c>
      <c r="I17" s="66"/>
      <c r="J17" s="66"/>
      <c r="K17" s="67"/>
    </row>
    <row r="18" spans="2:11">
      <c r="C18" s="136"/>
      <c r="D18" s="139"/>
      <c r="E18" s="68" t="s">
        <v>106</v>
      </c>
      <c r="F18" s="68" t="s">
        <v>93</v>
      </c>
      <c r="G18" s="69">
        <v>81000</v>
      </c>
      <c r="H18" s="70">
        <v>1</v>
      </c>
      <c r="I18" s="66"/>
      <c r="J18" s="66"/>
      <c r="K18" s="67"/>
    </row>
    <row r="19" spans="2:11">
      <c r="C19" s="136"/>
      <c r="D19" s="139"/>
      <c r="E19" s="68"/>
      <c r="F19" s="68"/>
      <c r="G19" s="69"/>
      <c r="H19" s="70">
        <v>0.2</v>
      </c>
      <c r="I19" s="71"/>
      <c r="J19" s="66"/>
      <c r="K19" s="67"/>
    </row>
    <row r="20" spans="2:11">
      <c r="C20" s="136"/>
      <c r="D20" s="139"/>
      <c r="E20" s="68"/>
      <c r="F20" s="68"/>
      <c r="G20" s="69"/>
      <c r="H20" s="70">
        <v>0.1</v>
      </c>
      <c r="I20" s="71"/>
      <c r="J20" s="66"/>
      <c r="K20" s="67"/>
    </row>
    <row r="21" spans="2:11">
      <c r="C21" s="136"/>
      <c r="D21" s="139"/>
      <c r="E21" s="68"/>
      <c r="F21" s="68"/>
      <c r="G21" s="69"/>
      <c r="H21" s="70">
        <v>0.2</v>
      </c>
      <c r="I21" s="71"/>
      <c r="J21" s="66"/>
      <c r="K21" s="67"/>
    </row>
    <row r="22" spans="2:11">
      <c r="C22" s="136"/>
      <c r="D22" s="139"/>
      <c r="E22" s="68"/>
      <c r="F22" s="68"/>
      <c r="G22" s="69"/>
      <c r="H22" s="70">
        <v>0.13</v>
      </c>
      <c r="I22" s="71"/>
      <c r="J22" s="66"/>
      <c r="K22" s="67"/>
    </row>
    <row r="23" spans="2:11">
      <c r="C23" s="136"/>
      <c r="D23" s="139"/>
      <c r="E23" s="68"/>
      <c r="F23" s="68"/>
      <c r="G23" s="69"/>
      <c r="H23" s="70">
        <v>1</v>
      </c>
      <c r="I23" s="83"/>
      <c r="J23" s="84"/>
      <c r="K23" s="67"/>
    </row>
    <row r="24" spans="2:11">
      <c r="C24" s="136"/>
      <c r="D24" s="140"/>
      <c r="E24" s="68"/>
      <c r="F24" s="68"/>
      <c r="G24" s="69"/>
      <c r="H24" s="70">
        <v>1</v>
      </c>
      <c r="I24" s="83"/>
      <c r="J24" s="84"/>
      <c r="K24" s="67"/>
    </row>
    <row r="25" spans="2:11">
      <c r="C25" s="137"/>
      <c r="D25" s="68" t="s">
        <v>56</v>
      </c>
      <c r="E25" s="72"/>
      <c r="F25" s="72"/>
      <c r="G25" s="72"/>
      <c r="H25" s="72"/>
      <c r="I25" s="83">
        <f>SUM(I11:I24)</f>
        <v>135000</v>
      </c>
      <c r="J25" s="73">
        <f>SUM(J11:J24)</f>
        <v>0</v>
      </c>
      <c r="K25" s="67"/>
    </row>
    <row r="26" spans="2:11" ht="18" thickBot="1">
      <c r="C26" s="141" t="s">
        <v>57</v>
      </c>
      <c r="D26" s="142"/>
      <c r="E26" s="142"/>
      <c r="F26" s="142"/>
      <c r="G26" s="142"/>
      <c r="H26" s="143"/>
      <c r="I26" s="59">
        <v>0</v>
      </c>
      <c r="J26" s="74">
        <f>I25+J25</f>
        <v>135000</v>
      </c>
      <c r="K26" s="85">
        <f>J26/G2</f>
        <v>0.54</v>
      </c>
    </row>
    <row r="27" spans="2:11">
      <c r="J27" s="73"/>
    </row>
    <row r="29" spans="2:11">
      <c r="B29" t="s">
        <v>62</v>
      </c>
    </row>
    <row r="30" spans="2:11" ht="18">
      <c r="B30" s="76"/>
      <c r="C30" s="144" t="s">
        <v>63</v>
      </c>
      <c r="D30" s="144" t="s">
        <v>64</v>
      </c>
      <c r="E30" s="144" t="s">
        <v>65</v>
      </c>
      <c r="F30" s="144" t="s">
        <v>66</v>
      </c>
      <c r="G30" s="146"/>
      <c r="H30" s="147"/>
      <c r="I30" s="146" t="s">
        <v>67</v>
      </c>
      <c r="J30" s="147"/>
      <c r="K30" s="77" t="s">
        <v>8</v>
      </c>
    </row>
    <row r="31" spans="2:11" ht="18">
      <c r="B31" s="76"/>
      <c r="C31" s="145"/>
      <c r="D31" s="145"/>
      <c r="E31" s="145"/>
      <c r="F31" s="145"/>
      <c r="G31" s="77"/>
      <c r="H31" s="77"/>
      <c r="I31" s="77" t="s">
        <v>60</v>
      </c>
      <c r="J31" s="77" t="s">
        <v>61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102</v>
      </c>
      <c r="D33" s="77" t="s">
        <v>78</v>
      </c>
      <c r="E33" s="77">
        <v>3000</v>
      </c>
      <c r="F33" s="77">
        <v>1</v>
      </c>
      <c r="G33" s="77"/>
      <c r="H33" s="77"/>
      <c r="I33" s="81">
        <f>E33*F33</f>
        <v>3000</v>
      </c>
      <c r="J33" s="81"/>
      <c r="K33" s="77"/>
    </row>
    <row r="34" spans="2:11" ht="18">
      <c r="B34" s="76"/>
      <c r="C34" s="77"/>
      <c r="D34" s="77" t="s">
        <v>77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75</v>
      </c>
      <c r="E35" s="77">
        <v>4000</v>
      </c>
      <c r="F35" s="77">
        <v>1</v>
      </c>
      <c r="G35" s="77"/>
      <c r="H35" s="77"/>
      <c r="I35" s="81">
        <f t="shared" ref="I35:I37" si="0">E35*F35</f>
        <v>4000</v>
      </c>
      <c r="J35" s="81"/>
      <c r="K35" s="77"/>
    </row>
    <row r="36" spans="2:11" ht="18">
      <c r="B36" s="76"/>
      <c r="C36" s="77"/>
      <c r="D36" s="77" t="s">
        <v>76</v>
      </c>
      <c r="E36" s="77">
        <v>6000</v>
      </c>
      <c r="F36" s="77"/>
      <c r="G36" s="77"/>
      <c r="H36" s="77"/>
      <c r="I36" s="81">
        <f t="shared" si="0"/>
        <v>0</v>
      </c>
      <c r="J36" s="81"/>
      <c r="K36" s="77"/>
    </row>
    <row r="37" spans="2:11" ht="18">
      <c r="B37" s="76"/>
      <c r="C37" s="77"/>
      <c r="D37" s="77" t="s">
        <v>87</v>
      </c>
      <c r="E37" s="77">
        <v>40000</v>
      </c>
      <c r="F37" s="77">
        <v>1</v>
      </c>
      <c r="G37" s="77"/>
      <c r="H37" s="77"/>
      <c r="I37" s="81">
        <f t="shared" si="0"/>
        <v>40000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68</v>
      </c>
      <c r="D39" s="77" t="s">
        <v>96</v>
      </c>
      <c r="E39" s="77">
        <v>300</v>
      </c>
      <c r="F39" s="77"/>
      <c r="G39" s="77"/>
      <c r="H39" s="77"/>
      <c r="I39" s="81">
        <f t="shared" ref="I39" si="1">E39*F39</f>
        <v>0</v>
      </c>
      <c r="J39" s="81"/>
      <c r="K39" s="77"/>
    </row>
    <row r="40" spans="2:11" ht="18">
      <c r="B40" s="76"/>
      <c r="C40" s="77"/>
      <c r="D40" s="77"/>
      <c r="E40" s="77"/>
      <c r="F40" s="77"/>
      <c r="G40" s="77"/>
      <c r="H40" s="77"/>
      <c r="I40" s="81">
        <v>0</v>
      </c>
      <c r="J40" s="81">
        <v>0</v>
      </c>
      <c r="K40" s="77"/>
    </row>
    <row r="41" spans="2:11" ht="18">
      <c r="B41" s="76"/>
      <c r="C41" s="77" t="s">
        <v>98</v>
      </c>
      <c r="D41" s="77" t="s">
        <v>99</v>
      </c>
      <c r="E41" s="77">
        <v>50000</v>
      </c>
      <c r="F41" s="77">
        <v>1</v>
      </c>
      <c r="G41" s="77"/>
      <c r="H41" s="77"/>
      <c r="I41" s="81">
        <f t="shared" ref="I41" si="2">E41*F41</f>
        <v>50000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56</v>
      </c>
      <c r="E43" s="72"/>
      <c r="F43" s="72"/>
      <c r="G43" s="72"/>
      <c r="H43" s="72"/>
      <c r="I43" s="81">
        <f>SUM(I32:I42)</f>
        <v>97000</v>
      </c>
      <c r="J43" s="81">
        <f>SUM(J32:J42)</f>
        <v>0</v>
      </c>
      <c r="K43" s="77"/>
    </row>
    <row r="44" spans="2:11" ht="18">
      <c r="B44" s="76"/>
      <c r="C44" s="146" t="s">
        <v>9</v>
      </c>
      <c r="D44" s="152"/>
      <c r="E44" s="152"/>
      <c r="F44" s="152"/>
      <c r="G44" s="152"/>
      <c r="H44" s="147"/>
      <c r="I44" s="79"/>
      <c r="J44" s="81">
        <f>I43+J43</f>
        <v>97000</v>
      </c>
      <c r="K44" s="86">
        <f>J44/G2</f>
        <v>0.38800000000000001</v>
      </c>
    </row>
    <row r="45" spans="2:11" ht="18">
      <c r="B45" s="76"/>
    </row>
    <row r="46" spans="2:11">
      <c r="B46" t="s">
        <v>58</v>
      </c>
    </row>
    <row r="47" spans="2:11">
      <c r="C47" s="144" t="s">
        <v>63</v>
      </c>
      <c r="D47" s="144" t="s">
        <v>64</v>
      </c>
      <c r="E47" s="144" t="s">
        <v>65</v>
      </c>
      <c r="F47" s="144" t="s">
        <v>66</v>
      </c>
      <c r="G47" s="146"/>
      <c r="H47" s="147"/>
      <c r="I47" s="146" t="s">
        <v>67</v>
      </c>
      <c r="J47" s="147"/>
      <c r="K47" s="77" t="s">
        <v>8</v>
      </c>
    </row>
    <row r="48" spans="2:11">
      <c r="C48" s="145"/>
      <c r="D48" s="145"/>
      <c r="E48" s="145"/>
      <c r="F48" s="145"/>
      <c r="G48" s="77"/>
      <c r="H48" s="77"/>
      <c r="I48" s="77" t="s">
        <v>60</v>
      </c>
      <c r="J48" s="77" t="s">
        <v>61</v>
      </c>
      <c r="K48" s="77"/>
    </row>
    <row r="49" spans="3:11">
      <c r="C49" s="77"/>
      <c r="D49" s="77"/>
      <c r="E49" s="77"/>
      <c r="F49" s="77"/>
      <c r="G49" s="77"/>
      <c r="H49" s="77"/>
      <c r="I49" s="81"/>
      <c r="J49" s="81"/>
      <c r="K49" s="77"/>
    </row>
    <row r="50" spans="3:11">
      <c r="C50" s="77" t="s">
        <v>79</v>
      </c>
      <c r="D50" s="77" t="s">
        <v>103</v>
      </c>
      <c r="E50" s="77">
        <v>3000</v>
      </c>
      <c r="F50" s="77">
        <v>1</v>
      </c>
      <c r="G50" s="77"/>
      <c r="H50" s="77"/>
      <c r="I50" s="81">
        <f t="shared" ref="I50:I63" si="3">E50*F50</f>
        <v>3000</v>
      </c>
      <c r="J50" s="81">
        <v>0</v>
      </c>
      <c r="K50" s="77"/>
    </row>
    <row r="51" spans="3:11">
      <c r="C51" s="77"/>
      <c r="D51" s="77"/>
      <c r="E51" s="77"/>
      <c r="F51" s="77"/>
      <c r="G51" s="77"/>
      <c r="H51" s="77"/>
      <c r="I51" s="81"/>
      <c r="J51" s="81"/>
      <c r="K51" s="77"/>
    </row>
    <row r="52" spans="3:11">
      <c r="C52" s="77" t="s">
        <v>80</v>
      </c>
      <c r="D52" s="77" t="s">
        <v>97</v>
      </c>
      <c r="E52" s="77">
        <v>3400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1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1">
      <c r="C54" s="77"/>
      <c r="D54" s="77"/>
      <c r="E54" s="77"/>
      <c r="F54" s="77"/>
      <c r="G54" s="77"/>
      <c r="H54" s="77"/>
      <c r="I54" s="81"/>
      <c r="J54" s="81"/>
      <c r="K54" s="77"/>
    </row>
    <row r="55" spans="3:11">
      <c r="C55" s="77" t="s">
        <v>81</v>
      </c>
      <c r="D55" s="77" t="s">
        <v>83</v>
      </c>
      <c r="E55" s="77">
        <v>2500</v>
      </c>
      <c r="F55" s="77"/>
      <c r="G55" s="77"/>
      <c r="H55" s="77"/>
      <c r="I55" s="81">
        <f t="shared" si="3"/>
        <v>0</v>
      </c>
      <c r="J55" s="81"/>
      <c r="K55" s="77"/>
    </row>
    <row r="56" spans="3:11">
      <c r="C56" s="77"/>
      <c r="D56" s="77"/>
      <c r="E56" s="77"/>
      <c r="F56" s="77"/>
      <c r="G56" s="77"/>
      <c r="H56" s="77"/>
      <c r="I56" s="81">
        <f t="shared" si="3"/>
        <v>0</v>
      </c>
      <c r="J56" s="81">
        <f>E56*F56</f>
        <v>0</v>
      </c>
      <c r="K56" s="77"/>
    </row>
    <row r="57" spans="3:11">
      <c r="C57" s="77" t="s">
        <v>100</v>
      </c>
      <c r="D57" s="77" t="s">
        <v>101</v>
      </c>
      <c r="E57" s="77">
        <v>1500</v>
      </c>
      <c r="F57" s="77">
        <v>1</v>
      </c>
      <c r="G57" s="77"/>
      <c r="H57" s="77"/>
      <c r="I57" s="81">
        <f t="shared" si="3"/>
        <v>1500</v>
      </c>
      <c r="J57" s="81"/>
      <c r="K57" s="77"/>
    </row>
    <row r="58" spans="3:11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1">
      <c r="C59" s="77" t="s">
        <v>84</v>
      </c>
      <c r="D59" s="77" t="s">
        <v>85</v>
      </c>
      <c r="E59" s="77">
        <v>2850</v>
      </c>
      <c r="F59" s="77"/>
      <c r="G59" s="77"/>
      <c r="H59" s="77"/>
      <c r="I59" s="81">
        <f t="shared" si="3"/>
        <v>0</v>
      </c>
      <c r="J59" s="81"/>
      <c r="K59" s="77"/>
    </row>
    <row r="60" spans="3:11">
      <c r="C60" s="77"/>
      <c r="D60" s="77" t="s">
        <v>86</v>
      </c>
      <c r="E60" s="77">
        <v>2500</v>
      </c>
      <c r="F60" s="77">
        <v>2</v>
      </c>
      <c r="G60" s="77"/>
      <c r="H60" s="77"/>
      <c r="I60" s="81">
        <f t="shared" si="3"/>
        <v>5000</v>
      </c>
      <c r="J60" s="81"/>
      <c r="K60" s="77"/>
    </row>
    <row r="61" spans="3:11">
      <c r="C61" s="77"/>
      <c r="D61" s="77" t="s">
        <v>89</v>
      </c>
      <c r="E61" s="77">
        <v>3000</v>
      </c>
      <c r="F61" s="77">
        <v>2</v>
      </c>
      <c r="G61" s="77"/>
      <c r="H61" s="77"/>
      <c r="I61" s="81">
        <f t="shared" si="3"/>
        <v>6000</v>
      </c>
      <c r="J61" s="81"/>
      <c r="K61" s="77"/>
    </row>
    <row r="62" spans="3:11">
      <c r="C62" s="77"/>
      <c r="D62" s="77" t="s">
        <v>107</v>
      </c>
      <c r="E62" s="77">
        <v>2500</v>
      </c>
      <c r="F62" s="77">
        <v>1</v>
      </c>
      <c r="G62" s="77"/>
      <c r="H62" s="77"/>
      <c r="I62" s="81">
        <f t="shared" si="3"/>
        <v>2500</v>
      </c>
      <c r="J62" s="81"/>
      <c r="K62" s="77"/>
    </row>
    <row r="63" spans="3:11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1">
      <c r="C64" s="77"/>
      <c r="D64" s="68" t="s">
        <v>56</v>
      </c>
      <c r="E64" s="72"/>
      <c r="F64" s="72"/>
      <c r="G64" s="72"/>
      <c r="H64" s="72"/>
      <c r="I64" s="81">
        <f>SUM(I49:I63)</f>
        <v>18000</v>
      </c>
      <c r="J64" s="81">
        <f>SUM(J49:J63)</f>
        <v>0</v>
      </c>
      <c r="K64" s="77"/>
    </row>
    <row r="65" spans="3:11">
      <c r="C65" s="146" t="s">
        <v>9</v>
      </c>
      <c r="D65" s="152"/>
      <c r="E65" s="152"/>
      <c r="F65" s="152"/>
      <c r="G65" s="152"/>
      <c r="H65" s="147"/>
      <c r="I65" s="79"/>
      <c r="J65" s="81">
        <f>I64+J64</f>
        <v>18000</v>
      </c>
      <c r="K65" s="86">
        <f>J65/G2</f>
        <v>7.1999999999999995E-2</v>
      </c>
    </row>
    <row r="67" spans="3:11">
      <c r="G67" s="16"/>
    </row>
    <row r="70" spans="3:11">
      <c r="G70" s="16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G23" sqref="G23"/>
    </sheetView>
  </sheetViews>
  <sheetFormatPr baseColWidth="10" defaultColWidth="8.83203125" defaultRowHeight="17"/>
  <cols>
    <col min="1" max="1" width="19.6640625" bestFit="1" customWidth="1"/>
    <col min="2" max="9" width="13" customWidth="1"/>
  </cols>
  <sheetData>
    <row r="1" spans="1:9" ht="20.25" customHeight="1">
      <c r="A1" s="87" t="s">
        <v>15</v>
      </c>
      <c r="B1" s="93" t="s">
        <v>12</v>
      </c>
      <c r="C1" s="94"/>
      <c r="D1" s="93" t="s">
        <v>13</v>
      </c>
      <c r="E1" s="94"/>
      <c r="F1" s="93" t="s">
        <v>14</v>
      </c>
      <c r="G1" s="94"/>
      <c r="H1" s="95" t="s">
        <v>11</v>
      </c>
      <c r="I1" s="96"/>
    </row>
    <row r="2" spans="1:9" ht="20.25" customHeight="1">
      <c r="A2" s="88"/>
      <c r="B2" s="89" t="s">
        <v>32</v>
      </c>
      <c r="C2" s="90"/>
      <c r="D2" s="89" t="s">
        <v>33</v>
      </c>
      <c r="E2" s="90"/>
      <c r="F2" s="89" t="s">
        <v>34</v>
      </c>
      <c r="G2" s="90"/>
      <c r="H2" s="97"/>
      <c r="I2" s="98"/>
    </row>
    <row r="3" spans="1:9" ht="20.25" customHeight="1" thickBot="1">
      <c r="A3" s="17" t="s">
        <v>10</v>
      </c>
      <c r="B3" s="91">
        <v>500000</v>
      </c>
      <c r="C3" s="92"/>
      <c r="D3" s="91">
        <v>1000000</v>
      </c>
      <c r="E3" s="92"/>
      <c r="F3" s="91">
        <v>1000000</v>
      </c>
      <c r="G3" s="92"/>
      <c r="H3" s="91">
        <f>SUM(B3:G3)</f>
        <v>2500000</v>
      </c>
      <c r="I3" s="92"/>
    </row>
    <row r="4" spans="1:9" ht="20.25" customHeight="1">
      <c r="A4" s="18" t="s">
        <v>16</v>
      </c>
      <c r="B4" s="21">
        <f>C4/$B$3</f>
        <v>0.3</v>
      </c>
      <c r="C4" s="23">
        <v>150000</v>
      </c>
      <c r="D4" s="21">
        <f>E4/$D$3</f>
        <v>0.31</v>
      </c>
      <c r="E4" s="23">
        <v>310000</v>
      </c>
      <c r="F4" s="21">
        <f>G4/$F$3</f>
        <v>0.31</v>
      </c>
      <c r="G4" s="23">
        <v>310000</v>
      </c>
      <c r="H4" s="21">
        <f>I4/$H$3</f>
        <v>0.308</v>
      </c>
      <c r="I4" s="23">
        <f>SUM(C4,E4,G4)</f>
        <v>770000</v>
      </c>
    </row>
    <row r="5" spans="1:9" ht="20.25" customHeight="1">
      <c r="A5" s="19" t="s">
        <v>42</v>
      </c>
      <c r="B5" s="21">
        <f t="shared" ref="B5:B7" si="0">C5/$B$3</f>
        <v>0.34</v>
      </c>
      <c r="C5" s="23">
        <v>170000</v>
      </c>
      <c r="D5" s="21">
        <f t="shared" ref="D5:D7" si="1">E5/$D$3</f>
        <v>0.37</v>
      </c>
      <c r="E5" s="23">
        <v>370000</v>
      </c>
      <c r="F5" s="21">
        <f t="shared" ref="F5:F7" si="2">G5/$F$3</f>
        <v>0.37</v>
      </c>
      <c r="G5" s="23">
        <v>370000</v>
      </c>
      <c r="H5" s="21">
        <f t="shared" ref="H5:H7" si="3">I5/$H$3</f>
        <v>0.36399999999999999</v>
      </c>
      <c r="I5" s="23">
        <f>SUM(C5,E5,G5)</f>
        <v>910000</v>
      </c>
    </row>
    <row r="6" spans="1:9" ht="20.25" customHeight="1">
      <c r="A6" s="19" t="s">
        <v>35</v>
      </c>
      <c r="B6" s="21">
        <f t="shared" si="0"/>
        <v>0.12</v>
      </c>
      <c r="C6" s="23">
        <v>60000</v>
      </c>
      <c r="D6" s="21">
        <f t="shared" si="1"/>
        <v>0.1</v>
      </c>
      <c r="E6" s="23">
        <v>100000</v>
      </c>
      <c r="F6" s="21">
        <f t="shared" si="2"/>
        <v>0.1</v>
      </c>
      <c r="G6" s="23">
        <v>100000</v>
      </c>
      <c r="H6" s="21">
        <f t="shared" si="3"/>
        <v>0.104</v>
      </c>
      <c r="I6" s="23">
        <f>SUM(C6,E6,G6)</f>
        <v>260000</v>
      </c>
    </row>
    <row r="7" spans="1:9" ht="20.25" customHeight="1">
      <c r="A7" s="19" t="s">
        <v>43</v>
      </c>
      <c r="B7" s="21">
        <f t="shared" si="0"/>
        <v>0.24</v>
      </c>
      <c r="C7" s="23">
        <v>120000</v>
      </c>
      <c r="D7" s="21">
        <f t="shared" si="1"/>
        <v>0.22</v>
      </c>
      <c r="E7" s="23">
        <v>220000</v>
      </c>
      <c r="F7" s="21">
        <f t="shared" si="2"/>
        <v>0.22</v>
      </c>
      <c r="G7" s="23">
        <v>220000</v>
      </c>
      <c r="H7" s="21">
        <f t="shared" si="3"/>
        <v>0.224</v>
      </c>
      <c r="I7" s="23">
        <f>SUM(C7,E7,G7)</f>
        <v>560000</v>
      </c>
    </row>
    <row r="8" spans="1:9" ht="20.25" customHeight="1" thickBot="1">
      <c r="A8" s="20" t="s">
        <v>9</v>
      </c>
      <c r="B8" s="22">
        <f t="shared" ref="B8:I8" si="4">SUM(B4:B7)</f>
        <v>1</v>
      </c>
      <c r="C8" s="24">
        <f t="shared" si="4"/>
        <v>500000</v>
      </c>
      <c r="D8" s="22">
        <f t="shared" si="4"/>
        <v>0.99999999999999989</v>
      </c>
      <c r="E8" s="24">
        <f t="shared" si="4"/>
        <v>1000000</v>
      </c>
      <c r="F8" s="22">
        <f t="shared" si="4"/>
        <v>0.99999999999999989</v>
      </c>
      <c r="G8" s="24">
        <f t="shared" si="4"/>
        <v>1000000</v>
      </c>
      <c r="H8" s="22">
        <f t="shared" si="4"/>
        <v>0.99999999999999989</v>
      </c>
      <c r="I8" s="24">
        <f t="shared" si="4"/>
        <v>2500000</v>
      </c>
    </row>
    <row r="9" spans="1:9">
      <c r="A9" s="16"/>
      <c r="B9" s="16"/>
      <c r="C9" s="16"/>
      <c r="D9" s="16"/>
      <c r="E9" s="16"/>
      <c r="F9" s="16"/>
      <c r="G9" s="16"/>
    </row>
    <row r="10" spans="1:9">
      <c r="A10" s="16"/>
      <c r="B10" s="45"/>
      <c r="C10" s="16"/>
      <c r="D10" s="16"/>
      <c r="E10" s="16"/>
      <c r="F10" s="16"/>
      <c r="G10" s="16"/>
    </row>
    <row r="11" spans="1:9">
      <c r="A11" s="16"/>
      <c r="B11" s="45"/>
      <c r="C11" s="16"/>
      <c r="D11" s="16"/>
      <c r="E11" s="16"/>
      <c r="F11" s="16"/>
      <c r="G11" s="16"/>
    </row>
    <row r="12" spans="1:9">
      <c r="A12" s="16"/>
      <c r="B12" s="45"/>
      <c r="C12" s="16"/>
      <c r="D12" s="16"/>
      <c r="E12" s="16"/>
      <c r="F12" s="16"/>
      <c r="G12" s="16"/>
    </row>
    <row r="13" spans="1:9">
      <c r="A13" s="16"/>
      <c r="B13" s="45"/>
      <c r="C13" s="16"/>
      <c r="D13" s="16"/>
      <c r="E13" s="16"/>
      <c r="F13" s="16"/>
      <c r="G13" s="16"/>
    </row>
    <row r="14" spans="1:9">
      <c r="A14" s="16"/>
      <c r="B14" s="45"/>
      <c r="C14" s="16"/>
      <c r="D14" s="16"/>
      <c r="E14" s="16"/>
      <c r="F14" s="16"/>
      <c r="G14" s="16"/>
    </row>
    <row r="15" spans="1:9">
      <c r="A15" s="16"/>
      <c r="B15" s="16"/>
      <c r="C15" s="16"/>
      <c r="D15" s="16"/>
      <c r="E15" s="16"/>
      <c r="F15" s="16"/>
      <c r="G15" s="16"/>
    </row>
    <row r="16" spans="1:9">
      <c r="A16" s="16"/>
      <c r="B16" s="16"/>
      <c r="C16" s="16"/>
      <c r="D16" s="16"/>
      <c r="E16" s="16"/>
      <c r="F16" s="16"/>
      <c r="G16" s="16"/>
    </row>
    <row r="17" spans="1:7">
      <c r="A17" s="16"/>
      <c r="B17" s="16"/>
      <c r="C17" s="16"/>
      <c r="D17" s="16"/>
      <c r="E17" s="16"/>
      <c r="F17" s="16"/>
      <c r="G17" s="16"/>
    </row>
    <row r="18" spans="1:7">
      <c r="A18" s="16"/>
      <c r="B18" s="16"/>
      <c r="C18" s="16"/>
      <c r="D18" s="16"/>
      <c r="E18" s="16"/>
      <c r="F18" s="16"/>
      <c r="G18" s="16"/>
    </row>
    <row r="19" spans="1:7">
      <c r="A19" s="16"/>
      <c r="B19" s="16"/>
      <c r="C19" s="16"/>
      <c r="D19" s="16"/>
      <c r="E19" s="16"/>
      <c r="F19" s="16"/>
      <c r="G19" s="16"/>
    </row>
    <row r="20" spans="1:7">
      <c r="A20" s="16"/>
      <c r="B20" s="16"/>
      <c r="C20" s="16"/>
      <c r="D20" s="16"/>
      <c r="E20" s="16"/>
      <c r="F20" s="16"/>
      <c r="G20" s="16"/>
    </row>
    <row r="21" spans="1:7">
      <c r="A21" s="16"/>
      <c r="B21" s="16"/>
      <c r="C21" s="16"/>
      <c r="D21" s="16"/>
      <c r="E21" s="16"/>
      <c r="F21" s="16"/>
      <c r="G21" s="16"/>
    </row>
  </sheetData>
  <mergeCells count="12">
    <mergeCell ref="A1:A2"/>
    <mergeCell ref="B2:C2"/>
    <mergeCell ref="D2:E2"/>
    <mergeCell ref="F2:G2"/>
    <mergeCell ref="H3:I3"/>
    <mergeCell ref="B3:C3"/>
    <mergeCell ref="B1:C1"/>
    <mergeCell ref="D1:E1"/>
    <mergeCell ref="D3:E3"/>
    <mergeCell ref="F1:G1"/>
    <mergeCell ref="F3:G3"/>
    <mergeCell ref="H1:I2"/>
  </mergeCells>
  <phoneticPr fontId="6" type="noConversion"/>
  <pageMargins left="0.7" right="0.7" top="0.75" bottom="0.75" header="0.3" footer="0.3"/>
  <pageSetup paperSize="9" orientation="portrait" r:id="rId1"/>
  <ignoredErrors>
    <ignoredError sqref="H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D4" sqref="D4"/>
    </sheetView>
  </sheetViews>
  <sheetFormatPr baseColWidth="10" defaultColWidth="8.83203125" defaultRowHeight="17"/>
  <cols>
    <col min="1" max="3" width="11.5" customWidth="1"/>
    <col min="4" max="4" width="10.5" bestFit="1" customWidth="1"/>
    <col min="5" max="5" width="7.6640625" bestFit="1" customWidth="1"/>
    <col min="6" max="6" width="11.83203125" bestFit="1" customWidth="1"/>
    <col min="7" max="7" width="7.6640625" customWidth="1"/>
    <col min="8" max="8" width="10.5" bestFit="1" customWidth="1"/>
    <col min="9" max="9" width="7.6640625" bestFit="1" customWidth="1"/>
    <col min="10" max="10" width="11.83203125" bestFit="1" customWidth="1"/>
    <col min="11" max="11" width="7.6640625" customWidth="1"/>
    <col min="12" max="12" width="10.5" bestFit="1" customWidth="1"/>
    <col min="13" max="13" width="10.5" customWidth="1"/>
    <col min="14" max="14" width="9.33203125" bestFit="1" customWidth="1"/>
  </cols>
  <sheetData>
    <row r="1" spans="1:14" ht="18" thickBot="1">
      <c r="A1" s="11" t="s">
        <v>40</v>
      </c>
    </row>
    <row r="2" spans="1:14" ht="17.25" customHeight="1">
      <c r="A2" s="108" t="s">
        <v>20</v>
      </c>
      <c r="B2" s="109"/>
      <c r="C2" s="110"/>
      <c r="D2" s="99" t="s">
        <v>17</v>
      </c>
      <c r="E2" s="100"/>
      <c r="F2" s="99" t="s">
        <v>41</v>
      </c>
      <c r="G2" s="100"/>
      <c r="H2" s="99" t="s">
        <v>30</v>
      </c>
      <c r="I2" s="100"/>
      <c r="J2" s="99" t="s">
        <v>44</v>
      </c>
      <c r="K2" s="125"/>
      <c r="L2" s="8" t="s">
        <v>0</v>
      </c>
      <c r="M2" s="44" t="s">
        <v>29</v>
      </c>
      <c r="N2" s="8" t="s">
        <v>8</v>
      </c>
    </row>
    <row r="3" spans="1:14" ht="17.25" customHeight="1" thickBot="1">
      <c r="A3" s="111"/>
      <c r="B3" s="112"/>
      <c r="C3" s="113"/>
      <c r="D3" s="114" t="s">
        <v>18</v>
      </c>
      <c r="E3" s="115"/>
      <c r="F3" s="114" t="s">
        <v>19</v>
      </c>
      <c r="G3" s="115"/>
      <c r="H3" s="114" t="s">
        <v>31</v>
      </c>
      <c r="I3" s="115"/>
      <c r="J3" s="114" t="s">
        <v>45</v>
      </c>
      <c r="K3" s="131"/>
      <c r="L3" s="25"/>
      <c r="M3" s="56"/>
      <c r="N3" s="25"/>
    </row>
    <row r="4" spans="1:14">
      <c r="A4" s="103" t="s">
        <v>36</v>
      </c>
      <c r="B4" s="106" t="s">
        <v>1</v>
      </c>
      <c r="C4" s="107"/>
      <c r="D4" s="26">
        <v>150000</v>
      </c>
      <c r="E4" s="10">
        <f>D4/D8</f>
        <v>1</v>
      </c>
      <c r="F4" s="26">
        <v>170000</v>
      </c>
      <c r="G4" s="10">
        <f>F4/F8</f>
        <v>0.65384615384615385</v>
      </c>
      <c r="H4" s="26">
        <v>60000</v>
      </c>
      <c r="I4" s="10">
        <f>H4/H8</f>
        <v>1</v>
      </c>
      <c r="J4" s="26">
        <v>120000</v>
      </c>
      <c r="K4" s="46">
        <f>J4/J8</f>
        <v>0.63157894736842102</v>
      </c>
      <c r="L4" s="31">
        <f>SUM(D4,F4,H4,J4)</f>
        <v>500000</v>
      </c>
      <c r="M4" s="51">
        <f>L4/$L$8</f>
        <v>0.75757575757575757</v>
      </c>
      <c r="N4" s="12" t="s">
        <v>39</v>
      </c>
    </row>
    <row r="5" spans="1:14">
      <c r="A5" s="104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36000</v>
      </c>
      <c r="G5" s="4">
        <f>F5/F7</f>
        <v>0.4</v>
      </c>
      <c r="H5" s="27">
        <v>0</v>
      </c>
      <c r="I5" s="4" t="e">
        <f>H5/H7</f>
        <v>#DIV/0!</v>
      </c>
      <c r="J5" s="27">
        <v>30000</v>
      </c>
      <c r="K5" s="47">
        <f>J5/J7</f>
        <v>0.42857142857142855</v>
      </c>
      <c r="L5" s="32">
        <f>SUM(D5,F5,H5,J5)</f>
        <v>66000</v>
      </c>
      <c r="M5" s="52">
        <f>L5/$L$8</f>
        <v>0.1</v>
      </c>
      <c r="N5" s="13" t="s">
        <v>21</v>
      </c>
    </row>
    <row r="6" spans="1:14">
      <c r="A6" s="104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54000</v>
      </c>
      <c r="G6" s="5">
        <f>F6/F7</f>
        <v>0.6</v>
      </c>
      <c r="H6" s="27">
        <v>0</v>
      </c>
      <c r="I6" s="5" t="e">
        <f>H6/H7</f>
        <v>#DIV/0!</v>
      </c>
      <c r="J6" s="27">
        <v>40000</v>
      </c>
      <c r="K6" s="48">
        <f>J6/J7</f>
        <v>0.5714285714285714</v>
      </c>
      <c r="L6" s="32">
        <f>SUM(D6,F6,H6,J6)</f>
        <v>94000</v>
      </c>
      <c r="M6" s="53">
        <f>L6/$L$8</f>
        <v>0.14242424242424243</v>
      </c>
      <c r="N6" s="14"/>
    </row>
    <row r="7" spans="1:14">
      <c r="A7" s="104"/>
      <c r="B7" s="1"/>
      <c r="C7" s="7" t="s">
        <v>6</v>
      </c>
      <c r="D7" s="27">
        <f>SUM(D5:D6)</f>
        <v>0</v>
      </c>
      <c r="E7" s="5">
        <f>D7/D8</f>
        <v>0</v>
      </c>
      <c r="F7" s="27">
        <f>SUM(F5:F6)</f>
        <v>90000</v>
      </c>
      <c r="G7" s="5">
        <f>F7/F8</f>
        <v>0.34615384615384615</v>
      </c>
      <c r="H7" s="27">
        <f>SUM(H5:H6)</f>
        <v>0</v>
      </c>
      <c r="I7" s="5">
        <f>H7/H8</f>
        <v>0</v>
      </c>
      <c r="J7" s="27">
        <f>SUM(J5:J6)</f>
        <v>70000</v>
      </c>
      <c r="K7" s="48">
        <f>J7/J8</f>
        <v>0.36842105263157893</v>
      </c>
      <c r="L7" s="32">
        <f>SUM(L5:L6)</f>
        <v>160000</v>
      </c>
      <c r="M7" s="54">
        <f>SUM(M5:M6)</f>
        <v>0.24242424242424243</v>
      </c>
      <c r="N7" s="14"/>
    </row>
    <row r="8" spans="1:14" ht="18" thickBot="1">
      <c r="A8" s="105"/>
      <c r="B8" s="101" t="s">
        <v>7</v>
      </c>
      <c r="C8" s="102"/>
      <c r="D8" s="42">
        <f>SUM(D4,D7)</f>
        <v>150000</v>
      </c>
      <c r="E8" s="6">
        <f>E4+E7</f>
        <v>1</v>
      </c>
      <c r="F8" s="42">
        <f>SUM(F4,F7)</f>
        <v>260000</v>
      </c>
      <c r="G8" s="6">
        <f>G4+G7</f>
        <v>1</v>
      </c>
      <c r="H8" s="42">
        <f>SUM(H4,H7)</f>
        <v>60000</v>
      </c>
      <c r="I8" s="6">
        <f>I4+I7</f>
        <v>1</v>
      </c>
      <c r="J8" s="42">
        <f>SUM(J4,J7)</f>
        <v>190000</v>
      </c>
      <c r="K8" s="49">
        <f>K4+K7</f>
        <v>1</v>
      </c>
      <c r="L8" s="57">
        <f>SUM(L4,L7)</f>
        <v>660000</v>
      </c>
      <c r="M8" s="55">
        <f>SUM(M4,M7)</f>
        <v>1</v>
      </c>
      <c r="N8" s="15"/>
    </row>
    <row r="9" spans="1:14" ht="16.5" customHeight="1">
      <c r="A9" s="129" t="s">
        <v>37</v>
      </c>
      <c r="B9" s="106" t="s">
        <v>1</v>
      </c>
      <c r="C9" s="107"/>
      <c r="D9" s="28">
        <v>310000</v>
      </c>
      <c r="E9" s="9">
        <f>D9/D13</f>
        <v>1</v>
      </c>
      <c r="F9" s="28">
        <v>370000</v>
      </c>
      <c r="G9" s="9">
        <f>F9/F13</f>
        <v>0.64912280701754388</v>
      </c>
      <c r="H9" s="29">
        <v>100000</v>
      </c>
      <c r="I9" s="9">
        <f>H9/H13</f>
        <v>1</v>
      </c>
      <c r="J9" s="29">
        <v>220000</v>
      </c>
      <c r="K9" s="50">
        <f>J9/J13</f>
        <v>0.6470588235294118</v>
      </c>
      <c r="L9" s="31">
        <f>SUM(D9,F9,H9,J9)</f>
        <v>1000000</v>
      </c>
      <c r="M9" s="51">
        <f>L9/$L$13</f>
        <v>0.75757575757575757</v>
      </c>
      <c r="N9" s="12" t="s">
        <v>39</v>
      </c>
    </row>
    <row r="10" spans="1:14">
      <c r="A10" s="126"/>
      <c r="B10" s="2" t="s">
        <v>2</v>
      </c>
      <c r="C10" s="7" t="s">
        <v>4</v>
      </c>
      <c r="D10" s="27"/>
      <c r="E10" s="4" t="e">
        <f>D10/D12</f>
        <v>#DIV/0!</v>
      </c>
      <c r="F10" s="27">
        <v>80000</v>
      </c>
      <c r="G10" s="4">
        <f>F10/F12</f>
        <v>0.4</v>
      </c>
      <c r="H10" s="30"/>
      <c r="I10" s="4" t="e">
        <f>H10/H12</f>
        <v>#DIV/0!</v>
      </c>
      <c r="J10" s="30">
        <v>50000</v>
      </c>
      <c r="K10" s="47">
        <f>J10/J12</f>
        <v>0.41666666666666669</v>
      </c>
      <c r="L10" s="32">
        <f>SUM(D10,F10,H10,J10)</f>
        <v>130000</v>
      </c>
      <c r="M10" s="52">
        <f>L10/$L$13</f>
        <v>9.8484848484848481E-2</v>
      </c>
      <c r="N10" s="13" t="s">
        <v>21</v>
      </c>
    </row>
    <row r="11" spans="1:14">
      <c r="A11" s="126"/>
      <c r="B11" s="3" t="s">
        <v>3</v>
      </c>
      <c r="C11" s="7" t="s">
        <v>5</v>
      </c>
      <c r="D11" s="27"/>
      <c r="E11" s="5" t="e">
        <f>D11/D12</f>
        <v>#DIV/0!</v>
      </c>
      <c r="F11" s="27">
        <v>120000</v>
      </c>
      <c r="G11" s="5">
        <f>F11/F12</f>
        <v>0.6</v>
      </c>
      <c r="H11" s="30"/>
      <c r="I11" s="5" t="e">
        <f>H11/H12</f>
        <v>#DIV/0!</v>
      </c>
      <c r="J11" s="30">
        <v>70000</v>
      </c>
      <c r="K11" s="48">
        <f>J11/J12</f>
        <v>0.58333333333333337</v>
      </c>
      <c r="L11" s="32">
        <f>SUM(D11,F11,H11,J11)</f>
        <v>190000</v>
      </c>
      <c r="M11" s="53">
        <f>L11/$L$13</f>
        <v>0.14393939393939395</v>
      </c>
      <c r="N11" s="14"/>
    </row>
    <row r="12" spans="1:14">
      <c r="A12" s="126"/>
      <c r="B12" s="1"/>
      <c r="C12" s="7" t="s">
        <v>6</v>
      </c>
      <c r="D12" s="27">
        <f>SUM(D10:D11)</f>
        <v>0</v>
      </c>
      <c r="E12" s="5">
        <f>D12/D13</f>
        <v>0</v>
      </c>
      <c r="F12" s="27">
        <f>SUM(F10:F11)</f>
        <v>200000</v>
      </c>
      <c r="G12" s="5">
        <f>F12/F13</f>
        <v>0.35087719298245612</v>
      </c>
      <c r="H12" s="30">
        <f>SUM(H10:H11)</f>
        <v>0</v>
      </c>
      <c r="I12" s="5">
        <f>H12/H13</f>
        <v>0</v>
      </c>
      <c r="J12" s="30">
        <f>SUM(J10:J11)</f>
        <v>120000</v>
      </c>
      <c r="K12" s="48">
        <f>J12/J13</f>
        <v>0.35294117647058826</v>
      </c>
      <c r="L12" s="32">
        <f>SUM(L10:L11)</f>
        <v>320000</v>
      </c>
      <c r="M12" s="54">
        <f>SUM(M10:M11)</f>
        <v>0.24242424242424243</v>
      </c>
      <c r="N12" s="14"/>
    </row>
    <row r="13" spans="1:14" ht="18" thickBot="1">
      <c r="A13" s="130"/>
      <c r="B13" s="101" t="s">
        <v>7</v>
      </c>
      <c r="C13" s="102"/>
      <c r="D13" s="42">
        <f>SUM(D9,D12)</f>
        <v>310000</v>
      </c>
      <c r="E13" s="6">
        <f>E9+E12</f>
        <v>1</v>
      </c>
      <c r="F13" s="42">
        <f>SUM(F9,F12)</f>
        <v>570000</v>
      </c>
      <c r="G13" s="6">
        <f>G9+G12</f>
        <v>1</v>
      </c>
      <c r="H13" s="43">
        <f>SUM(H9,H12)</f>
        <v>100000</v>
      </c>
      <c r="I13" s="6">
        <f>I9+I12</f>
        <v>1</v>
      </c>
      <c r="J13" s="43">
        <f>SUM(J9,J12)</f>
        <v>340000</v>
      </c>
      <c r="K13" s="49">
        <f>K9+K12</f>
        <v>1</v>
      </c>
      <c r="L13" s="57">
        <f>SUM(L9,L12)</f>
        <v>1320000</v>
      </c>
      <c r="M13" s="55">
        <f>SUM(M9,M12)</f>
        <v>1</v>
      </c>
      <c r="N13" s="15"/>
    </row>
    <row r="14" spans="1:14">
      <c r="A14" s="126" t="s">
        <v>38</v>
      </c>
      <c r="B14" s="127" t="s">
        <v>1</v>
      </c>
      <c r="C14" s="128"/>
      <c r="D14" s="28">
        <v>310000</v>
      </c>
      <c r="E14" s="9">
        <f>D14/D18</f>
        <v>1</v>
      </c>
      <c r="F14" s="28">
        <v>370000</v>
      </c>
      <c r="G14" s="9">
        <f>F14/F18</f>
        <v>0.64912280701754388</v>
      </c>
      <c r="H14" s="28">
        <v>100000</v>
      </c>
      <c r="I14" s="9">
        <f>H14/H18</f>
        <v>1</v>
      </c>
      <c r="J14" s="28">
        <v>220000</v>
      </c>
      <c r="K14" s="50">
        <f>J14/J18</f>
        <v>0.6470588235294118</v>
      </c>
      <c r="L14" s="31">
        <f>SUM(D14,F14,H14,J14)</f>
        <v>1000000</v>
      </c>
      <c r="M14" s="51">
        <f>L14/$L$18</f>
        <v>0.75757575757575757</v>
      </c>
      <c r="N14" s="12" t="s">
        <v>39</v>
      </c>
    </row>
    <row r="15" spans="1:14">
      <c r="A15" s="104"/>
      <c r="B15" s="2" t="s">
        <v>2</v>
      </c>
      <c r="C15" s="7" t="s">
        <v>4</v>
      </c>
      <c r="D15" s="27"/>
      <c r="E15" s="4" t="e">
        <f>D15/D17</f>
        <v>#DIV/0!</v>
      </c>
      <c r="F15" s="27">
        <v>80000</v>
      </c>
      <c r="G15" s="4">
        <f>F15/F17</f>
        <v>0.4</v>
      </c>
      <c r="H15" s="27"/>
      <c r="I15" s="4" t="e">
        <f>H15/H17</f>
        <v>#DIV/0!</v>
      </c>
      <c r="J15" s="27">
        <v>50000</v>
      </c>
      <c r="K15" s="47">
        <f>J15/J17</f>
        <v>0.41666666666666669</v>
      </c>
      <c r="L15" s="32">
        <f>SUM(D15,F15,H15,J15)</f>
        <v>130000</v>
      </c>
      <c r="M15" s="52">
        <f>L15/$L$18</f>
        <v>9.8484848484848481E-2</v>
      </c>
      <c r="N15" s="13" t="s">
        <v>21</v>
      </c>
    </row>
    <row r="16" spans="1:14">
      <c r="A16" s="104"/>
      <c r="B16" s="3" t="s">
        <v>3</v>
      </c>
      <c r="C16" s="7" t="s">
        <v>5</v>
      </c>
      <c r="D16" s="27"/>
      <c r="E16" s="5" t="e">
        <f>D16/D17</f>
        <v>#DIV/0!</v>
      </c>
      <c r="F16" s="27">
        <v>120000</v>
      </c>
      <c r="G16" s="5">
        <f>F16/F17</f>
        <v>0.6</v>
      </c>
      <c r="H16" s="27"/>
      <c r="I16" s="5" t="e">
        <f>H16/H17</f>
        <v>#DIV/0!</v>
      </c>
      <c r="J16" s="27">
        <v>70000</v>
      </c>
      <c r="K16" s="48">
        <f>J16/J17</f>
        <v>0.58333333333333337</v>
      </c>
      <c r="L16" s="32">
        <f>SUM(D16,F16,H16,J16)</f>
        <v>190000</v>
      </c>
      <c r="M16" s="53">
        <f>L16/$L$18</f>
        <v>0.14393939393939395</v>
      </c>
      <c r="N16" s="14"/>
    </row>
    <row r="17" spans="1:14">
      <c r="A17" s="104"/>
      <c r="B17" s="1"/>
      <c r="C17" s="7" t="s">
        <v>6</v>
      </c>
      <c r="D17" s="27">
        <f>SUM(D15:D16)</f>
        <v>0</v>
      </c>
      <c r="E17" s="5">
        <f>D17/D18</f>
        <v>0</v>
      </c>
      <c r="F17" s="27">
        <f>SUM(F15:F16)</f>
        <v>200000</v>
      </c>
      <c r="G17" s="5">
        <f>F17/F18</f>
        <v>0.35087719298245612</v>
      </c>
      <c r="H17" s="27">
        <f>SUM(H15:H16)</f>
        <v>0</v>
      </c>
      <c r="I17" s="5">
        <f>H17/H18</f>
        <v>0</v>
      </c>
      <c r="J17" s="27">
        <f>SUM(J15:J16)</f>
        <v>120000</v>
      </c>
      <c r="K17" s="48">
        <f>J17/J18</f>
        <v>0.35294117647058826</v>
      </c>
      <c r="L17" s="32">
        <f>SUM(L15:L16)</f>
        <v>320000</v>
      </c>
      <c r="M17" s="54">
        <f>SUM(M15:M16)</f>
        <v>0.24242424242424243</v>
      </c>
      <c r="N17" s="14"/>
    </row>
    <row r="18" spans="1:14" ht="18" thickBot="1">
      <c r="A18" s="105"/>
      <c r="B18" s="101" t="s">
        <v>7</v>
      </c>
      <c r="C18" s="102"/>
      <c r="D18" s="42">
        <f>SUM(D14,D17)</f>
        <v>310000</v>
      </c>
      <c r="E18" s="6">
        <f>E14+E17</f>
        <v>1</v>
      </c>
      <c r="F18" s="42">
        <f>SUM(F14,F17)</f>
        <v>570000</v>
      </c>
      <c r="G18" s="6">
        <f>G14+G17</f>
        <v>1</v>
      </c>
      <c r="H18" s="42">
        <f>SUM(H14,H17)</f>
        <v>100000</v>
      </c>
      <c r="I18" s="6">
        <f>I14+I17</f>
        <v>1</v>
      </c>
      <c r="J18" s="42">
        <f>SUM(J14,J17)</f>
        <v>340000</v>
      </c>
      <c r="K18" s="49">
        <f>K14+K17</f>
        <v>1</v>
      </c>
      <c r="L18" s="57">
        <f>SUM(L14,L17)</f>
        <v>1320000</v>
      </c>
      <c r="M18" s="55">
        <f>SUM(M14,M17)</f>
        <v>1</v>
      </c>
      <c r="N18" s="15"/>
    </row>
    <row r="19" spans="1:14" ht="18" customHeight="1">
      <c r="A19" s="126" t="s">
        <v>28</v>
      </c>
      <c r="B19" s="127" t="s">
        <v>1</v>
      </c>
      <c r="C19" s="128"/>
      <c r="D19" s="28">
        <f>SUM(D4,D9,D14)</f>
        <v>770000</v>
      </c>
      <c r="E19" s="9">
        <f>D19/D23</f>
        <v>1</v>
      </c>
      <c r="F19" s="28">
        <f>SUM(F4,F9,F14)</f>
        <v>910000</v>
      </c>
      <c r="G19" s="9">
        <f>F19/F23</f>
        <v>0.65</v>
      </c>
      <c r="H19" s="28">
        <f>SUM(H4,H9,H14)</f>
        <v>260000</v>
      </c>
      <c r="I19" s="9">
        <f>H19/H23</f>
        <v>1</v>
      </c>
      <c r="J19" s="28">
        <f>SUM(J4,J9,J14)</f>
        <v>560000</v>
      </c>
      <c r="K19" s="50">
        <f>J19/J23</f>
        <v>0.64367816091954022</v>
      </c>
      <c r="L19" s="58">
        <f>SUM(D19,F19,H19,J19)</f>
        <v>2500000</v>
      </c>
      <c r="M19" s="51">
        <f>L19/$L$23</f>
        <v>0.75757575757575757</v>
      </c>
      <c r="N19" s="12" t="s">
        <v>39</v>
      </c>
    </row>
    <row r="20" spans="1:14">
      <c r="A20" s="104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196000</v>
      </c>
      <c r="G20" s="4">
        <f>F20/F22</f>
        <v>0.4</v>
      </c>
      <c r="H20" s="28">
        <f>SUM(H5,H10,H15)</f>
        <v>0</v>
      </c>
      <c r="I20" s="4" t="e">
        <f>H20/H22</f>
        <v>#DIV/0!</v>
      </c>
      <c r="J20" s="28">
        <f>SUM(J5,J10,J15)</f>
        <v>130000</v>
      </c>
      <c r="K20" s="47">
        <f>J20/J22</f>
        <v>0.41935483870967744</v>
      </c>
      <c r="L20" s="32">
        <f>SUM(D20,F20,H20,J20)</f>
        <v>326000</v>
      </c>
      <c r="M20" s="52">
        <f>L20/$L$23</f>
        <v>9.8787878787878786E-2</v>
      </c>
      <c r="N20" s="13" t="s">
        <v>21</v>
      </c>
    </row>
    <row r="21" spans="1:14">
      <c r="A21" s="104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294000</v>
      </c>
      <c r="G21" s="5">
        <f>F21/F22</f>
        <v>0.6</v>
      </c>
      <c r="H21" s="28">
        <f>SUM(H6,H11,H16)</f>
        <v>0</v>
      </c>
      <c r="I21" s="5" t="e">
        <f>H21/H22</f>
        <v>#DIV/0!</v>
      </c>
      <c r="J21" s="28">
        <f>SUM(J6,J11,J16)</f>
        <v>180000</v>
      </c>
      <c r="K21" s="48">
        <f>J21/J22</f>
        <v>0.58064516129032262</v>
      </c>
      <c r="L21" s="32">
        <f>SUM(D21,F21,H21,J21)</f>
        <v>474000</v>
      </c>
      <c r="M21" s="53">
        <f>L21/$L$23</f>
        <v>0.14363636363636365</v>
      </c>
      <c r="N21" s="14"/>
    </row>
    <row r="22" spans="1:14">
      <c r="A22" s="104"/>
      <c r="B22" s="1"/>
      <c r="C22" s="7" t="s">
        <v>6</v>
      </c>
      <c r="D22" s="27">
        <f>SUM(D20:D21)</f>
        <v>0</v>
      </c>
      <c r="E22" s="5">
        <f>D22/D23</f>
        <v>0</v>
      </c>
      <c r="F22" s="27">
        <f>SUM(F20:F21)</f>
        <v>490000</v>
      </c>
      <c r="G22" s="5">
        <f>F22/F23</f>
        <v>0.35</v>
      </c>
      <c r="H22" s="27">
        <f>SUM(H20:H21)</f>
        <v>0</v>
      </c>
      <c r="I22" s="5">
        <f>H22/H23</f>
        <v>0</v>
      </c>
      <c r="J22" s="27">
        <f>SUM(J20:J21)</f>
        <v>310000</v>
      </c>
      <c r="K22" s="48">
        <f>J22/J23</f>
        <v>0.35632183908045978</v>
      </c>
      <c r="L22" s="32">
        <f>SUM(L20:L21)</f>
        <v>800000</v>
      </c>
      <c r="M22" s="54">
        <f>SUM(M20:M21)</f>
        <v>0.24242424242424243</v>
      </c>
      <c r="N22" s="14"/>
    </row>
    <row r="23" spans="1:14" ht="18" thickBot="1">
      <c r="A23" s="105"/>
      <c r="B23" s="101" t="s">
        <v>7</v>
      </c>
      <c r="C23" s="102"/>
      <c r="D23" s="42">
        <f>SUM(D19,D22)</f>
        <v>770000</v>
      </c>
      <c r="E23" s="6">
        <f>E19+E22</f>
        <v>1</v>
      </c>
      <c r="F23" s="42">
        <f>SUM(F19,F22)</f>
        <v>1400000</v>
      </c>
      <c r="G23" s="6">
        <f>G19+G22</f>
        <v>1</v>
      </c>
      <c r="H23" s="42">
        <f>SUM(H19,H22)</f>
        <v>260000</v>
      </c>
      <c r="I23" s="6">
        <f>I19+I22</f>
        <v>1</v>
      </c>
      <c r="J23" s="42">
        <f>SUM(J19,J22)</f>
        <v>870000</v>
      </c>
      <c r="K23" s="49">
        <f>K19+K22</f>
        <v>1</v>
      </c>
      <c r="L23" s="57">
        <f>SUM(L19,L22)</f>
        <v>3300000</v>
      </c>
      <c r="M23" s="55">
        <f>SUM(M19,M22)</f>
        <v>1</v>
      </c>
      <c r="N23" s="15"/>
    </row>
    <row r="24" spans="1:14" ht="12.75" customHeight="1" thickBot="1"/>
    <row r="25" spans="1:14">
      <c r="A25" s="116" t="s">
        <v>25</v>
      </c>
      <c r="B25" s="119" t="s">
        <v>22</v>
      </c>
      <c r="C25" s="120"/>
      <c r="D25" s="33"/>
      <c r="E25" s="34"/>
      <c r="F25" s="39"/>
      <c r="G25" s="34"/>
      <c r="H25" s="39"/>
      <c r="I25" s="34"/>
      <c r="J25" s="39"/>
      <c r="K25" s="34"/>
    </row>
    <row r="26" spans="1:14">
      <c r="A26" s="117"/>
      <c r="B26" s="121" t="s">
        <v>23</v>
      </c>
      <c r="C26" s="122"/>
      <c r="D26" s="35"/>
      <c r="E26" s="36"/>
      <c r="F26" s="40"/>
      <c r="G26" s="36"/>
      <c r="H26" s="40"/>
      <c r="I26" s="36"/>
      <c r="J26" s="40"/>
      <c r="K26" s="36"/>
    </row>
    <row r="27" spans="1:14" ht="18" thickBot="1">
      <c r="A27" s="118"/>
      <c r="B27" s="123" t="s">
        <v>24</v>
      </c>
      <c r="C27" s="124"/>
      <c r="D27" s="37"/>
      <c r="E27" s="38"/>
      <c r="F27" s="41"/>
      <c r="G27" s="38"/>
      <c r="H27" s="41"/>
      <c r="I27" s="38"/>
      <c r="J27" s="41"/>
      <c r="K27" s="38"/>
    </row>
    <row r="28" spans="1:14">
      <c r="A28" s="116" t="s">
        <v>26</v>
      </c>
      <c r="B28" s="119" t="s">
        <v>22</v>
      </c>
      <c r="C28" s="120"/>
      <c r="D28" s="33"/>
      <c r="E28" s="34"/>
      <c r="F28" s="39"/>
      <c r="G28" s="34"/>
      <c r="H28" s="39"/>
      <c r="I28" s="34"/>
      <c r="J28" s="39"/>
      <c r="K28" s="34"/>
    </row>
    <row r="29" spans="1:14">
      <c r="A29" s="117"/>
      <c r="B29" s="121" t="s">
        <v>23</v>
      </c>
      <c r="C29" s="122"/>
      <c r="D29" s="35"/>
      <c r="E29" s="36"/>
      <c r="F29" s="40"/>
      <c r="G29" s="36"/>
      <c r="H29" s="40"/>
      <c r="I29" s="36"/>
      <c r="J29" s="40"/>
      <c r="K29" s="36"/>
    </row>
    <row r="30" spans="1:14" ht="18" thickBot="1">
      <c r="A30" s="118"/>
      <c r="B30" s="123" t="s">
        <v>24</v>
      </c>
      <c r="C30" s="124"/>
      <c r="D30" s="37"/>
      <c r="E30" s="38"/>
      <c r="F30" s="41"/>
      <c r="G30" s="38"/>
      <c r="H30" s="41"/>
      <c r="I30" s="38"/>
      <c r="J30" s="41"/>
      <c r="K30" s="38"/>
    </row>
    <row r="31" spans="1:14">
      <c r="A31" s="116" t="s">
        <v>27</v>
      </c>
      <c r="B31" s="119" t="s">
        <v>22</v>
      </c>
      <c r="C31" s="120"/>
      <c r="D31" s="33"/>
      <c r="E31" s="34"/>
      <c r="F31" s="39"/>
      <c r="G31" s="34"/>
      <c r="H31" s="39"/>
      <c r="I31" s="34"/>
      <c r="J31" s="39"/>
      <c r="K31" s="34"/>
    </row>
    <row r="32" spans="1:14">
      <c r="A32" s="117"/>
      <c r="B32" s="121" t="s">
        <v>23</v>
      </c>
      <c r="C32" s="122"/>
      <c r="D32" s="35"/>
      <c r="E32" s="36"/>
      <c r="F32" s="40"/>
      <c r="G32" s="36"/>
      <c r="H32" s="40"/>
      <c r="I32" s="36"/>
      <c r="J32" s="40"/>
      <c r="K32" s="36"/>
    </row>
    <row r="33" spans="1:11" ht="18" thickBot="1">
      <c r="A33" s="118"/>
      <c r="B33" s="123" t="s">
        <v>24</v>
      </c>
      <c r="C33" s="124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A28:A30"/>
    <mergeCell ref="B28:C28"/>
    <mergeCell ref="B29:C29"/>
    <mergeCell ref="B30:C30"/>
    <mergeCell ref="A31:A33"/>
    <mergeCell ref="B31:C31"/>
    <mergeCell ref="B32:C32"/>
    <mergeCell ref="B33:C3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H2:I2"/>
    <mergeCell ref="F2:G2"/>
    <mergeCell ref="B13:C13"/>
    <mergeCell ref="A4:A8"/>
    <mergeCell ref="B4:C4"/>
    <mergeCell ref="B8:C8"/>
    <mergeCell ref="D2:E2"/>
    <mergeCell ref="A2:C3"/>
    <mergeCell ref="D3:E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과제비_젝사젠_8개월</vt:lpstr>
      <vt:lpstr>과제비_젝사젠_8개월-현물없이</vt:lpstr>
      <vt:lpstr>사업비_정출금배분</vt:lpstr>
      <vt:lpstr>사업비_총사업비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박 문식</cp:lastModifiedBy>
  <dcterms:created xsi:type="dcterms:W3CDTF">2016-04-27T05:17:00Z</dcterms:created>
  <dcterms:modified xsi:type="dcterms:W3CDTF">2024-03-29T15:28:35Z</dcterms:modified>
</cp:coreProperties>
</file>