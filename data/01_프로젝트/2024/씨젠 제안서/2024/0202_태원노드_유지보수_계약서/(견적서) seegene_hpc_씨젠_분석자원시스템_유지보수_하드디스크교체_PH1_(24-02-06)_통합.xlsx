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3B1C1F97-FFB7-CA43-9F6E-C28D09910A3F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견적" sheetId="2" r:id="rId1"/>
  </sheets>
  <definedNames>
    <definedName name="_xlnm.Print_Area" localSheetId="0">견적!$A$1:$H$119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4" i="2" l="1"/>
  <c r="G17" i="2"/>
  <c r="H17" i="2" s="1"/>
  <c r="G49" i="2"/>
  <c r="H49" i="2" s="1"/>
  <c r="E116" i="2" l="1"/>
  <c r="H84" i="2"/>
  <c r="H116" i="2" s="1"/>
  <c r="D14" i="2" l="1"/>
  <c r="D15" i="2"/>
</calcChain>
</file>

<file path=xl/sharedStrings.xml><?xml version="1.0" encoding="utf-8"?>
<sst xmlns="http://schemas.openxmlformats.org/spreadsheetml/2006/main" count="141" uniqueCount="88">
  <si>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</si>
  <si>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</si>
  <si>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</si>
  <si>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</si>
  <si>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</si>
  <si>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</si>
  <si>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</si>
  <si>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</si>
  <si>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</si>
  <si>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</si>
  <si>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</si>
  <si>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</si>
  <si>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</si>
  <si>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</si>
  <si>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</si>
  <si>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</si>
  <si>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</si>
  <si>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</si>
  <si>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</si>
  <si>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</si>
  <si>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</si>
  <si>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</si>
  <si>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</si>
  <si>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</si>
  <si>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</si>
  <si>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</si>
  <si>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</si>
  <si>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</si>
  <si>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</si>
  <si>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</si>
  <si>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</si>
  <si>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</si>
  <si>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</si>
  <si>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</si>
  <si>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</si>
  <si>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</si>
  <si>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</si>
  <si>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</si>
  <si>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</si>
  <si>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</si>
  <si>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</si>
  <si>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</si>
  <si>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</si>
  <si>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</si>
  <si>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</si>
  <si>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</si>
  <si>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</si>
  <si>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</si>
  <si>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</si>
  <si>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</si>
  <si>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</si>
  <si>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</si>
  <si>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</si>
  <si>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</si>
  <si>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</si>
  <si>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</si>
  <si>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</si>
  <si>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</si>
  <si>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</si>
  <si>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</si>
  <si>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</si>
  <si>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</si>
  <si>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</si>
  <si>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</si>
  <si>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t xml:space="preserve">  02-2195-6266 / 010-8682-1192</t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</si>
  <si>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</si>
  <si>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</si>
  <si>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</si>
  <si>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</si>
  <si>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</si>
  <si>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t xml:space="preserve">Supermicro SSG-110P-NTR10 총 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(GENIEMGMT01)</t>
    </r>
    <phoneticPr fontId="5" type="noConversion"/>
  </si>
  <si>
    <r>
      <rPr>
        <sz val="10"/>
        <rFont val="Malgun Gothic"/>
        <family val="2"/>
      </rPr>
      <t>마스터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서버</t>
    </r>
    <r>
      <rPr>
        <sz val="10"/>
        <rFont val="Calibri"/>
        <family val="2"/>
        <scheme val="minor"/>
      </rPr>
      <t>(dpom) 1</t>
    </r>
    <r>
      <rPr>
        <sz val="10"/>
        <rFont val="Malgun Gothic"/>
        <family val="2"/>
      </rPr>
      <t>식</t>
    </r>
    <r>
      <rPr>
        <sz val="10"/>
        <rFont val="Calibri"/>
        <family val="2"/>
        <scheme val="minor"/>
      </rPr>
      <t xml:space="preserve"> ,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(dponode) +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스토리지</t>
    </r>
    <r>
      <rPr>
        <sz val="10"/>
        <rFont val="Calibri"/>
        <family val="2"/>
        <scheme val="minor"/>
      </rPr>
      <t xml:space="preserve"> 12</t>
    </r>
    <r>
      <rPr>
        <sz val="10"/>
        <rFont val="Malgun Gothic"/>
        <family val="2"/>
      </rPr>
      <t>식</t>
    </r>
    <phoneticPr fontId="5" type="noConversion"/>
  </si>
  <si>
    <r>
      <rPr>
        <sz val="8"/>
        <rFont val="Malgun Gothic"/>
        <family val="2"/>
      </rPr>
      <t>데이터베이스</t>
    </r>
    <r>
      <rPr>
        <sz val="8"/>
        <rFont val="Calibri"/>
        <family val="2"/>
        <scheme val="minor"/>
      </rPr>
      <t xml:space="preserve">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(dpodb) 4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식, 데이터베이스</t>
    </r>
    <r>
      <rPr>
        <sz val="8"/>
        <rFont val="Calibri"/>
        <family val="2"/>
        <scheme val="minor"/>
      </rPr>
      <t xml:space="preserve"> 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(rsdb) 2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</t>
    </r>
    <phoneticPr fontId="5" type="noConversion"/>
  </si>
  <si>
    <r>
      <t xml:space="preserve">Supermicro SYS-1029P-WTR </t>
    </r>
    <r>
      <rPr>
        <sz val="9"/>
        <rFont val="Malgun Gothic"/>
        <family val="2"/>
      </rPr>
      <t>총</t>
    </r>
    <r>
      <rPr>
        <sz val="9"/>
        <rFont val="Calibri"/>
        <family val="2"/>
        <scheme val="minor"/>
      </rPr>
      <t xml:space="preserve"> 13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(GENIEAPI00~05,OLAFAPI00~05, GENINELOGIN01)</t>
    </r>
    <phoneticPr fontId="5" type="noConversion"/>
  </si>
  <si>
    <t>Mellanox MCP 1600-C003E30L 100Gbs EDR 3M Cable 1개</t>
    <phoneticPr fontId="5" type="noConversion"/>
  </si>
  <si>
    <t>Mellanox MFA1A00-E010 IB EDR 100Gbs QSFP 10M Cables 4개</t>
    <phoneticPr fontId="5" type="noConversion"/>
  </si>
  <si>
    <t>Mellanox MFA1S00-H010 IB HDR 200Gbs QSFP56 10M Cables 9개</t>
    <phoneticPr fontId="5" type="noConversion"/>
  </si>
  <si>
    <t>Mellanox MCX555A-ECAT ConnectX-5 VPI CardEDR IB(100Gb/s) 5개</t>
    <phoneticPr fontId="5" type="noConversion"/>
  </si>
  <si>
    <r>
      <t>Mellanox MCX653106A-HDAT-SP VPI CardHDR IB(200Gb/s) 9</t>
    </r>
    <r>
      <rPr>
        <sz val="11"/>
        <rFont val="Malgun Gothic"/>
        <family val="2"/>
      </rPr>
      <t>개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</si>
  <si>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14개</t>
    </r>
    <phoneticPr fontId="5" type="noConversion"/>
  </si>
  <si>
    <t xml:space="preserve"> Mellanox MCX555A-ECAT ConnectX-5 VPI CardEDR IB(100Gb/s) 4 개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</si>
  <si>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r>
      <rPr>
        <sz val="11"/>
        <rFont val="Calibri"/>
        <family val="3"/>
        <charset val="129"/>
        <scheme val="minor"/>
      </rPr>
      <t xml:space="preserve"> 개</t>
    </r>
    <phoneticPr fontId="5" type="noConversion"/>
  </si>
  <si>
    <t xml:space="preserve">   - dponode 1 ~ 12 하드 디스크 Seagate Exos 7E10 SAS/7200/256M (ST10000NM018B, 10TB) X 88</t>
  </si>
  <si>
    <t xml:space="preserve">   - DPODB1,2 하드 디스크 Seagate EXOS 7E10 SAS/7200/256M (ST8000NM018B, 8TB) X 16</t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</si>
  <si>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하드디스크 교체</t>
    </r>
    <phoneticPr fontId="5" type="noConversion"/>
  </si>
  <si>
    <t>PH1-240206011</t>
    <phoneticPr fontId="5" type="noConversion"/>
  </si>
  <si>
    <r>
      <rPr>
        <sz val="11"/>
        <rFont val="Malgun Gothic"/>
        <family val="2"/>
      </rPr>
      <t>견적일로부터</t>
    </r>
    <r>
      <rPr>
        <sz val="11"/>
        <rFont val="Calibri"/>
        <family val="2"/>
        <scheme val="minor"/>
      </rPr>
      <t xml:space="preserve"> 30</t>
    </r>
    <r>
      <rPr>
        <sz val="11"/>
        <rFont val="Malgun Gothic"/>
        <family val="2"/>
      </rPr>
      <t>일</t>
    </r>
    <phoneticPr fontId="11" type="noConversion"/>
  </si>
  <si>
    <r>
      <rPr>
        <sz val="10"/>
        <rFont val="Malgun Gothic"/>
        <family val="2"/>
      </rPr>
      <t>분석자원 시스템 유지보수 및 하드디스크 교체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1"/>
        <rFont val="Calibri"/>
        <family val="3"/>
        <charset val="129"/>
        <scheme val="minor"/>
      </rPr>
      <t xml:space="preserve"> 24.03.1 ~ 25.02.28)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</si>
</sst>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46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8"/>
      <name val="Malgun Gothic"/>
      <family val="2"/>
    </font>
    <font>
      <sz val="1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Calibri"/>
      <family val="2"/>
    </font>
    <font>
      <sz val="11"/>
      <name val="굴림체"/>
      <family val="2"/>
      <charset val="129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96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0" xfId="1" applyFont="1">
      <alignment vertical="center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40" fillId="0" borderId="39" xfId="0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3" fontId="15" fillId="0" borderId="12" xfId="1" applyNumberFormat="1" applyFont="1" applyBorder="1" applyAlignment="1">
      <alignment horizontal="center" vertical="center"/>
    </xf>
    <xf numFmtId="0" fontId="10" fillId="0" borderId="31" xfId="1" applyFont="1" applyBorder="1" applyAlignment="1" applyProtection="1">
      <alignment horizontal="left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5" fillId="0" borderId="33" xfId="1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177" fontId="43" fillId="0" borderId="12" xfId="0" applyNumberFormat="1" applyFont="1" applyBorder="1" applyAlignment="1">
      <alignment vertical="center"/>
    </xf>
    <xf numFmtId="177" fontId="43" fillId="0" borderId="33" xfId="0" applyNumberFormat="1" applyFont="1" applyBorder="1" applyAlignment="1">
      <alignment vertical="center"/>
    </xf>
    <xf numFmtId="177" fontId="43" fillId="0" borderId="50" xfId="0" applyNumberFormat="1" applyFont="1" applyBorder="1" applyAlignment="1">
      <alignment vertical="center"/>
    </xf>
    <xf numFmtId="177" fontId="43" fillId="0" borderId="51" xfId="0" applyNumberFormat="1" applyFont="1" applyBorder="1" applyAlignment="1">
      <alignment vertical="center"/>
    </xf>
    <xf numFmtId="0" fontId="12" fillId="0" borderId="2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4" xfId="2" applyNumberFormat="1" applyFont="1" applyBorder="1" applyAlignment="1">
      <alignment horizontal="left" vertical="center" wrapText="1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0" fontId="1" fillId="0" borderId="13" xfId="0" applyFont="1" applyBorder="1"/>
    <xf numFmtId="178" fontId="4" fillId="0" borderId="12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27" fillId="0" borderId="25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2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15" fillId="0" borderId="12" xfId="1" applyFont="1" applyBorder="1" applyAlignment="1">
      <alignment horizontal="center" vertical="center"/>
    </xf>
    <xf numFmtId="3" fontId="15" fillId="0" borderId="12" xfId="1" applyNumberFormat="1" applyFont="1" applyBorder="1" applyAlignment="1">
      <alignment horizontal="center" vertical="center"/>
    </xf>
    <xf numFmtId="3" fontId="15" fillId="0" borderId="33" xfId="1" applyNumberFormat="1" applyFont="1" applyBorder="1" applyAlignment="1">
      <alignment horizontal="center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6" fontId="34" fillId="0" borderId="13" xfId="2" applyNumberFormat="1" applyFont="1" applyBorder="1" applyAlignment="1">
      <alignment horizontal="left" vertical="center" wrapText="1"/>
    </xf>
    <xf numFmtId="176" fontId="34" fillId="0" borderId="14" xfId="2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0" fontId="15" fillId="0" borderId="13" xfId="1" applyFont="1" applyBorder="1" applyAlignment="1">
      <alignment horizontal="left" vertical="center"/>
    </xf>
    <xf numFmtId="176" fontId="37" fillId="0" borderId="12" xfId="2" applyNumberFormat="1" applyFont="1" applyBorder="1" applyAlignment="1">
      <alignment horizontal="left" vertical="center" wrapText="1"/>
    </xf>
    <xf numFmtId="176" fontId="10" fillId="0" borderId="13" xfId="2" applyNumberFormat="1" applyFont="1" applyBorder="1" applyAlignment="1">
      <alignment horizontal="left" vertical="center" wrapText="1"/>
    </xf>
    <xf numFmtId="176" fontId="38" fillId="0" borderId="12" xfId="2" applyNumberFormat="1" applyFont="1" applyBorder="1" applyAlignment="1">
      <alignment horizontal="left" vertical="center" wrapText="1"/>
    </xf>
    <xf numFmtId="176" fontId="35" fillId="0" borderId="13" xfId="2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44" xfId="1" applyFont="1" applyBorder="1" applyAlignment="1" applyProtection="1">
      <alignment horizontal="center" vertical="center"/>
      <protection locked="0"/>
    </xf>
    <xf numFmtId="0" fontId="14" fillId="0" borderId="45" xfId="1" applyFont="1" applyBorder="1" applyAlignment="1" applyProtection="1">
      <alignment horizontal="center" vertical="center"/>
      <protection locked="0"/>
    </xf>
    <xf numFmtId="0" fontId="12" fillId="0" borderId="45" xfId="1" quotePrefix="1" applyFont="1" applyBorder="1" applyAlignment="1" applyProtection="1">
      <alignment horizontal="left" vertical="center" indent="1"/>
      <protection locked="0"/>
    </xf>
    <xf numFmtId="0" fontId="12" fillId="0" borderId="45" xfId="1" applyFont="1" applyBorder="1" applyAlignment="1" applyProtection="1">
      <alignment horizontal="left" vertical="center" indent="1"/>
      <protection locked="0"/>
    </xf>
    <xf numFmtId="0" fontId="12" fillId="0" borderId="46" xfId="1" applyFont="1" applyBorder="1" applyAlignment="1" applyProtection="1">
      <alignment horizontal="left" vertical="center" indent="1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77" fontId="15" fillId="0" borderId="35" xfId="3" applyNumberFormat="1" applyFont="1" applyFill="1" applyBorder="1" applyAlignment="1">
      <alignment horizontal="center" vertical="center"/>
    </xf>
    <xf numFmtId="178" fontId="41" fillId="0" borderId="13" xfId="0" applyNumberFormat="1" applyFont="1" applyBorder="1" applyAlignment="1">
      <alignment horizontal="left" vertical="center" wrapText="1"/>
    </xf>
    <xf numFmtId="178" fontId="41" fillId="0" borderId="14" xfId="0" applyNumberFormat="1" applyFont="1" applyBorder="1" applyAlignment="1">
      <alignment horizontal="left" vertical="center" wrapText="1"/>
    </xf>
    <xf numFmtId="0" fontId="42" fillId="0" borderId="12" xfId="0" applyFont="1" applyBorder="1" applyAlignment="1">
      <alignment horizontal="center" vertical="center"/>
    </xf>
    <xf numFmtId="178" fontId="41" fillId="0" borderId="48" xfId="0" applyNumberFormat="1" applyFont="1" applyBorder="1" applyAlignment="1">
      <alignment horizontal="left" vertical="center" wrapText="1"/>
    </xf>
    <xf numFmtId="178" fontId="41" fillId="0" borderId="49" xfId="0" applyNumberFormat="1" applyFont="1" applyBorder="1" applyAlignment="1">
      <alignment horizontal="left" vertical="center" wrapText="1"/>
    </xf>
    <xf numFmtId="0" fontId="42" fillId="0" borderId="50" xfId="0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113</xdr:row>
      <xdr:rowOff>14654</xdr:rowOff>
    </xdr:from>
    <xdr:to>
      <xdr:col>3</xdr:col>
      <xdr:colOff>2736673</xdr:colOff>
      <xdr:row>114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117</xdr:row>
      <xdr:rowOff>50823</xdr:rowOff>
    </xdr:from>
    <xdr:to>
      <xdr:col>7</xdr:col>
      <xdr:colOff>870191</xdr:colOff>
      <xdr:row>118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86410" y="28575"/>
          <a:ext cx="932658" cy="702408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43"/>
  <sheetViews>
    <sheetView tabSelected="1" zoomScale="150" zoomScaleNormal="150" zoomScaleSheetLayoutView="70" workbookViewId="0">
      <selection activeCell="E8" sqref="E8:H8"/>
    </sheetView>
  </sheetViews>
  <sheetFormatPr baseColWidth="10" defaultColWidth="9" defaultRowHeight="14"/>
  <cols>
    <col min="1" max="1" width="3.5" style="2" customWidth="1"/>
    <col min="2" max="2" width="16.1640625" style="2" customWidth="1"/>
    <col min="3" max="3" width="16.6640625" style="2" customWidth="1"/>
    <col min="4" max="4" width="43.1640625" style="2" customWidth="1"/>
    <col min="5" max="5" width="2.6640625" style="2" customWidth="1"/>
    <col min="6" max="6" width="3.83203125" style="2" customWidth="1"/>
    <col min="7" max="7" width="13.5" style="2" customWidth="1"/>
    <col min="8" max="8" width="13.33203125" style="2" customWidth="1"/>
    <col min="9" max="9" width="14.1640625" style="7" customWidth="1"/>
    <col min="10" max="10" width="44.83203125" style="7" bestFit="1" customWidth="1"/>
    <col min="11" max="11" width="17.6640625" style="7" customWidth="1"/>
    <col min="12" max="12" width="16.1640625" style="7" customWidth="1"/>
    <col min="13" max="13" width="7" style="7" bestFit="1" customWidth="1"/>
    <col min="14" max="14" width="44.83203125" style="7" bestFit="1" customWidth="1"/>
    <col min="15" max="15" width="15.33203125" style="7" bestFit="1" customWidth="1"/>
    <col min="16" max="16384" width="9" style="7"/>
  </cols>
  <sheetData>
    <row r="1" spans="1:8" s="2" customFormat="1" ht="14" customHeight="1">
      <c r="A1" s="28"/>
      <c r="B1" s="29"/>
      <c r="C1" s="29"/>
      <c r="D1" s="30"/>
      <c r="E1" s="29"/>
      <c r="F1" s="29"/>
      <c r="G1" s="29"/>
      <c r="H1" s="31"/>
    </row>
    <row r="2" spans="1:8" s="2" customFormat="1" ht="30.75" customHeight="1">
      <c r="A2" s="32" t="s">
        <v>1</v>
      </c>
      <c r="B2" s="33"/>
      <c r="C2" s="33"/>
      <c r="D2" s="33"/>
      <c r="E2" s="33"/>
      <c r="F2" s="33"/>
      <c r="G2" s="33"/>
      <c r="H2" s="34"/>
    </row>
    <row r="3" spans="1:8" s="2" customFormat="1" ht="14" customHeight="1">
      <c r="A3" s="35"/>
      <c r="B3" s="36"/>
      <c r="C3" s="36"/>
      <c r="D3" s="36"/>
      <c r="E3" s="37"/>
      <c r="F3" s="37"/>
      <c r="G3" s="37"/>
      <c r="H3" s="38"/>
    </row>
    <row r="4" spans="1:8" s="2" customFormat="1" ht="20" customHeight="1">
      <c r="A4" s="113" t="s">
        <v>62</v>
      </c>
      <c r="B4" s="114"/>
      <c r="C4" s="149" t="s">
        <v>2</v>
      </c>
      <c r="D4" s="149"/>
      <c r="E4" s="150" t="s">
        <v>3</v>
      </c>
      <c r="F4" s="150"/>
      <c r="G4" s="150"/>
      <c r="H4" s="151"/>
    </row>
    <row r="5" spans="1:8" s="2" customFormat="1" ht="20" customHeight="1">
      <c r="A5" s="115"/>
      <c r="B5" s="116"/>
      <c r="C5" s="149" t="s">
        <v>63</v>
      </c>
      <c r="D5" s="149"/>
      <c r="E5" s="173" t="s">
        <v>4</v>
      </c>
      <c r="F5" s="173"/>
      <c r="G5" s="173"/>
      <c r="H5" s="174"/>
    </row>
    <row r="6" spans="1:8" s="2" customFormat="1" ht="20" customHeight="1">
      <c r="A6" s="161" t="s">
        <v>5</v>
      </c>
      <c r="B6" s="162"/>
      <c r="C6" s="149" t="s">
        <v>64</v>
      </c>
      <c r="D6" s="149"/>
      <c r="E6" s="150" t="s">
        <v>6</v>
      </c>
      <c r="F6" s="150"/>
      <c r="G6" s="150"/>
      <c r="H6" s="151"/>
    </row>
    <row r="7" spans="1:8" s="2" customFormat="1" ht="20" customHeight="1">
      <c r="A7" s="161" t="s">
        <v>7</v>
      </c>
      <c r="B7" s="162"/>
      <c r="C7" s="111"/>
      <c r="D7" s="112"/>
      <c r="E7" s="150" t="s">
        <v>8</v>
      </c>
      <c r="F7" s="150"/>
      <c r="G7" s="150"/>
      <c r="H7" s="151"/>
    </row>
    <row r="8" spans="1:8" s="2" customFormat="1" ht="20" customHeight="1">
      <c r="A8" s="161" t="s">
        <v>9</v>
      </c>
      <c r="B8" s="162"/>
      <c r="C8" s="148">
        <v>45328</v>
      </c>
      <c r="D8" s="149"/>
      <c r="E8" s="150" t="s">
        <v>10</v>
      </c>
      <c r="F8" s="150"/>
      <c r="G8" s="150"/>
      <c r="H8" s="151"/>
    </row>
    <row r="9" spans="1:8" s="2" customFormat="1" ht="20" customHeight="1">
      <c r="A9" s="161" t="s">
        <v>11</v>
      </c>
      <c r="B9" s="162"/>
      <c r="C9" s="149" t="s">
        <v>85</v>
      </c>
      <c r="D9" s="149"/>
      <c r="E9" s="150" t="s">
        <v>12</v>
      </c>
      <c r="F9" s="150"/>
      <c r="G9" s="150"/>
      <c r="H9" s="151"/>
    </row>
    <row r="10" spans="1:8" s="2" customFormat="1" ht="20" customHeight="1">
      <c r="A10" s="161" t="s">
        <v>13</v>
      </c>
      <c r="B10" s="162"/>
      <c r="C10" s="149" t="s">
        <v>86</v>
      </c>
      <c r="D10" s="149"/>
      <c r="E10" s="150" t="s">
        <v>14</v>
      </c>
      <c r="F10" s="150"/>
      <c r="G10" s="150"/>
      <c r="H10" s="151"/>
    </row>
    <row r="11" spans="1:8" s="2" customFormat="1" ht="5" customHeight="1" thickBot="1">
      <c r="A11" s="50"/>
      <c r="B11" s="51"/>
      <c r="C11" s="51"/>
      <c r="D11" s="51"/>
      <c r="E11" s="24"/>
      <c r="F11" s="39"/>
      <c r="G11" s="39"/>
      <c r="H11" s="40"/>
    </row>
    <row r="12" spans="1:8" s="2" customFormat="1" ht="20" customHeight="1">
      <c r="A12" s="163" t="s">
        <v>15</v>
      </c>
      <c r="B12" s="164"/>
      <c r="C12" s="164"/>
      <c r="D12" s="165" t="s">
        <v>87</v>
      </c>
      <c r="E12" s="166"/>
      <c r="F12" s="166"/>
      <c r="G12" s="166"/>
      <c r="H12" s="167"/>
    </row>
    <row r="13" spans="1:8" s="2" customFormat="1" ht="20" customHeight="1">
      <c r="A13" s="168" t="s">
        <v>16</v>
      </c>
      <c r="B13" s="169"/>
      <c r="C13" s="169"/>
      <c r="D13" s="170" t="s">
        <v>24</v>
      </c>
      <c r="E13" s="171"/>
      <c r="F13" s="171"/>
      <c r="G13" s="171"/>
      <c r="H13" s="172"/>
    </row>
    <row r="14" spans="1:8" s="2" customFormat="1" ht="20" customHeight="1">
      <c r="A14" s="67" t="s">
        <v>17</v>
      </c>
      <c r="B14" s="68"/>
      <c r="C14" s="69"/>
      <c r="D14" s="73" t="str">
        <f>TEXT(H116,"일금 [DBNum4][$-412]G/표준원정(")&amp;TEXT(H116,"###,### - VAT별도 )")</f>
        <v>일금 일억이천이백오십구만이천원정(122,592,000 - VAT별도 )</v>
      </c>
      <c r="E14" s="74"/>
      <c r="F14" s="74"/>
      <c r="G14" s="74"/>
      <c r="H14" s="75"/>
    </row>
    <row r="15" spans="1:8" s="2" customFormat="1" ht="20" customHeight="1">
      <c r="A15" s="70"/>
      <c r="B15" s="71"/>
      <c r="C15" s="72"/>
      <c r="D15" s="73" t="str">
        <f>TEXT(H116+(H116/10),"일금 [DBNum4][$-412]G/표준원정(")&amp;TEXT(H116+(H116/10),"###,### - VAT포함 )")</f>
        <v>일금 일억삼천사백팔십오만일천이백원정(134,851,200 - VAT포함 )</v>
      </c>
      <c r="E15" s="74"/>
      <c r="F15" s="74"/>
      <c r="G15" s="74"/>
      <c r="H15" s="75"/>
    </row>
    <row r="16" spans="1:8" s="2" customFormat="1" ht="20" customHeight="1">
      <c r="A16" s="41" t="s">
        <v>0</v>
      </c>
      <c r="B16" s="4" t="s">
        <v>18</v>
      </c>
      <c r="C16" s="4"/>
      <c r="D16" s="54" t="s">
        <v>19</v>
      </c>
      <c r="E16" s="4" t="s">
        <v>20</v>
      </c>
      <c r="F16" s="4"/>
      <c r="G16" s="3" t="s">
        <v>21</v>
      </c>
      <c r="H16" s="42" t="s">
        <v>22</v>
      </c>
    </row>
    <row r="17" spans="1:15" s="2" customFormat="1" ht="16" customHeight="1">
      <c r="A17" s="91" t="s">
        <v>55</v>
      </c>
      <c r="B17" s="92"/>
      <c r="C17" s="92"/>
      <c r="D17" s="92"/>
      <c r="E17" s="141">
        <v>1</v>
      </c>
      <c r="F17" s="142"/>
      <c r="G17" s="147">
        <f>47800000-3000000</f>
        <v>44800000</v>
      </c>
      <c r="H17" s="175">
        <f>E17*G17</f>
        <v>44800000</v>
      </c>
    </row>
    <row r="18" spans="1:15" s="2" customFormat="1" ht="16" customHeight="1">
      <c r="A18" s="86">
        <v>1</v>
      </c>
      <c r="B18" s="81" t="s">
        <v>25</v>
      </c>
      <c r="C18" s="79"/>
      <c r="D18" s="80"/>
      <c r="E18" s="143"/>
      <c r="F18" s="144"/>
      <c r="G18" s="105"/>
      <c r="H18" s="107"/>
      <c r="J18" s="7"/>
      <c r="K18" s="1"/>
      <c r="M18" s="8"/>
      <c r="O18" s="20"/>
    </row>
    <row r="19" spans="1:15" s="2" customFormat="1" ht="16" customHeight="1">
      <c r="A19" s="87"/>
      <c r="B19" s="78" t="s">
        <v>68</v>
      </c>
      <c r="C19" s="79"/>
      <c r="D19" s="80"/>
      <c r="E19" s="143"/>
      <c r="F19" s="144"/>
      <c r="G19" s="105"/>
      <c r="H19" s="107"/>
      <c r="M19" s="8"/>
      <c r="O19" s="21"/>
    </row>
    <row r="20" spans="1:15" s="2" customFormat="1" ht="16" customHeight="1">
      <c r="A20" s="88"/>
      <c r="B20" s="78" t="s">
        <v>67</v>
      </c>
      <c r="C20" s="79"/>
      <c r="D20" s="80"/>
      <c r="E20" s="143"/>
      <c r="F20" s="144"/>
      <c r="G20" s="105"/>
      <c r="H20" s="107"/>
      <c r="K20" s="1"/>
      <c r="M20" s="8"/>
      <c r="O20" s="20"/>
    </row>
    <row r="21" spans="1:15" s="2" customFormat="1" ht="16" customHeight="1">
      <c r="A21" s="86">
        <v>2</v>
      </c>
      <c r="B21" s="93" t="s">
        <v>44</v>
      </c>
      <c r="C21" s="79"/>
      <c r="D21" s="80"/>
      <c r="E21" s="143"/>
      <c r="F21" s="144"/>
      <c r="G21" s="105"/>
      <c r="H21" s="107"/>
      <c r="K21" s="1"/>
      <c r="O21" s="21"/>
    </row>
    <row r="22" spans="1:15" s="2" customFormat="1" ht="16" customHeight="1">
      <c r="A22" s="87"/>
      <c r="B22" s="78" t="s">
        <v>45</v>
      </c>
      <c r="C22" s="79"/>
      <c r="D22" s="80"/>
      <c r="E22" s="143"/>
      <c r="F22" s="144"/>
      <c r="G22" s="105"/>
      <c r="H22" s="107"/>
      <c r="O22" s="20"/>
    </row>
    <row r="23" spans="1:15" s="2" customFormat="1" ht="16" customHeight="1">
      <c r="A23" s="88"/>
      <c r="B23" s="78" t="s">
        <v>46</v>
      </c>
      <c r="C23" s="79"/>
      <c r="D23" s="80"/>
      <c r="E23" s="143"/>
      <c r="F23" s="144"/>
      <c r="G23" s="105"/>
      <c r="H23" s="107"/>
      <c r="K23" s="1"/>
      <c r="O23" s="21"/>
    </row>
    <row r="24" spans="1:15" s="2" customFormat="1" ht="16" customHeight="1">
      <c r="A24" s="86">
        <v>3</v>
      </c>
      <c r="B24" s="93" t="s">
        <v>26</v>
      </c>
      <c r="C24" s="79"/>
      <c r="D24" s="80"/>
      <c r="E24" s="143"/>
      <c r="F24" s="144"/>
      <c r="G24" s="105"/>
      <c r="H24" s="107"/>
      <c r="J24" s="128"/>
      <c r="K24" s="128"/>
      <c r="L24" s="128"/>
    </row>
    <row r="25" spans="1:15" s="2" customFormat="1" ht="16" customHeight="1">
      <c r="A25" s="87"/>
      <c r="B25" s="140" t="s">
        <v>27</v>
      </c>
      <c r="C25" s="79"/>
      <c r="D25" s="80"/>
      <c r="E25" s="143"/>
      <c r="F25" s="144"/>
      <c r="G25" s="105"/>
      <c r="H25" s="107"/>
      <c r="J25" s="129"/>
      <c r="K25" s="129"/>
      <c r="L25" s="129"/>
      <c r="O25" s="22"/>
    </row>
    <row r="26" spans="1:15" s="2" customFormat="1" ht="16" customHeight="1">
      <c r="A26" s="87"/>
      <c r="B26" s="78" t="s">
        <v>28</v>
      </c>
      <c r="C26" s="78"/>
      <c r="D26" s="76"/>
      <c r="E26" s="143"/>
      <c r="F26" s="144"/>
      <c r="G26" s="105"/>
      <c r="H26" s="107"/>
      <c r="J26" s="130"/>
      <c r="K26" s="131"/>
      <c r="L26" s="132"/>
    </row>
    <row r="27" spans="1:15" s="2" customFormat="1" ht="16" customHeight="1">
      <c r="A27" s="88"/>
      <c r="B27" s="78" t="s">
        <v>29</v>
      </c>
      <c r="C27" s="79"/>
      <c r="D27" s="80"/>
      <c r="E27" s="143"/>
      <c r="F27" s="144"/>
      <c r="G27" s="105"/>
      <c r="H27" s="107"/>
    </row>
    <row r="28" spans="1:15" s="2" customFormat="1" ht="16" customHeight="1">
      <c r="A28" s="86">
        <v>4</v>
      </c>
      <c r="B28" s="158" t="s">
        <v>30</v>
      </c>
      <c r="C28" s="79"/>
      <c r="D28" s="80"/>
      <c r="E28" s="143"/>
      <c r="F28" s="144"/>
      <c r="G28" s="105"/>
      <c r="H28" s="107"/>
    </row>
    <row r="29" spans="1:15" s="2" customFormat="1" ht="16" customHeight="1">
      <c r="A29" s="87"/>
      <c r="B29" s="78" t="s">
        <v>31</v>
      </c>
      <c r="C29" s="79"/>
      <c r="D29" s="80"/>
      <c r="E29" s="143"/>
      <c r="F29" s="144"/>
      <c r="G29" s="105"/>
      <c r="H29" s="107"/>
    </row>
    <row r="30" spans="1:15" s="2" customFormat="1" ht="16" customHeight="1">
      <c r="A30" s="87"/>
      <c r="B30" s="78" t="s">
        <v>32</v>
      </c>
      <c r="C30" s="79"/>
      <c r="D30" s="80"/>
      <c r="E30" s="143"/>
      <c r="F30" s="144"/>
      <c r="G30" s="105"/>
      <c r="H30" s="107"/>
    </row>
    <row r="31" spans="1:15" s="2" customFormat="1" ht="16" customHeight="1">
      <c r="A31" s="88"/>
      <c r="B31" s="78" t="s">
        <v>33</v>
      </c>
      <c r="C31" s="78"/>
      <c r="D31" s="76"/>
      <c r="E31" s="143"/>
      <c r="F31" s="144"/>
      <c r="G31" s="105"/>
      <c r="H31" s="107"/>
    </row>
    <row r="32" spans="1:15" s="2" customFormat="1" ht="16" customHeight="1">
      <c r="A32" s="86">
        <v>5</v>
      </c>
      <c r="B32" s="81" t="s">
        <v>34</v>
      </c>
      <c r="C32" s="79"/>
      <c r="D32" s="80"/>
      <c r="E32" s="143"/>
      <c r="F32" s="144"/>
      <c r="G32" s="105"/>
      <c r="H32" s="107"/>
      <c r="J32" s="7"/>
    </row>
    <row r="33" spans="1:16" s="2" customFormat="1" ht="16" customHeight="1">
      <c r="A33" s="87"/>
      <c r="B33" s="78" t="s">
        <v>35</v>
      </c>
      <c r="C33" s="79"/>
      <c r="D33" s="80"/>
      <c r="E33" s="143"/>
      <c r="F33" s="144"/>
      <c r="G33" s="105"/>
      <c r="H33" s="107"/>
      <c r="J33" s="7"/>
    </row>
    <row r="34" spans="1:16" s="2" customFormat="1" ht="16" customHeight="1">
      <c r="A34" s="87"/>
      <c r="B34" s="78" t="s">
        <v>36</v>
      </c>
      <c r="C34" s="79"/>
      <c r="D34" s="80"/>
      <c r="E34" s="143"/>
      <c r="F34" s="144"/>
      <c r="G34" s="105"/>
      <c r="H34" s="107"/>
      <c r="J34" s="7"/>
    </row>
    <row r="35" spans="1:16" s="2" customFormat="1" ht="16" customHeight="1">
      <c r="A35" s="87"/>
      <c r="B35" s="78" t="s">
        <v>37</v>
      </c>
      <c r="C35" s="79"/>
      <c r="D35" s="80"/>
      <c r="E35" s="143"/>
      <c r="F35" s="144"/>
      <c r="G35" s="105"/>
      <c r="H35" s="107"/>
      <c r="J35" s="7"/>
    </row>
    <row r="36" spans="1:16" s="2" customFormat="1" ht="16" customHeight="1">
      <c r="A36" s="87"/>
      <c r="B36" s="78" t="s">
        <v>38</v>
      </c>
      <c r="C36" s="79"/>
      <c r="D36" s="80"/>
      <c r="E36" s="143"/>
      <c r="F36" s="144"/>
      <c r="G36" s="105"/>
      <c r="H36" s="107"/>
      <c r="J36" s="7"/>
    </row>
    <row r="37" spans="1:16" s="2" customFormat="1" ht="16" customHeight="1">
      <c r="A37" s="87"/>
      <c r="B37" s="78" t="s">
        <v>39</v>
      </c>
      <c r="C37" s="79"/>
      <c r="D37" s="80"/>
      <c r="E37" s="143"/>
      <c r="F37" s="144"/>
      <c r="G37" s="105"/>
      <c r="H37" s="107"/>
      <c r="J37" s="7"/>
    </row>
    <row r="38" spans="1:16" s="2" customFormat="1" ht="16" customHeight="1">
      <c r="A38" s="87"/>
      <c r="B38" s="78" t="s">
        <v>40</v>
      </c>
      <c r="C38" s="79"/>
      <c r="D38" s="80"/>
      <c r="E38" s="143"/>
      <c r="F38" s="144"/>
      <c r="G38" s="105"/>
      <c r="H38" s="107"/>
      <c r="J38" s="7"/>
    </row>
    <row r="39" spans="1:16" s="2" customFormat="1" ht="16" customHeight="1">
      <c r="A39" s="87"/>
      <c r="B39" s="78" t="s">
        <v>41</v>
      </c>
      <c r="C39" s="79"/>
      <c r="D39" s="80"/>
      <c r="E39" s="143"/>
      <c r="F39" s="144"/>
      <c r="G39" s="105"/>
      <c r="H39" s="107"/>
      <c r="J39" s="7"/>
    </row>
    <row r="40" spans="1:16" s="2" customFormat="1" ht="16" customHeight="1">
      <c r="A40" s="87"/>
      <c r="B40" s="78" t="s">
        <v>42</v>
      </c>
      <c r="C40" s="79"/>
      <c r="D40" s="80"/>
      <c r="E40" s="143"/>
      <c r="F40" s="144"/>
      <c r="G40" s="105"/>
      <c r="H40" s="107"/>
      <c r="J40" s="7"/>
    </row>
    <row r="41" spans="1:16" s="2" customFormat="1" ht="16" customHeight="1">
      <c r="A41" s="88"/>
      <c r="B41" s="78" t="s">
        <v>43</v>
      </c>
      <c r="C41" s="79"/>
      <c r="D41" s="80"/>
      <c r="E41" s="143"/>
      <c r="F41" s="144"/>
      <c r="G41" s="105"/>
      <c r="H41" s="107"/>
      <c r="M41" s="9"/>
      <c r="N41" s="5"/>
      <c r="O41" s="6"/>
      <c r="P41" s="6"/>
    </row>
    <row r="42" spans="1:16" s="2" customFormat="1" ht="16" customHeight="1">
      <c r="A42" s="133" t="s">
        <v>56</v>
      </c>
      <c r="B42" s="134"/>
      <c r="C42" s="134"/>
      <c r="D42" s="135"/>
      <c r="E42" s="143"/>
      <c r="F42" s="144"/>
      <c r="G42" s="105"/>
      <c r="H42" s="107"/>
      <c r="M42" s="23"/>
      <c r="N42" s="24"/>
      <c r="O42" s="25"/>
      <c r="P42" s="25"/>
    </row>
    <row r="43" spans="1:16" s="2" customFormat="1" ht="16" customHeight="1">
      <c r="A43" s="89" t="s">
        <v>57</v>
      </c>
      <c r="B43" s="90"/>
      <c r="C43" s="90"/>
      <c r="D43" s="90"/>
      <c r="E43" s="143"/>
      <c r="F43" s="144"/>
      <c r="G43" s="105"/>
      <c r="H43" s="107"/>
      <c r="M43" s="23"/>
      <c r="N43" s="24"/>
      <c r="O43" s="25"/>
      <c r="P43" s="25"/>
    </row>
    <row r="44" spans="1:16" s="2" customFormat="1" ht="16" customHeight="1">
      <c r="A44" s="188" t="s">
        <v>47</v>
      </c>
      <c r="B44" s="189"/>
      <c r="C44" s="136" t="s">
        <v>71</v>
      </c>
      <c r="D44" s="137"/>
      <c r="E44" s="143"/>
      <c r="F44" s="144"/>
      <c r="G44" s="105"/>
      <c r="H44" s="107"/>
      <c r="M44" s="23"/>
      <c r="N44" s="24"/>
      <c r="O44" s="25"/>
      <c r="P44" s="25"/>
    </row>
    <row r="45" spans="1:16" s="2" customFormat="1" ht="16" customHeight="1">
      <c r="A45" s="188" t="s">
        <v>48</v>
      </c>
      <c r="B45" s="189"/>
      <c r="C45" s="138" t="s">
        <v>72</v>
      </c>
      <c r="D45" s="139"/>
      <c r="E45" s="143"/>
      <c r="F45" s="144"/>
      <c r="G45" s="105"/>
      <c r="H45" s="107"/>
      <c r="M45" s="23"/>
      <c r="N45" s="24"/>
      <c r="O45" s="25"/>
      <c r="P45" s="25"/>
    </row>
    <row r="46" spans="1:16" s="2" customFormat="1" ht="16" customHeight="1">
      <c r="A46" s="188" t="s">
        <v>49</v>
      </c>
      <c r="B46" s="189"/>
      <c r="C46" s="136" t="s">
        <v>51</v>
      </c>
      <c r="D46" s="137"/>
      <c r="E46" s="143"/>
      <c r="F46" s="144"/>
      <c r="G46" s="105"/>
      <c r="H46" s="107"/>
      <c r="M46" s="23"/>
      <c r="N46" s="24"/>
      <c r="O46" s="25"/>
      <c r="P46" s="25"/>
    </row>
    <row r="47" spans="1:16" s="2" customFormat="1" ht="16" customHeight="1">
      <c r="A47" s="188" t="s">
        <v>50</v>
      </c>
      <c r="B47" s="189"/>
      <c r="C47" s="136" t="s">
        <v>52</v>
      </c>
      <c r="D47" s="137"/>
      <c r="E47" s="143"/>
      <c r="F47" s="144"/>
      <c r="G47" s="105"/>
      <c r="H47" s="107"/>
      <c r="M47" s="23"/>
      <c r="N47" s="24"/>
      <c r="O47" s="25"/>
      <c r="P47" s="25"/>
    </row>
    <row r="48" spans="1:16" s="2" customFormat="1" ht="16" customHeight="1">
      <c r="A48" s="186" t="s">
        <v>54</v>
      </c>
      <c r="B48" s="187"/>
      <c r="C48" s="136" t="s">
        <v>53</v>
      </c>
      <c r="D48" s="137"/>
      <c r="E48" s="145"/>
      <c r="F48" s="146"/>
      <c r="G48" s="106"/>
      <c r="H48" s="108"/>
      <c r="M48" s="23"/>
      <c r="N48" s="24"/>
      <c r="O48" s="25"/>
      <c r="P48" s="25"/>
    </row>
    <row r="49" spans="1:16" s="2" customFormat="1" ht="16" customHeight="1">
      <c r="A49" s="84" t="s">
        <v>65</v>
      </c>
      <c r="B49" s="85"/>
      <c r="C49" s="85"/>
      <c r="D49" s="85"/>
      <c r="E49" s="117">
        <v>1</v>
      </c>
      <c r="F49" s="117"/>
      <c r="G49" s="118">
        <f>31000000-3000000</f>
        <v>28000000</v>
      </c>
      <c r="H49" s="119">
        <f>E49*G49</f>
        <v>28000000</v>
      </c>
      <c r="M49" s="23"/>
      <c r="N49" s="24"/>
      <c r="O49" s="25"/>
      <c r="P49" s="25"/>
    </row>
    <row r="50" spans="1:16" s="2" customFormat="1" ht="16" customHeight="1">
      <c r="A50" s="86">
        <v>1</v>
      </c>
      <c r="B50" s="81" t="s">
        <v>25</v>
      </c>
      <c r="C50" s="79"/>
      <c r="D50" s="80"/>
      <c r="E50" s="117"/>
      <c r="F50" s="117"/>
      <c r="G50" s="118"/>
      <c r="H50" s="119"/>
      <c r="M50" s="23"/>
      <c r="N50" s="24"/>
      <c r="O50" s="25"/>
      <c r="P50" s="25"/>
    </row>
    <row r="51" spans="1:16" s="2" customFormat="1" ht="16" customHeight="1">
      <c r="A51" s="87"/>
      <c r="B51" s="78" t="s">
        <v>68</v>
      </c>
      <c r="C51" s="79"/>
      <c r="D51" s="80"/>
      <c r="E51" s="117"/>
      <c r="F51" s="117"/>
      <c r="G51" s="118"/>
      <c r="H51" s="119"/>
      <c r="M51" s="23"/>
      <c r="N51" s="24"/>
      <c r="O51" s="25"/>
      <c r="P51" s="25"/>
    </row>
    <row r="52" spans="1:16" s="2" customFormat="1" ht="16" customHeight="1">
      <c r="A52" s="88"/>
      <c r="B52" s="78" t="s">
        <v>67</v>
      </c>
      <c r="C52" s="79"/>
      <c r="D52" s="80"/>
      <c r="E52" s="117"/>
      <c r="F52" s="117"/>
      <c r="G52" s="118"/>
      <c r="H52" s="119"/>
      <c r="M52" s="23"/>
      <c r="N52" s="24"/>
      <c r="O52" s="25"/>
      <c r="P52" s="25"/>
    </row>
    <row r="53" spans="1:16" s="2" customFormat="1" ht="16" customHeight="1">
      <c r="A53" s="86">
        <v>2</v>
      </c>
      <c r="B53" s="82" t="s">
        <v>44</v>
      </c>
      <c r="C53" s="83"/>
      <c r="D53" s="83"/>
      <c r="E53" s="117"/>
      <c r="F53" s="117"/>
      <c r="G53" s="118"/>
      <c r="H53" s="119"/>
      <c r="M53" s="23"/>
      <c r="N53" s="24"/>
      <c r="O53" s="25"/>
      <c r="P53" s="25"/>
    </row>
    <row r="54" spans="1:16" s="2" customFormat="1" ht="16" customHeight="1">
      <c r="A54" s="87"/>
      <c r="B54" s="76" t="s">
        <v>45</v>
      </c>
      <c r="C54" s="77"/>
      <c r="D54" s="77"/>
      <c r="E54" s="117"/>
      <c r="F54" s="117"/>
      <c r="G54" s="118"/>
      <c r="H54" s="119"/>
      <c r="M54" s="23"/>
      <c r="N54" s="24"/>
      <c r="O54" s="25"/>
      <c r="P54" s="25"/>
    </row>
    <row r="55" spans="1:16" s="2" customFormat="1" ht="16" customHeight="1">
      <c r="A55" s="88"/>
      <c r="B55" s="76" t="s">
        <v>46</v>
      </c>
      <c r="C55" s="77"/>
      <c r="D55" s="77"/>
      <c r="E55" s="117"/>
      <c r="F55" s="117"/>
      <c r="G55" s="118"/>
      <c r="H55" s="119"/>
      <c r="M55" s="23"/>
      <c r="N55" s="24"/>
      <c r="O55" s="25"/>
      <c r="P55" s="25"/>
    </row>
    <row r="56" spans="1:16" s="2" customFormat="1" ht="16" customHeight="1">
      <c r="A56" s="86">
        <v>3</v>
      </c>
      <c r="B56" s="82" t="s">
        <v>26</v>
      </c>
      <c r="C56" s="83"/>
      <c r="D56" s="83"/>
      <c r="E56" s="117"/>
      <c r="F56" s="117"/>
      <c r="G56" s="118"/>
      <c r="H56" s="119"/>
      <c r="M56" s="23"/>
      <c r="N56" s="24"/>
      <c r="O56" s="25"/>
      <c r="P56" s="25"/>
    </row>
    <row r="57" spans="1:16" s="2" customFormat="1" ht="16" customHeight="1">
      <c r="A57" s="87"/>
      <c r="B57" s="122" t="s">
        <v>27</v>
      </c>
      <c r="C57" s="123"/>
      <c r="D57" s="123"/>
      <c r="E57" s="117"/>
      <c r="F57" s="117"/>
      <c r="G57" s="118"/>
      <c r="H57" s="119"/>
      <c r="M57" s="23"/>
      <c r="N57" s="24"/>
      <c r="O57" s="25"/>
      <c r="P57" s="25"/>
    </row>
    <row r="58" spans="1:16" s="2" customFormat="1" ht="16" customHeight="1">
      <c r="A58" s="87"/>
      <c r="B58" s="76" t="s">
        <v>28</v>
      </c>
      <c r="C58" s="77"/>
      <c r="D58" s="77"/>
      <c r="E58" s="117"/>
      <c r="F58" s="117"/>
      <c r="G58" s="118"/>
      <c r="H58" s="119"/>
      <c r="M58" s="23"/>
      <c r="N58" s="24"/>
      <c r="O58" s="25"/>
      <c r="P58" s="25"/>
    </row>
    <row r="59" spans="1:16" s="2" customFormat="1" ht="16" customHeight="1">
      <c r="A59" s="88"/>
      <c r="B59" s="76" t="s">
        <v>29</v>
      </c>
      <c r="C59" s="77"/>
      <c r="D59" s="77"/>
      <c r="E59" s="117"/>
      <c r="F59" s="117"/>
      <c r="G59" s="118"/>
      <c r="H59" s="119"/>
      <c r="M59" s="23"/>
      <c r="N59" s="24"/>
      <c r="O59" s="25"/>
      <c r="P59" s="25"/>
    </row>
    <row r="60" spans="1:16" s="2" customFormat="1" ht="16" customHeight="1">
      <c r="A60" s="86">
        <v>4</v>
      </c>
      <c r="B60" s="194" t="s">
        <v>30</v>
      </c>
      <c r="C60" s="195"/>
      <c r="D60" s="195"/>
      <c r="E60" s="117"/>
      <c r="F60" s="117"/>
      <c r="G60" s="118"/>
      <c r="H60" s="119"/>
      <c r="M60" s="23"/>
      <c r="N60" s="24"/>
      <c r="O60" s="25"/>
      <c r="P60" s="25"/>
    </row>
    <row r="61" spans="1:16" s="2" customFormat="1" ht="16" customHeight="1">
      <c r="A61" s="87"/>
      <c r="B61" s="76" t="s">
        <v>31</v>
      </c>
      <c r="C61" s="77"/>
      <c r="D61" s="77"/>
      <c r="E61" s="117"/>
      <c r="F61" s="117"/>
      <c r="G61" s="118"/>
      <c r="H61" s="119"/>
      <c r="M61" s="23"/>
      <c r="N61" s="24"/>
      <c r="O61" s="25"/>
      <c r="P61" s="25"/>
    </row>
    <row r="62" spans="1:16" s="2" customFormat="1" ht="16" customHeight="1">
      <c r="A62" s="87"/>
      <c r="B62" s="76" t="s">
        <v>32</v>
      </c>
      <c r="C62" s="77"/>
      <c r="D62" s="77"/>
      <c r="E62" s="117"/>
      <c r="F62" s="117"/>
      <c r="G62" s="118"/>
      <c r="H62" s="119"/>
      <c r="M62" s="23"/>
      <c r="N62" s="24"/>
      <c r="O62" s="25"/>
      <c r="P62" s="25"/>
    </row>
    <row r="63" spans="1:16" s="2" customFormat="1" ht="16" customHeight="1">
      <c r="A63" s="88"/>
      <c r="B63" s="76" t="s">
        <v>33</v>
      </c>
      <c r="C63" s="77"/>
      <c r="D63" s="77"/>
      <c r="E63" s="117"/>
      <c r="F63" s="117"/>
      <c r="G63" s="118"/>
      <c r="H63" s="119"/>
      <c r="M63" s="23"/>
      <c r="N63" s="24"/>
      <c r="O63" s="25"/>
      <c r="P63" s="25"/>
    </row>
    <row r="64" spans="1:16" s="2" customFormat="1" ht="16" customHeight="1">
      <c r="A64" s="86">
        <v>5</v>
      </c>
      <c r="B64" s="124" t="s">
        <v>34</v>
      </c>
      <c r="C64" s="125"/>
      <c r="D64" s="125"/>
      <c r="E64" s="117"/>
      <c r="F64" s="117"/>
      <c r="G64" s="118"/>
      <c r="H64" s="119"/>
      <c r="M64" s="23"/>
      <c r="N64" s="24"/>
      <c r="O64" s="25"/>
      <c r="P64" s="25"/>
    </row>
    <row r="65" spans="1:16" s="2" customFormat="1" ht="16" customHeight="1">
      <c r="A65" s="87"/>
      <c r="B65" s="76" t="s">
        <v>35</v>
      </c>
      <c r="C65" s="77"/>
      <c r="D65" s="77"/>
      <c r="E65" s="117"/>
      <c r="F65" s="117"/>
      <c r="G65" s="118"/>
      <c r="H65" s="119"/>
      <c r="M65" s="23"/>
      <c r="N65" s="24"/>
      <c r="O65" s="25"/>
      <c r="P65" s="25"/>
    </row>
    <row r="66" spans="1:16" s="2" customFormat="1" ht="16" customHeight="1">
      <c r="A66" s="87"/>
      <c r="B66" s="76" t="s">
        <v>36</v>
      </c>
      <c r="C66" s="77"/>
      <c r="D66" s="77"/>
      <c r="E66" s="117"/>
      <c r="F66" s="117"/>
      <c r="G66" s="118"/>
      <c r="H66" s="119"/>
      <c r="M66" s="23"/>
      <c r="N66" s="24"/>
      <c r="O66" s="25"/>
      <c r="P66" s="25"/>
    </row>
    <row r="67" spans="1:16" s="2" customFormat="1" ht="16" customHeight="1">
      <c r="A67" s="87"/>
      <c r="B67" s="76" t="s">
        <v>37</v>
      </c>
      <c r="C67" s="77"/>
      <c r="D67" s="77"/>
      <c r="E67" s="117"/>
      <c r="F67" s="117"/>
      <c r="G67" s="118"/>
      <c r="H67" s="119"/>
      <c r="M67" s="23"/>
      <c r="N67" s="24"/>
      <c r="O67" s="25"/>
      <c r="P67" s="25"/>
    </row>
    <row r="68" spans="1:16" s="2" customFormat="1" ht="16" customHeight="1">
      <c r="A68" s="87"/>
      <c r="B68" s="76" t="s">
        <v>38</v>
      </c>
      <c r="C68" s="77"/>
      <c r="D68" s="77"/>
      <c r="E68" s="117"/>
      <c r="F68" s="117"/>
      <c r="G68" s="118"/>
      <c r="H68" s="119"/>
      <c r="M68" s="23"/>
      <c r="N68" s="24"/>
      <c r="O68" s="25"/>
      <c r="P68" s="25"/>
    </row>
    <row r="69" spans="1:16" s="2" customFormat="1" ht="16" customHeight="1">
      <c r="A69" s="87"/>
      <c r="B69" s="76" t="s">
        <v>39</v>
      </c>
      <c r="C69" s="77"/>
      <c r="D69" s="77"/>
      <c r="E69" s="117"/>
      <c r="F69" s="117"/>
      <c r="G69" s="118"/>
      <c r="H69" s="119"/>
      <c r="M69" s="23"/>
      <c r="N69" s="24"/>
      <c r="O69" s="25"/>
      <c r="P69" s="25"/>
    </row>
    <row r="70" spans="1:16" s="2" customFormat="1" ht="16" customHeight="1">
      <c r="A70" s="87"/>
      <c r="B70" s="76" t="s">
        <v>40</v>
      </c>
      <c r="C70" s="77"/>
      <c r="D70" s="77"/>
      <c r="E70" s="117"/>
      <c r="F70" s="117"/>
      <c r="G70" s="118"/>
      <c r="H70" s="119"/>
      <c r="M70" s="23"/>
      <c r="N70" s="24"/>
      <c r="O70" s="25"/>
      <c r="P70" s="25"/>
    </row>
    <row r="71" spans="1:16" s="2" customFormat="1" ht="16" customHeight="1">
      <c r="A71" s="87"/>
      <c r="B71" s="76" t="s">
        <v>41</v>
      </c>
      <c r="C71" s="77"/>
      <c r="D71" s="77"/>
      <c r="E71" s="117"/>
      <c r="F71" s="117"/>
      <c r="G71" s="118"/>
      <c r="H71" s="119"/>
      <c r="M71" s="23"/>
      <c r="N71" s="24"/>
      <c r="O71" s="25"/>
      <c r="P71" s="25"/>
    </row>
    <row r="72" spans="1:16" s="2" customFormat="1" ht="16" customHeight="1">
      <c r="A72" s="87"/>
      <c r="B72" s="76" t="s">
        <v>42</v>
      </c>
      <c r="C72" s="77"/>
      <c r="D72" s="77"/>
      <c r="E72" s="117"/>
      <c r="F72" s="117"/>
      <c r="G72" s="118"/>
      <c r="H72" s="119"/>
      <c r="M72" s="23"/>
      <c r="N72" s="24"/>
      <c r="O72" s="25"/>
      <c r="P72" s="25"/>
    </row>
    <row r="73" spans="1:16" s="2" customFormat="1" ht="16" customHeight="1">
      <c r="A73" s="88"/>
      <c r="B73" s="65" t="s">
        <v>43</v>
      </c>
      <c r="C73" s="66"/>
      <c r="D73" s="66"/>
      <c r="E73" s="117"/>
      <c r="F73" s="117"/>
      <c r="G73" s="118"/>
      <c r="H73" s="119"/>
      <c r="M73" s="23"/>
      <c r="N73" s="24"/>
      <c r="O73" s="25"/>
      <c r="P73" s="25"/>
    </row>
    <row r="74" spans="1:16" s="2" customFormat="1" ht="16" customHeight="1">
      <c r="A74" s="159" t="s">
        <v>56</v>
      </c>
      <c r="B74" s="160"/>
      <c r="C74" s="160"/>
      <c r="D74" s="160"/>
      <c r="E74" s="117"/>
      <c r="F74" s="117"/>
      <c r="G74" s="118"/>
      <c r="H74" s="119"/>
      <c r="M74" s="23"/>
      <c r="N74" s="24"/>
      <c r="O74" s="25"/>
      <c r="P74" s="25"/>
    </row>
    <row r="75" spans="1:16" s="2" customFormat="1" ht="16" customHeight="1">
      <c r="A75" s="120" t="s">
        <v>57</v>
      </c>
      <c r="B75" s="121"/>
      <c r="C75" s="121"/>
      <c r="D75" s="121"/>
      <c r="E75" s="117"/>
      <c r="F75" s="117"/>
      <c r="G75" s="118"/>
      <c r="H75" s="119"/>
      <c r="M75" s="23"/>
      <c r="N75" s="24"/>
      <c r="O75" s="25"/>
      <c r="P75" s="25"/>
    </row>
    <row r="76" spans="1:16" s="2" customFormat="1" ht="16" customHeight="1">
      <c r="A76" s="59" t="s">
        <v>60</v>
      </c>
      <c r="B76" s="60"/>
      <c r="C76" s="126" t="s">
        <v>73</v>
      </c>
      <c r="D76" s="127"/>
      <c r="E76" s="117"/>
      <c r="F76" s="117"/>
      <c r="G76" s="118"/>
      <c r="H76" s="119"/>
      <c r="M76" s="23"/>
      <c r="N76" s="24"/>
      <c r="O76" s="25"/>
      <c r="P76" s="25"/>
    </row>
    <row r="77" spans="1:16" s="2" customFormat="1" ht="16" customHeight="1">
      <c r="A77" s="63"/>
      <c r="B77" s="64"/>
      <c r="C77" s="65" t="s">
        <v>70</v>
      </c>
      <c r="D77" s="66"/>
      <c r="E77" s="117"/>
      <c r="F77" s="117"/>
      <c r="G77" s="118"/>
      <c r="H77" s="119"/>
      <c r="M77" s="23"/>
      <c r="N77" s="24"/>
      <c r="O77" s="25"/>
      <c r="P77" s="25"/>
    </row>
    <row r="78" spans="1:16" s="2" customFormat="1" ht="16" customHeight="1">
      <c r="A78" s="94" t="s">
        <v>58</v>
      </c>
      <c r="B78" s="95"/>
      <c r="C78" s="65" t="s">
        <v>78</v>
      </c>
      <c r="D78" s="66"/>
      <c r="E78" s="117"/>
      <c r="F78" s="117"/>
      <c r="G78" s="118"/>
      <c r="H78" s="119"/>
      <c r="M78" s="23"/>
      <c r="N78" s="24"/>
      <c r="O78" s="25"/>
      <c r="P78" s="25"/>
    </row>
    <row r="79" spans="1:16" s="2" customFormat="1" ht="16" customHeight="1">
      <c r="A79" s="96"/>
      <c r="B79" s="97"/>
      <c r="C79" s="65" t="s">
        <v>77</v>
      </c>
      <c r="D79" s="66"/>
      <c r="E79" s="117"/>
      <c r="F79" s="117"/>
      <c r="G79" s="118"/>
      <c r="H79" s="119"/>
      <c r="M79" s="23"/>
      <c r="N79" s="24"/>
      <c r="O79" s="25"/>
      <c r="P79" s="25"/>
    </row>
    <row r="80" spans="1:16" s="2" customFormat="1" ht="16" customHeight="1">
      <c r="A80" s="59" t="s">
        <v>59</v>
      </c>
      <c r="B80" s="60"/>
      <c r="C80" s="65" t="s">
        <v>76</v>
      </c>
      <c r="D80" s="66"/>
      <c r="E80" s="117"/>
      <c r="F80" s="117"/>
      <c r="G80" s="118"/>
      <c r="H80" s="119"/>
      <c r="M80" s="23"/>
      <c r="N80" s="24"/>
      <c r="O80" s="25"/>
      <c r="P80" s="25"/>
    </row>
    <row r="81" spans="1:16" s="2" customFormat="1" ht="16" customHeight="1">
      <c r="A81" s="61"/>
      <c r="B81" s="62"/>
      <c r="C81" s="65" t="s">
        <v>75</v>
      </c>
      <c r="D81" s="66"/>
      <c r="E81" s="117"/>
      <c r="F81" s="117"/>
      <c r="G81" s="118"/>
      <c r="H81" s="119"/>
      <c r="M81" s="23"/>
      <c r="N81" s="24"/>
      <c r="O81" s="25"/>
      <c r="P81" s="25"/>
    </row>
    <row r="82" spans="1:16" s="2" customFormat="1" ht="16" customHeight="1">
      <c r="A82" s="63"/>
      <c r="B82" s="64"/>
      <c r="C82" s="65" t="s">
        <v>74</v>
      </c>
      <c r="D82" s="66"/>
      <c r="E82" s="117"/>
      <c r="F82" s="117"/>
      <c r="G82" s="118"/>
      <c r="H82" s="119"/>
      <c r="M82" s="23"/>
      <c r="N82" s="24"/>
      <c r="O82" s="25"/>
      <c r="P82" s="25"/>
    </row>
    <row r="83" spans="1:16" s="2" customFormat="1" ht="16" customHeight="1">
      <c r="A83" s="186" t="s">
        <v>54</v>
      </c>
      <c r="B83" s="187"/>
      <c r="C83" s="65" t="s">
        <v>79</v>
      </c>
      <c r="D83" s="66"/>
      <c r="E83" s="117"/>
      <c r="F83" s="117"/>
      <c r="G83" s="118"/>
      <c r="H83" s="119"/>
      <c r="M83" s="23"/>
      <c r="N83" s="24"/>
      <c r="O83" s="25"/>
      <c r="P83" s="25"/>
    </row>
    <row r="84" spans="1:16" s="2" customFormat="1" ht="16" customHeight="1">
      <c r="A84" s="84" t="s">
        <v>66</v>
      </c>
      <c r="B84" s="85"/>
      <c r="C84" s="85"/>
      <c r="D84" s="85"/>
      <c r="E84" s="117">
        <v>1</v>
      </c>
      <c r="F84" s="117"/>
      <c r="G84" s="118">
        <f>14200000-3000000</f>
        <v>11200000</v>
      </c>
      <c r="H84" s="119">
        <f>E84*G84</f>
        <v>11200000</v>
      </c>
      <c r="M84" s="23"/>
      <c r="N84" s="24"/>
      <c r="O84" s="25"/>
      <c r="P84" s="25"/>
    </row>
    <row r="85" spans="1:16" s="2" customFormat="1" ht="16" customHeight="1">
      <c r="A85" s="86">
        <v>1</v>
      </c>
      <c r="B85" s="124" t="s">
        <v>25</v>
      </c>
      <c r="C85" s="125"/>
      <c r="D85" s="125"/>
      <c r="E85" s="117"/>
      <c r="F85" s="117"/>
      <c r="G85" s="118"/>
      <c r="H85" s="119"/>
      <c r="M85" s="23"/>
      <c r="N85" s="24"/>
      <c r="O85" s="25"/>
      <c r="P85" s="25"/>
    </row>
    <row r="86" spans="1:16" s="2" customFormat="1" ht="16" customHeight="1">
      <c r="A86" s="87"/>
      <c r="B86" s="76" t="s">
        <v>68</v>
      </c>
      <c r="C86" s="77"/>
      <c r="D86" s="77"/>
      <c r="E86" s="117"/>
      <c r="F86" s="117"/>
      <c r="G86" s="118"/>
      <c r="H86" s="119"/>
      <c r="M86" s="23"/>
      <c r="N86" s="24"/>
      <c r="O86" s="25"/>
      <c r="P86" s="25"/>
    </row>
    <row r="87" spans="1:16" s="2" customFormat="1" ht="16" customHeight="1">
      <c r="A87" s="88"/>
      <c r="B87" s="76" t="s">
        <v>67</v>
      </c>
      <c r="C87" s="77"/>
      <c r="D87" s="77"/>
      <c r="E87" s="117"/>
      <c r="F87" s="117"/>
      <c r="G87" s="118"/>
      <c r="H87" s="119"/>
      <c r="M87" s="23"/>
      <c r="N87" s="24"/>
      <c r="O87" s="25"/>
      <c r="P87" s="25"/>
    </row>
    <row r="88" spans="1:16" s="2" customFormat="1" ht="16" customHeight="1">
      <c r="A88" s="86">
        <v>2</v>
      </c>
      <c r="B88" s="82" t="s">
        <v>44</v>
      </c>
      <c r="C88" s="83"/>
      <c r="D88" s="83"/>
      <c r="E88" s="117"/>
      <c r="F88" s="117"/>
      <c r="G88" s="118"/>
      <c r="H88" s="119"/>
      <c r="M88" s="23"/>
      <c r="N88" s="24"/>
      <c r="O88" s="25"/>
      <c r="P88" s="25"/>
    </row>
    <row r="89" spans="1:16" s="2" customFormat="1" ht="16" customHeight="1">
      <c r="A89" s="87"/>
      <c r="B89" s="76" t="s">
        <v>45</v>
      </c>
      <c r="C89" s="77"/>
      <c r="D89" s="77"/>
      <c r="E89" s="117"/>
      <c r="F89" s="117"/>
      <c r="G89" s="118"/>
      <c r="H89" s="119"/>
      <c r="M89" s="23"/>
      <c r="N89" s="24"/>
      <c r="O89" s="25"/>
      <c r="P89" s="25"/>
    </row>
    <row r="90" spans="1:16" s="2" customFormat="1" ht="16" customHeight="1">
      <c r="A90" s="88"/>
      <c r="B90" s="76" t="s">
        <v>46</v>
      </c>
      <c r="C90" s="77"/>
      <c r="D90" s="77"/>
      <c r="E90" s="117"/>
      <c r="F90" s="117"/>
      <c r="G90" s="118"/>
      <c r="H90" s="119"/>
      <c r="M90" s="23"/>
      <c r="N90" s="24"/>
      <c r="O90" s="25"/>
      <c r="P90" s="25"/>
    </row>
    <row r="91" spans="1:16" s="2" customFormat="1" ht="16" customHeight="1">
      <c r="A91" s="86">
        <v>3</v>
      </c>
      <c r="B91" s="82" t="s">
        <v>26</v>
      </c>
      <c r="C91" s="83"/>
      <c r="D91" s="83"/>
      <c r="E91" s="117"/>
      <c r="F91" s="117"/>
      <c r="G91" s="118"/>
      <c r="H91" s="119"/>
      <c r="M91" s="23"/>
      <c r="N91" s="24"/>
      <c r="O91" s="25"/>
      <c r="P91" s="25"/>
    </row>
    <row r="92" spans="1:16" s="2" customFormat="1" ht="16" customHeight="1">
      <c r="A92" s="87"/>
      <c r="B92" s="122" t="s">
        <v>27</v>
      </c>
      <c r="C92" s="123"/>
      <c r="D92" s="123"/>
      <c r="E92" s="117"/>
      <c r="F92" s="117"/>
      <c r="G92" s="118"/>
      <c r="H92" s="119"/>
      <c r="M92" s="23"/>
      <c r="N92" s="24"/>
      <c r="O92" s="25"/>
      <c r="P92" s="25"/>
    </row>
    <row r="93" spans="1:16" s="2" customFormat="1" ht="16" customHeight="1">
      <c r="A93" s="87"/>
      <c r="B93" s="76" t="s">
        <v>28</v>
      </c>
      <c r="C93" s="77"/>
      <c r="D93" s="77"/>
      <c r="E93" s="117"/>
      <c r="F93" s="117"/>
      <c r="G93" s="118"/>
      <c r="H93" s="119"/>
      <c r="M93" s="23"/>
      <c r="N93" s="24"/>
      <c r="O93" s="25"/>
      <c r="P93" s="25"/>
    </row>
    <row r="94" spans="1:16" s="2" customFormat="1" ht="16" customHeight="1">
      <c r="A94" s="88"/>
      <c r="B94" s="76" t="s">
        <v>29</v>
      </c>
      <c r="C94" s="77"/>
      <c r="D94" s="77"/>
      <c r="E94" s="117"/>
      <c r="F94" s="117"/>
      <c r="G94" s="118"/>
      <c r="H94" s="119"/>
      <c r="M94" s="23"/>
      <c r="N94" s="24"/>
      <c r="O94" s="25"/>
      <c r="P94" s="25"/>
    </row>
    <row r="95" spans="1:16" s="2" customFormat="1" ht="16" customHeight="1">
      <c r="A95" s="86">
        <v>4</v>
      </c>
      <c r="B95" s="124" t="s">
        <v>34</v>
      </c>
      <c r="C95" s="125"/>
      <c r="D95" s="125"/>
      <c r="E95" s="117"/>
      <c r="F95" s="117"/>
      <c r="G95" s="118"/>
      <c r="H95" s="119"/>
      <c r="M95" s="23"/>
      <c r="N95" s="24"/>
      <c r="O95" s="25"/>
      <c r="P95" s="25"/>
    </row>
    <row r="96" spans="1:16" s="2" customFormat="1" ht="16" customHeight="1">
      <c r="A96" s="87"/>
      <c r="B96" s="76" t="s">
        <v>35</v>
      </c>
      <c r="C96" s="77"/>
      <c r="D96" s="77"/>
      <c r="E96" s="117"/>
      <c r="F96" s="117"/>
      <c r="G96" s="118"/>
      <c r="H96" s="119"/>
      <c r="M96" s="23"/>
      <c r="N96" s="24"/>
      <c r="O96" s="25"/>
      <c r="P96" s="25"/>
    </row>
    <row r="97" spans="1:16" s="2" customFormat="1" ht="16" customHeight="1">
      <c r="A97" s="87"/>
      <c r="B97" s="76" t="s">
        <v>36</v>
      </c>
      <c r="C97" s="77"/>
      <c r="D97" s="77"/>
      <c r="E97" s="117"/>
      <c r="F97" s="117"/>
      <c r="G97" s="118"/>
      <c r="H97" s="119"/>
      <c r="M97" s="23"/>
      <c r="N97" s="24"/>
      <c r="O97" s="25"/>
      <c r="P97" s="25"/>
    </row>
    <row r="98" spans="1:16" s="2" customFormat="1" ht="16" customHeight="1">
      <c r="A98" s="87"/>
      <c r="B98" s="76" t="s">
        <v>37</v>
      </c>
      <c r="C98" s="77"/>
      <c r="D98" s="77"/>
      <c r="E98" s="117"/>
      <c r="F98" s="117"/>
      <c r="G98" s="118"/>
      <c r="H98" s="119"/>
      <c r="M98" s="23"/>
      <c r="N98" s="24"/>
      <c r="O98" s="25"/>
      <c r="P98" s="25"/>
    </row>
    <row r="99" spans="1:16" s="2" customFormat="1" ht="16" customHeight="1">
      <c r="A99" s="87"/>
      <c r="B99" s="76" t="s">
        <v>38</v>
      </c>
      <c r="C99" s="77"/>
      <c r="D99" s="77"/>
      <c r="E99" s="117"/>
      <c r="F99" s="117"/>
      <c r="G99" s="118"/>
      <c r="H99" s="119"/>
      <c r="M99" s="23"/>
      <c r="N99" s="24"/>
      <c r="O99" s="25"/>
      <c r="P99" s="25"/>
    </row>
    <row r="100" spans="1:16" s="2" customFormat="1" ht="16" customHeight="1">
      <c r="A100" s="87"/>
      <c r="B100" s="76" t="s">
        <v>39</v>
      </c>
      <c r="C100" s="77"/>
      <c r="D100" s="77"/>
      <c r="E100" s="117"/>
      <c r="F100" s="117"/>
      <c r="G100" s="118"/>
      <c r="H100" s="119"/>
      <c r="M100" s="23"/>
      <c r="N100" s="24"/>
      <c r="O100" s="25"/>
      <c r="P100" s="25"/>
    </row>
    <row r="101" spans="1:16" s="2" customFormat="1" ht="16" customHeight="1">
      <c r="A101" s="87"/>
      <c r="B101" s="76" t="s">
        <v>40</v>
      </c>
      <c r="C101" s="77"/>
      <c r="D101" s="77"/>
      <c r="E101" s="117"/>
      <c r="F101" s="117"/>
      <c r="G101" s="118"/>
      <c r="H101" s="119"/>
      <c r="M101" s="23"/>
      <c r="N101" s="24"/>
      <c r="O101" s="25"/>
      <c r="P101" s="25"/>
    </row>
    <row r="102" spans="1:16" s="2" customFormat="1" ht="16" customHeight="1">
      <c r="A102" s="87"/>
      <c r="B102" s="76" t="s">
        <v>41</v>
      </c>
      <c r="C102" s="77"/>
      <c r="D102" s="77"/>
      <c r="E102" s="117"/>
      <c r="F102" s="117"/>
      <c r="G102" s="118"/>
      <c r="H102" s="119"/>
      <c r="M102" s="23"/>
      <c r="N102" s="24"/>
      <c r="O102" s="25"/>
      <c r="P102" s="25"/>
    </row>
    <row r="103" spans="1:16" s="2" customFormat="1" ht="16" customHeight="1">
      <c r="A103" s="87"/>
      <c r="B103" s="76" t="s">
        <v>42</v>
      </c>
      <c r="C103" s="77"/>
      <c r="D103" s="77"/>
      <c r="E103" s="117"/>
      <c r="F103" s="117"/>
      <c r="G103" s="118"/>
      <c r="H103" s="119"/>
      <c r="M103" s="23"/>
      <c r="N103" s="24"/>
      <c r="O103" s="25"/>
      <c r="P103" s="25"/>
    </row>
    <row r="104" spans="1:16" s="2" customFormat="1" ht="16" customHeight="1">
      <c r="A104" s="88"/>
      <c r="B104" s="65" t="s">
        <v>43</v>
      </c>
      <c r="C104" s="66"/>
      <c r="D104" s="66"/>
      <c r="E104" s="117"/>
      <c r="F104" s="117"/>
      <c r="G104" s="118"/>
      <c r="H104" s="119"/>
      <c r="M104" s="23"/>
      <c r="N104" s="24"/>
      <c r="O104" s="25"/>
      <c r="P104" s="25"/>
    </row>
    <row r="105" spans="1:16" s="2" customFormat="1" ht="16" customHeight="1">
      <c r="A105" s="159" t="s">
        <v>56</v>
      </c>
      <c r="B105" s="160"/>
      <c r="C105" s="160"/>
      <c r="D105" s="160"/>
      <c r="E105" s="117"/>
      <c r="F105" s="117"/>
      <c r="G105" s="118"/>
      <c r="H105" s="119"/>
      <c r="M105" s="23"/>
      <c r="N105" s="24"/>
      <c r="O105" s="25"/>
      <c r="P105" s="25"/>
    </row>
    <row r="106" spans="1:16" s="2" customFormat="1" ht="16" customHeight="1">
      <c r="A106" s="120" t="s">
        <v>57</v>
      </c>
      <c r="B106" s="121"/>
      <c r="C106" s="121"/>
      <c r="D106" s="121"/>
      <c r="E106" s="117"/>
      <c r="F106" s="117"/>
      <c r="G106" s="118"/>
      <c r="H106" s="119"/>
      <c r="M106" s="23"/>
      <c r="N106" s="24"/>
      <c r="O106" s="25"/>
      <c r="P106" s="25"/>
    </row>
    <row r="107" spans="1:16" s="2" customFormat="1" ht="16" customHeight="1">
      <c r="A107" s="190" t="s">
        <v>61</v>
      </c>
      <c r="B107" s="191"/>
      <c r="C107" s="65" t="s">
        <v>69</v>
      </c>
      <c r="D107" s="66"/>
      <c r="E107" s="117"/>
      <c r="F107" s="117"/>
      <c r="G107" s="118"/>
      <c r="H107" s="119"/>
      <c r="M107" s="23"/>
      <c r="N107" s="24"/>
      <c r="O107" s="25"/>
      <c r="P107" s="25"/>
    </row>
    <row r="108" spans="1:16" s="2" customFormat="1" ht="16" customHeight="1">
      <c r="A108" s="192" t="s">
        <v>58</v>
      </c>
      <c r="B108" s="193"/>
      <c r="C108" s="65" t="s">
        <v>80</v>
      </c>
      <c r="D108" s="66"/>
      <c r="E108" s="117"/>
      <c r="F108" s="117"/>
      <c r="G108" s="118"/>
      <c r="H108" s="119"/>
      <c r="M108" s="23"/>
      <c r="N108" s="24"/>
      <c r="O108" s="25"/>
      <c r="P108" s="25"/>
    </row>
    <row r="109" spans="1:16" s="2" customFormat="1" ht="16" customHeight="1">
      <c r="A109" s="188" t="s">
        <v>59</v>
      </c>
      <c r="B109" s="189"/>
      <c r="C109" s="65" t="s">
        <v>75</v>
      </c>
      <c r="D109" s="66"/>
      <c r="E109" s="117"/>
      <c r="F109" s="117"/>
      <c r="G109" s="118"/>
      <c r="H109" s="119"/>
      <c r="M109" s="23"/>
      <c r="N109" s="24"/>
      <c r="O109" s="25"/>
      <c r="P109" s="25"/>
    </row>
    <row r="110" spans="1:16" s="2" customFormat="1" ht="16" customHeight="1">
      <c r="A110" s="186" t="s">
        <v>54</v>
      </c>
      <c r="B110" s="187"/>
      <c r="C110" s="65" t="s">
        <v>81</v>
      </c>
      <c r="D110" s="66"/>
      <c r="E110" s="117"/>
      <c r="F110" s="117"/>
      <c r="G110" s="118"/>
      <c r="H110" s="119"/>
      <c r="M110" s="23"/>
      <c r="N110" s="24"/>
      <c r="O110" s="25"/>
      <c r="P110" s="25"/>
    </row>
    <row r="111" spans="1:16" s="2" customFormat="1" ht="16" customHeight="1">
      <c r="A111" s="91" t="s">
        <v>84</v>
      </c>
      <c r="B111" s="92"/>
      <c r="C111" s="92"/>
      <c r="D111" s="92"/>
      <c r="E111" s="117"/>
      <c r="F111" s="117"/>
      <c r="G111" s="49"/>
      <c r="H111" s="52"/>
      <c r="M111" s="23"/>
      <c r="N111" s="24"/>
      <c r="O111" s="25"/>
      <c r="P111" s="25"/>
    </row>
    <row r="112" spans="1:16" s="2" customFormat="1" ht="16" customHeight="1">
      <c r="A112" s="44">
        <v>6</v>
      </c>
      <c r="B112" s="176" t="s">
        <v>82</v>
      </c>
      <c r="C112" s="177"/>
      <c r="D112" s="177"/>
      <c r="E112" s="178">
        <v>88</v>
      </c>
      <c r="F112" s="178"/>
      <c r="G112" s="55">
        <v>384000</v>
      </c>
      <c r="H112" s="56">
        <v>33792000</v>
      </c>
      <c r="I112" s="45"/>
      <c r="J112" s="45"/>
      <c r="K112" s="45"/>
      <c r="L112" s="45"/>
      <c r="M112" s="46"/>
      <c r="N112" s="47"/>
      <c r="O112" s="48"/>
      <c r="P112" s="48"/>
    </row>
    <row r="113" spans="1:16" s="2" customFormat="1" ht="16" customHeight="1" thickBot="1">
      <c r="A113" s="53">
        <v>7</v>
      </c>
      <c r="B113" s="179" t="s">
        <v>83</v>
      </c>
      <c r="C113" s="180"/>
      <c r="D113" s="180"/>
      <c r="E113" s="181">
        <v>16</v>
      </c>
      <c r="F113" s="181"/>
      <c r="G113" s="57">
        <v>300000</v>
      </c>
      <c r="H113" s="58">
        <v>4800000</v>
      </c>
      <c r="I113" s="45"/>
      <c r="J113" s="45"/>
      <c r="K113" s="45"/>
      <c r="L113" s="45"/>
      <c r="M113" s="46"/>
      <c r="N113" s="47"/>
      <c r="O113" s="48"/>
      <c r="P113" s="48"/>
    </row>
    <row r="114" spans="1:16" s="2" customFormat="1" ht="15" customHeight="1">
      <c r="A114" s="182"/>
      <c r="B114" s="183"/>
      <c r="C114" s="183"/>
      <c r="D114" s="102"/>
      <c r="E114" s="101"/>
      <c r="F114" s="102"/>
      <c r="G114" s="105"/>
      <c r="H114" s="107"/>
      <c r="J114" s="7"/>
    </row>
    <row r="115" spans="1:16" s="2" customFormat="1" ht="15" customHeight="1">
      <c r="A115" s="184"/>
      <c r="B115" s="185"/>
      <c r="C115" s="185"/>
      <c r="D115" s="104"/>
      <c r="E115" s="103"/>
      <c r="F115" s="104"/>
      <c r="G115" s="106"/>
      <c r="H115" s="108"/>
      <c r="J115" s="7"/>
    </row>
    <row r="116" spans="1:16" s="2" customFormat="1" ht="23.25" customHeight="1">
      <c r="A116" s="98" t="s">
        <v>23</v>
      </c>
      <c r="B116" s="99"/>
      <c r="C116" s="99"/>
      <c r="D116" s="100"/>
      <c r="E116" s="109">
        <f>SUM(E17:F115)</f>
        <v>107</v>
      </c>
      <c r="F116" s="110"/>
      <c r="G116" s="27"/>
      <c r="H116" s="43">
        <f>ROUND(SUM(H17:H115),0)</f>
        <v>122592000</v>
      </c>
    </row>
    <row r="117" spans="1:16" s="2" customFormat="1" ht="16.5" customHeight="1">
      <c r="A117" s="152"/>
      <c r="B117" s="153"/>
      <c r="C117" s="153"/>
      <c r="D117" s="153"/>
      <c r="E117" s="153"/>
      <c r="F117" s="153"/>
      <c r="G117" s="153"/>
      <c r="H117" s="154"/>
    </row>
    <row r="118" spans="1:16">
      <c r="A118" s="152"/>
      <c r="B118" s="153"/>
      <c r="C118" s="153"/>
      <c r="D118" s="153"/>
      <c r="E118" s="153"/>
      <c r="F118" s="153"/>
      <c r="G118" s="153"/>
      <c r="H118" s="154"/>
      <c r="J118" s="26"/>
    </row>
    <row r="119" spans="1:16" ht="15" thickBot="1">
      <c r="A119" s="155"/>
      <c r="B119" s="156"/>
      <c r="C119" s="156"/>
      <c r="D119" s="156"/>
      <c r="E119" s="156"/>
      <c r="F119" s="156"/>
      <c r="G119" s="156"/>
      <c r="H119" s="157"/>
    </row>
    <row r="120" spans="1:16" ht="15">
      <c r="A120" s="10"/>
    </row>
    <row r="121" spans="1:16" ht="15">
      <c r="A121" s="10"/>
    </row>
    <row r="123" spans="1:16">
      <c r="E123" s="11"/>
    </row>
    <row r="124" spans="1:16">
      <c r="E124" s="11"/>
    </row>
    <row r="125" spans="1:16">
      <c r="E125" s="11"/>
    </row>
    <row r="126" spans="1:16">
      <c r="E126" s="11"/>
    </row>
    <row r="127" spans="1:16">
      <c r="E127" s="11"/>
    </row>
    <row r="128" spans="1:16">
      <c r="E128" s="11"/>
    </row>
    <row r="129" spans="1:10" ht="15">
      <c r="E129" s="11"/>
      <c r="H129" s="12"/>
    </row>
    <row r="130" spans="1:10" ht="15">
      <c r="E130" s="13"/>
      <c r="F130" s="13"/>
      <c r="H130" s="14"/>
    </row>
    <row r="131" spans="1:10" ht="15">
      <c r="C131" s="12"/>
      <c r="D131" s="15"/>
      <c r="E131" s="13"/>
      <c r="F131" s="13"/>
      <c r="H131" s="14"/>
    </row>
    <row r="132" spans="1:10" ht="15">
      <c r="C132" s="12"/>
      <c r="D132" s="15"/>
      <c r="E132" s="13"/>
      <c r="F132" s="13"/>
      <c r="H132" s="14"/>
    </row>
    <row r="133" spans="1:10" ht="15">
      <c r="C133" s="12"/>
      <c r="D133" s="15"/>
      <c r="E133" s="13"/>
      <c r="F133" s="13"/>
      <c r="H133" s="14"/>
    </row>
    <row r="134" spans="1:10" s="19" customFormat="1" ht="16" thickBot="1">
      <c r="A134" s="16"/>
      <c r="B134" s="16"/>
      <c r="C134" s="16"/>
      <c r="D134" s="16"/>
      <c r="E134" s="17"/>
      <c r="F134" s="17"/>
      <c r="G134" s="16"/>
      <c r="H134" s="18"/>
    </row>
    <row r="135" spans="1:10" ht="15">
      <c r="E135" s="13"/>
      <c r="F135" s="13"/>
      <c r="H135" s="14"/>
    </row>
    <row r="136" spans="1:10" ht="15">
      <c r="D136" s="11"/>
      <c r="E136" s="12"/>
      <c r="F136" s="12"/>
      <c r="H136" s="8"/>
    </row>
    <row r="137" spans="1:10" ht="15">
      <c r="E137" s="12"/>
      <c r="F137" s="12"/>
      <c r="H137" s="8"/>
    </row>
    <row r="138" spans="1:10">
      <c r="E138" s="11"/>
    </row>
    <row r="139" spans="1:10">
      <c r="E139" s="11"/>
    </row>
    <row r="140" spans="1:10">
      <c r="E140" s="11"/>
    </row>
    <row r="141" spans="1:10" s="2" customFormat="1">
      <c r="E141" s="11"/>
      <c r="I141" s="7"/>
      <c r="J141" s="7"/>
    </row>
    <row r="142" spans="1:10" s="2" customFormat="1">
      <c r="E142" s="11"/>
      <c r="I142" s="7"/>
      <c r="J142" s="7"/>
    </row>
    <row r="143" spans="1:10" s="2" customFormat="1">
      <c r="E143" s="11"/>
      <c r="I143" s="7"/>
      <c r="J143" s="7"/>
    </row>
  </sheetData>
  <mergeCells count="175">
    <mergeCell ref="B112:D112"/>
    <mergeCell ref="E112:F112"/>
    <mergeCell ref="B113:D113"/>
    <mergeCell ref="E113:F113"/>
    <mergeCell ref="A111:D111"/>
    <mergeCell ref="E111:F111"/>
    <mergeCell ref="A114:D115"/>
    <mergeCell ref="A83:B83"/>
    <mergeCell ref="A44:B44"/>
    <mergeCell ref="A45:B45"/>
    <mergeCell ref="A46:B46"/>
    <mergeCell ref="A47:B47"/>
    <mergeCell ref="A48:B48"/>
    <mergeCell ref="A107:B107"/>
    <mergeCell ref="A108:B108"/>
    <mergeCell ref="A110:B110"/>
    <mergeCell ref="A109:B109"/>
    <mergeCell ref="B71:D71"/>
    <mergeCell ref="B62:D62"/>
    <mergeCell ref="B55:D55"/>
    <mergeCell ref="B57:D57"/>
    <mergeCell ref="B58:D58"/>
    <mergeCell ref="B60:D60"/>
    <mergeCell ref="B94:D94"/>
    <mergeCell ref="B93:D93"/>
    <mergeCell ref="A84:D84"/>
    <mergeCell ref="C83:D83"/>
    <mergeCell ref="C82:D82"/>
    <mergeCell ref="B59:D59"/>
    <mergeCell ref="A74:D74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7:H117"/>
    <mergeCell ref="A118:H118"/>
    <mergeCell ref="A119:H119"/>
    <mergeCell ref="B27:D27"/>
    <mergeCell ref="B28:D28"/>
    <mergeCell ref="A105:D105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4:D104"/>
    <mergeCell ref="B56:D56"/>
    <mergeCell ref="C78:D78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E17:F48"/>
    <mergeCell ref="G17:G48"/>
    <mergeCell ref="A75:D75"/>
    <mergeCell ref="H17:H48"/>
    <mergeCell ref="C76:D76"/>
    <mergeCell ref="C77:D77"/>
    <mergeCell ref="A76:B77"/>
    <mergeCell ref="B67:D67"/>
    <mergeCell ref="B68:D68"/>
    <mergeCell ref="B63:D63"/>
    <mergeCell ref="B64:D64"/>
    <mergeCell ref="B65:D65"/>
    <mergeCell ref="B66:D66"/>
    <mergeCell ref="B69:D69"/>
    <mergeCell ref="B70:D70"/>
    <mergeCell ref="C108:D108"/>
    <mergeCell ref="A106:D106"/>
    <mergeCell ref="B89:D89"/>
    <mergeCell ref="B90:D90"/>
    <mergeCell ref="B91:D91"/>
    <mergeCell ref="B92:D92"/>
    <mergeCell ref="B85:D85"/>
    <mergeCell ref="B86:D86"/>
    <mergeCell ref="C107:D107"/>
    <mergeCell ref="A85:A87"/>
    <mergeCell ref="A88:A90"/>
    <mergeCell ref="A91:A94"/>
    <mergeCell ref="A95:A104"/>
    <mergeCell ref="B98:D98"/>
    <mergeCell ref="B97:D97"/>
    <mergeCell ref="B96:D96"/>
    <mergeCell ref="B95:D95"/>
    <mergeCell ref="B87:D87"/>
    <mergeCell ref="B88:D88"/>
    <mergeCell ref="B99:D99"/>
    <mergeCell ref="B103:D103"/>
    <mergeCell ref="B102:D102"/>
    <mergeCell ref="B101:D101"/>
    <mergeCell ref="B100:D100"/>
    <mergeCell ref="A116:D116"/>
    <mergeCell ref="E114:F115"/>
    <mergeCell ref="G114:G115"/>
    <mergeCell ref="H114:H115"/>
    <mergeCell ref="E116:F116"/>
    <mergeCell ref="C7:D7"/>
    <mergeCell ref="A4:B5"/>
    <mergeCell ref="A18:A20"/>
    <mergeCell ref="E49:F83"/>
    <mergeCell ref="G49:G83"/>
    <mergeCell ref="H49:H83"/>
    <mergeCell ref="E84:F110"/>
    <mergeCell ref="G84:G110"/>
    <mergeCell ref="H84:H110"/>
    <mergeCell ref="A50:A52"/>
    <mergeCell ref="A53:A55"/>
    <mergeCell ref="A56:A59"/>
    <mergeCell ref="A60:A63"/>
    <mergeCell ref="A64:A73"/>
    <mergeCell ref="A32:A41"/>
    <mergeCell ref="A28:A31"/>
    <mergeCell ref="C79:D79"/>
    <mergeCell ref="C109:D109"/>
    <mergeCell ref="C110:D110"/>
    <mergeCell ref="A80:B82"/>
    <mergeCell ref="C80:D80"/>
    <mergeCell ref="C81:D81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  <mergeCell ref="B73:D73"/>
    <mergeCell ref="A78:B79"/>
    <mergeCell ref="B72:D72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김 현기</cp:lastModifiedBy>
  <cp:lastPrinted>2024-02-06T05:06:29Z</cp:lastPrinted>
  <dcterms:created xsi:type="dcterms:W3CDTF">2016-06-28T02:01:49Z</dcterms:created>
  <dcterms:modified xsi:type="dcterms:W3CDTF">2024-02-06T05:24:52Z</dcterms:modified>
</cp:coreProperties>
</file>