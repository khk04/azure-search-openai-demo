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k/Library/CloudStorage/OneDrive-젝사젠주식회사/씨젠 제안서/2024/0202_태원노드_유지보수_계약서/"/>
    </mc:Choice>
  </mc:AlternateContent>
  <xr:revisionPtr revIDLastSave="0" documentId="13_ncr:1_{530997F3-CBE8-6847-BEF5-618700AEBC5F}" xr6:coauthVersionLast="47" xr6:coauthVersionMax="47" xr10:uidLastSave="{00000000-0000-0000-0000-000000000000}"/>
  <bookViews>
    <workbookView xWindow="45900" yWindow="1680" windowWidth="28300" windowHeight="17440" activeTab="2" xr2:uid="{AC759D44-C5ED-F043-B718-7EA1D410F7A5}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C2" i="3"/>
  <c r="D31" i="3"/>
  <c r="D27" i="3"/>
  <c r="D28" i="3"/>
  <c r="D29" i="3"/>
  <c r="D30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16" i="3"/>
  <c r="D15" i="3"/>
  <c r="D14" i="3"/>
  <c r="D13" i="3"/>
  <c r="D12" i="3"/>
  <c r="C22" i="3"/>
  <c r="D22" i="3" s="1"/>
  <c r="C21" i="3"/>
  <c r="D21" i="3" s="1"/>
  <c r="C20" i="3"/>
  <c r="D20" i="3" s="1"/>
  <c r="C19" i="3"/>
  <c r="D19" i="3" s="1"/>
  <c r="C18" i="3"/>
  <c r="D18" i="3" s="1"/>
  <c r="C17" i="3"/>
  <c r="D17" i="3" s="1"/>
  <c r="C16" i="3"/>
  <c r="C15" i="3"/>
  <c r="C14" i="3"/>
  <c r="C13" i="3"/>
  <c r="C12" i="3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D2" i="3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E94" i="2"/>
  <c r="D100" i="2"/>
  <c r="E100" i="2" s="1"/>
  <c r="D99" i="2"/>
  <c r="E99" i="2" s="1"/>
  <c r="D98" i="2"/>
  <c r="E98" i="2" s="1"/>
  <c r="D97" i="2"/>
  <c r="E97" i="2" s="1"/>
  <c r="D96" i="2"/>
  <c r="E96" i="2" s="1"/>
  <c r="D95" i="2"/>
  <c r="E95" i="2" s="1"/>
  <c r="D94" i="2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D86" i="2"/>
  <c r="E86" i="2" s="1"/>
  <c r="D85" i="2"/>
  <c r="E85" i="2" s="1"/>
  <c r="D84" i="2"/>
  <c r="E84" i="2" s="1"/>
  <c r="D83" i="2"/>
  <c r="E83" i="2" s="1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87" i="1"/>
</calcChain>
</file>

<file path=xl/sharedStrings.xml><?xml version="1.0" encoding="utf-8"?>
<sst xmlns="http://schemas.openxmlformats.org/spreadsheetml/2006/main" count="51" uniqueCount="27">
  <si>
    <t>Accumulated load-unload cycles</t>
  </si>
  <si>
    <t xml:space="preserve">hostname </t>
  </si>
  <si>
    <t xml:space="preserve"> Specified load-unload count over device lifetime</t>
  </si>
  <si>
    <t>dponode1</t>
  </si>
  <si>
    <t>dponode2</t>
  </si>
  <si>
    <t>dponode3</t>
  </si>
  <si>
    <t>dponode4</t>
  </si>
  <si>
    <t>dponode5</t>
  </si>
  <si>
    <t>dponode6</t>
  </si>
  <si>
    <t>dponode7</t>
  </si>
  <si>
    <t>dponode8</t>
  </si>
  <si>
    <t>dponode9</t>
  </si>
  <si>
    <t>dponode10</t>
  </si>
  <si>
    <t>dponode11</t>
  </si>
  <si>
    <t>dponode12</t>
  </si>
  <si>
    <t>열1</t>
  </si>
  <si>
    <t xml:space="preserve">HOSTNAME </t>
    <phoneticPr fontId="1" type="noConversion"/>
  </si>
  <si>
    <t>사용량</t>
    <phoneticPr fontId="1" type="noConversion"/>
  </si>
  <si>
    <t>점검</t>
    <phoneticPr fontId="1" type="noConversion"/>
  </si>
  <si>
    <t>dpodb1</t>
    <phoneticPr fontId="1" type="noConversion"/>
  </si>
  <si>
    <t>dpodb2</t>
    <phoneticPr fontId="1" type="noConversion"/>
  </si>
  <si>
    <t>rsdb1</t>
    <phoneticPr fontId="1" type="noConversion"/>
  </si>
  <si>
    <t>rsdb2</t>
    <phoneticPr fontId="1" type="noConversion"/>
  </si>
  <si>
    <t>Specified load-unload count over device lifetime</t>
  </si>
  <si>
    <t>number of hours powered up</t>
  </si>
  <si>
    <t>사용 연수</t>
    <phoneticPr fontId="1" type="noConversion"/>
  </si>
  <si>
    <t>patten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</si>
</sst>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9" fontId="0" fillId="0" borderId="0" xfId="1" applyFont="1">
      <alignment vertical="center"/>
    </xf>
    <xf numFmtId="9" fontId="0" fillId="0" borderId="1" xfId="1" applyFont="1" applyBorder="1">
      <alignment vertical="center"/>
    </xf>
    <xf numFmtId="0" fontId="0" fillId="0" borderId="1" xfId="0" applyBorder="1" applyAlignment="1">
      <alignment horizontal="right" vertical="center"/>
    </xf>
    <xf numFmtId="9" fontId="0" fillId="0" borderId="1" xfId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3"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hk/Library/CloudStorage/OneDrive-&#4364;&#4454;&#4520;&#4361;&#4449;&#4364;&#4454;&#4523;&#4364;&#4462;&#4361;&#4469;&#4520;&#4370;&#4460;&#4361;&#4449;/&#4362;&#4469;&#4364;&#4454;&#4523;%20&#4364;&#4454;&#4363;&#4449;&#4523;&#4361;&#4453;/2024/0202_&#4368;&#4450;&#4363;&#4463;&#4523;&#4354;&#4457;&#4355;&#4467;_&#4363;&#4466;&#4364;&#4469;&#4359;&#4457;&#4361;&#4462;_&#4352;&#4456;&#4363;&#4451;&#4520;&#4361;&#4453;/(&#4362;&#4469;&#4364;&#4454;&#4523;)%20DPO%20&#4354;&#4457;&#4355;&#4467;%20&#4370;&#4449;&#4355;&#4467;%20&#4355;&#4469;&#4361;&#4467;&#4367;&#4467;%20&#4364;&#4453;&#4540;&#4359;&#4457;(24-02-01).xlsx" TargetMode="External"/><Relationship Id="rId1" Type="http://schemas.openxmlformats.org/officeDocument/2006/relationships/externalLinkPath" Target="(&#4362;&#4469;&#4364;&#4454;&#4523;)%20DPO%20&#4354;&#4457;&#4355;&#4467;%20&#4370;&#4449;&#4355;&#4467;%20&#4355;&#4469;&#4361;&#4467;&#4367;&#4467;%20&#4364;&#4453;&#4540;&#4359;&#4457;(24-02-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시트 1 (2)"/>
      <sheetName val="시트 1"/>
      <sheetName val="Sheet1"/>
      <sheetName val="Sheet2"/>
      <sheetName val="Sheet3"/>
      <sheetName val="Sheet4"/>
    </sheetNames>
    <sheetDataSet>
      <sheetData sheetId="0" refreshError="1"/>
      <sheetData sheetId="1">
        <row r="4">
          <cell r="M4" t="e">
            <v>#DIV/0!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399502-3BFC-B54B-982F-BA211CD262D3}" name="표1" displayName="표1" ref="B1:D87" totalsRowShown="0">
  <autoFilter ref="B1:D87" xr:uid="{94399502-3BFC-B54B-982F-BA211CD262D3}"/>
  <tableColumns count="3">
    <tableColumn id="1" xr3:uid="{756B7C07-3CB7-4143-8DA6-F4E94C9BA49F}" name=" Specified load-unload count over device lifetime" dataDxfId="2"/>
    <tableColumn id="2" xr3:uid="{F3003742-3831-C541-9CFA-3C21408566EA}" name="Accumulated load-unload cycles" dataDxfId="1"/>
    <tableColumn id="3" xr3:uid="{C9148EEA-D786-6F4F-BA5A-4537D2E38F38}" name="열1" dataDxfId="0">
      <calculatedColumnFormula>IF(표1[[#This Row],[Accumulated load-unload cycles]]-표1[[#This Row],[ Specified load-unload count over device lifetime]] &gt; 0, "초가", "양호")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E4DC9-11DE-5745-9B66-55152430DB86}">
  <dimension ref="A1:D87"/>
  <sheetViews>
    <sheetView workbookViewId="0">
      <selection activeCell="C10" sqref="C10"/>
    </sheetView>
  </sheetViews>
  <sheetFormatPr baseColWidth="10" defaultRowHeight="18"/>
  <cols>
    <col min="2" max="2" width="42.85546875" customWidth="1"/>
    <col min="3" max="3" width="29.5703125" customWidth="1"/>
  </cols>
  <sheetData>
    <row r="1" spans="1:4">
      <c r="A1" t="s">
        <v>1</v>
      </c>
      <c r="B1" t="s">
        <v>2</v>
      </c>
      <c r="C1" t="s">
        <v>0</v>
      </c>
      <c r="D1" t="s">
        <v>15</v>
      </c>
    </row>
    <row r="2" spans="1:4">
      <c r="A2" s="3" t="s">
        <v>3</v>
      </c>
      <c r="B2" s="1"/>
      <c r="C2" s="1">
        <v>300000</v>
      </c>
      <c r="D2" s="2">
        <v>514577</v>
      </c>
    </row>
    <row r="3" spans="1:4">
      <c r="A3" s="3"/>
      <c r="B3" s="1">
        <v>300000</v>
      </c>
      <c r="C3" s="1">
        <v>519022</v>
      </c>
      <c r="D3" s="2"/>
    </row>
    <row r="4" spans="1:4">
      <c r="A4" s="3"/>
      <c r="B4" s="1">
        <v>300000</v>
      </c>
      <c r="C4" s="1">
        <v>512179</v>
      </c>
      <c r="D4" s="2"/>
    </row>
    <row r="5" spans="1:4">
      <c r="A5" s="3"/>
      <c r="B5" s="1">
        <v>300000</v>
      </c>
      <c r="C5" s="1">
        <v>521448</v>
      </c>
      <c r="D5" s="2"/>
    </row>
    <row r="6" spans="1:4">
      <c r="A6" s="3"/>
      <c r="B6" s="1">
        <v>300000</v>
      </c>
      <c r="C6" s="1">
        <v>515738</v>
      </c>
      <c r="D6" s="2"/>
    </row>
    <row r="7" spans="1:4">
      <c r="A7" s="3"/>
      <c r="B7" s="1">
        <v>300000</v>
      </c>
      <c r="C7" s="1">
        <v>512685</v>
      </c>
      <c r="D7" s="2"/>
    </row>
    <row r="8" spans="1:4">
      <c r="A8" s="3"/>
      <c r="B8" s="1">
        <v>300000</v>
      </c>
      <c r="C8" s="1">
        <v>525570</v>
      </c>
      <c r="D8" s="2"/>
    </row>
    <row r="9" spans="1:4">
      <c r="A9" s="3"/>
      <c r="B9" s="1">
        <v>600000</v>
      </c>
      <c r="C9" s="1">
        <v>9263</v>
      </c>
      <c r="D9" s="2"/>
    </row>
    <row r="10" spans="1:4">
      <c r="A10" t="s">
        <v>4</v>
      </c>
      <c r="B10" s="1"/>
      <c r="C10" s="1">
        <v>300000</v>
      </c>
      <c r="D10" s="2">
        <v>236929</v>
      </c>
    </row>
    <row r="11" spans="1:4">
      <c r="B11" s="1">
        <v>300000</v>
      </c>
      <c r="C11" s="1">
        <v>212129</v>
      </c>
      <c r="D11" s="2"/>
    </row>
    <row r="12" spans="1:4">
      <c r="B12" s="1">
        <v>300000</v>
      </c>
      <c r="C12" s="1">
        <v>227101</v>
      </c>
      <c r="D12" s="2"/>
    </row>
    <row r="13" spans="1:4">
      <c r="B13" s="1">
        <v>300000</v>
      </c>
      <c r="C13" s="1">
        <v>253859</v>
      </c>
      <c r="D13" s="2"/>
    </row>
    <row r="14" spans="1:4">
      <c r="B14" s="1">
        <v>300000</v>
      </c>
      <c r="C14" s="1">
        <v>250873</v>
      </c>
      <c r="D14" s="2"/>
    </row>
    <row r="15" spans="1:4">
      <c r="B15" s="1">
        <v>300000</v>
      </c>
      <c r="C15" s="1">
        <v>234685</v>
      </c>
      <c r="D15" s="2"/>
    </row>
    <row r="16" spans="1:4">
      <c r="B16" s="1">
        <v>300000</v>
      </c>
      <c r="C16" s="1">
        <v>233711</v>
      </c>
      <c r="D16" s="2"/>
    </row>
    <row r="17" spans="1:4">
      <c r="A17" t="s">
        <v>5</v>
      </c>
      <c r="B17" s="1"/>
      <c r="C17" s="1">
        <v>300000</v>
      </c>
      <c r="D17" s="2">
        <v>545134</v>
      </c>
    </row>
    <row r="18" spans="1:4">
      <c r="B18" s="1">
        <v>300000</v>
      </c>
      <c r="C18" s="1">
        <v>545335</v>
      </c>
      <c r="D18" s="2"/>
    </row>
    <row r="19" spans="1:4">
      <c r="B19" s="1">
        <v>300000</v>
      </c>
      <c r="C19" s="1">
        <v>545019</v>
      </c>
      <c r="D19" s="2"/>
    </row>
    <row r="20" spans="1:4">
      <c r="B20" s="1">
        <v>300000</v>
      </c>
      <c r="C20" s="1">
        <v>540413</v>
      </c>
      <c r="D20" s="2"/>
    </row>
    <row r="21" spans="1:4">
      <c r="B21" s="1">
        <v>300000</v>
      </c>
      <c r="C21" s="1">
        <v>543296</v>
      </c>
      <c r="D21" s="2"/>
    </row>
    <row r="22" spans="1:4">
      <c r="B22" s="1">
        <v>300000</v>
      </c>
      <c r="C22" s="1">
        <v>541100</v>
      </c>
      <c r="D22" s="2"/>
    </row>
    <row r="23" spans="1:4">
      <c r="B23" s="1">
        <v>300000</v>
      </c>
      <c r="C23" s="1">
        <v>537026</v>
      </c>
      <c r="D23" s="2"/>
    </row>
    <row r="24" spans="1:4">
      <c r="A24" t="s">
        <v>6</v>
      </c>
      <c r="B24" s="1"/>
      <c r="C24" s="1">
        <v>300000</v>
      </c>
      <c r="D24" s="2">
        <v>519483</v>
      </c>
    </row>
    <row r="25" spans="1:4">
      <c r="B25" s="1">
        <v>300000</v>
      </c>
      <c r="C25" s="1">
        <v>528408</v>
      </c>
      <c r="D25" s="2"/>
    </row>
    <row r="26" spans="1:4">
      <c r="B26" s="1">
        <v>300000</v>
      </c>
      <c r="C26" s="1">
        <v>524124</v>
      </c>
      <c r="D26" s="2"/>
    </row>
    <row r="27" spans="1:4">
      <c r="B27" s="1">
        <v>300000</v>
      </c>
      <c r="C27" s="1">
        <v>526816</v>
      </c>
      <c r="D27" s="2"/>
    </row>
    <row r="28" spans="1:4">
      <c r="B28" s="1">
        <v>300000</v>
      </c>
      <c r="C28" s="1">
        <v>521520</v>
      </c>
      <c r="D28" s="2"/>
    </row>
    <row r="29" spans="1:4">
      <c r="B29" s="1">
        <v>300000</v>
      </c>
      <c r="C29" s="1">
        <v>521209</v>
      </c>
      <c r="D29" s="2"/>
    </row>
    <row r="30" spans="1:4">
      <c r="B30" s="1">
        <v>300000</v>
      </c>
      <c r="C30" s="1">
        <v>517714</v>
      </c>
      <c r="D30" s="2"/>
    </row>
    <row r="31" spans="1:4">
      <c r="A31" t="s">
        <v>7</v>
      </c>
      <c r="B31" s="1"/>
      <c r="C31" s="1">
        <v>300000</v>
      </c>
      <c r="D31" s="2">
        <v>539006</v>
      </c>
    </row>
    <row r="32" spans="1:4">
      <c r="B32" s="1">
        <v>300000</v>
      </c>
      <c r="C32" s="1">
        <v>545016</v>
      </c>
      <c r="D32" s="2"/>
    </row>
    <row r="33" spans="1:4">
      <c r="B33" s="1">
        <v>300000</v>
      </c>
      <c r="C33" s="1">
        <v>543177</v>
      </c>
      <c r="D33" s="2"/>
    </row>
    <row r="34" spans="1:4">
      <c r="B34" s="1">
        <v>300000</v>
      </c>
      <c r="C34" s="1">
        <v>546751</v>
      </c>
      <c r="D34" s="2"/>
    </row>
    <row r="35" spans="1:4">
      <c r="B35" s="1">
        <v>300000</v>
      </c>
      <c r="C35" s="1">
        <v>548304</v>
      </c>
      <c r="D35" s="2"/>
    </row>
    <row r="36" spans="1:4">
      <c r="B36" s="1">
        <v>300000</v>
      </c>
      <c r="C36" s="1">
        <v>542713</v>
      </c>
      <c r="D36" s="2"/>
    </row>
    <row r="37" spans="1:4">
      <c r="B37" s="1">
        <v>300000</v>
      </c>
      <c r="C37" s="1">
        <v>547496</v>
      </c>
      <c r="D37" s="2"/>
    </row>
    <row r="38" spans="1:4">
      <c r="A38" t="s">
        <v>8</v>
      </c>
      <c r="B38" s="1"/>
      <c r="C38" s="1">
        <v>300000</v>
      </c>
      <c r="D38" s="2">
        <v>566175</v>
      </c>
    </row>
    <row r="39" spans="1:4">
      <c r="B39" s="1">
        <v>300000</v>
      </c>
      <c r="C39" s="1">
        <v>577272</v>
      </c>
      <c r="D39" s="2"/>
    </row>
    <row r="40" spans="1:4">
      <c r="B40" s="1">
        <v>300000</v>
      </c>
      <c r="C40" s="1">
        <v>571598</v>
      </c>
      <c r="D40" s="2"/>
    </row>
    <row r="41" spans="1:4">
      <c r="B41" s="1">
        <v>300000</v>
      </c>
      <c r="C41" s="1">
        <v>576096</v>
      </c>
      <c r="D41" s="2"/>
    </row>
    <row r="42" spans="1:4">
      <c r="B42" s="1">
        <v>300000</v>
      </c>
      <c r="C42" s="1">
        <v>568149</v>
      </c>
      <c r="D42" s="2"/>
    </row>
    <row r="43" spans="1:4">
      <c r="B43" s="1">
        <v>300000</v>
      </c>
      <c r="C43" s="1">
        <v>565215</v>
      </c>
      <c r="D43" s="2"/>
    </row>
    <row r="44" spans="1:4">
      <c r="B44" s="1">
        <v>300000</v>
      </c>
      <c r="C44" s="1">
        <v>575077</v>
      </c>
      <c r="D44" s="2"/>
    </row>
    <row r="45" spans="1:4">
      <c r="A45" t="s">
        <v>9</v>
      </c>
      <c r="B45" s="1"/>
      <c r="C45" s="1">
        <v>300000</v>
      </c>
      <c r="D45" s="2">
        <v>567350</v>
      </c>
    </row>
    <row r="46" spans="1:4">
      <c r="B46" s="1">
        <v>300000</v>
      </c>
      <c r="C46" s="1">
        <v>565214</v>
      </c>
      <c r="D46" s="2"/>
    </row>
    <row r="47" spans="1:4">
      <c r="B47" s="1">
        <v>300000</v>
      </c>
      <c r="C47" s="1">
        <v>575146</v>
      </c>
      <c r="D47" s="2"/>
    </row>
    <row r="48" spans="1:4">
      <c r="B48" s="1">
        <v>300000</v>
      </c>
      <c r="C48" s="1">
        <v>571681</v>
      </c>
      <c r="D48" s="2"/>
    </row>
    <row r="49" spans="1:4">
      <c r="B49" s="1">
        <v>300000</v>
      </c>
      <c r="C49" s="1">
        <v>563355</v>
      </c>
      <c r="D49" s="2"/>
    </row>
    <row r="50" spans="1:4">
      <c r="B50" s="1">
        <v>300000</v>
      </c>
      <c r="C50" s="1">
        <v>567876</v>
      </c>
      <c r="D50" s="2"/>
    </row>
    <row r="51" spans="1:4">
      <c r="B51" s="1">
        <v>300000</v>
      </c>
      <c r="C51" s="1">
        <v>576094</v>
      </c>
      <c r="D51" s="2"/>
    </row>
    <row r="52" spans="1:4">
      <c r="A52" t="s">
        <v>10</v>
      </c>
      <c r="B52" s="1"/>
      <c r="C52" s="1">
        <v>300000</v>
      </c>
      <c r="D52" s="2">
        <v>368430</v>
      </c>
    </row>
    <row r="53" spans="1:4">
      <c r="B53" s="1">
        <v>300000</v>
      </c>
      <c r="C53" s="1">
        <v>368652</v>
      </c>
      <c r="D53" s="2"/>
    </row>
    <row r="54" spans="1:4">
      <c r="B54" s="1">
        <v>300000</v>
      </c>
      <c r="C54" s="1">
        <v>364058</v>
      </c>
      <c r="D54" s="2"/>
    </row>
    <row r="55" spans="1:4">
      <c r="B55" s="1">
        <v>300000</v>
      </c>
      <c r="C55" s="1">
        <v>367535</v>
      </c>
      <c r="D55" s="2"/>
    </row>
    <row r="56" spans="1:4">
      <c r="B56" s="1">
        <v>300000</v>
      </c>
      <c r="C56" s="1">
        <v>373755</v>
      </c>
      <c r="D56" s="2"/>
    </row>
    <row r="57" spans="1:4">
      <c r="B57" s="1">
        <v>300000</v>
      </c>
      <c r="C57" s="1">
        <v>371561</v>
      </c>
      <c r="D57" s="2"/>
    </row>
    <row r="58" spans="1:4">
      <c r="B58" s="1">
        <v>300000</v>
      </c>
      <c r="C58" s="1">
        <v>358262</v>
      </c>
      <c r="D58" s="2"/>
    </row>
    <row r="59" spans="1:4">
      <c r="A59" t="s">
        <v>11</v>
      </c>
      <c r="B59" s="1"/>
      <c r="C59" s="1">
        <v>300000</v>
      </c>
      <c r="D59" s="2">
        <v>405096</v>
      </c>
    </row>
    <row r="60" spans="1:4">
      <c r="B60" s="1">
        <v>300000</v>
      </c>
      <c r="C60" s="1">
        <v>413780</v>
      </c>
      <c r="D60" s="2"/>
    </row>
    <row r="61" spans="1:4">
      <c r="B61" s="1">
        <v>300000</v>
      </c>
      <c r="C61" s="1">
        <v>408468</v>
      </c>
      <c r="D61" s="2"/>
    </row>
    <row r="62" spans="1:4">
      <c r="B62" s="1">
        <v>300000</v>
      </c>
      <c r="C62" s="1">
        <v>404063</v>
      </c>
      <c r="D62" s="2"/>
    </row>
    <row r="63" spans="1:4">
      <c r="B63" s="1">
        <v>300000</v>
      </c>
      <c r="C63" s="1">
        <v>415743</v>
      </c>
      <c r="D63" s="2"/>
    </row>
    <row r="64" spans="1:4">
      <c r="B64" s="1">
        <v>300000</v>
      </c>
      <c r="C64" s="1">
        <v>411537</v>
      </c>
      <c r="D64" s="2"/>
    </row>
    <row r="65" spans="1:4">
      <c r="B65" s="1">
        <v>300000</v>
      </c>
      <c r="C65" s="1">
        <v>409635</v>
      </c>
      <c r="D65" s="2"/>
    </row>
    <row r="66" spans="1:4">
      <c r="A66" t="s">
        <v>12</v>
      </c>
      <c r="B66" s="1"/>
      <c r="C66" s="1">
        <v>300000</v>
      </c>
      <c r="D66" s="2">
        <v>541439</v>
      </c>
    </row>
    <row r="67" spans="1:4">
      <c r="B67" s="1">
        <v>300000</v>
      </c>
      <c r="C67" s="1">
        <v>533093</v>
      </c>
      <c r="D67" s="2"/>
    </row>
    <row r="68" spans="1:4">
      <c r="B68" s="1">
        <v>300000</v>
      </c>
      <c r="C68" s="1">
        <v>537927</v>
      </c>
      <c r="D68" s="2"/>
    </row>
    <row r="69" spans="1:4">
      <c r="B69" s="1">
        <v>300000</v>
      </c>
      <c r="C69" s="1">
        <v>547573</v>
      </c>
      <c r="D69" s="2"/>
    </row>
    <row r="70" spans="1:4">
      <c r="B70" s="1">
        <v>300000</v>
      </c>
      <c r="C70" s="1">
        <v>539146</v>
      </c>
      <c r="D70" s="2"/>
    </row>
    <row r="71" spans="1:4">
      <c r="B71" s="1">
        <v>300000</v>
      </c>
      <c r="C71" s="1">
        <v>546066</v>
      </c>
      <c r="D71" s="2"/>
    </row>
    <row r="72" spans="1:4">
      <c r="B72" s="1">
        <v>300000</v>
      </c>
      <c r="C72" s="1">
        <v>540499</v>
      </c>
      <c r="D72" s="2"/>
    </row>
    <row r="73" spans="1:4">
      <c r="A73" t="s">
        <v>13</v>
      </c>
      <c r="B73" s="1"/>
      <c r="C73" s="1">
        <v>300000</v>
      </c>
      <c r="D73" s="2">
        <v>306217</v>
      </c>
    </row>
    <row r="74" spans="1:4">
      <c r="B74" s="1">
        <v>300000</v>
      </c>
      <c r="C74" s="1">
        <v>312042</v>
      </c>
      <c r="D74" s="2"/>
    </row>
    <row r="75" spans="1:4">
      <c r="B75" s="1">
        <v>300000</v>
      </c>
      <c r="C75" s="1">
        <v>264720</v>
      </c>
      <c r="D75" s="2"/>
    </row>
    <row r="76" spans="1:4">
      <c r="B76" s="1">
        <v>300000</v>
      </c>
      <c r="C76" s="1">
        <v>263290</v>
      </c>
      <c r="D76" s="2"/>
    </row>
    <row r="77" spans="1:4">
      <c r="B77" s="1">
        <v>300000</v>
      </c>
      <c r="C77" s="1">
        <v>320785</v>
      </c>
      <c r="D77" s="2"/>
    </row>
    <row r="78" spans="1:4">
      <c r="B78" s="1">
        <v>300000</v>
      </c>
      <c r="C78" s="1">
        <v>304153</v>
      </c>
      <c r="D78" s="2"/>
    </row>
    <row r="79" spans="1:4">
      <c r="B79" s="1">
        <v>300000</v>
      </c>
      <c r="C79" s="1">
        <v>247616</v>
      </c>
      <c r="D79" s="2"/>
    </row>
    <row r="80" spans="1:4">
      <c r="A80" t="s">
        <v>14</v>
      </c>
      <c r="B80" s="1"/>
      <c r="C80" s="1">
        <v>300000</v>
      </c>
      <c r="D80" s="2">
        <v>507089</v>
      </c>
    </row>
    <row r="81" spans="2:4">
      <c r="B81" s="1">
        <v>300000</v>
      </c>
      <c r="C81" s="1">
        <v>511295</v>
      </c>
      <c r="D81" s="2"/>
    </row>
    <row r="82" spans="2:4">
      <c r="B82" s="1">
        <v>300000</v>
      </c>
      <c r="C82" s="1">
        <v>508530</v>
      </c>
      <c r="D82" s="2"/>
    </row>
    <row r="83" spans="2:4">
      <c r="B83" s="1">
        <v>300000</v>
      </c>
      <c r="C83" s="1">
        <v>503807</v>
      </c>
      <c r="D83" s="2"/>
    </row>
    <row r="84" spans="2:4">
      <c r="B84" s="1">
        <v>300000</v>
      </c>
      <c r="C84" s="1">
        <v>504605</v>
      </c>
      <c r="D84" s="2"/>
    </row>
    <row r="85" spans="2:4">
      <c r="B85" s="1">
        <v>300000</v>
      </c>
      <c r="C85" s="1">
        <v>508623</v>
      </c>
      <c r="D85" s="2"/>
    </row>
    <row r="86" spans="2:4">
      <c r="B86" s="1">
        <v>300000</v>
      </c>
      <c r="C86" s="1">
        <v>507245</v>
      </c>
      <c r="D86" s="2"/>
    </row>
    <row r="87" spans="2:4">
      <c r="B87" s="1"/>
      <c r="C87" s="1"/>
      <c r="D87" s="2" t="str">
        <f>IF(표1[[#This Row],[Accumulated load-unload cycles]]-표1[[#This Row],[ Specified load-unload count over device lifetime]] &gt; 0, "초가", "양호")</f>
        <v>양호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4700-6F50-7C49-AD42-4E2F0132480C}">
  <dimension ref="A1:F142"/>
  <sheetViews>
    <sheetView workbookViewId="0">
      <selection activeCell="E3" sqref="E3"/>
    </sheetView>
  </sheetViews>
  <sheetFormatPr baseColWidth="10" defaultRowHeight="18"/>
  <cols>
    <col min="1" max="1" width="11.7109375" customWidth="1"/>
    <col min="2" max="2" width="43.42578125" customWidth="1"/>
    <col min="3" max="3" width="29.5703125" customWidth="1"/>
    <col min="4" max="4" width="10.7109375" style="3"/>
    <col min="6" max="6" width="11.85546875" bestFit="1" customWidth="1"/>
  </cols>
  <sheetData>
    <row r="1" spans="1:6">
      <c r="A1" s="4" t="s">
        <v>16</v>
      </c>
      <c r="B1" s="4" t="s">
        <v>2</v>
      </c>
      <c r="C1" s="4" t="s">
        <v>0</v>
      </c>
      <c r="D1" s="4" t="s">
        <v>17</v>
      </c>
      <c r="E1" s="4" t="s">
        <v>18</v>
      </c>
    </row>
    <row r="2" spans="1:6">
      <c r="A2" s="12" t="s">
        <v>3</v>
      </c>
      <c r="B2" s="6">
        <v>300000</v>
      </c>
      <c r="C2" s="6">
        <v>514577</v>
      </c>
      <c r="D2" s="8"/>
      <c r="E2" s="5" t="e">
        <f>IF('[1]시트 1'!$M$4&lt;=60%, "양호", IF('[1]시트 1'!$M$4&lt;=70%, "교체 권고", IF('[1]시트 1'!$M$4&lt;=80%, "교체", "긴급 교체")))</f>
        <v>#DIV/0!</v>
      </c>
      <c r="F2" s="7"/>
    </row>
    <row r="3" spans="1:6">
      <c r="A3" s="12"/>
      <c r="B3" s="6">
        <v>300000</v>
      </c>
      <c r="C3" s="6">
        <v>519022</v>
      </c>
      <c r="D3" s="8">
        <f t="shared" ref="D3:D66" si="0">C3/B3</f>
        <v>1.7300733333333334</v>
      </c>
      <c r="E3" s="5" t="str">
        <f t="shared" ref="E3:E66" si="1">IF(D3&lt;=60%, "양호", IF(D3&lt;=70%, "교체 권고", IF(D3&lt;=80%, "교체", "긴급 교체")))</f>
        <v>긴급 교체</v>
      </c>
      <c r="F3" s="7"/>
    </row>
    <row r="4" spans="1:6">
      <c r="A4" s="12"/>
      <c r="B4" s="6">
        <v>300000</v>
      </c>
      <c r="C4" s="6">
        <v>512179</v>
      </c>
      <c r="D4" s="8">
        <f t="shared" si="0"/>
        <v>1.7072633333333334</v>
      </c>
      <c r="E4" s="5" t="str">
        <f t="shared" si="1"/>
        <v>긴급 교체</v>
      </c>
      <c r="F4" s="7"/>
    </row>
    <row r="5" spans="1:6">
      <c r="A5" s="12"/>
      <c r="B5" s="6">
        <v>300000</v>
      </c>
      <c r="C5" s="6">
        <v>521448</v>
      </c>
      <c r="D5" s="8">
        <f t="shared" si="0"/>
        <v>1.7381599999999999</v>
      </c>
      <c r="E5" s="5" t="str">
        <f t="shared" si="1"/>
        <v>긴급 교체</v>
      </c>
      <c r="F5" s="7"/>
    </row>
    <row r="6" spans="1:6">
      <c r="A6" s="12"/>
      <c r="B6" s="6">
        <v>300000</v>
      </c>
      <c r="C6" s="6">
        <v>515738</v>
      </c>
      <c r="D6" s="8">
        <f t="shared" si="0"/>
        <v>1.7191266666666667</v>
      </c>
      <c r="E6" s="5" t="str">
        <f t="shared" si="1"/>
        <v>긴급 교체</v>
      </c>
      <c r="F6" s="7"/>
    </row>
    <row r="7" spans="1:6">
      <c r="A7" s="12"/>
      <c r="B7" s="6">
        <v>300000</v>
      </c>
      <c r="C7" s="6">
        <v>512685</v>
      </c>
      <c r="D7" s="8">
        <f t="shared" si="0"/>
        <v>1.70895</v>
      </c>
      <c r="E7" s="5" t="str">
        <f t="shared" si="1"/>
        <v>긴급 교체</v>
      </c>
      <c r="F7" s="7"/>
    </row>
    <row r="8" spans="1:6">
      <c r="A8" s="12"/>
      <c r="B8" s="6">
        <v>300000</v>
      </c>
      <c r="C8" s="6">
        <v>525570</v>
      </c>
      <c r="D8" s="8">
        <f t="shared" si="0"/>
        <v>1.7519</v>
      </c>
      <c r="E8" s="5" t="str">
        <f t="shared" si="1"/>
        <v>긴급 교체</v>
      </c>
      <c r="F8" s="7"/>
    </row>
    <row r="9" spans="1:6">
      <c r="A9" s="12"/>
      <c r="B9" s="6">
        <v>600000</v>
      </c>
      <c r="C9" s="6">
        <v>9263</v>
      </c>
      <c r="D9" s="8">
        <f t="shared" si="0"/>
        <v>1.5438333333333333E-2</v>
      </c>
      <c r="E9" s="5" t="str">
        <f t="shared" si="1"/>
        <v>양호</v>
      </c>
      <c r="F9" s="7"/>
    </row>
    <row r="10" spans="1:6">
      <c r="A10" s="12" t="s">
        <v>4</v>
      </c>
      <c r="B10" s="6">
        <v>300000</v>
      </c>
      <c r="C10" s="6">
        <v>236929</v>
      </c>
      <c r="D10" s="8">
        <f t="shared" si="0"/>
        <v>0.78976333333333337</v>
      </c>
      <c r="E10" s="5" t="str">
        <f t="shared" si="1"/>
        <v>교체</v>
      </c>
      <c r="F10" s="7"/>
    </row>
    <row r="11" spans="1:6">
      <c r="A11" s="12"/>
      <c r="B11" s="6">
        <v>300000</v>
      </c>
      <c r="C11" s="6">
        <v>212129</v>
      </c>
      <c r="D11" s="8">
        <f t="shared" si="0"/>
        <v>0.70709666666666671</v>
      </c>
      <c r="E11" s="5" t="str">
        <f t="shared" si="1"/>
        <v>교체</v>
      </c>
      <c r="F11" s="7"/>
    </row>
    <row r="12" spans="1:6">
      <c r="A12" s="12"/>
      <c r="B12" s="6">
        <v>300000</v>
      </c>
      <c r="C12" s="6">
        <v>227101</v>
      </c>
      <c r="D12" s="8">
        <f t="shared" si="0"/>
        <v>0.75700333333333336</v>
      </c>
      <c r="E12" s="5" t="str">
        <f t="shared" si="1"/>
        <v>교체</v>
      </c>
      <c r="F12" s="7"/>
    </row>
    <row r="13" spans="1:6">
      <c r="A13" s="12"/>
      <c r="B13" s="6">
        <v>300000</v>
      </c>
      <c r="C13" s="6">
        <v>253859</v>
      </c>
      <c r="D13" s="8">
        <f t="shared" si="0"/>
        <v>0.84619666666666671</v>
      </c>
      <c r="E13" s="5" t="str">
        <f t="shared" si="1"/>
        <v>긴급 교체</v>
      </c>
      <c r="F13" s="7"/>
    </row>
    <row r="14" spans="1:6">
      <c r="A14" s="12"/>
      <c r="B14" s="6">
        <v>300000</v>
      </c>
      <c r="C14" s="6">
        <v>250873</v>
      </c>
      <c r="D14" s="8">
        <f t="shared" si="0"/>
        <v>0.83624333333333334</v>
      </c>
      <c r="E14" s="5" t="str">
        <f t="shared" si="1"/>
        <v>긴급 교체</v>
      </c>
      <c r="F14" s="7"/>
    </row>
    <row r="15" spans="1:6">
      <c r="A15" s="12"/>
      <c r="B15" s="6">
        <v>300000</v>
      </c>
      <c r="C15" s="6">
        <v>234685</v>
      </c>
      <c r="D15" s="8">
        <f t="shared" si="0"/>
        <v>0.78228333333333333</v>
      </c>
      <c r="E15" s="5" t="str">
        <f t="shared" si="1"/>
        <v>교체</v>
      </c>
      <c r="F15" s="7"/>
    </row>
    <row r="16" spans="1:6">
      <c r="A16" s="12"/>
      <c r="B16" s="6">
        <v>300000</v>
      </c>
      <c r="C16" s="6">
        <v>233711</v>
      </c>
      <c r="D16" s="8">
        <f t="shared" si="0"/>
        <v>0.77903666666666671</v>
      </c>
      <c r="E16" s="5" t="str">
        <f t="shared" si="1"/>
        <v>교체</v>
      </c>
      <c r="F16" s="7"/>
    </row>
    <row r="17" spans="1:6">
      <c r="A17" s="12" t="s">
        <v>5</v>
      </c>
      <c r="B17" s="6">
        <v>300000</v>
      </c>
      <c r="C17" s="6">
        <v>545134</v>
      </c>
      <c r="D17" s="8">
        <f t="shared" si="0"/>
        <v>1.8171133333333334</v>
      </c>
      <c r="E17" s="5" t="str">
        <f t="shared" si="1"/>
        <v>긴급 교체</v>
      </c>
      <c r="F17" s="7"/>
    </row>
    <row r="18" spans="1:6">
      <c r="A18" s="12"/>
      <c r="B18" s="6">
        <v>300000</v>
      </c>
      <c r="C18" s="6">
        <v>545335</v>
      </c>
      <c r="D18" s="8">
        <f t="shared" si="0"/>
        <v>1.8177833333333333</v>
      </c>
      <c r="E18" s="5" t="str">
        <f t="shared" si="1"/>
        <v>긴급 교체</v>
      </c>
      <c r="F18" s="7"/>
    </row>
    <row r="19" spans="1:6">
      <c r="A19" s="12"/>
      <c r="B19" s="6">
        <v>300000</v>
      </c>
      <c r="C19" s="6">
        <v>545019</v>
      </c>
      <c r="D19" s="8">
        <f t="shared" si="0"/>
        <v>1.81673</v>
      </c>
      <c r="E19" s="5" t="str">
        <f t="shared" si="1"/>
        <v>긴급 교체</v>
      </c>
      <c r="F19" s="7"/>
    </row>
    <row r="20" spans="1:6">
      <c r="A20" s="12"/>
      <c r="B20" s="6">
        <v>300000</v>
      </c>
      <c r="C20" s="6">
        <v>540413</v>
      </c>
      <c r="D20" s="8">
        <f t="shared" si="0"/>
        <v>1.8013766666666666</v>
      </c>
      <c r="E20" s="5" t="str">
        <f t="shared" si="1"/>
        <v>긴급 교체</v>
      </c>
      <c r="F20" s="7"/>
    </row>
    <row r="21" spans="1:6">
      <c r="A21" s="12"/>
      <c r="B21" s="6">
        <v>300000</v>
      </c>
      <c r="C21" s="6">
        <v>543296</v>
      </c>
      <c r="D21" s="8">
        <f t="shared" si="0"/>
        <v>1.8109866666666667</v>
      </c>
      <c r="E21" s="5" t="str">
        <f t="shared" si="1"/>
        <v>긴급 교체</v>
      </c>
      <c r="F21" s="7"/>
    </row>
    <row r="22" spans="1:6">
      <c r="A22" s="12"/>
      <c r="B22" s="6">
        <v>300000</v>
      </c>
      <c r="C22" s="6">
        <v>541100</v>
      </c>
      <c r="D22" s="8">
        <f t="shared" si="0"/>
        <v>1.8036666666666668</v>
      </c>
      <c r="E22" s="5" t="str">
        <f t="shared" si="1"/>
        <v>긴급 교체</v>
      </c>
    </row>
    <row r="23" spans="1:6">
      <c r="A23" s="12"/>
      <c r="B23" s="6">
        <v>300000</v>
      </c>
      <c r="C23" s="6">
        <v>537026</v>
      </c>
      <c r="D23" s="8">
        <f t="shared" si="0"/>
        <v>1.7900866666666666</v>
      </c>
      <c r="E23" s="5" t="str">
        <f t="shared" si="1"/>
        <v>긴급 교체</v>
      </c>
    </row>
    <row r="24" spans="1:6">
      <c r="A24" s="12" t="s">
        <v>6</v>
      </c>
      <c r="B24" s="6">
        <v>300000</v>
      </c>
      <c r="C24" s="6">
        <v>519483</v>
      </c>
      <c r="D24" s="8">
        <f t="shared" si="0"/>
        <v>1.7316100000000001</v>
      </c>
      <c r="E24" s="5" t="str">
        <f t="shared" si="1"/>
        <v>긴급 교체</v>
      </c>
    </row>
    <row r="25" spans="1:6">
      <c r="A25" s="12"/>
      <c r="B25" s="6">
        <v>300000</v>
      </c>
      <c r="C25" s="6">
        <v>528408</v>
      </c>
      <c r="D25" s="8">
        <f t="shared" si="0"/>
        <v>1.76136</v>
      </c>
      <c r="E25" s="5" t="str">
        <f t="shared" si="1"/>
        <v>긴급 교체</v>
      </c>
    </row>
    <row r="26" spans="1:6">
      <c r="A26" s="12"/>
      <c r="B26" s="6">
        <v>300000</v>
      </c>
      <c r="C26" s="6">
        <v>524124</v>
      </c>
      <c r="D26" s="8">
        <f t="shared" si="0"/>
        <v>1.74708</v>
      </c>
      <c r="E26" s="5" t="str">
        <f t="shared" si="1"/>
        <v>긴급 교체</v>
      </c>
    </row>
    <row r="27" spans="1:6">
      <c r="A27" s="12"/>
      <c r="B27" s="6">
        <v>300000</v>
      </c>
      <c r="C27" s="6">
        <v>526816</v>
      </c>
      <c r="D27" s="8">
        <f t="shared" si="0"/>
        <v>1.7560533333333332</v>
      </c>
      <c r="E27" s="5" t="str">
        <f t="shared" si="1"/>
        <v>긴급 교체</v>
      </c>
    </row>
    <row r="28" spans="1:6">
      <c r="A28" s="12"/>
      <c r="B28" s="6">
        <v>300000</v>
      </c>
      <c r="C28" s="6">
        <v>521520</v>
      </c>
      <c r="D28" s="8">
        <f t="shared" si="0"/>
        <v>1.7383999999999999</v>
      </c>
      <c r="E28" s="5" t="str">
        <f t="shared" si="1"/>
        <v>긴급 교체</v>
      </c>
    </row>
    <row r="29" spans="1:6">
      <c r="A29" s="12"/>
      <c r="B29" s="6">
        <v>300000</v>
      </c>
      <c r="C29" s="6">
        <v>521209</v>
      </c>
      <c r="D29" s="8">
        <f t="shared" si="0"/>
        <v>1.7373633333333334</v>
      </c>
      <c r="E29" s="5" t="str">
        <f t="shared" si="1"/>
        <v>긴급 교체</v>
      </c>
    </row>
    <row r="30" spans="1:6">
      <c r="A30" s="12"/>
      <c r="B30" s="6">
        <v>300000</v>
      </c>
      <c r="C30" s="6">
        <v>517714</v>
      </c>
      <c r="D30" s="8">
        <f t="shared" si="0"/>
        <v>1.7257133333333334</v>
      </c>
      <c r="E30" s="5" t="str">
        <f t="shared" si="1"/>
        <v>긴급 교체</v>
      </c>
    </row>
    <row r="31" spans="1:6">
      <c r="A31" s="12" t="s">
        <v>7</v>
      </c>
      <c r="B31" s="6">
        <v>300000</v>
      </c>
      <c r="C31" s="6">
        <v>539006</v>
      </c>
      <c r="D31" s="8">
        <f t="shared" si="0"/>
        <v>1.7966866666666668</v>
      </c>
      <c r="E31" s="5" t="str">
        <f t="shared" si="1"/>
        <v>긴급 교체</v>
      </c>
    </row>
    <row r="32" spans="1:6">
      <c r="A32" s="12"/>
      <c r="B32" s="6">
        <v>300000</v>
      </c>
      <c r="C32" s="6">
        <v>545016</v>
      </c>
      <c r="D32" s="8">
        <f t="shared" si="0"/>
        <v>1.8167199999999999</v>
      </c>
      <c r="E32" s="5" t="str">
        <f t="shared" si="1"/>
        <v>긴급 교체</v>
      </c>
    </row>
    <row r="33" spans="1:5">
      <c r="A33" s="12"/>
      <c r="B33" s="6">
        <v>300000</v>
      </c>
      <c r="C33" s="6">
        <v>543177</v>
      </c>
      <c r="D33" s="8">
        <f t="shared" si="0"/>
        <v>1.8105899999999999</v>
      </c>
      <c r="E33" s="5" t="str">
        <f t="shared" si="1"/>
        <v>긴급 교체</v>
      </c>
    </row>
    <row r="34" spans="1:5">
      <c r="A34" s="12"/>
      <c r="B34" s="6">
        <v>300000</v>
      </c>
      <c r="C34" s="6">
        <v>546751</v>
      </c>
      <c r="D34" s="8">
        <f t="shared" si="0"/>
        <v>1.8225033333333334</v>
      </c>
      <c r="E34" s="5" t="str">
        <f t="shared" si="1"/>
        <v>긴급 교체</v>
      </c>
    </row>
    <row r="35" spans="1:5">
      <c r="A35" s="12"/>
      <c r="B35" s="6">
        <v>300000</v>
      </c>
      <c r="C35" s="6">
        <v>548304</v>
      </c>
      <c r="D35" s="8">
        <f t="shared" si="0"/>
        <v>1.82768</v>
      </c>
      <c r="E35" s="5" t="str">
        <f t="shared" si="1"/>
        <v>긴급 교체</v>
      </c>
    </row>
    <row r="36" spans="1:5">
      <c r="A36" s="12"/>
      <c r="B36" s="6">
        <v>300000</v>
      </c>
      <c r="C36" s="6">
        <v>542713</v>
      </c>
      <c r="D36" s="8">
        <f t="shared" si="0"/>
        <v>1.8090433333333333</v>
      </c>
      <c r="E36" s="5" t="str">
        <f t="shared" si="1"/>
        <v>긴급 교체</v>
      </c>
    </row>
    <row r="37" spans="1:5">
      <c r="A37" s="12"/>
      <c r="B37" s="6">
        <v>300000</v>
      </c>
      <c r="C37" s="6">
        <v>547496</v>
      </c>
      <c r="D37" s="8">
        <f t="shared" si="0"/>
        <v>1.8249866666666668</v>
      </c>
      <c r="E37" s="5" t="str">
        <f t="shared" si="1"/>
        <v>긴급 교체</v>
      </c>
    </row>
    <row r="38" spans="1:5">
      <c r="A38" s="12" t="s">
        <v>8</v>
      </c>
      <c r="B38" s="6">
        <v>300000</v>
      </c>
      <c r="C38" s="6">
        <v>566175</v>
      </c>
      <c r="D38" s="8">
        <f t="shared" si="0"/>
        <v>1.8872500000000001</v>
      </c>
      <c r="E38" s="5" t="str">
        <f t="shared" si="1"/>
        <v>긴급 교체</v>
      </c>
    </row>
    <row r="39" spans="1:5">
      <c r="A39" s="12"/>
      <c r="B39" s="6">
        <v>300000</v>
      </c>
      <c r="C39" s="6">
        <v>577272</v>
      </c>
      <c r="D39" s="8">
        <f t="shared" si="0"/>
        <v>1.92424</v>
      </c>
      <c r="E39" s="5" t="str">
        <f t="shared" si="1"/>
        <v>긴급 교체</v>
      </c>
    </row>
    <row r="40" spans="1:5">
      <c r="A40" s="12"/>
      <c r="B40" s="6">
        <v>300000</v>
      </c>
      <c r="C40" s="6">
        <v>571598</v>
      </c>
      <c r="D40" s="8">
        <f t="shared" si="0"/>
        <v>1.9053266666666666</v>
      </c>
      <c r="E40" s="5" t="str">
        <f t="shared" si="1"/>
        <v>긴급 교체</v>
      </c>
    </row>
    <row r="41" spans="1:5">
      <c r="A41" s="12"/>
      <c r="B41" s="6">
        <v>300000</v>
      </c>
      <c r="C41" s="6">
        <v>576096</v>
      </c>
      <c r="D41" s="8">
        <f t="shared" si="0"/>
        <v>1.92032</v>
      </c>
      <c r="E41" s="5" t="str">
        <f t="shared" si="1"/>
        <v>긴급 교체</v>
      </c>
    </row>
    <row r="42" spans="1:5">
      <c r="A42" s="12"/>
      <c r="B42" s="6">
        <v>300000</v>
      </c>
      <c r="C42" s="6">
        <v>568149</v>
      </c>
      <c r="D42" s="8">
        <f t="shared" si="0"/>
        <v>1.8938299999999999</v>
      </c>
      <c r="E42" s="5" t="str">
        <f t="shared" si="1"/>
        <v>긴급 교체</v>
      </c>
    </row>
    <row r="43" spans="1:5">
      <c r="A43" s="12"/>
      <c r="B43" s="6">
        <v>300000</v>
      </c>
      <c r="C43" s="6">
        <v>565215</v>
      </c>
      <c r="D43" s="8">
        <f t="shared" si="0"/>
        <v>1.88405</v>
      </c>
      <c r="E43" s="5" t="str">
        <f t="shared" si="1"/>
        <v>긴급 교체</v>
      </c>
    </row>
    <row r="44" spans="1:5">
      <c r="A44" s="12"/>
      <c r="B44" s="6">
        <v>300000</v>
      </c>
      <c r="C44" s="6">
        <v>575077</v>
      </c>
      <c r="D44" s="8">
        <f t="shared" si="0"/>
        <v>1.9169233333333333</v>
      </c>
      <c r="E44" s="5" t="str">
        <f t="shared" si="1"/>
        <v>긴급 교체</v>
      </c>
    </row>
    <row r="45" spans="1:5">
      <c r="A45" s="12" t="s">
        <v>9</v>
      </c>
      <c r="B45" s="6">
        <v>300000</v>
      </c>
      <c r="C45" s="6">
        <v>567350</v>
      </c>
      <c r="D45" s="8">
        <f t="shared" si="0"/>
        <v>1.8911666666666667</v>
      </c>
      <c r="E45" s="5" t="str">
        <f t="shared" si="1"/>
        <v>긴급 교체</v>
      </c>
    </row>
    <row r="46" spans="1:5">
      <c r="A46" s="12"/>
      <c r="B46" s="6">
        <v>300000</v>
      </c>
      <c r="C46" s="6">
        <v>565214</v>
      </c>
      <c r="D46" s="8">
        <f t="shared" si="0"/>
        <v>1.8840466666666666</v>
      </c>
      <c r="E46" s="5" t="str">
        <f t="shared" si="1"/>
        <v>긴급 교체</v>
      </c>
    </row>
    <row r="47" spans="1:5">
      <c r="A47" s="12"/>
      <c r="B47" s="6">
        <v>300000</v>
      </c>
      <c r="C47" s="6">
        <v>575146</v>
      </c>
      <c r="D47" s="8">
        <f t="shared" si="0"/>
        <v>1.9171533333333333</v>
      </c>
      <c r="E47" s="5" t="str">
        <f t="shared" si="1"/>
        <v>긴급 교체</v>
      </c>
    </row>
    <row r="48" spans="1:5">
      <c r="A48" s="12"/>
      <c r="B48" s="6">
        <v>300000</v>
      </c>
      <c r="C48" s="6">
        <v>571681</v>
      </c>
      <c r="D48" s="8">
        <f t="shared" si="0"/>
        <v>1.9056033333333333</v>
      </c>
      <c r="E48" s="5" t="str">
        <f t="shared" si="1"/>
        <v>긴급 교체</v>
      </c>
    </row>
    <row r="49" spans="1:5">
      <c r="A49" s="12"/>
      <c r="B49" s="6">
        <v>300000</v>
      </c>
      <c r="C49" s="6">
        <v>563355</v>
      </c>
      <c r="D49" s="8">
        <f t="shared" si="0"/>
        <v>1.87785</v>
      </c>
      <c r="E49" s="5" t="str">
        <f t="shared" si="1"/>
        <v>긴급 교체</v>
      </c>
    </row>
    <row r="50" spans="1:5">
      <c r="A50" s="12"/>
      <c r="B50" s="6">
        <v>300000</v>
      </c>
      <c r="C50" s="6">
        <v>567876</v>
      </c>
      <c r="D50" s="8">
        <f t="shared" si="0"/>
        <v>1.8929199999999999</v>
      </c>
      <c r="E50" s="5" t="str">
        <f t="shared" si="1"/>
        <v>긴급 교체</v>
      </c>
    </row>
    <row r="51" spans="1:5">
      <c r="A51" s="12"/>
      <c r="B51" s="6">
        <v>300000</v>
      </c>
      <c r="C51" s="6">
        <v>576094</v>
      </c>
      <c r="D51" s="8">
        <f t="shared" si="0"/>
        <v>1.9203133333333333</v>
      </c>
      <c r="E51" s="5" t="str">
        <f t="shared" si="1"/>
        <v>긴급 교체</v>
      </c>
    </row>
    <row r="52" spans="1:5">
      <c r="A52" s="12" t="s">
        <v>10</v>
      </c>
      <c r="B52" s="6">
        <v>300000</v>
      </c>
      <c r="C52" s="6">
        <v>368430</v>
      </c>
      <c r="D52" s="8">
        <f t="shared" si="0"/>
        <v>1.2281</v>
      </c>
      <c r="E52" s="5" t="str">
        <f t="shared" si="1"/>
        <v>긴급 교체</v>
      </c>
    </row>
    <row r="53" spans="1:5">
      <c r="A53" s="12"/>
      <c r="B53" s="6">
        <v>300000</v>
      </c>
      <c r="C53" s="6">
        <v>368652</v>
      </c>
      <c r="D53" s="8">
        <f t="shared" si="0"/>
        <v>1.2288399999999999</v>
      </c>
      <c r="E53" s="5" t="str">
        <f t="shared" si="1"/>
        <v>긴급 교체</v>
      </c>
    </row>
    <row r="54" spans="1:5">
      <c r="A54" s="12"/>
      <c r="B54" s="6">
        <v>300000</v>
      </c>
      <c r="C54" s="6">
        <v>364058</v>
      </c>
      <c r="D54" s="8">
        <f t="shared" si="0"/>
        <v>1.2135266666666666</v>
      </c>
      <c r="E54" s="5" t="str">
        <f t="shared" si="1"/>
        <v>긴급 교체</v>
      </c>
    </row>
    <row r="55" spans="1:5">
      <c r="A55" s="12"/>
      <c r="B55" s="6">
        <v>300000</v>
      </c>
      <c r="C55" s="6">
        <v>367535</v>
      </c>
      <c r="D55" s="8">
        <f t="shared" si="0"/>
        <v>1.2251166666666666</v>
      </c>
      <c r="E55" s="5" t="str">
        <f t="shared" si="1"/>
        <v>긴급 교체</v>
      </c>
    </row>
    <row r="56" spans="1:5">
      <c r="A56" s="12"/>
      <c r="B56" s="6">
        <v>300000</v>
      </c>
      <c r="C56" s="6">
        <v>373755</v>
      </c>
      <c r="D56" s="8">
        <f t="shared" si="0"/>
        <v>1.2458499999999999</v>
      </c>
      <c r="E56" s="5" t="str">
        <f t="shared" si="1"/>
        <v>긴급 교체</v>
      </c>
    </row>
    <row r="57" spans="1:5">
      <c r="A57" s="12"/>
      <c r="B57" s="6">
        <v>300000</v>
      </c>
      <c r="C57" s="6">
        <v>371561</v>
      </c>
      <c r="D57" s="8">
        <f t="shared" si="0"/>
        <v>1.2385366666666666</v>
      </c>
      <c r="E57" s="5" t="str">
        <f t="shared" si="1"/>
        <v>긴급 교체</v>
      </c>
    </row>
    <row r="58" spans="1:5">
      <c r="A58" s="12"/>
      <c r="B58" s="6">
        <v>300000</v>
      </c>
      <c r="C58" s="6">
        <v>358262</v>
      </c>
      <c r="D58" s="8">
        <f t="shared" si="0"/>
        <v>1.1942066666666666</v>
      </c>
      <c r="E58" s="5" t="str">
        <f t="shared" si="1"/>
        <v>긴급 교체</v>
      </c>
    </row>
    <row r="59" spans="1:5">
      <c r="A59" s="12" t="s">
        <v>11</v>
      </c>
      <c r="B59" s="6">
        <v>300000</v>
      </c>
      <c r="C59" s="6">
        <v>405096</v>
      </c>
      <c r="D59" s="8">
        <f t="shared" si="0"/>
        <v>1.35032</v>
      </c>
      <c r="E59" s="5" t="str">
        <f t="shared" si="1"/>
        <v>긴급 교체</v>
      </c>
    </row>
    <row r="60" spans="1:5">
      <c r="A60" s="12"/>
      <c r="B60" s="6">
        <v>300000</v>
      </c>
      <c r="C60" s="6">
        <v>413780</v>
      </c>
      <c r="D60" s="8">
        <f t="shared" si="0"/>
        <v>1.3792666666666666</v>
      </c>
      <c r="E60" s="5" t="str">
        <f t="shared" si="1"/>
        <v>긴급 교체</v>
      </c>
    </row>
    <row r="61" spans="1:5">
      <c r="A61" s="12"/>
      <c r="B61" s="6">
        <v>300000</v>
      </c>
      <c r="C61" s="6">
        <v>408468</v>
      </c>
      <c r="D61" s="8">
        <f t="shared" si="0"/>
        <v>1.3615600000000001</v>
      </c>
      <c r="E61" s="5" t="str">
        <f t="shared" si="1"/>
        <v>긴급 교체</v>
      </c>
    </row>
    <row r="62" spans="1:5">
      <c r="A62" s="12"/>
      <c r="B62" s="6">
        <v>300000</v>
      </c>
      <c r="C62" s="6">
        <v>404063</v>
      </c>
      <c r="D62" s="8">
        <f t="shared" si="0"/>
        <v>1.3468766666666667</v>
      </c>
      <c r="E62" s="5" t="str">
        <f t="shared" si="1"/>
        <v>긴급 교체</v>
      </c>
    </row>
    <row r="63" spans="1:5">
      <c r="A63" s="12"/>
      <c r="B63" s="6">
        <v>300000</v>
      </c>
      <c r="C63" s="6">
        <v>415743</v>
      </c>
      <c r="D63" s="8">
        <f t="shared" si="0"/>
        <v>1.38581</v>
      </c>
      <c r="E63" s="5" t="str">
        <f t="shared" si="1"/>
        <v>긴급 교체</v>
      </c>
    </row>
    <row r="64" spans="1:5">
      <c r="A64" s="12"/>
      <c r="B64" s="6">
        <v>300000</v>
      </c>
      <c r="C64" s="6">
        <v>411537</v>
      </c>
      <c r="D64" s="8">
        <f t="shared" si="0"/>
        <v>1.3717900000000001</v>
      </c>
      <c r="E64" s="5" t="str">
        <f t="shared" si="1"/>
        <v>긴급 교체</v>
      </c>
    </row>
    <row r="65" spans="1:5">
      <c r="A65" s="12"/>
      <c r="B65" s="6">
        <v>300000</v>
      </c>
      <c r="C65" s="6">
        <v>409635</v>
      </c>
      <c r="D65" s="8">
        <f t="shared" si="0"/>
        <v>1.3654500000000001</v>
      </c>
      <c r="E65" s="5" t="str">
        <f t="shared" si="1"/>
        <v>긴급 교체</v>
      </c>
    </row>
    <row r="66" spans="1:5">
      <c r="A66" s="12" t="s">
        <v>12</v>
      </c>
      <c r="B66" s="6">
        <v>300000</v>
      </c>
      <c r="C66" s="6">
        <v>541439</v>
      </c>
      <c r="D66" s="8">
        <f t="shared" si="0"/>
        <v>1.8047966666666666</v>
      </c>
      <c r="E66" s="5" t="str">
        <f t="shared" si="1"/>
        <v>긴급 교체</v>
      </c>
    </row>
    <row r="67" spans="1:5">
      <c r="A67" s="12"/>
      <c r="B67" s="6">
        <v>300000</v>
      </c>
      <c r="C67" s="6">
        <v>533093</v>
      </c>
      <c r="D67" s="8">
        <f t="shared" ref="D67:D130" si="2">C67/B67</f>
        <v>1.7769766666666666</v>
      </c>
      <c r="E67" s="5" t="str">
        <f t="shared" ref="E67:E130" si="3">IF(D67&lt;=60%, "양호", IF(D67&lt;=70%, "교체 권고", IF(D67&lt;=80%, "교체", "긴급 교체")))</f>
        <v>긴급 교체</v>
      </c>
    </row>
    <row r="68" spans="1:5">
      <c r="A68" s="12"/>
      <c r="B68" s="6">
        <v>300000</v>
      </c>
      <c r="C68" s="6">
        <v>537927</v>
      </c>
      <c r="D68" s="8">
        <f t="shared" si="2"/>
        <v>1.7930900000000001</v>
      </c>
      <c r="E68" s="5" t="str">
        <f t="shared" si="3"/>
        <v>긴급 교체</v>
      </c>
    </row>
    <row r="69" spans="1:5">
      <c r="A69" s="12"/>
      <c r="B69" s="6">
        <v>300000</v>
      </c>
      <c r="C69" s="6">
        <v>547573</v>
      </c>
      <c r="D69" s="8">
        <f t="shared" si="2"/>
        <v>1.8252433333333333</v>
      </c>
      <c r="E69" s="5" t="str">
        <f t="shared" si="3"/>
        <v>긴급 교체</v>
      </c>
    </row>
    <row r="70" spans="1:5">
      <c r="A70" s="12"/>
      <c r="B70" s="6">
        <v>300000</v>
      </c>
      <c r="C70" s="6">
        <v>539146</v>
      </c>
      <c r="D70" s="8">
        <f t="shared" si="2"/>
        <v>1.7971533333333334</v>
      </c>
      <c r="E70" s="5" t="str">
        <f t="shared" si="3"/>
        <v>긴급 교체</v>
      </c>
    </row>
    <row r="71" spans="1:5">
      <c r="A71" s="12"/>
      <c r="B71" s="6">
        <v>300000</v>
      </c>
      <c r="C71" s="6">
        <v>546066</v>
      </c>
      <c r="D71" s="8">
        <f t="shared" si="2"/>
        <v>1.8202199999999999</v>
      </c>
      <c r="E71" s="5" t="str">
        <f t="shared" si="3"/>
        <v>긴급 교체</v>
      </c>
    </row>
    <row r="72" spans="1:5">
      <c r="A72" s="12"/>
      <c r="B72" s="6">
        <v>300000</v>
      </c>
      <c r="C72" s="6">
        <v>540499</v>
      </c>
      <c r="D72" s="8">
        <f t="shared" si="2"/>
        <v>1.8016633333333334</v>
      </c>
      <c r="E72" s="5" t="str">
        <f t="shared" si="3"/>
        <v>긴급 교체</v>
      </c>
    </row>
    <row r="73" spans="1:5">
      <c r="A73" s="12" t="s">
        <v>13</v>
      </c>
      <c r="B73" s="6">
        <v>300000</v>
      </c>
      <c r="C73" s="6">
        <v>306217</v>
      </c>
      <c r="D73" s="8">
        <f t="shared" si="2"/>
        <v>1.0207233333333334</v>
      </c>
      <c r="E73" s="5" t="str">
        <f t="shared" si="3"/>
        <v>긴급 교체</v>
      </c>
    </row>
    <row r="74" spans="1:5">
      <c r="A74" s="12"/>
      <c r="B74" s="6">
        <v>300000</v>
      </c>
      <c r="C74" s="6">
        <v>312042</v>
      </c>
      <c r="D74" s="8">
        <f t="shared" si="2"/>
        <v>1.0401400000000001</v>
      </c>
      <c r="E74" s="5" t="str">
        <f t="shared" si="3"/>
        <v>긴급 교체</v>
      </c>
    </row>
    <row r="75" spans="1:5">
      <c r="A75" s="12"/>
      <c r="B75" s="6">
        <v>300000</v>
      </c>
      <c r="C75" s="6">
        <v>264720</v>
      </c>
      <c r="D75" s="8">
        <f t="shared" si="2"/>
        <v>0.88239999999999996</v>
      </c>
      <c r="E75" s="5" t="str">
        <f t="shared" si="3"/>
        <v>긴급 교체</v>
      </c>
    </row>
    <row r="76" spans="1:5">
      <c r="A76" s="12"/>
      <c r="B76" s="6">
        <v>300000</v>
      </c>
      <c r="C76" s="6">
        <v>263290</v>
      </c>
      <c r="D76" s="8">
        <f t="shared" si="2"/>
        <v>0.87763333333333338</v>
      </c>
      <c r="E76" s="5" t="str">
        <f t="shared" si="3"/>
        <v>긴급 교체</v>
      </c>
    </row>
    <row r="77" spans="1:5">
      <c r="A77" s="12"/>
      <c r="B77" s="6">
        <v>300000</v>
      </c>
      <c r="C77" s="6">
        <v>320785</v>
      </c>
      <c r="D77" s="8">
        <f t="shared" si="2"/>
        <v>1.0692833333333334</v>
      </c>
      <c r="E77" s="5" t="str">
        <f t="shared" si="3"/>
        <v>긴급 교체</v>
      </c>
    </row>
    <row r="78" spans="1:5">
      <c r="A78" s="12"/>
      <c r="B78" s="6">
        <v>300000</v>
      </c>
      <c r="C78" s="6">
        <v>304153</v>
      </c>
      <c r="D78" s="8">
        <f t="shared" si="2"/>
        <v>1.0138433333333334</v>
      </c>
      <c r="E78" s="5" t="str">
        <f t="shared" si="3"/>
        <v>긴급 교체</v>
      </c>
    </row>
    <row r="79" spans="1:5">
      <c r="A79" s="12"/>
      <c r="B79" s="6">
        <v>300000</v>
      </c>
      <c r="C79" s="6">
        <v>247616</v>
      </c>
      <c r="D79" s="8">
        <f t="shared" si="2"/>
        <v>0.82538666666666671</v>
      </c>
      <c r="E79" s="5" t="str">
        <f t="shared" si="3"/>
        <v>긴급 교체</v>
      </c>
    </row>
    <row r="80" spans="1:5">
      <c r="A80" s="12" t="s">
        <v>14</v>
      </c>
      <c r="B80" s="6">
        <v>300000</v>
      </c>
      <c r="C80" s="6">
        <v>507089</v>
      </c>
      <c r="D80" s="8">
        <f t="shared" si="2"/>
        <v>1.6902966666666666</v>
      </c>
      <c r="E80" s="5" t="str">
        <f t="shared" si="3"/>
        <v>긴급 교체</v>
      </c>
    </row>
    <row r="81" spans="1:5">
      <c r="A81" s="12"/>
      <c r="B81" s="6">
        <v>300000</v>
      </c>
      <c r="C81" s="6">
        <v>511295</v>
      </c>
      <c r="D81" s="8">
        <f t="shared" si="2"/>
        <v>1.7043166666666667</v>
      </c>
      <c r="E81" s="5" t="str">
        <f t="shared" si="3"/>
        <v>긴급 교체</v>
      </c>
    </row>
    <row r="82" spans="1:5">
      <c r="A82" s="12"/>
      <c r="B82" s="6">
        <v>300000</v>
      </c>
      <c r="C82" s="6">
        <v>508530</v>
      </c>
      <c r="D82" s="8">
        <f t="shared" si="2"/>
        <v>1.6951000000000001</v>
      </c>
      <c r="E82" s="5" t="str">
        <f t="shared" si="3"/>
        <v>긴급 교체</v>
      </c>
    </row>
    <row r="83" spans="1:5">
      <c r="A83" s="12"/>
      <c r="B83" s="6">
        <v>300000</v>
      </c>
      <c r="C83" s="6">
        <v>503807</v>
      </c>
      <c r="D83" s="8">
        <f t="shared" si="2"/>
        <v>1.6793566666666666</v>
      </c>
      <c r="E83" s="5" t="str">
        <f t="shared" si="3"/>
        <v>긴급 교체</v>
      </c>
    </row>
    <row r="84" spans="1:5">
      <c r="A84" s="12"/>
      <c r="B84" s="6">
        <v>300000</v>
      </c>
      <c r="C84" s="6">
        <v>504605</v>
      </c>
      <c r="D84" s="8">
        <f t="shared" si="2"/>
        <v>1.6820166666666667</v>
      </c>
      <c r="E84" s="5" t="str">
        <f t="shared" si="3"/>
        <v>긴급 교체</v>
      </c>
    </row>
    <row r="85" spans="1:5">
      <c r="A85" s="12"/>
      <c r="B85" s="6">
        <v>300000</v>
      </c>
      <c r="C85" s="6">
        <v>508623</v>
      </c>
      <c r="D85" s="8">
        <f t="shared" si="2"/>
        <v>1.6954100000000001</v>
      </c>
      <c r="E85" s="5" t="str">
        <f t="shared" si="3"/>
        <v>긴급 교체</v>
      </c>
    </row>
    <row r="86" spans="1:5">
      <c r="A86" s="12"/>
      <c r="B86" s="6">
        <v>300000</v>
      </c>
      <c r="C86" s="6">
        <v>507245</v>
      </c>
      <c r="D86" s="8">
        <f t="shared" si="2"/>
        <v>1.6908166666666666</v>
      </c>
      <c r="E86" s="5" t="str">
        <f t="shared" si="3"/>
        <v>긴급 교체</v>
      </c>
    </row>
    <row r="87" spans="1:5">
      <c r="A87" s="12" t="s">
        <v>19</v>
      </c>
      <c r="B87" s="9">
        <v>300000</v>
      </c>
      <c r="C87" s="6">
        <v>143307</v>
      </c>
      <c r="D87" s="8">
        <f>C87/B87</f>
        <v>0.47769</v>
      </c>
      <c r="E87" s="5" t="str">
        <f>IF(D87&lt;=60%, "양호", IF(D87&lt;=70%, "교체 권고", IF(D87&lt;=80%, "교체", "긴급 교체")))</f>
        <v>양호</v>
      </c>
    </row>
    <row r="88" spans="1:5">
      <c r="A88" s="12"/>
      <c r="B88" s="9">
        <v>300000</v>
      </c>
      <c r="C88" s="6">
        <v>138083</v>
      </c>
      <c r="D88" s="8">
        <f t="shared" si="2"/>
        <v>0.46027666666666667</v>
      </c>
      <c r="E88" s="5" t="str">
        <f t="shared" si="3"/>
        <v>양호</v>
      </c>
    </row>
    <row r="89" spans="1:5">
      <c r="A89" s="12"/>
      <c r="B89" s="9">
        <v>300000</v>
      </c>
      <c r="C89" s="6">
        <v>141634</v>
      </c>
      <c r="D89" s="8">
        <f t="shared" si="2"/>
        <v>0.47211333333333333</v>
      </c>
      <c r="E89" s="5" t="str">
        <f t="shared" si="3"/>
        <v>양호</v>
      </c>
    </row>
    <row r="90" spans="1:5">
      <c r="A90" s="12"/>
      <c r="B90" s="9">
        <v>300000</v>
      </c>
      <c r="C90" s="6">
        <v>106157</v>
      </c>
      <c r="D90" s="8">
        <f t="shared" si="2"/>
        <v>0.35385666666666665</v>
      </c>
      <c r="E90" s="5" t="str">
        <f t="shared" si="3"/>
        <v>양호</v>
      </c>
    </row>
    <row r="91" spans="1:5">
      <c r="A91" s="12"/>
      <c r="B91" s="9">
        <v>300000</v>
      </c>
      <c r="C91" s="6">
        <v>141974</v>
      </c>
      <c r="D91" s="8">
        <f t="shared" si="2"/>
        <v>0.47324666666666665</v>
      </c>
      <c r="E91" s="5" t="str">
        <f t="shared" si="3"/>
        <v>양호</v>
      </c>
    </row>
    <row r="92" spans="1:5">
      <c r="A92" s="12"/>
      <c r="B92" s="9">
        <v>300000</v>
      </c>
      <c r="C92" s="6">
        <v>104195</v>
      </c>
      <c r="D92" s="8">
        <f t="shared" si="2"/>
        <v>0.34731666666666666</v>
      </c>
      <c r="E92" s="5" t="str">
        <f t="shared" si="3"/>
        <v>양호</v>
      </c>
    </row>
    <row r="93" spans="1:5">
      <c r="A93" s="12"/>
      <c r="B93" s="9">
        <v>300000</v>
      </c>
      <c r="C93" s="6">
        <v>148148</v>
      </c>
      <c r="D93" s="8">
        <f t="shared" si="2"/>
        <v>0.49382666666666669</v>
      </c>
      <c r="E93" s="5" t="str">
        <f t="shared" si="3"/>
        <v>양호</v>
      </c>
    </row>
    <row r="94" spans="1:5">
      <c r="A94" s="12" t="s">
        <v>20</v>
      </c>
      <c r="B94" s="9">
        <v>300000</v>
      </c>
      <c r="C94" s="6">
        <v>287090</v>
      </c>
      <c r="D94" s="8">
        <f t="shared" si="2"/>
        <v>0.95696666666666663</v>
      </c>
      <c r="E94" s="5" t="str">
        <f t="shared" si="3"/>
        <v>긴급 교체</v>
      </c>
    </row>
    <row r="95" spans="1:5">
      <c r="A95" s="12"/>
      <c r="B95" s="9">
        <v>300000</v>
      </c>
      <c r="C95" s="9">
        <v>279118</v>
      </c>
      <c r="D95" s="8">
        <f t="shared" si="2"/>
        <v>0.93039333333333329</v>
      </c>
      <c r="E95" s="5" t="str">
        <f t="shared" si="3"/>
        <v>긴급 교체</v>
      </c>
    </row>
    <row r="96" spans="1:5">
      <c r="A96" s="12"/>
      <c r="B96" s="9">
        <v>300000</v>
      </c>
      <c r="C96" s="9">
        <v>275384</v>
      </c>
      <c r="D96" s="8">
        <f t="shared" si="2"/>
        <v>0.91794666666666669</v>
      </c>
      <c r="E96" s="5" t="str">
        <f t="shared" si="3"/>
        <v>긴급 교체</v>
      </c>
    </row>
    <row r="97" spans="1:5">
      <c r="A97" s="12"/>
      <c r="B97" s="9">
        <v>300000</v>
      </c>
      <c r="C97" s="9">
        <v>265340</v>
      </c>
      <c r="D97" s="8">
        <f t="shared" si="2"/>
        <v>0.88446666666666662</v>
      </c>
      <c r="E97" s="5" t="str">
        <f t="shared" si="3"/>
        <v>긴급 교체</v>
      </c>
    </row>
    <row r="98" spans="1:5">
      <c r="A98" s="12"/>
      <c r="B98" s="9">
        <v>300000</v>
      </c>
      <c r="C98" s="9">
        <v>288147</v>
      </c>
      <c r="D98" s="8">
        <f t="shared" si="2"/>
        <v>0.96048999999999995</v>
      </c>
      <c r="E98" s="5" t="str">
        <f t="shared" si="3"/>
        <v>긴급 교체</v>
      </c>
    </row>
    <row r="99" spans="1:5">
      <c r="A99" s="12"/>
      <c r="B99" s="9">
        <v>300000</v>
      </c>
      <c r="C99" s="9">
        <v>200284</v>
      </c>
      <c r="D99" s="8">
        <f t="shared" si="2"/>
        <v>0.66761333333333328</v>
      </c>
      <c r="E99" s="5" t="str">
        <f t="shared" si="3"/>
        <v>교체 권고</v>
      </c>
    </row>
    <row r="100" spans="1:5">
      <c r="A100" s="12"/>
      <c r="B100" s="9">
        <v>300000</v>
      </c>
      <c r="C100" s="9">
        <v>33129</v>
      </c>
      <c r="D100" s="8">
        <f t="shared" si="2"/>
        <v>0.11043</v>
      </c>
      <c r="E100" s="5" t="str">
        <f t="shared" si="3"/>
        <v>양호</v>
      </c>
    </row>
    <row r="101" spans="1:5">
      <c r="A101" s="12" t="s">
        <v>21</v>
      </c>
      <c r="B101" s="9">
        <v>600000</v>
      </c>
      <c r="C101" s="6">
        <v>85880</v>
      </c>
      <c r="D101" s="8">
        <f t="shared" si="2"/>
        <v>0.14313333333333333</v>
      </c>
      <c r="E101" s="5" t="str">
        <f t="shared" si="3"/>
        <v>양호</v>
      </c>
    </row>
    <row r="102" spans="1:5">
      <c r="A102" s="12"/>
      <c r="B102" s="9">
        <v>600000</v>
      </c>
      <c r="C102" s="6">
        <v>94826</v>
      </c>
      <c r="D102" s="8">
        <f t="shared" si="2"/>
        <v>0.15804333333333334</v>
      </c>
      <c r="E102" s="5" t="str">
        <f t="shared" si="3"/>
        <v>양호</v>
      </c>
    </row>
    <row r="103" spans="1:5">
      <c r="A103" s="12"/>
      <c r="B103" s="9">
        <v>600000</v>
      </c>
      <c r="C103" s="6">
        <v>90938</v>
      </c>
      <c r="D103" s="8">
        <f t="shared" si="2"/>
        <v>0.15156333333333333</v>
      </c>
      <c r="E103" s="5" t="str">
        <f t="shared" si="3"/>
        <v>양호</v>
      </c>
    </row>
    <row r="104" spans="1:5">
      <c r="A104" s="12"/>
      <c r="B104" s="9">
        <v>600000</v>
      </c>
      <c r="C104" s="6">
        <v>116320</v>
      </c>
      <c r="D104" s="8">
        <f t="shared" si="2"/>
        <v>0.19386666666666666</v>
      </c>
      <c r="E104" s="5" t="str">
        <f t="shared" si="3"/>
        <v>양호</v>
      </c>
    </row>
    <row r="105" spans="1:5">
      <c r="A105" s="12"/>
      <c r="B105" s="9">
        <v>600000</v>
      </c>
      <c r="C105" s="6">
        <v>133333</v>
      </c>
      <c r="D105" s="8">
        <f t="shared" si="2"/>
        <v>0.22222166666666668</v>
      </c>
      <c r="E105" s="5" t="str">
        <f t="shared" si="3"/>
        <v>양호</v>
      </c>
    </row>
    <row r="106" spans="1:5">
      <c r="A106" s="12"/>
      <c r="B106" s="9">
        <v>600000</v>
      </c>
      <c r="C106" s="6">
        <v>139739</v>
      </c>
      <c r="D106" s="8">
        <f t="shared" si="2"/>
        <v>0.23289833333333335</v>
      </c>
      <c r="E106" s="5" t="str">
        <f t="shared" si="3"/>
        <v>양호</v>
      </c>
    </row>
    <row r="107" spans="1:5">
      <c r="A107" s="12"/>
      <c r="B107" s="9">
        <v>600000</v>
      </c>
      <c r="C107" s="6">
        <v>101600</v>
      </c>
      <c r="D107" s="8">
        <f t="shared" si="2"/>
        <v>0.16933333333333334</v>
      </c>
      <c r="E107" s="5" t="str">
        <f t="shared" si="3"/>
        <v>양호</v>
      </c>
    </row>
    <row r="108" spans="1:5">
      <c r="A108" s="12"/>
      <c r="B108" s="9">
        <v>600000</v>
      </c>
      <c r="C108" s="6">
        <v>98104</v>
      </c>
      <c r="D108" s="8">
        <f t="shared" si="2"/>
        <v>0.16350666666666666</v>
      </c>
      <c r="E108" s="5" t="str">
        <f t="shared" si="3"/>
        <v>양호</v>
      </c>
    </row>
    <row r="109" spans="1:5">
      <c r="A109" s="12"/>
      <c r="B109" s="9">
        <v>600000</v>
      </c>
      <c r="C109" s="6">
        <v>99226</v>
      </c>
      <c r="D109" s="8">
        <f t="shared" si="2"/>
        <v>0.16537666666666667</v>
      </c>
      <c r="E109" s="5" t="str">
        <f t="shared" si="3"/>
        <v>양호</v>
      </c>
    </row>
    <row r="110" spans="1:5">
      <c r="A110" s="12"/>
      <c r="B110" s="9">
        <v>600000</v>
      </c>
      <c r="C110" s="6">
        <v>139181</v>
      </c>
      <c r="D110" s="8">
        <f t="shared" si="2"/>
        <v>0.23196833333333333</v>
      </c>
      <c r="E110" s="5" t="str">
        <f t="shared" si="3"/>
        <v>양호</v>
      </c>
    </row>
    <row r="111" spans="1:5">
      <c r="A111" s="12"/>
      <c r="B111" s="9">
        <v>600000</v>
      </c>
      <c r="C111" s="6">
        <v>89163</v>
      </c>
      <c r="D111" s="8">
        <f t="shared" si="2"/>
        <v>0.14860499999999999</v>
      </c>
      <c r="E111" s="5" t="str">
        <f t="shared" si="3"/>
        <v>양호</v>
      </c>
    </row>
    <row r="112" spans="1:5">
      <c r="A112" s="12"/>
      <c r="B112" s="9">
        <v>600000</v>
      </c>
      <c r="C112" s="6">
        <v>71944</v>
      </c>
      <c r="D112" s="8">
        <f t="shared" si="2"/>
        <v>0.11990666666666666</v>
      </c>
      <c r="E112" s="5" t="str">
        <f t="shared" si="3"/>
        <v>양호</v>
      </c>
    </row>
    <row r="113" spans="1:5">
      <c r="A113" s="12"/>
      <c r="B113" s="9">
        <v>600000</v>
      </c>
      <c r="C113" s="6">
        <v>125417</v>
      </c>
      <c r="D113" s="8">
        <f t="shared" si="2"/>
        <v>0.20902833333333334</v>
      </c>
      <c r="E113" s="5" t="str">
        <f t="shared" si="3"/>
        <v>양호</v>
      </c>
    </row>
    <row r="114" spans="1:5">
      <c r="A114" s="12"/>
      <c r="B114" s="9">
        <v>600000</v>
      </c>
      <c r="C114" s="6">
        <v>99712</v>
      </c>
      <c r="D114" s="8">
        <f t="shared" si="2"/>
        <v>0.16618666666666668</v>
      </c>
      <c r="E114" s="5" t="str">
        <f t="shared" si="3"/>
        <v>양호</v>
      </c>
    </row>
    <row r="115" spans="1:5">
      <c r="A115" s="12"/>
      <c r="B115" s="9">
        <v>600000</v>
      </c>
      <c r="C115" s="6">
        <v>92233</v>
      </c>
      <c r="D115" s="8">
        <f t="shared" si="2"/>
        <v>0.15372166666666667</v>
      </c>
      <c r="E115" s="5" t="str">
        <f t="shared" si="3"/>
        <v>양호</v>
      </c>
    </row>
    <row r="116" spans="1:5">
      <c r="A116" s="12"/>
      <c r="B116" s="9">
        <v>600000</v>
      </c>
      <c r="C116" s="6">
        <v>97875</v>
      </c>
      <c r="D116" s="8">
        <f t="shared" si="2"/>
        <v>0.16312499999999999</v>
      </c>
      <c r="E116" s="5" t="str">
        <f t="shared" si="3"/>
        <v>양호</v>
      </c>
    </row>
    <row r="117" spans="1:5">
      <c r="A117" s="12"/>
      <c r="B117" s="9">
        <v>600000</v>
      </c>
      <c r="C117" s="6">
        <v>140450</v>
      </c>
      <c r="D117" s="8">
        <f t="shared" si="2"/>
        <v>0.23408333333333334</v>
      </c>
      <c r="E117" s="5" t="str">
        <f t="shared" si="3"/>
        <v>양호</v>
      </c>
    </row>
    <row r="118" spans="1:5">
      <c r="A118" s="12"/>
      <c r="B118" s="9">
        <v>600000</v>
      </c>
      <c r="C118" s="6">
        <v>41511</v>
      </c>
      <c r="D118" s="8">
        <f t="shared" si="2"/>
        <v>6.9184999999999997E-2</v>
      </c>
      <c r="E118" s="5" t="str">
        <f t="shared" si="3"/>
        <v>양호</v>
      </c>
    </row>
    <row r="119" spans="1:5">
      <c r="A119" s="12"/>
      <c r="B119" s="9">
        <v>600000</v>
      </c>
      <c r="C119" s="6">
        <v>97716</v>
      </c>
      <c r="D119" s="8">
        <f t="shared" si="2"/>
        <v>0.16286</v>
      </c>
      <c r="E119" s="5" t="str">
        <f t="shared" si="3"/>
        <v>양호</v>
      </c>
    </row>
    <row r="120" spans="1:5">
      <c r="A120" s="12"/>
      <c r="B120" s="9">
        <v>600000</v>
      </c>
      <c r="C120" s="6">
        <v>97394</v>
      </c>
      <c r="D120" s="8">
        <f t="shared" si="2"/>
        <v>0.16232333333333332</v>
      </c>
      <c r="E120" s="5" t="str">
        <f t="shared" si="3"/>
        <v>양호</v>
      </c>
    </row>
    <row r="121" spans="1:5">
      <c r="A121" s="12"/>
      <c r="B121" s="9">
        <v>600000</v>
      </c>
      <c r="C121" s="6">
        <v>103107</v>
      </c>
      <c r="D121" s="8">
        <f t="shared" si="2"/>
        <v>0.171845</v>
      </c>
      <c r="E121" s="5" t="str">
        <f t="shared" si="3"/>
        <v>양호</v>
      </c>
    </row>
    <row r="122" spans="1:5">
      <c r="A122" s="12" t="s">
        <v>22</v>
      </c>
      <c r="B122" s="9">
        <v>600000</v>
      </c>
      <c r="C122" s="6">
        <v>236876</v>
      </c>
      <c r="D122" s="8">
        <f t="shared" si="2"/>
        <v>0.39479333333333333</v>
      </c>
      <c r="E122" s="5" t="str">
        <f t="shared" si="3"/>
        <v>양호</v>
      </c>
    </row>
    <row r="123" spans="1:5">
      <c r="A123" s="12"/>
      <c r="B123" s="9">
        <v>600000</v>
      </c>
      <c r="C123" s="6">
        <v>255852</v>
      </c>
      <c r="D123" s="8">
        <f t="shared" si="2"/>
        <v>0.42642000000000002</v>
      </c>
      <c r="E123" s="5" t="str">
        <f t="shared" si="3"/>
        <v>양호</v>
      </c>
    </row>
    <row r="124" spans="1:5">
      <c r="A124" s="12"/>
      <c r="B124" s="9">
        <v>600000</v>
      </c>
      <c r="C124" s="6">
        <v>292439</v>
      </c>
      <c r="D124" s="8">
        <f t="shared" si="2"/>
        <v>0.48739833333333332</v>
      </c>
      <c r="E124" s="5" t="str">
        <f t="shared" si="3"/>
        <v>양호</v>
      </c>
    </row>
    <row r="125" spans="1:5">
      <c r="A125" s="12"/>
      <c r="B125" s="9">
        <v>600000</v>
      </c>
      <c r="C125" s="6">
        <v>337004</v>
      </c>
      <c r="D125" s="8">
        <f t="shared" si="2"/>
        <v>0.56167333333333336</v>
      </c>
      <c r="E125" s="5" t="str">
        <f t="shared" si="3"/>
        <v>양호</v>
      </c>
    </row>
    <row r="126" spans="1:5">
      <c r="A126" s="12"/>
      <c r="B126" s="9">
        <v>600000</v>
      </c>
      <c r="C126" s="6">
        <v>334587</v>
      </c>
      <c r="D126" s="8">
        <f t="shared" si="2"/>
        <v>0.55764499999999995</v>
      </c>
      <c r="E126" s="5" t="str">
        <f t="shared" si="3"/>
        <v>양호</v>
      </c>
    </row>
    <row r="127" spans="1:5">
      <c r="A127" s="12"/>
      <c r="B127" s="9">
        <v>600000</v>
      </c>
      <c r="C127" s="6">
        <v>332335</v>
      </c>
      <c r="D127" s="8">
        <f t="shared" si="2"/>
        <v>0.55389166666666667</v>
      </c>
      <c r="E127" s="5" t="str">
        <f t="shared" si="3"/>
        <v>양호</v>
      </c>
    </row>
    <row r="128" spans="1:5">
      <c r="A128" s="12"/>
      <c r="B128" s="9">
        <v>600000</v>
      </c>
      <c r="C128" s="6">
        <v>298257</v>
      </c>
      <c r="D128" s="8">
        <f t="shared" si="2"/>
        <v>0.49709500000000001</v>
      </c>
      <c r="E128" s="5" t="str">
        <f t="shared" si="3"/>
        <v>양호</v>
      </c>
    </row>
    <row r="129" spans="1:5">
      <c r="A129" s="12"/>
      <c r="B129" s="9">
        <v>600000</v>
      </c>
      <c r="C129" s="6">
        <v>224655</v>
      </c>
      <c r="D129" s="8">
        <f t="shared" si="2"/>
        <v>0.37442500000000001</v>
      </c>
      <c r="E129" s="5" t="str">
        <f t="shared" si="3"/>
        <v>양호</v>
      </c>
    </row>
    <row r="130" spans="1:5">
      <c r="A130" s="12"/>
      <c r="B130" s="9">
        <v>600000</v>
      </c>
      <c r="C130" s="6">
        <v>333025</v>
      </c>
      <c r="D130" s="8">
        <f t="shared" si="2"/>
        <v>0.55504166666666666</v>
      </c>
      <c r="E130" s="5" t="str">
        <f t="shared" si="3"/>
        <v>양호</v>
      </c>
    </row>
    <row r="131" spans="1:5">
      <c r="A131" s="12"/>
      <c r="B131" s="9">
        <v>600000</v>
      </c>
      <c r="C131" s="6">
        <v>238853</v>
      </c>
      <c r="D131" s="8">
        <f t="shared" ref="D131:D142" si="4">C131/B131</f>
        <v>0.39808833333333332</v>
      </c>
      <c r="E131" s="5" t="str">
        <f t="shared" ref="E131:E142" si="5">IF(D131&lt;=60%, "양호", IF(D131&lt;=70%, "교체 권고", IF(D131&lt;=80%, "교체", "긴급 교체")))</f>
        <v>양호</v>
      </c>
    </row>
    <row r="132" spans="1:5">
      <c r="A132" s="12"/>
      <c r="B132" s="9">
        <v>600000</v>
      </c>
      <c r="C132" s="6">
        <v>339635</v>
      </c>
      <c r="D132" s="8">
        <f t="shared" si="4"/>
        <v>0.56605833333333333</v>
      </c>
      <c r="E132" s="5" t="str">
        <f t="shared" si="5"/>
        <v>양호</v>
      </c>
    </row>
    <row r="133" spans="1:5">
      <c r="A133" s="12"/>
      <c r="B133" s="9">
        <v>600000</v>
      </c>
      <c r="C133" s="6">
        <v>321486</v>
      </c>
      <c r="D133" s="8">
        <f t="shared" si="4"/>
        <v>0.53581000000000001</v>
      </c>
      <c r="E133" s="5" t="str">
        <f t="shared" si="5"/>
        <v>양호</v>
      </c>
    </row>
    <row r="134" spans="1:5">
      <c r="A134" s="12"/>
      <c r="B134" s="9">
        <v>600000</v>
      </c>
      <c r="C134" s="6">
        <v>283489</v>
      </c>
      <c r="D134" s="8">
        <f t="shared" si="4"/>
        <v>0.47248166666666669</v>
      </c>
      <c r="E134" s="5" t="str">
        <f t="shared" si="5"/>
        <v>양호</v>
      </c>
    </row>
    <row r="135" spans="1:5">
      <c r="A135" s="12"/>
      <c r="B135" s="9">
        <v>600000</v>
      </c>
      <c r="C135" s="6">
        <v>341814</v>
      </c>
      <c r="D135" s="8">
        <f t="shared" si="4"/>
        <v>0.56969000000000003</v>
      </c>
      <c r="E135" s="5" t="str">
        <f t="shared" si="5"/>
        <v>양호</v>
      </c>
    </row>
    <row r="136" spans="1:5">
      <c r="A136" s="12"/>
      <c r="B136" s="9">
        <v>600000</v>
      </c>
      <c r="C136" s="6">
        <v>243625</v>
      </c>
      <c r="D136" s="8">
        <f t="shared" si="4"/>
        <v>0.40604166666666669</v>
      </c>
      <c r="E136" s="5" t="str">
        <f t="shared" si="5"/>
        <v>양호</v>
      </c>
    </row>
    <row r="137" spans="1:5">
      <c r="A137" s="12"/>
      <c r="B137" s="9">
        <v>600000</v>
      </c>
      <c r="C137" s="6">
        <v>236835</v>
      </c>
      <c r="D137" s="8">
        <f t="shared" si="4"/>
        <v>0.39472499999999999</v>
      </c>
      <c r="E137" s="5" t="str">
        <f t="shared" si="5"/>
        <v>양호</v>
      </c>
    </row>
    <row r="138" spans="1:5">
      <c r="A138" s="12"/>
      <c r="B138" s="9">
        <v>600000</v>
      </c>
      <c r="C138" s="6">
        <v>212784</v>
      </c>
      <c r="D138" s="8">
        <f t="shared" si="4"/>
        <v>0.35464000000000001</v>
      </c>
      <c r="E138" s="5" t="str">
        <f t="shared" si="5"/>
        <v>양호</v>
      </c>
    </row>
    <row r="139" spans="1:5">
      <c r="A139" s="12"/>
      <c r="B139" s="9">
        <v>600000</v>
      </c>
      <c r="C139" s="6">
        <v>314872</v>
      </c>
      <c r="D139" s="8">
        <f t="shared" si="4"/>
        <v>0.52478666666666662</v>
      </c>
      <c r="E139" s="5" t="str">
        <f t="shared" si="5"/>
        <v>양호</v>
      </c>
    </row>
    <row r="140" spans="1:5">
      <c r="A140" s="12"/>
      <c r="B140" s="9">
        <v>600000</v>
      </c>
      <c r="C140" s="6">
        <v>233516</v>
      </c>
      <c r="D140" s="8">
        <f t="shared" si="4"/>
        <v>0.38919333333333334</v>
      </c>
      <c r="E140" s="5" t="str">
        <f t="shared" si="5"/>
        <v>양호</v>
      </c>
    </row>
    <row r="141" spans="1:5">
      <c r="A141" s="12"/>
      <c r="B141" s="9">
        <v>600000</v>
      </c>
      <c r="C141" s="6">
        <v>308863</v>
      </c>
      <c r="D141" s="8">
        <f t="shared" si="4"/>
        <v>0.51477166666666663</v>
      </c>
      <c r="E141" s="5" t="str">
        <f t="shared" si="5"/>
        <v>양호</v>
      </c>
    </row>
    <row r="142" spans="1:5">
      <c r="A142" s="12"/>
      <c r="B142" s="9">
        <v>600000</v>
      </c>
      <c r="C142" s="6">
        <v>235845</v>
      </c>
      <c r="D142" s="8">
        <f t="shared" si="4"/>
        <v>0.39307500000000001</v>
      </c>
      <c r="E142" s="5" t="str">
        <f t="shared" si="5"/>
        <v>양호</v>
      </c>
    </row>
  </sheetData>
  <mergeCells count="16">
    <mergeCell ref="A87:A93"/>
    <mergeCell ref="A94:A100"/>
    <mergeCell ref="A101:A121"/>
    <mergeCell ref="A122:A142"/>
    <mergeCell ref="A80:A86"/>
    <mergeCell ref="A2:A9"/>
    <mergeCell ref="A10:A16"/>
    <mergeCell ref="A17:A23"/>
    <mergeCell ref="A24:A30"/>
    <mergeCell ref="A31:A37"/>
    <mergeCell ref="A73:A79"/>
    <mergeCell ref="A38:A44"/>
    <mergeCell ref="A45:A51"/>
    <mergeCell ref="A52:A58"/>
    <mergeCell ref="A59:A65"/>
    <mergeCell ref="A66:A7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AA13-8738-5E4F-856B-4307D43CE1FE}">
  <dimension ref="A1:D47"/>
  <sheetViews>
    <sheetView tabSelected="1" topLeftCell="A5" workbookViewId="0">
      <selection activeCell="F29" sqref="F29"/>
    </sheetView>
  </sheetViews>
  <sheetFormatPr baseColWidth="10" defaultRowHeight="18"/>
  <cols>
    <col min="1" max="1" width="41.85546875" bestFit="1" customWidth="1"/>
    <col min="2" max="2" width="28.28515625" bestFit="1" customWidth="1"/>
    <col min="3" max="3" width="25.5703125" bestFit="1" customWidth="1"/>
  </cols>
  <sheetData>
    <row r="1" spans="1:4">
      <c r="A1" t="s">
        <v>23</v>
      </c>
      <c r="B1" t="s">
        <v>0</v>
      </c>
      <c r="C1" t="s">
        <v>17</v>
      </c>
      <c r="D1" t="s">
        <v>18</v>
      </c>
    </row>
    <row r="2" spans="1:4">
      <c r="A2">
        <v>600000</v>
      </c>
      <c r="B2">
        <v>236876</v>
      </c>
      <c r="C2" s="10">
        <f>C27/B2</f>
        <v>0.14132119758861175</v>
      </c>
      <c r="D2" s="5" t="str">
        <f t="shared" ref="D2:D22" si="0">IF(C2&lt;=60%, "양호", IF(C2&lt;=70%, "교체 권고", IF(C2&lt;=80%, "교체", "긴급 교체")))</f>
        <v>양호</v>
      </c>
    </row>
    <row r="3" spans="1:4">
      <c r="A3">
        <v>600000</v>
      </c>
      <c r="B3">
        <v>255852</v>
      </c>
      <c r="C3" s="10">
        <f t="shared" ref="C3:C22" si="1">C28/B3</f>
        <v>0.13083782811938152</v>
      </c>
      <c r="D3" s="5" t="str">
        <f t="shared" si="0"/>
        <v>양호</v>
      </c>
    </row>
    <row r="4" spans="1:4">
      <c r="A4">
        <v>600000</v>
      </c>
      <c r="B4">
        <v>292439</v>
      </c>
      <c r="C4" s="10">
        <f t="shared" si="1"/>
        <v>0.11446841905491401</v>
      </c>
      <c r="D4" s="5" t="str">
        <f t="shared" si="0"/>
        <v>양호</v>
      </c>
    </row>
    <row r="5" spans="1:4">
      <c r="A5">
        <v>600000</v>
      </c>
      <c r="B5">
        <v>337004</v>
      </c>
      <c r="C5" s="10">
        <f t="shared" si="1"/>
        <v>9.9329918932712966E-2</v>
      </c>
      <c r="D5" s="5" t="str">
        <f t="shared" si="0"/>
        <v>양호</v>
      </c>
    </row>
    <row r="6" spans="1:4">
      <c r="A6">
        <v>600000</v>
      </c>
      <c r="B6">
        <v>334587</v>
      </c>
      <c r="C6" s="10">
        <f t="shared" si="1"/>
        <v>0.10004946396602378</v>
      </c>
      <c r="D6" s="5" t="str">
        <f t="shared" si="0"/>
        <v>양호</v>
      </c>
    </row>
    <row r="7" spans="1:4">
      <c r="A7">
        <v>600000</v>
      </c>
      <c r="B7">
        <v>332335</v>
      </c>
      <c r="C7" s="10">
        <f t="shared" si="1"/>
        <v>0.10072652594520588</v>
      </c>
      <c r="D7" s="5" t="str">
        <f t="shared" si="0"/>
        <v>양호</v>
      </c>
    </row>
    <row r="8" spans="1:4">
      <c r="A8">
        <v>600000</v>
      </c>
      <c r="B8">
        <v>298257</v>
      </c>
      <c r="C8" s="10">
        <f t="shared" si="1"/>
        <v>0.11223548818636275</v>
      </c>
      <c r="D8" s="5" t="str">
        <f t="shared" si="0"/>
        <v>양호</v>
      </c>
    </row>
    <row r="9" spans="1:4">
      <c r="A9">
        <v>600000</v>
      </c>
      <c r="B9">
        <v>224655</v>
      </c>
      <c r="C9" s="10">
        <f t="shared" si="1"/>
        <v>0.1490061650085687</v>
      </c>
      <c r="D9" s="5" t="str">
        <f t="shared" si="0"/>
        <v>양호</v>
      </c>
    </row>
    <row r="10" spans="1:4">
      <c r="A10">
        <v>600000</v>
      </c>
      <c r="B10">
        <v>333025</v>
      </c>
      <c r="C10" s="10">
        <f t="shared" si="1"/>
        <v>0.10051803918624727</v>
      </c>
      <c r="D10" s="5" t="str">
        <f t="shared" si="0"/>
        <v>양호</v>
      </c>
    </row>
    <row r="11" spans="1:4">
      <c r="A11">
        <v>600000</v>
      </c>
      <c r="B11">
        <v>238853</v>
      </c>
      <c r="C11" s="10">
        <f t="shared" si="1"/>
        <v>0.14015000858268475</v>
      </c>
      <c r="D11" s="5" t="str">
        <f t="shared" si="0"/>
        <v>양호</v>
      </c>
    </row>
    <row r="12" spans="1:4">
      <c r="A12">
        <v>600000</v>
      </c>
      <c r="B12">
        <v>339635</v>
      </c>
      <c r="C12" s="10">
        <f t="shared" si="1"/>
        <v>9.8561396793616682E-2</v>
      </c>
      <c r="D12" s="5" t="str">
        <f t="shared" si="0"/>
        <v>양호</v>
      </c>
    </row>
    <row r="13" spans="1:4">
      <c r="A13">
        <v>600000</v>
      </c>
      <c r="B13">
        <v>321486</v>
      </c>
      <c r="C13" s="10">
        <f t="shared" si="1"/>
        <v>0.10412652494976453</v>
      </c>
      <c r="D13" s="5" t="str">
        <f t="shared" si="0"/>
        <v>양호</v>
      </c>
    </row>
    <row r="14" spans="1:4">
      <c r="A14">
        <v>600000</v>
      </c>
      <c r="B14">
        <v>283489</v>
      </c>
      <c r="C14" s="10">
        <f t="shared" si="1"/>
        <v>0.1180808779176617</v>
      </c>
      <c r="D14" s="5" t="str">
        <f t="shared" si="0"/>
        <v>양호</v>
      </c>
    </row>
    <row r="15" spans="1:4">
      <c r="A15">
        <v>600000</v>
      </c>
      <c r="B15">
        <v>341814</v>
      </c>
      <c r="C15" s="10">
        <f t="shared" si="1"/>
        <v>9.7932120978075798E-2</v>
      </c>
      <c r="D15" s="5" t="str">
        <f t="shared" si="0"/>
        <v>양호</v>
      </c>
    </row>
    <row r="16" spans="1:4">
      <c r="A16">
        <v>600000</v>
      </c>
      <c r="B16">
        <v>243625</v>
      </c>
      <c r="C16" s="10">
        <f t="shared" si="1"/>
        <v>0.13740194971780401</v>
      </c>
      <c r="D16" s="5" t="str">
        <f t="shared" si="0"/>
        <v>양호</v>
      </c>
    </row>
    <row r="17" spans="1:4">
      <c r="A17">
        <v>600000</v>
      </c>
      <c r="B17">
        <v>236835</v>
      </c>
      <c r="C17" s="10">
        <f t="shared" si="1"/>
        <v>0.1413446070048768</v>
      </c>
      <c r="D17" s="5" t="str">
        <f t="shared" si="0"/>
        <v>양호</v>
      </c>
    </row>
    <row r="18" spans="1:4">
      <c r="A18">
        <v>600000</v>
      </c>
      <c r="B18">
        <v>212784</v>
      </c>
      <c r="C18" s="10">
        <f t="shared" si="1"/>
        <v>0.15731765546281676</v>
      </c>
      <c r="D18" s="5" t="str">
        <f t="shared" si="0"/>
        <v>양호</v>
      </c>
    </row>
    <row r="19" spans="1:4">
      <c r="A19">
        <v>600000</v>
      </c>
      <c r="B19">
        <v>314872</v>
      </c>
      <c r="C19" s="10">
        <f t="shared" si="1"/>
        <v>0.10631246982900988</v>
      </c>
      <c r="D19" s="5" t="str">
        <f t="shared" si="0"/>
        <v>양호</v>
      </c>
    </row>
    <row r="20" spans="1:4">
      <c r="A20">
        <v>600000</v>
      </c>
      <c r="B20">
        <v>233516</v>
      </c>
      <c r="C20" s="10">
        <f t="shared" si="1"/>
        <v>0.14335283235409993</v>
      </c>
      <c r="D20" s="5" t="str">
        <f t="shared" si="0"/>
        <v>양호</v>
      </c>
    </row>
    <row r="21" spans="1:4">
      <c r="A21">
        <v>600000</v>
      </c>
      <c r="B21">
        <v>308863</v>
      </c>
      <c r="C21" s="10">
        <f t="shared" si="1"/>
        <v>0.1083807383856273</v>
      </c>
      <c r="D21" s="5" t="str">
        <f t="shared" si="0"/>
        <v>양호</v>
      </c>
    </row>
    <row r="22" spans="1:4">
      <c r="A22">
        <v>600000</v>
      </c>
      <c r="B22">
        <v>235845</v>
      </c>
      <c r="C22" s="10">
        <f t="shared" si="1"/>
        <v>0.14193483007907737</v>
      </c>
      <c r="D22" s="5" t="str">
        <f t="shared" si="0"/>
        <v>양호</v>
      </c>
    </row>
    <row r="26" spans="1:4">
      <c r="C26" t="s">
        <v>24</v>
      </c>
      <c r="D26" t="s">
        <v>25</v>
      </c>
    </row>
    <row r="27" spans="1:4">
      <c r="C27">
        <v>33475.599999999999</v>
      </c>
      <c r="D27" s="11" t="str">
        <f t="shared" ref="D27:D47" si="2">_xlfn.CONCAT("약 ", ROUND((C27/24)/365,1), "년")</f>
        <v>약 3.8년</v>
      </c>
    </row>
    <row r="28" spans="1:4">
      <c r="C28">
        <v>33475.120000000003</v>
      </c>
      <c r="D28" s="11" t="str">
        <f t="shared" si="2"/>
        <v>약 3.8년</v>
      </c>
    </row>
    <row r="29" spans="1:4">
      <c r="C29">
        <v>33475.03</v>
      </c>
      <c r="D29" s="11" t="str">
        <f t="shared" si="2"/>
        <v>약 3.8년</v>
      </c>
    </row>
    <row r="30" spans="1:4">
      <c r="C30">
        <v>33474.58</v>
      </c>
      <c r="D30" s="11" t="str">
        <f t="shared" si="2"/>
        <v>약 3.8년</v>
      </c>
    </row>
    <row r="31" spans="1:4">
      <c r="C31">
        <v>33475.25</v>
      </c>
      <c r="D31" s="11" t="str">
        <f t="shared" si="2"/>
        <v>약 3.8년</v>
      </c>
    </row>
    <row r="32" spans="1:4">
      <c r="C32">
        <v>33474.949999999997</v>
      </c>
      <c r="D32" s="11" t="str">
        <f t="shared" si="2"/>
        <v>약 3.8년</v>
      </c>
    </row>
    <row r="33" spans="3:4">
      <c r="C33">
        <v>33475.019999999997</v>
      </c>
      <c r="D33" s="11" t="str">
        <f t="shared" si="2"/>
        <v>약 3.8년</v>
      </c>
    </row>
    <row r="34" spans="3:4">
      <c r="C34">
        <v>33474.980000000003</v>
      </c>
      <c r="D34" s="11" t="str">
        <f t="shared" si="2"/>
        <v>약 3.8년</v>
      </c>
    </row>
    <row r="35" spans="3:4">
      <c r="C35">
        <v>33475.019999999997</v>
      </c>
      <c r="D35" s="11" t="str">
        <f t="shared" si="2"/>
        <v>약 3.8년</v>
      </c>
    </row>
    <row r="36" spans="3:4">
      <c r="C36">
        <v>33475.25</v>
      </c>
      <c r="D36" s="11" t="str">
        <f t="shared" si="2"/>
        <v>약 3.8년</v>
      </c>
    </row>
    <row r="37" spans="3:4">
      <c r="C37">
        <v>33474.9</v>
      </c>
      <c r="D37" s="11" t="str">
        <f t="shared" si="2"/>
        <v>약 3.8년</v>
      </c>
    </row>
    <row r="38" spans="3:4">
      <c r="C38">
        <v>33475.22</v>
      </c>
      <c r="D38" s="11" t="str">
        <f t="shared" si="2"/>
        <v>약 3.8년</v>
      </c>
    </row>
    <row r="39" spans="3:4">
      <c r="C39">
        <v>33474.629999999997</v>
      </c>
      <c r="D39" s="11" t="str">
        <f t="shared" si="2"/>
        <v>약 3.8년</v>
      </c>
    </row>
    <row r="40" spans="3:4">
      <c r="C40">
        <v>33474.57</v>
      </c>
      <c r="D40" s="11" t="str">
        <f t="shared" si="2"/>
        <v>약 3.8년</v>
      </c>
    </row>
    <row r="41" spans="3:4">
      <c r="C41">
        <v>33474.550000000003</v>
      </c>
      <c r="D41" s="11" t="str">
        <f t="shared" si="2"/>
        <v>약 3.8년</v>
      </c>
    </row>
    <row r="42" spans="3:4">
      <c r="C42">
        <v>33475.35</v>
      </c>
      <c r="D42" s="11" t="str">
        <f t="shared" si="2"/>
        <v>약 3.8년</v>
      </c>
    </row>
    <row r="43" spans="3:4">
      <c r="C43">
        <v>33474.68</v>
      </c>
      <c r="D43" s="11" t="str">
        <f t="shared" si="2"/>
        <v>약 3.8년</v>
      </c>
    </row>
    <row r="44" spans="3:4">
      <c r="C44">
        <v>33474.82</v>
      </c>
      <c r="D44" s="11" t="str">
        <f t="shared" si="2"/>
        <v>약 3.8년</v>
      </c>
    </row>
    <row r="45" spans="3:4">
      <c r="C45">
        <v>33475.18</v>
      </c>
      <c r="D45" s="11" t="str">
        <f t="shared" si="2"/>
        <v>약 3.8년</v>
      </c>
    </row>
    <row r="46" spans="3:4">
      <c r="C46">
        <v>33474.800000000003</v>
      </c>
      <c r="D46" s="11" t="str">
        <f t="shared" si="2"/>
        <v>약 3.8년</v>
      </c>
    </row>
    <row r="47" spans="3:4">
      <c r="C47">
        <v>33474.620000000003</v>
      </c>
      <c r="D47" s="11" t="str">
        <f t="shared" si="2"/>
        <v>약 3.8년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5420-7765-B343-BF19-F6B5F40D5987}">
  <dimension ref="A1:D2"/>
  <sheetViews>
    <sheetView workbookViewId="0">
      <selection activeCell="I16" sqref="I16"/>
    </sheetView>
  </sheetViews>
  <sheetFormatPr baseColWidth="10" defaultRowHeight="18"/>
  <sheetData>
    <row r="1" spans="1:4">
      <c r="A1" t="s">
        <v>26</v>
      </c>
      <c r="B1" t="s">
        <v>26</v>
      </c>
      <c r="C1" t="s">
        <v>26</v>
      </c>
      <c r="D1" t="s">
        <v>26</v>
      </c>
    </row>
    <row r="2" spans="1:4">
      <c r="A2" t="s">
        <v>26</v>
      </c>
      <c r="B2" t="s">
        <v>26</v>
      </c>
      <c r="C2" t="s">
        <v>26</v>
      </c>
      <c r="D2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현기</dc:creator>
  <cp:lastModifiedBy>김 현기</cp:lastModifiedBy>
  <dcterms:created xsi:type="dcterms:W3CDTF">2024-01-18T04:54:37Z</dcterms:created>
  <dcterms:modified xsi:type="dcterms:W3CDTF">2024-02-06T07:58:52Z</dcterms:modified>
</cp:coreProperties>
</file>