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씨젠 제안서/2024/0202_태원노드_유지보수_계약서/"/>
    </mc:Choice>
  </mc:AlternateContent>
  <xr:revisionPtr revIDLastSave="4" documentId="13_ncr:1_{6BDB4756-CF99-0547-8C9D-F170930A8B80}" xr6:coauthVersionLast="47" xr6:coauthVersionMax="47" xr10:uidLastSave="{CDACF4E7-4A7B-984D-AA14-C52E2E26529C}"/>
  <bookViews>
    <workbookView xWindow="-38400" yWindow="500" windowWidth="38400" windowHeight="21100" activeTab="1" xr2:uid="{00000000-000D-0000-FFFF-FFFF00000000}"/>
  </bookViews>
  <sheets>
    <sheet name="시트 1 (2)" sheetId="5" r:id="rId1"/>
    <sheet name="시트 1" sheetId="1" r:id="rId2"/>
    <sheet name="Sheet1" sheetId="2" r:id="rId3"/>
    <sheet name="Sheet2" sheetId="3" r:id="rId4"/>
    <sheet name="Sheet3" sheetId="4" r:id="rId5"/>
    <sheet name="Sheet4" sheetId="6" r:id="rId6"/>
  </sheets>
  <calcPr calcId="191029"/>
  <pivotCaches>
    <pivotCache cacheId="7" r:id="rId7"/>
    <pivotCache cacheId="8" r:id="rId8"/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9" i="1"/>
  <c r="M2" i="1"/>
  <c r="M10" i="1"/>
  <c r="M184" i="1"/>
  <c r="M185" i="1"/>
  <c r="N185" i="1" s="1"/>
  <c r="M186" i="1"/>
  <c r="N186" i="1" s="1"/>
  <c r="M208" i="1"/>
  <c r="M209" i="1"/>
  <c r="N209" i="1" s="1"/>
  <c r="M210" i="1"/>
  <c r="N210" i="1" s="1"/>
  <c r="M20" i="1"/>
  <c r="N20" i="1" s="1"/>
  <c r="M21" i="1"/>
  <c r="N21" i="1" s="1"/>
  <c r="M60" i="1"/>
  <c r="N60" i="1" s="1"/>
  <c r="M61" i="1"/>
  <c r="N61" i="1" s="1"/>
  <c r="M70" i="1"/>
  <c r="N70" i="1" s="1"/>
  <c r="M71" i="1"/>
  <c r="N71" i="1" s="1"/>
  <c r="M80" i="1"/>
  <c r="M81" i="1"/>
  <c r="M90" i="1"/>
  <c r="N90" i="1" s="1"/>
  <c r="M91" i="1"/>
  <c r="N91" i="1" s="1"/>
  <c r="M100" i="1"/>
  <c r="M101" i="1"/>
  <c r="N101" i="1" s="1"/>
  <c r="M110" i="1"/>
  <c r="M111" i="1"/>
  <c r="M120" i="1"/>
  <c r="N120" i="1" s="1"/>
  <c r="M121" i="1"/>
  <c r="M130" i="1"/>
  <c r="N130" i="1" s="1"/>
  <c r="M131" i="1"/>
  <c r="N131" i="1" s="1"/>
  <c r="M30" i="1"/>
  <c r="N30" i="1" s="1"/>
  <c r="M31" i="1"/>
  <c r="N31" i="1" s="1"/>
  <c r="M40" i="1"/>
  <c r="N40" i="1" s="1"/>
  <c r="M41" i="1"/>
  <c r="N41" i="1" s="1"/>
  <c r="M50" i="1"/>
  <c r="M51" i="1"/>
  <c r="M183" i="1"/>
  <c r="M29" i="1"/>
  <c r="M17" i="1"/>
  <c r="N17" i="1" s="1"/>
  <c r="M207" i="1"/>
  <c r="M206" i="1"/>
  <c r="N206" i="1" s="1"/>
  <c r="M205" i="1"/>
  <c r="M204" i="1"/>
  <c r="N204" i="1" s="1"/>
  <c r="M203" i="1"/>
  <c r="N203" i="1" s="1"/>
  <c r="M202" i="1"/>
  <c r="N202" i="1" s="1"/>
  <c r="M201" i="1"/>
  <c r="M200" i="1"/>
  <c r="N200" i="1" s="1"/>
  <c r="M199" i="1"/>
  <c r="N199" i="1" s="1"/>
  <c r="M198" i="1"/>
  <c r="N198" i="1" s="1"/>
  <c r="M197" i="1"/>
  <c r="N197" i="1" s="1"/>
  <c r="M196" i="1"/>
  <c r="M195" i="1"/>
  <c r="M194" i="1"/>
  <c r="M193" i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6" i="1"/>
  <c r="N16" i="1" s="1"/>
  <c r="M9" i="1"/>
  <c r="N9" i="1" s="1"/>
  <c r="M8" i="1"/>
  <c r="N8" i="1" s="1"/>
  <c r="M231" i="1"/>
  <c r="N231" i="1" s="1"/>
  <c r="M230" i="1"/>
  <c r="N230" i="1" s="1"/>
  <c r="M229" i="1"/>
  <c r="N229" i="1" s="1"/>
  <c r="M228" i="1"/>
  <c r="M227" i="1"/>
  <c r="M226" i="1"/>
  <c r="M225" i="1"/>
  <c r="N225" i="1" s="1"/>
  <c r="M224" i="1"/>
  <c r="N224" i="1" s="1"/>
  <c r="M223" i="1"/>
  <c r="M7" i="1"/>
  <c r="M6" i="1"/>
  <c r="M222" i="1"/>
  <c r="N222" i="1" s="1"/>
  <c r="M5" i="1"/>
  <c r="N5" i="1" s="1"/>
  <c r="M182" i="1"/>
  <c r="N182" i="1" s="1"/>
  <c r="M4" i="1"/>
  <c r="N4" i="1" s="1"/>
  <c r="M221" i="1"/>
  <c r="N221" i="1" s="1"/>
  <c r="M3" i="1"/>
  <c r="N3" i="1" s="1"/>
  <c r="M220" i="1"/>
  <c r="N220" i="1" s="1"/>
  <c r="M219" i="1"/>
  <c r="N219" i="1" s="1"/>
  <c r="M218" i="1"/>
  <c r="M217" i="1"/>
  <c r="M216" i="1"/>
  <c r="N216" i="1" s="1"/>
  <c r="M215" i="1"/>
  <c r="M214" i="1"/>
  <c r="N214" i="1" s="1"/>
  <c r="M213" i="1"/>
  <c r="N213" i="1" s="1"/>
  <c r="M212" i="1"/>
  <c r="N212" i="1" s="1"/>
  <c r="M211" i="1"/>
  <c r="N211" i="1" s="1"/>
  <c r="M69" i="1"/>
  <c r="N69" i="1" s="1"/>
  <c r="M68" i="1"/>
  <c r="N68" i="1" s="1"/>
  <c r="M181" i="1"/>
  <c r="N181" i="1" s="1"/>
  <c r="M67" i="1"/>
  <c r="N67" i="1" s="1"/>
  <c r="M180" i="1"/>
  <c r="N180" i="1" s="1"/>
  <c r="M179" i="1"/>
  <c r="N179" i="1" s="1"/>
  <c r="M66" i="1"/>
  <c r="N66" i="1" s="1"/>
  <c r="M178" i="1"/>
  <c r="N178" i="1" s="1"/>
  <c r="M65" i="1"/>
  <c r="M64" i="1"/>
  <c r="M49" i="1"/>
  <c r="M63" i="1"/>
  <c r="N63" i="1" s="1"/>
  <c r="M62" i="1"/>
  <c r="N62" i="1" s="1"/>
  <c r="M48" i="1"/>
  <c r="N48" i="1" s="1"/>
  <c r="M47" i="1"/>
  <c r="N47" i="1" s="1"/>
  <c r="M15" i="1"/>
  <c r="N15" i="1" s="1"/>
  <c r="M14" i="1"/>
  <c r="N14" i="1" s="1"/>
  <c r="M13" i="1"/>
  <c r="N13" i="1" s="1"/>
  <c r="M12" i="1"/>
  <c r="N12" i="1" s="1"/>
  <c r="M11" i="1"/>
  <c r="N11" i="1" s="1"/>
  <c r="M46" i="1"/>
  <c r="N46" i="1" s="1"/>
  <c r="M45" i="1"/>
  <c r="N45" i="1" s="1"/>
  <c r="M44" i="1"/>
  <c r="N44" i="1" s="1"/>
  <c r="M43" i="1"/>
  <c r="N43" i="1" s="1"/>
  <c r="M177" i="1"/>
  <c r="M176" i="1"/>
  <c r="M175" i="1"/>
  <c r="N175" i="1" s="1"/>
  <c r="M174" i="1"/>
  <c r="M173" i="1"/>
  <c r="N173" i="1" s="1"/>
  <c r="M172" i="1"/>
  <c r="N172" i="1" s="1"/>
  <c r="M42" i="1"/>
  <c r="N42" i="1" s="1"/>
  <c r="M171" i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M161" i="1"/>
  <c r="M160" i="1"/>
  <c r="M159" i="1"/>
  <c r="M158" i="1"/>
  <c r="N158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57" i="1"/>
  <c r="N157" i="1" s="1"/>
  <c r="M156" i="1"/>
  <c r="N156" i="1" s="1"/>
  <c r="M155" i="1"/>
  <c r="N155" i="1" s="1"/>
  <c r="M154" i="1"/>
  <c r="M153" i="1"/>
  <c r="M152" i="1"/>
  <c r="M151" i="1"/>
  <c r="N151" i="1" s="1"/>
  <c r="M150" i="1"/>
  <c r="M149" i="1"/>
  <c r="N149" i="1" s="1"/>
  <c r="M148" i="1"/>
  <c r="N148" i="1" s="1"/>
  <c r="M147" i="1"/>
  <c r="N147" i="1" s="1"/>
  <c r="M146" i="1"/>
  <c r="N146" i="1" s="1"/>
  <c r="M145" i="1"/>
  <c r="N145" i="1" s="1"/>
  <c r="M139" i="1"/>
  <c r="N139" i="1" s="1"/>
  <c r="M138" i="1"/>
  <c r="N138" i="1" s="1"/>
  <c r="M144" i="1"/>
  <c r="N144" i="1" s="1"/>
  <c r="M143" i="1"/>
  <c r="N143" i="1" s="1"/>
  <c r="M142" i="1"/>
  <c r="N142" i="1" s="1"/>
  <c r="M137" i="1"/>
  <c r="N137" i="1" s="1"/>
  <c r="M141" i="1"/>
  <c r="M140" i="1"/>
  <c r="M136" i="1"/>
  <c r="M135" i="1"/>
  <c r="N135" i="1" s="1"/>
  <c r="M134" i="1"/>
  <c r="N134" i="1" s="1"/>
  <c r="M133" i="1"/>
  <c r="N133" i="1" s="1"/>
  <c r="M132" i="1"/>
  <c r="N132" i="1" s="1"/>
  <c r="M59" i="1"/>
  <c r="N59" i="1" s="1"/>
  <c r="M58" i="1"/>
  <c r="N58" i="1" s="1"/>
  <c r="M57" i="1"/>
  <c r="N57" i="1" s="1"/>
  <c r="M56" i="1"/>
  <c r="N56" i="1" s="1"/>
  <c r="M54" i="1"/>
  <c r="N54" i="1" s="1"/>
  <c r="M55" i="1"/>
  <c r="N55" i="1" s="1"/>
  <c r="M53" i="1"/>
  <c r="N53" i="1" s="1"/>
  <c r="M28" i="1"/>
  <c r="N28" i="1" s="1"/>
  <c r="M27" i="1"/>
  <c r="N27" i="1" s="1"/>
  <c r="M26" i="1"/>
  <c r="M25" i="1"/>
  <c r="M52" i="1"/>
  <c r="N52" i="1" s="1"/>
  <c r="M24" i="1"/>
  <c r="M89" i="1"/>
  <c r="M88" i="1"/>
  <c r="M23" i="1"/>
  <c r="N23" i="1" s="1"/>
  <c r="M87" i="1"/>
  <c r="N87" i="1" s="1"/>
  <c r="M86" i="1"/>
  <c r="N86" i="1" s="1"/>
  <c r="M85" i="1"/>
  <c r="N85" i="1" s="1"/>
  <c r="M22" i="1"/>
  <c r="N22" i="1" s="1"/>
  <c r="M84" i="1"/>
  <c r="N84" i="1" s="1"/>
  <c r="M83" i="1"/>
  <c r="N83" i="1" s="1"/>
  <c r="M82" i="1"/>
  <c r="N82" i="1" s="1"/>
  <c r="M39" i="1"/>
  <c r="N39" i="1" s="1"/>
  <c r="M38" i="1"/>
  <c r="N38" i="1" s="1"/>
  <c r="M37" i="1"/>
  <c r="M36" i="1"/>
  <c r="M79" i="1"/>
  <c r="N79" i="1" s="1"/>
  <c r="M35" i="1"/>
  <c r="M99" i="1"/>
  <c r="N99" i="1" s="1"/>
  <c r="M34" i="1"/>
  <c r="N34" i="1" s="1"/>
  <c r="M98" i="1"/>
  <c r="N98" i="1" s="1"/>
  <c r="M78" i="1"/>
  <c r="N78" i="1" s="1"/>
  <c r="M77" i="1"/>
  <c r="N77" i="1" s="1"/>
  <c r="M76" i="1"/>
  <c r="N76" i="1" s="1"/>
  <c r="M97" i="1"/>
  <c r="N97" i="1" s="1"/>
  <c r="M96" i="1"/>
  <c r="N96" i="1" s="1"/>
  <c r="M75" i="1"/>
  <c r="N75" i="1" s="1"/>
  <c r="M33" i="1"/>
  <c r="N33" i="1" s="1"/>
  <c r="M74" i="1"/>
  <c r="N74" i="1" s="1"/>
  <c r="M95" i="1"/>
  <c r="N95" i="1" s="1"/>
  <c r="M73" i="1"/>
  <c r="M32" i="1"/>
  <c r="M72" i="1"/>
  <c r="M94" i="1"/>
  <c r="N94" i="1" s="1"/>
  <c r="M93" i="1"/>
  <c r="N93" i="1" s="1"/>
  <c r="M92" i="1"/>
  <c r="N92" i="1" s="1"/>
  <c r="M119" i="1"/>
  <c r="M109" i="1"/>
  <c r="N109" i="1" s="1"/>
  <c r="M108" i="1"/>
  <c r="N108" i="1" s="1"/>
  <c r="M118" i="1"/>
  <c r="N118" i="1" s="1"/>
  <c r="M107" i="1"/>
  <c r="N107" i="1" s="1"/>
  <c r="M106" i="1"/>
  <c r="N106" i="1" s="1"/>
  <c r="M117" i="1"/>
  <c r="N117" i="1" s="1"/>
  <c r="M116" i="1"/>
  <c r="N116" i="1" s="1"/>
  <c r="M115" i="1"/>
  <c r="N115" i="1" s="1"/>
  <c r="M105" i="1"/>
  <c r="N105" i="1" s="1"/>
  <c r="M114" i="1"/>
  <c r="M104" i="1"/>
  <c r="M113" i="1"/>
  <c r="N113" i="1" s="1"/>
  <c r="M103" i="1"/>
  <c r="N103" i="1" s="1"/>
  <c r="M112" i="1"/>
  <c r="M102" i="1"/>
  <c r="N102" i="1" s="1"/>
  <c r="N141" i="1"/>
  <c r="N174" i="1"/>
  <c r="N150" i="1"/>
  <c r="N7" i="1"/>
  <c r="N205" i="1"/>
  <c r="N201" i="1"/>
  <c r="N195" i="1"/>
  <c r="N215" i="1"/>
  <c r="N208" i="1"/>
  <c r="N26" i="1"/>
  <c r="N65" i="1"/>
  <c r="N32" i="1"/>
  <c r="N36" i="1"/>
  <c r="N18" i="1"/>
  <c r="N19" i="1"/>
  <c r="N171" i="1"/>
  <c r="N161" i="1"/>
  <c r="N152" i="1"/>
  <c r="N160" i="1"/>
  <c r="N153" i="1"/>
  <c r="N159" i="1"/>
  <c r="N162" i="1"/>
  <c r="N177" i="1"/>
  <c r="N154" i="1"/>
  <c r="N140" i="1"/>
  <c r="N176" i="1"/>
  <c r="N183" i="1"/>
  <c r="N6" i="1"/>
  <c r="N2" i="1"/>
  <c r="N10" i="1"/>
  <c r="N194" i="1"/>
  <c r="N196" i="1"/>
  <c r="N184" i="1"/>
  <c r="N207" i="1"/>
  <c r="N193" i="1"/>
  <c r="N226" i="1"/>
  <c r="N223" i="1"/>
  <c r="N217" i="1"/>
  <c r="N227" i="1"/>
  <c r="N218" i="1"/>
  <c r="N228" i="1"/>
  <c r="N24" i="1"/>
  <c r="N25" i="1"/>
  <c r="N29" i="1"/>
  <c r="N64" i="1"/>
  <c r="N72" i="1"/>
  <c r="N73" i="1"/>
  <c r="N88" i="1"/>
  <c r="N89" i="1"/>
  <c r="N80" i="1"/>
  <c r="N81" i="1"/>
  <c r="N104" i="1"/>
  <c r="N100" i="1"/>
  <c r="N110" i="1"/>
  <c r="N111" i="1"/>
  <c r="N114" i="1"/>
  <c r="N119" i="1"/>
  <c r="N112" i="1"/>
  <c r="N121" i="1"/>
  <c r="N136" i="1"/>
  <c r="N37" i="1"/>
  <c r="N35" i="1"/>
  <c r="N49" i="1"/>
  <c r="N50" i="1"/>
  <c r="N51" i="1"/>
  <c r="J13" i="6"/>
  <c r="J12" i="6"/>
  <c r="I24" i="3"/>
  <c r="E21" i="3"/>
  <c r="H21" i="3"/>
  <c r="B10" i="3"/>
  <c r="B11" i="3"/>
  <c r="C11" i="3"/>
  <c r="D11" i="3"/>
  <c r="E11" i="3"/>
  <c r="F11" i="3"/>
  <c r="G11" i="3"/>
  <c r="H11" i="3"/>
  <c r="I11" i="3"/>
  <c r="J11" i="3"/>
  <c r="I12" i="3" l="1"/>
  <c r="H12" i="3"/>
  <c r="J12" i="3"/>
  <c r="G12" i="3"/>
  <c r="F12" i="3"/>
  <c r="E12" i="3"/>
  <c r="D12" i="3"/>
  <c r="C12" i="3"/>
  <c r="K11" i="3"/>
  <c r="B12" i="3"/>
  <c r="K12" i="3" s="1"/>
</calcChain>
</file>

<file path=xl/sharedStrings.xml><?xml version="1.0" encoding="utf-8"?>
<sst xmlns="http://schemas.openxmlformats.org/spreadsheetml/2006/main" count="3048" uniqueCount="147">
  <si>
    <t>hostname:</t>
  </si>
  <si>
    <t>smartctl param:</t>
  </si>
  <si>
    <t>Vendor:</t>
  </si>
  <si>
    <t>Product:</t>
  </si>
  <si>
    <t>User Capacity:</t>
  </si>
  <si>
    <t>Rotation Rate:</t>
  </si>
  <si>
    <t>Form Factor:</t>
  </si>
  <si>
    <t>Transport protocol:</t>
  </si>
  <si>
    <t>Specified load-unload count over device lifetime:</t>
  </si>
  <si>
    <t>Accumulated load-unload cycles:</t>
  </si>
  <si>
    <t>number of hours powered up :</t>
  </si>
  <si>
    <t>Device Model:</t>
  </si>
  <si>
    <t>dpom</t>
  </si>
  <si>
    <t>/dev/bus/0 -d megaraid,8</t>
  </si>
  <si>
    <t>ST4000NM0035-1V4107</t>
  </si>
  <si>
    <t>4,000,787,030,016 bytes [4.00 TB]</t>
  </si>
  <si>
    <t>7200 rpm</t>
  </si>
  <si>
    <t>3.5 inches</t>
  </si>
  <si>
    <t>/dev/bus/0 -d megaraid,9</t>
  </si>
  <si>
    <t>dpos</t>
  </si>
  <si>
    <t>/dev/bus/0 -d megaraid,11</t>
  </si>
  <si>
    <t>SEAGATE</t>
  </si>
  <si>
    <t>ST8000NM0075</t>
  </si>
  <si>
    <t>8,001,563,222,016 bytes [8.00 TB]</t>
  </si>
  <si>
    <t>SAS (SPL-3)</t>
  </si>
  <si>
    <t>/dev/bus/0 -d megaraid,12</t>
  </si>
  <si>
    <t>/dev/bus/0 -d megaraid,13</t>
  </si>
  <si>
    <t>/dev/bus/0 -d megaraid,14</t>
  </si>
  <si>
    <t>/dev/bus/0 -d megaraid,15</t>
  </si>
  <si>
    <t>/dev/bus/0 -d megaraid,16</t>
  </si>
  <si>
    <t>/dev/bus/0 -d megaraid,17</t>
  </si>
  <si>
    <t>/dev/bus/0 -d megaraid,18</t>
  </si>
  <si>
    <t>/dev/bus/0 -d megaraid,19</t>
  </si>
  <si>
    <t>/dev/bus/0 -d megaraid,20</t>
  </si>
  <si>
    <t>/dev/bus/0 -d megaraid,21</t>
  </si>
  <si>
    <t>/dev/bus/0 -d megaraid,23</t>
  </si>
  <si>
    <t>/dev/bus/0 -d megaraid,24</t>
  </si>
  <si>
    <t>/dev/bus/0 -d megaraid,25</t>
  </si>
  <si>
    <t>/dev/bus/0 -d megaraid,26</t>
  </si>
  <si>
    <t>/dev/bus/0 -d megaraid,27</t>
  </si>
  <si>
    <t>/dev/bus/0 -d megaraid,28</t>
  </si>
  <si>
    <t>/dev/bus/0 -d megaraid,29</t>
  </si>
  <si>
    <t>/dev/bus/0 -d megaraid,30</t>
  </si>
  <si>
    <t>/dev/bus/0 -d megaraid,31</t>
  </si>
  <si>
    <t>/dev/bus/0 -d megaraid,32</t>
  </si>
  <si>
    <t>/dev/bus/0 -d megaraid,33</t>
  </si>
  <si>
    <t>/dev/bus/0 -d megaraid,34</t>
  </si>
  <si>
    <t>/dev/bus/0 -d megaraid,35</t>
  </si>
  <si>
    <t>/dev/bus/0 -d megaraid,36</t>
  </si>
  <si>
    <t>/dev/bus/0 -d megaraid,37</t>
  </si>
  <si>
    <t>/dev/bus/0 -d megaraid,38</t>
  </si>
  <si>
    <t>/dev/bus/0 -d megaraid,39</t>
  </si>
  <si>
    <t>/dev/bus/0 -d megaraid,40</t>
  </si>
  <si>
    <t>/dev/bus/0 -d megaraid,42</t>
  </si>
  <si>
    <t>/dev/bus/0 -d megaraid,43</t>
  </si>
  <si>
    <t>/dev/bus/0 -d megaraid,44</t>
  </si>
  <si>
    <t>/dev/bus/0 -d megaraid,45</t>
  </si>
  <si>
    <t>/dev/bus/0 -d megaraid,46</t>
  </si>
  <si>
    <t>/dev/bus/0 -d megaraid,47</t>
  </si>
  <si>
    <t>/dev/bus/0 -d megaraid,48</t>
  </si>
  <si>
    <t>/dev/bus/0 -d megaraid,49</t>
  </si>
  <si>
    <t>/dev/bus/0 -d megaraid,50</t>
  </si>
  <si>
    <t>/dev/bus/0 -d megaraid,51</t>
  </si>
  <si>
    <t>/dev/bus/0 -d megaraid,52</t>
  </si>
  <si>
    <t>/dev/bus/0 -d megaraid,53</t>
  </si>
  <si>
    <t>/dev/bus/0 -d megaraid,54</t>
  </si>
  <si>
    <t>/dev/bus/0 -d megaraid,55</t>
  </si>
  <si>
    <t>/dev/bus/0 -d megaraid,56</t>
  </si>
  <si>
    <t>ST8000NM018B</t>
  </si>
  <si>
    <t>dpodb1</t>
  </si>
  <si>
    <t>ST8000NM0156</t>
  </si>
  <si>
    <t>/dev/bus/0 -d megaraid,10</t>
  </si>
  <si>
    <t>dpodb2</t>
  </si>
  <si>
    <t>/dev/bus/0 -d megaraid,1</t>
  </si>
  <si>
    <t>/dev/bus/0 -d megaraid,2</t>
  </si>
  <si>
    <t>/dev/bus/0 -d megaraid,3</t>
  </si>
  <si>
    <t>/dev/bus/0 -d megaraid,4</t>
  </si>
  <si>
    <t>/dev/bus/0 -d megaraid,6</t>
  </si>
  <si>
    <t>/dev/bus/0 -d megaraid,7</t>
  </si>
  <si>
    <t>ST8000NM001A</t>
  </si>
  <si>
    <t>rsdb1</t>
  </si>
  <si>
    <t>ST10000NM0528</t>
  </si>
  <si>
    <t>10,000,831,348,736 bytes [10.0 TB]</t>
  </si>
  <si>
    <t>/dev/bus/0 -d megaraid,41</t>
  </si>
  <si>
    <t>rsdb2</t>
  </si>
  <si>
    <t>dponode1</t>
  </si>
  <si>
    <t>ST10000NM0096</t>
  </si>
  <si>
    <t>INTEL SSDSC2KB240G7</t>
  </si>
  <si>
    <t>240,057,409,536 bytes [240 GB]</t>
  </si>
  <si>
    <t>Solid State Device</t>
  </si>
  <si>
    <t>2.5 inches</t>
  </si>
  <si>
    <t>ST10000NM018B</t>
  </si>
  <si>
    <t>dponode2</t>
  </si>
  <si>
    <t>/dev/bus/0 -d megaraid,5</t>
  </si>
  <si>
    <t>dponode3</t>
  </si>
  <si>
    <t>dponode4</t>
  </si>
  <si>
    <t>dponode5</t>
  </si>
  <si>
    <t>dponode6</t>
  </si>
  <si>
    <t>dponode7</t>
  </si>
  <si>
    <t>dponode8</t>
  </si>
  <si>
    <t>dponode9</t>
  </si>
  <si>
    <t>dponode10</t>
  </si>
  <si>
    <t>/dev/bus/0 -d megaraid,0</t>
  </si>
  <si>
    <t>dponode11</t>
  </si>
  <si>
    <t>dponode12</t>
  </si>
  <si>
    <t>행 레이블</t>
  </si>
  <si>
    <t>총합계</t>
  </si>
  <si>
    <t>열 레이블</t>
  </si>
  <si>
    <t>INTEL SSDSC2KB240G7 요약</t>
  </si>
  <si>
    <t>ST10000NM0096 요약</t>
  </si>
  <si>
    <t>ST10000NM018B 요약</t>
  </si>
  <si>
    <t>ST10000NM0528 요약</t>
  </si>
  <si>
    <t>ST4000NM0035-1V4107 요약</t>
  </si>
  <si>
    <t>ST8000NM001A 요약</t>
  </si>
  <si>
    <t>ST8000NM0075 요약</t>
  </si>
  <si>
    <t>ST8000NM0156 요약</t>
  </si>
  <si>
    <t>ST8000NM018B 요약</t>
  </si>
  <si>
    <t>240,057,409,536 bytes [240 GB] 요약</t>
  </si>
  <si>
    <t>10,000,831,348,736 bytes [10.0 TB] 요약</t>
  </si>
  <si>
    <t>4,000,787,030,016 bytes [4.00 TB] 요약</t>
  </si>
  <si>
    <t>8,001,563,222,016 bytes [8.00 TB] 요약</t>
  </si>
  <si>
    <t>개수 : Form Factor:</t>
  </si>
  <si>
    <t>Solid State Device 요약</t>
  </si>
  <si>
    <t>7200 rpm 요약</t>
  </si>
  <si>
    <t>개수 : User Capacity:</t>
  </si>
  <si>
    <t>쿠팡</t>
    <phoneticPr fontId="2" type="noConversion"/>
  </si>
  <si>
    <t>https://smartstore.naver.com/seagateshop/products/8887791095?NaPm=ct%3Dls2vkdim%7Cci%3Dshopn%7Ctr%3Ddana%7Chk%3D88cf1f2ac6aab2ba5ee68210e54641ec953fe637%7Ctrx%3Dundefined</t>
    <phoneticPr fontId="2" type="noConversion"/>
  </si>
  <si>
    <t>씨게이트 공식 스토어</t>
    <phoneticPr fontId="2" type="noConversion"/>
  </si>
  <si>
    <t>https://prod.danawa.com/info/?pcode=6452378&amp;keyword=ST10000NM0096&amp;cate=1131450</t>
    <phoneticPr fontId="2" type="noConversion"/>
  </si>
  <si>
    <t>다나와</t>
    <phoneticPr fontId="2" type="noConversion"/>
  </si>
  <si>
    <t>https://www.coupang.com/vp/products/7775473222?itemId=21003101022&amp;vendorItemId=88022211977&amp;src=1032034&amp;spec=10305199&amp;addtag=400&amp;ctag=7775473222&amp;lptag=I21003101022&amp;itime=20240201160954&amp;pageType=PRODUCT&amp;pageValue=7775473222&amp;wPcid=17067713944884726626034&amp;wRef=prod.danawa.com&amp;wTime=20240201160954&amp;redirect=landing&amp;mcid=f8beb491840f49d3ab22fcc941c0e156&amp;isAddedCart=</t>
    <phoneticPr fontId="2" type="noConversion"/>
  </si>
  <si>
    <t>https://prod.danawa.com/info/?pcode=6452481&amp;keyword=ST4000NM0035&amp;cate=1131450</t>
    <phoneticPr fontId="2" type="noConversion"/>
  </si>
  <si>
    <t>https://prod.danawa.com/info/?pcode=11777944&amp;keyword=ST8000NM001A&amp;cate=1131450</t>
    <phoneticPr fontId="2" type="noConversion"/>
  </si>
  <si>
    <t>https://prod.danawa.com/info/?pcode=6453106</t>
    <phoneticPr fontId="2" type="noConversion"/>
  </si>
  <si>
    <t>https://item.gmarket.co.kr/Item?goodscode=3477424497&amp;GoodsSale=Y&amp;jaehuid=200002657</t>
    <phoneticPr fontId="2" type="noConversion"/>
  </si>
  <si>
    <t>gmarket</t>
    <phoneticPr fontId="2" type="noConversion"/>
  </si>
  <si>
    <t>https://prod.danawa.com/info/?pcode=18680411&amp;keyword=ST8000NM018B&amp;cate=1131450</t>
    <phoneticPr fontId="2" type="noConversion"/>
  </si>
  <si>
    <t>https://korean.alibaba.com/product-detail/SSDSC2KB240G7-SSDSC2KB240G701-For-Intel-DC-S4500-1600338455237.html</t>
    <phoneticPr fontId="2" type="noConversion"/>
  </si>
  <si>
    <t>알리바바</t>
    <phoneticPr fontId="2" type="noConversion"/>
  </si>
  <si>
    <t xml:space="preserve"> User Capacity</t>
  </si>
  <si>
    <t xml:space="preserve"> [10.0 TB]</t>
    <phoneticPr fontId="2" type="noConversion"/>
  </si>
  <si>
    <t xml:space="preserve"> [8.00 TB]</t>
    <phoneticPr fontId="2" type="noConversion"/>
  </si>
  <si>
    <t>HDD</t>
    <phoneticPr fontId="12" type="noConversion"/>
  </si>
  <si>
    <t>Seagate Exos 7E10 SAS/7200/256M (ST10000NM018B, 10TB)</t>
    <phoneticPr fontId="12" type="noConversion"/>
  </si>
  <si>
    <t>Seagate EXOS 7E10 SAS/7200/256M (ST8000NM018B, 8TB)</t>
    <phoneticPr fontId="12" type="noConversion"/>
  </si>
  <si>
    <t>사용량</t>
    <phoneticPr fontId="2" type="noConversion"/>
  </si>
  <si>
    <t>점검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</si>
</sst>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#,##0_ ;[Red]\-#,##0\ "/>
  </numFmts>
  <fonts count="1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sz val="10"/>
      <color indexed="8"/>
      <name val="Helvetica Neue"/>
      <family val="2"/>
    </font>
    <font>
      <sz val="10"/>
      <color indexed="8"/>
      <name val="맑은 고딕"/>
      <family val="2"/>
      <charset val="129"/>
    </font>
    <font>
      <sz val="12"/>
      <color indexed="8"/>
      <name val="맑은 고딕"/>
      <family val="2"/>
      <charset val="129"/>
    </font>
    <font>
      <u/>
      <sz val="10"/>
      <color theme="10"/>
      <name val="Helvetica Neue"/>
      <family val="2"/>
    </font>
    <font>
      <sz val="16"/>
      <color theme="1"/>
      <name val="맑은 고딕"/>
      <family val="2"/>
      <charset val="129"/>
    </font>
    <font>
      <sz val="14"/>
      <color indexed="8"/>
      <name val="Helvetica Neue"/>
      <family val="2"/>
    </font>
    <font>
      <sz val="10"/>
      <color indexed="8"/>
      <name val="Helvetica Neue"/>
      <family val="2"/>
    </font>
    <font>
      <b/>
      <sz val="9"/>
      <color theme="1"/>
      <name val="Helvetica Neue"/>
      <family val="3"/>
      <charset val="129"/>
      <scheme val="minor"/>
    </font>
    <font>
      <b/>
      <sz val="10"/>
      <color theme="1"/>
      <name val="Helvetica Neue"/>
      <family val="3"/>
      <charset val="129"/>
      <scheme val="minor"/>
    </font>
    <font>
      <sz val="8"/>
      <name val="Helvetica Neue"/>
      <family val="2"/>
      <charset val="129"/>
      <scheme val="minor"/>
    </font>
    <font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  <xf numFmtId="41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2" fontId="0" fillId="0" borderId="14" xfId="0" applyNumberFormat="1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>
      <alignment vertical="top" wrapText="1"/>
    </xf>
    <xf numFmtId="0" fontId="0" fillId="0" borderId="17" xfId="0" applyBorder="1">
      <alignment vertical="top" wrapText="1"/>
    </xf>
    <xf numFmtId="0" fontId="0" fillId="0" borderId="18" xfId="0" applyBorder="1">
      <alignment vertical="top" wrapText="1"/>
    </xf>
    <xf numFmtId="0" fontId="0" fillId="0" borderId="19" xfId="0" applyBorder="1">
      <alignment vertical="top" wrapText="1"/>
    </xf>
    <xf numFmtId="0" fontId="0" fillId="0" borderId="20" xfId="0" applyBorder="1">
      <alignment vertical="top" wrapText="1"/>
    </xf>
    <xf numFmtId="0" fontId="0" fillId="0" borderId="21" xfId="0" applyNumberFormat="1" applyBorder="1">
      <alignment vertical="top" wrapText="1"/>
    </xf>
    <xf numFmtId="0" fontId="0" fillId="0" borderId="16" xfId="0" pivotButton="1" applyBorder="1">
      <alignment vertical="top" wrapText="1"/>
    </xf>
    <xf numFmtId="0" fontId="0" fillId="0" borderId="16" xfId="0" applyBorder="1" applyAlignment="1">
      <alignment horizontal="left" vertical="top" wrapText="1"/>
    </xf>
    <xf numFmtId="0" fontId="0" fillId="0" borderId="20" xfId="0" applyNumberFormat="1" applyBorder="1">
      <alignment vertical="top" wrapText="1"/>
    </xf>
    <xf numFmtId="0" fontId="0" fillId="0" borderId="19" xfId="0" applyBorder="1" applyAlignment="1">
      <alignment horizontal="left" vertical="top" wrapText="1"/>
    </xf>
    <xf numFmtId="0" fontId="0" fillId="0" borderId="22" xfId="0" applyNumberFormat="1" applyBorder="1">
      <alignment vertical="top" wrapText="1"/>
    </xf>
    <xf numFmtId="0" fontId="0" fillId="0" borderId="23" xfId="0" applyBorder="1" applyAlignment="1">
      <alignment horizontal="left" vertical="top" wrapText="1"/>
    </xf>
    <xf numFmtId="0" fontId="0" fillId="0" borderId="16" xfId="0" applyNumberFormat="1" applyBorder="1">
      <alignment vertical="top" wrapText="1"/>
    </xf>
    <xf numFmtId="0" fontId="0" fillId="0" borderId="19" xfId="0" applyNumberFormat="1" applyBorder="1">
      <alignment vertical="top" wrapText="1"/>
    </xf>
    <xf numFmtId="0" fontId="0" fillId="0" borderId="23" xfId="0" applyNumberFormat="1" applyBorder="1">
      <alignment vertical="top" wrapText="1"/>
    </xf>
    <xf numFmtId="0" fontId="0" fillId="0" borderId="22" xfId="0" applyBorder="1">
      <alignment vertical="top" wrapText="1"/>
    </xf>
    <xf numFmtId="0" fontId="5" fillId="0" borderId="24" xfId="0" applyNumberFormat="1" applyFont="1" applyBorder="1" applyAlignment="1">
      <alignment horizontal="center" vertical="center" wrapText="1"/>
    </xf>
    <xf numFmtId="0" fontId="4" fillId="0" borderId="24" xfId="0" pivotButton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0" xfId="0" applyFont="1">
      <alignment vertical="top" wrapText="1"/>
    </xf>
    <xf numFmtId="0" fontId="6" fillId="0" borderId="0" xfId="1">
      <alignment vertical="top" wrapText="1"/>
    </xf>
    <xf numFmtId="0" fontId="6" fillId="0" borderId="24" xfId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4" borderId="19" xfId="0" applyFill="1" applyBorder="1" applyAlignment="1">
      <alignment horizontal="left" vertical="top" wrapText="1"/>
    </xf>
    <xf numFmtId="0" fontId="8" fillId="0" borderId="16" xfId="0" pivotButton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4" xfId="0" pivotButton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176" fontId="10" fillId="0" borderId="24" xfId="0" applyNumberFormat="1" applyFont="1" applyBorder="1" applyAlignment="1">
      <alignment horizontal="center" vertical="center"/>
    </xf>
    <xf numFmtId="41" fontId="10" fillId="5" borderId="24" xfId="2" applyFont="1" applyFill="1" applyBorder="1" applyProtection="1">
      <alignment vertical="center"/>
      <protection hidden="1"/>
    </xf>
    <xf numFmtId="41" fontId="10" fillId="0" borderId="24" xfId="2" applyFont="1" applyBorder="1" applyAlignment="1">
      <alignment vertical="center"/>
    </xf>
    <xf numFmtId="49" fontId="1" fillId="6" borderId="10" xfId="0" applyNumberFormat="1" applyFont="1" applyFill="1" applyBorder="1" applyAlignment="1">
      <alignment vertical="top"/>
    </xf>
    <xf numFmtId="9" fontId="1" fillId="6" borderId="10" xfId="3" applyFont="1" applyFill="1" applyBorder="1" applyAlignment="1">
      <alignment vertical="top"/>
    </xf>
    <xf numFmtId="9" fontId="0" fillId="0" borderId="0" xfId="3" applyFont="1" applyAlignment="1">
      <alignment vertical="top"/>
    </xf>
    <xf numFmtId="49" fontId="0" fillId="0" borderId="0" xfId="0" applyNumberFormat="1" applyBorder="1" applyAlignment="1">
      <alignment vertical="top"/>
    </xf>
  </cellXfs>
  <cellStyles count="4">
    <cellStyle name="백분율" xfId="3" builtinId="5"/>
    <cellStyle name="쉼표 [0]" xfId="2" builtinId="6"/>
    <cellStyle name="표준" xfId="0" builtinId="0"/>
    <cellStyle name="하이퍼링크" xfId="1" builtinId="8"/>
  </cellStyles>
  <dxfs count="135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name val="맑은 고딕"/>
        <charset val="129"/>
      </font>
    </dxf>
    <dxf>
      <font>
        <sz val="12"/>
      </font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hk/Desktop/corp/seegene/&#4362;&#4469;&#4364;&#4454;&#4523;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22.704513425924" createdVersion="8" refreshedVersion="8" minRefreshableVersion="3" recordCount="230" xr:uid="{6858F96B-895B-464E-9C4D-23B7B46B871B}">
  <cacheSource type="worksheet">
    <worksheetSource name="표1" sheet=" DPO 노드 하드 디스크 정보(24-02-01).xlsx" r:id="rId2"/>
  </cacheSource>
  <cacheFields count="12">
    <cacheField name="hostname:" numFmtId="49">
      <sharedItems count="18">
        <s v="dpom"/>
        <s v="dpos"/>
        <s v="dpodb1"/>
        <s v="dpodb2"/>
        <s v="rsdb1"/>
        <s v="rsdb2"/>
        <s v="dponode1"/>
        <s v="dponode2"/>
        <s v="dponode3"/>
        <s v="dponode4"/>
        <s v="dponode5"/>
        <s v="dponode6"/>
        <s v="dponode7"/>
        <s v="dponode8"/>
        <s v="dponode9"/>
        <s v="dponode10"/>
        <s v="dponode11"/>
        <s v="dponode12"/>
      </sharedItems>
    </cacheField>
    <cacheField name="smartctl param:" numFmtId="49">
      <sharedItems count="56">
        <s v="/dev/bus/0 -d megaraid,8"/>
        <s v="/dev/bus/0 -d megaraid,9"/>
        <s v="/dev/bus/0 -d megaraid,11"/>
        <s v="/dev/bus/0 -d megaraid,12"/>
        <s v="/dev/bus/0 -d megaraid,13"/>
        <s v="/dev/bus/0 -d megaraid,14"/>
        <s v="/dev/bus/0 -d megaraid,15"/>
        <s v="/dev/bus/0 -d megaraid,16"/>
        <s v="/dev/bus/0 -d megaraid,17"/>
        <s v="/dev/bus/0 -d megaraid,18"/>
        <s v="/dev/bus/0 -d megaraid,19"/>
        <s v="/dev/bus/0 -d megaraid,20"/>
        <s v="/dev/bus/0 -d megaraid,21"/>
        <s v="/dev/bus/0 -d megaraid,23"/>
        <s v="/dev/bus/0 -d megaraid,24"/>
        <s v="/dev/bus/0 -d megaraid,25"/>
        <s v="/dev/bus/0 -d megaraid,26"/>
        <s v="/dev/bus/0 -d megaraid,27"/>
        <s v="/dev/bus/0 -d megaraid,28"/>
        <s v="/dev/bus/0 -d megaraid,29"/>
        <s v="/dev/bus/0 -d megaraid,30"/>
        <s v="/dev/bus/0 -d megaraid,31"/>
        <s v="/dev/bus/0 -d megaraid,32"/>
        <s v="/dev/bus/0 -d megaraid,33"/>
        <s v="/dev/bus/0 -d megaraid,34"/>
        <s v="/dev/bus/0 -d megaraid,35"/>
        <s v="/dev/bus/0 -d megaraid,36"/>
        <s v="/dev/bus/0 -d megaraid,37"/>
        <s v="/dev/bus/0 -d megaraid,38"/>
        <s v="/dev/bus/0 -d megaraid,39"/>
        <s v="/dev/bus/0 -d megaraid,40"/>
        <s v="/dev/bus/0 -d megaraid,42"/>
        <s v="/dev/bus/0 -d megaraid,43"/>
        <s v="/dev/bus/0 -d megaraid,44"/>
        <s v="/dev/bus/0 -d megaraid,45"/>
        <s v="/dev/bus/0 -d megaraid,46"/>
        <s v="/dev/bus/0 -d megaraid,47"/>
        <s v="/dev/bus/0 -d megaraid,48"/>
        <s v="/dev/bus/0 -d megaraid,49"/>
        <s v="/dev/bus/0 -d megaraid,50"/>
        <s v="/dev/bus/0 -d megaraid,51"/>
        <s v="/dev/bus/0 -d megaraid,52"/>
        <s v="/dev/bus/0 -d megaraid,53"/>
        <s v="/dev/bus/0 -d megaraid,54"/>
        <s v="/dev/bus/0 -d megaraid,55"/>
        <s v="/dev/bus/0 -d megaraid,56"/>
        <s v="/dev/bus/0 -d megaraid,10"/>
        <s v="/dev/bus/0 -d megaraid,1"/>
        <s v="/dev/bus/0 -d megaraid,2"/>
        <s v="/dev/bus/0 -d megaraid,3"/>
        <s v="/dev/bus/0 -d megaraid,4"/>
        <s v="/dev/bus/0 -d megaraid,6"/>
        <s v="/dev/bus/0 -d megaraid,7"/>
        <s v="/dev/bus/0 -d megaraid,41"/>
        <s v="/dev/bus/0 -d megaraid,5"/>
        <s v="/dev/bus/0 -d megaraid,0"/>
      </sharedItems>
    </cacheField>
    <cacheField name="Vendor:" numFmtId="0">
      <sharedItems containsBlank="1"/>
    </cacheField>
    <cacheField name="Product:" numFmtId="49">
      <sharedItems count="9">
        <s v="ST4000NM0035-1V4107"/>
        <s v="ST8000NM0075"/>
        <s v="ST8000NM018B"/>
        <s v="ST8000NM0156"/>
        <s v="ST8000NM001A"/>
        <s v="ST10000NM0528"/>
        <s v="ST10000NM0096"/>
        <s v="INTEL SSDSC2KB240G7"/>
        <s v="ST10000NM018B"/>
      </sharedItems>
    </cacheField>
    <cacheField name="User Capacity:" numFmtId="49">
      <sharedItems count="4">
        <s v="4,000,787,030,016 bytes [4.00 TB]"/>
        <s v="8,001,563,222,016 bytes [8.00 TB]"/>
        <s v="10,000,831,348,736 bytes [10.0 TB]"/>
        <s v="240,057,409,536 bytes [240 GB]"/>
      </sharedItems>
    </cacheField>
    <cacheField name="Rotation Rate:" numFmtId="49">
      <sharedItems count="2">
        <s v="7200 rpm"/>
        <s v="Solid State Device"/>
      </sharedItems>
    </cacheField>
    <cacheField name="Form Factor:" numFmtId="49">
      <sharedItems count="2">
        <s v="3.5 inches"/>
        <s v="2.5 inches"/>
      </sharedItems>
    </cacheField>
    <cacheField name="Transport protocol:" numFmtId="0">
      <sharedItems containsBlank="1"/>
    </cacheField>
    <cacheField name="Specified load-unload count over device lifetime:" numFmtId="0">
      <sharedItems containsString="0" containsBlank="1" containsNumber="1" containsInteger="1" minValue="300000" maxValue="600000"/>
    </cacheField>
    <cacheField name="Accumulated load-unload cycles:" numFmtId="0">
      <sharedItems containsString="0" containsBlank="1" containsNumber="1" containsInteger="1" minValue="4881" maxValue="578157"/>
    </cacheField>
    <cacheField name="number of hours powered up :" numFmtId="0">
      <sharedItems containsString="0" containsBlank="1" containsNumber="1" minValue="1831.1" maxValue="52179.97"/>
    </cacheField>
    <cacheField name="Device Model: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23.734587962965" createdVersion="8" refreshedVersion="8" minRefreshableVersion="3" recordCount="230" xr:uid="{7120E909-E0AE-614B-A393-58E7EB0256DA}">
  <cacheSource type="worksheet">
    <worksheetSource name="표1"/>
  </cacheSource>
  <cacheFields count="12">
    <cacheField name="hostname:" numFmtId="49">
      <sharedItems count="18">
        <s v="dpom"/>
        <s v="dpos"/>
        <s v="dpodb1"/>
        <s v="dpodb2"/>
        <s v="rsdb1"/>
        <s v="rsdb2"/>
        <s v="dponode1"/>
        <s v="dponode2"/>
        <s v="dponode3"/>
        <s v="dponode4"/>
        <s v="dponode5"/>
        <s v="dponode6"/>
        <s v="dponode7"/>
        <s v="dponode8"/>
        <s v="dponode9"/>
        <s v="dponode10"/>
        <s v="dponode11"/>
        <s v="dponode12"/>
      </sharedItems>
    </cacheField>
    <cacheField name="smartctl param:" numFmtId="49">
      <sharedItems/>
    </cacheField>
    <cacheField name="Vendor:" numFmtId="0">
      <sharedItems containsBlank="1"/>
    </cacheField>
    <cacheField name="Product:" numFmtId="49">
      <sharedItems count="9">
        <s v="ST4000NM0035-1V4107"/>
        <s v="ST8000NM0075"/>
        <s v="ST8000NM018B"/>
        <s v="ST8000NM0156"/>
        <s v="ST8000NM001A"/>
        <s v="ST10000NM0528"/>
        <s v="ST10000NM0096"/>
        <s v="INTEL SSDSC2KB240G7"/>
        <s v="ST10000NM018B"/>
      </sharedItems>
    </cacheField>
    <cacheField name="User Capacity:" numFmtId="49">
      <sharedItems count="4">
        <s v="4,000,787,030,016 bytes [4.00 TB]"/>
        <s v="8,001,563,222,016 bytes [8.00 TB]"/>
        <s v="10,000,831,348,736 bytes [10.0 TB]"/>
        <s v="240,057,409,536 bytes [240 GB]"/>
      </sharedItems>
    </cacheField>
    <cacheField name="Rotation Rate:" numFmtId="49">
      <sharedItems/>
    </cacheField>
    <cacheField name="Form Factor:" numFmtId="49">
      <sharedItems/>
    </cacheField>
    <cacheField name="Transport protocol:" numFmtId="0">
      <sharedItems containsBlank="1"/>
    </cacheField>
    <cacheField name="Specified load-unload count over device lifetime:" numFmtId="0">
      <sharedItems containsString="0" containsBlank="1" containsNumber="1" containsInteger="1" minValue="300000" maxValue="600000"/>
    </cacheField>
    <cacheField name="Accumulated load-unload cycles:" numFmtId="0">
      <sharedItems containsString="0" containsBlank="1" containsNumber="1" containsInteger="1" minValue="4881" maxValue="578157"/>
    </cacheField>
    <cacheField name="number of hours powered up :" numFmtId="0">
      <sharedItems containsString="0" containsBlank="1" containsNumber="1" minValue="1831.1" maxValue="52179.97"/>
    </cacheField>
    <cacheField name="Device Model: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23.734831712965" createdVersion="8" refreshedVersion="8" minRefreshableVersion="3" recordCount="138" xr:uid="{C168B607-AFD0-E948-B750-EDDF41134532}">
  <cacheSource type="worksheet">
    <worksheetSource name="표1_3"/>
  </cacheSource>
  <cacheFields count="12">
    <cacheField name="hostname:" numFmtId="49">
      <sharedItems count="15">
        <s v="dpom"/>
        <s v="dpodb1"/>
        <s v="dpodb2"/>
        <s v="dponode1"/>
        <s v="dponode2"/>
        <s v="dponode3"/>
        <s v="dponode4"/>
        <s v="dponode5"/>
        <s v="dponode6"/>
        <s v="dponode7"/>
        <s v="dponode8"/>
        <s v="dponode9"/>
        <s v="dponode10"/>
        <s v="dponode11"/>
        <s v="dponode12"/>
      </sharedItems>
    </cacheField>
    <cacheField name="smartctl param:" numFmtId="49">
      <sharedItems/>
    </cacheField>
    <cacheField name="Vendor:" numFmtId="0">
      <sharedItems containsBlank="1"/>
    </cacheField>
    <cacheField name="Product:" numFmtId="49">
      <sharedItems count="7">
        <s v="ST4000NM0035-1V4107"/>
        <s v="ST8000NM0156"/>
        <s v="ST8000NM001A"/>
        <s v="ST8000NM018B"/>
        <s v="ST10000NM0096"/>
        <s v="INTEL SSDSC2KB240G7"/>
        <s v="ST10000NM018B"/>
      </sharedItems>
    </cacheField>
    <cacheField name="User Capacity:" numFmtId="49">
      <sharedItems count="4">
        <s v="4,000,787,030,016 bytes [4.00 TB]"/>
        <s v="8,001,563,222,016 bytes [8.00 TB]"/>
        <s v="10,000,831,348,736 bytes [10.0 TB]"/>
        <s v="240,057,409,536 bytes [240 GB]"/>
      </sharedItems>
    </cacheField>
    <cacheField name="Rotation Rate:" numFmtId="49">
      <sharedItems/>
    </cacheField>
    <cacheField name="Form Factor:" numFmtId="49">
      <sharedItems/>
    </cacheField>
    <cacheField name="Transport protocol:" numFmtId="0">
      <sharedItems containsBlank="1"/>
    </cacheField>
    <cacheField name="Specified load-unload count over device lifetime:" numFmtId="0">
      <sharedItems containsString="0" containsBlank="1" containsNumber="1" containsInteger="1" minValue="300000" maxValue="600000"/>
    </cacheField>
    <cacheField name="Accumulated load-unload cycles:" numFmtId="0">
      <sharedItems containsString="0" containsBlank="1" containsNumber="1" containsInteger="1" minValue="11304" maxValue="578157"/>
    </cacheField>
    <cacheField name="number of hours powered up :" numFmtId="0">
      <sharedItems containsString="0" containsBlank="1" containsNumber="1" minValue="1831.2" maxValue="52159.53"/>
    </cacheField>
    <cacheField name="Device Model: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x v="0"/>
    <m/>
    <x v="0"/>
    <x v="0"/>
    <x v="0"/>
    <x v="0"/>
    <m/>
    <m/>
    <m/>
    <m/>
    <m/>
  </r>
  <r>
    <x v="0"/>
    <x v="1"/>
    <m/>
    <x v="0"/>
    <x v="0"/>
    <x v="0"/>
    <x v="0"/>
    <m/>
    <m/>
    <m/>
    <m/>
    <m/>
  </r>
  <r>
    <x v="1"/>
    <x v="2"/>
    <s v="SEAGATE"/>
    <x v="1"/>
    <x v="1"/>
    <x v="0"/>
    <x v="0"/>
    <s v="SAS (SPL-3)"/>
    <n v="300000"/>
    <n v="330970"/>
    <n v="52179.23"/>
    <m/>
  </r>
  <r>
    <x v="1"/>
    <x v="3"/>
    <s v="SEAGATE"/>
    <x v="1"/>
    <x v="1"/>
    <x v="0"/>
    <x v="0"/>
    <s v="SAS (SPL-3)"/>
    <n v="300000"/>
    <n v="379701"/>
    <n v="52179.33"/>
    <m/>
  </r>
  <r>
    <x v="1"/>
    <x v="4"/>
    <s v="SEAGATE"/>
    <x v="1"/>
    <x v="1"/>
    <x v="0"/>
    <x v="0"/>
    <s v="SAS (SPL-3)"/>
    <n v="300000"/>
    <n v="389564"/>
    <n v="52178.55"/>
    <m/>
  </r>
  <r>
    <x v="1"/>
    <x v="5"/>
    <s v="SEAGATE"/>
    <x v="1"/>
    <x v="1"/>
    <x v="0"/>
    <x v="0"/>
    <s v="SAS (SPL-3)"/>
    <n v="300000"/>
    <n v="322917"/>
    <n v="52179.97"/>
    <m/>
  </r>
  <r>
    <x v="1"/>
    <x v="6"/>
    <s v="SEAGATE"/>
    <x v="1"/>
    <x v="1"/>
    <x v="0"/>
    <x v="0"/>
    <s v="SAS (SPL-3)"/>
    <n v="300000"/>
    <n v="327688"/>
    <n v="52179.43"/>
    <m/>
  </r>
  <r>
    <x v="1"/>
    <x v="7"/>
    <s v="SEAGATE"/>
    <x v="1"/>
    <x v="1"/>
    <x v="0"/>
    <x v="0"/>
    <s v="SAS (SPL-3)"/>
    <n v="300000"/>
    <n v="333076"/>
    <n v="52179.55"/>
    <m/>
  </r>
  <r>
    <x v="1"/>
    <x v="8"/>
    <s v="SEAGATE"/>
    <x v="1"/>
    <x v="1"/>
    <x v="0"/>
    <x v="0"/>
    <s v="SAS (SPL-3)"/>
    <n v="300000"/>
    <n v="326961"/>
    <n v="52179.27"/>
    <m/>
  </r>
  <r>
    <x v="1"/>
    <x v="9"/>
    <s v="SEAGATE"/>
    <x v="1"/>
    <x v="1"/>
    <x v="0"/>
    <x v="0"/>
    <s v="SAS (SPL-3)"/>
    <n v="300000"/>
    <n v="399047"/>
    <n v="52178.58"/>
    <m/>
  </r>
  <r>
    <x v="1"/>
    <x v="10"/>
    <s v="SEAGATE"/>
    <x v="1"/>
    <x v="1"/>
    <x v="0"/>
    <x v="0"/>
    <s v="SAS (SPL-3)"/>
    <n v="300000"/>
    <n v="335559"/>
    <n v="52179.45"/>
    <m/>
  </r>
  <r>
    <x v="1"/>
    <x v="11"/>
    <s v="SEAGATE"/>
    <x v="1"/>
    <x v="1"/>
    <x v="0"/>
    <x v="0"/>
    <s v="SAS (SPL-3)"/>
    <n v="300000"/>
    <n v="398972"/>
    <n v="52178.58"/>
    <m/>
  </r>
  <r>
    <x v="1"/>
    <x v="12"/>
    <s v="SEAGATE"/>
    <x v="1"/>
    <x v="1"/>
    <x v="0"/>
    <x v="0"/>
    <s v="SAS (SPL-3)"/>
    <n v="300000"/>
    <n v="333120"/>
    <n v="52179.38"/>
    <m/>
  </r>
  <r>
    <x v="1"/>
    <x v="13"/>
    <s v="SEAGATE"/>
    <x v="1"/>
    <x v="1"/>
    <x v="0"/>
    <x v="0"/>
    <s v="SAS (SPL-3)"/>
    <n v="300000"/>
    <n v="404739"/>
    <n v="52178.27"/>
    <m/>
  </r>
  <r>
    <x v="1"/>
    <x v="14"/>
    <s v="SEAGATE"/>
    <x v="1"/>
    <x v="1"/>
    <x v="0"/>
    <x v="0"/>
    <s v="SAS (SPL-3)"/>
    <n v="300000"/>
    <n v="331393"/>
    <n v="52178.27"/>
    <m/>
  </r>
  <r>
    <x v="1"/>
    <x v="15"/>
    <s v="SEAGATE"/>
    <x v="1"/>
    <x v="1"/>
    <x v="0"/>
    <x v="0"/>
    <s v="SAS (SPL-3)"/>
    <n v="300000"/>
    <n v="405205"/>
    <n v="52178.63"/>
    <m/>
  </r>
  <r>
    <x v="1"/>
    <x v="16"/>
    <s v="SEAGATE"/>
    <x v="1"/>
    <x v="1"/>
    <x v="0"/>
    <x v="0"/>
    <s v="SAS (SPL-3)"/>
    <n v="300000"/>
    <n v="396471"/>
    <n v="52179.4"/>
    <m/>
  </r>
  <r>
    <x v="1"/>
    <x v="17"/>
    <s v="SEAGATE"/>
    <x v="1"/>
    <x v="1"/>
    <x v="0"/>
    <x v="0"/>
    <s v="SAS (SPL-3)"/>
    <n v="300000"/>
    <n v="334210"/>
    <n v="52179.4"/>
    <m/>
  </r>
  <r>
    <x v="1"/>
    <x v="18"/>
    <s v="SEAGATE"/>
    <x v="1"/>
    <x v="1"/>
    <x v="0"/>
    <x v="0"/>
    <s v="SAS (SPL-3)"/>
    <n v="300000"/>
    <n v="333000"/>
    <n v="52178.47"/>
    <m/>
  </r>
  <r>
    <x v="1"/>
    <x v="19"/>
    <s v="SEAGATE"/>
    <x v="1"/>
    <x v="1"/>
    <x v="0"/>
    <x v="0"/>
    <s v="SAS (SPL-3)"/>
    <n v="300000"/>
    <n v="401157"/>
    <n v="52179.55"/>
    <m/>
  </r>
  <r>
    <x v="1"/>
    <x v="20"/>
    <s v="SEAGATE"/>
    <x v="1"/>
    <x v="1"/>
    <x v="0"/>
    <x v="0"/>
    <s v="SAS (SPL-3)"/>
    <n v="300000"/>
    <n v="384167"/>
    <n v="52178.47"/>
    <m/>
  </r>
  <r>
    <x v="1"/>
    <x v="21"/>
    <s v="SEAGATE"/>
    <x v="1"/>
    <x v="1"/>
    <x v="0"/>
    <x v="0"/>
    <s v="SAS (SPL-3)"/>
    <n v="300000"/>
    <n v="400307"/>
    <n v="52179.45"/>
    <m/>
  </r>
  <r>
    <x v="1"/>
    <x v="22"/>
    <s v="SEAGATE"/>
    <x v="1"/>
    <x v="1"/>
    <x v="0"/>
    <x v="0"/>
    <s v="SAS (SPL-3)"/>
    <n v="300000"/>
    <n v="314796"/>
    <n v="52178.95"/>
    <m/>
  </r>
  <r>
    <x v="1"/>
    <x v="23"/>
    <s v="SEAGATE"/>
    <x v="1"/>
    <x v="1"/>
    <x v="0"/>
    <x v="0"/>
    <s v="SAS (SPL-3)"/>
    <n v="300000"/>
    <n v="326028"/>
    <n v="52178.27"/>
    <m/>
  </r>
  <r>
    <x v="1"/>
    <x v="24"/>
    <s v="SEAGATE"/>
    <x v="1"/>
    <x v="1"/>
    <x v="0"/>
    <x v="0"/>
    <s v="SAS (SPL-3)"/>
    <n v="300000"/>
    <n v="323491"/>
    <n v="52177.97"/>
    <m/>
  </r>
  <r>
    <x v="1"/>
    <x v="25"/>
    <s v="SEAGATE"/>
    <x v="1"/>
    <x v="1"/>
    <x v="0"/>
    <x v="0"/>
    <s v="SAS (SPL-3)"/>
    <n v="300000"/>
    <n v="390355"/>
    <n v="52179.32"/>
    <m/>
  </r>
  <r>
    <x v="1"/>
    <x v="26"/>
    <s v="SEAGATE"/>
    <x v="1"/>
    <x v="1"/>
    <x v="0"/>
    <x v="0"/>
    <s v="SAS (SPL-3)"/>
    <n v="300000"/>
    <n v="330239"/>
    <n v="52178.45"/>
    <m/>
  </r>
  <r>
    <x v="1"/>
    <x v="27"/>
    <s v="SEAGATE"/>
    <x v="1"/>
    <x v="1"/>
    <x v="0"/>
    <x v="0"/>
    <s v="SAS (SPL-3)"/>
    <n v="300000"/>
    <n v="322370"/>
    <n v="52178.37"/>
    <m/>
  </r>
  <r>
    <x v="1"/>
    <x v="28"/>
    <s v="SEAGATE"/>
    <x v="1"/>
    <x v="1"/>
    <x v="0"/>
    <x v="0"/>
    <s v="SAS (SPL-3)"/>
    <n v="300000"/>
    <n v="319540"/>
    <n v="52179.3"/>
    <m/>
  </r>
  <r>
    <x v="1"/>
    <x v="29"/>
    <s v="SEAGATE"/>
    <x v="1"/>
    <x v="1"/>
    <x v="0"/>
    <x v="0"/>
    <s v="SAS (SPL-3)"/>
    <n v="300000"/>
    <n v="407105"/>
    <n v="52179.37"/>
    <m/>
  </r>
  <r>
    <x v="1"/>
    <x v="30"/>
    <s v="SEAGATE"/>
    <x v="1"/>
    <x v="1"/>
    <x v="0"/>
    <x v="0"/>
    <s v="SAS (SPL-3)"/>
    <n v="300000"/>
    <n v="410575"/>
    <n v="52179.68"/>
    <m/>
  </r>
  <r>
    <x v="1"/>
    <x v="31"/>
    <s v="SEAGATE"/>
    <x v="1"/>
    <x v="1"/>
    <x v="0"/>
    <x v="0"/>
    <s v="SAS (SPL-3)"/>
    <n v="300000"/>
    <n v="321038"/>
    <n v="52178.53"/>
    <m/>
  </r>
  <r>
    <x v="1"/>
    <x v="32"/>
    <s v="SEAGATE"/>
    <x v="1"/>
    <x v="1"/>
    <x v="0"/>
    <x v="0"/>
    <s v="SAS (SPL-3)"/>
    <n v="300000"/>
    <n v="410652"/>
    <n v="52178.42"/>
    <m/>
  </r>
  <r>
    <x v="1"/>
    <x v="33"/>
    <s v="SEAGATE"/>
    <x v="1"/>
    <x v="1"/>
    <x v="0"/>
    <x v="0"/>
    <s v="SAS (SPL-3)"/>
    <n v="300000"/>
    <n v="326920"/>
    <n v="52178.77"/>
    <m/>
  </r>
  <r>
    <x v="1"/>
    <x v="34"/>
    <s v="SEAGATE"/>
    <x v="1"/>
    <x v="1"/>
    <x v="0"/>
    <x v="0"/>
    <s v="SAS (SPL-3)"/>
    <n v="300000"/>
    <n v="319373"/>
    <n v="52178.48"/>
    <m/>
  </r>
  <r>
    <x v="1"/>
    <x v="35"/>
    <s v="SEAGATE"/>
    <x v="1"/>
    <x v="1"/>
    <x v="0"/>
    <x v="0"/>
    <s v="SAS (SPL-3)"/>
    <n v="300000"/>
    <n v="321457"/>
    <n v="52178.05"/>
    <m/>
  </r>
  <r>
    <x v="1"/>
    <x v="36"/>
    <s v="SEAGATE"/>
    <x v="1"/>
    <x v="1"/>
    <x v="0"/>
    <x v="0"/>
    <s v="SAS (SPL-3)"/>
    <n v="300000"/>
    <n v="227062"/>
    <n v="51783.03"/>
    <m/>
  </r>
  <r>
    <x v="1"/>
    <x v="37"/>
    <s v="SEAGATE"/>
    <x v="1"/>
    <x v="1"/>
    <x v="0"/>
    <x v="0"/>
    <s v="SAS (SPL-3)"/>
    <n v="300000"/>
    <n v="233223"/>
    <n v="51782.75"/>
    <m/>
  </r>
  <r>
    <x v="1"/>
    <x v="38"/>
    <s v="SEAGATE"/>
    <x v="1"/>
    <x v="1"/>
    <x v="0"/>
    <x v="0"/>
    <s v="SAS (SPL-3)"/>
    <n v="300000"/>
    <n v="407206"/>
    <n v="52178.33"/>
    <m/>
  </r>
  <r>
    <x v="1"/>
    <x v="39"/>
    <s v="SEAGATE"/>
    <x v="1"/>
    <x v="1"/>
    <x v="0"/>
    <x v="0"/>
    <s v="SAS (SPL-3)"/>
    <n v="300000"/>
    <n v="232404"/>
    <n v="51781.8"/>
    <m/>
  </r>
  <r>
    <x v="1"/>
    <x v="40"/>
    <s v="SEAGATE"/>
    <x v="1"/>
    <x v="1"/>
    <x v="0"/>
    <x v="0"/>
    <s v="SAS (SPL-3)"/>
    <n v="300000"/>
    <n v="404460"/>
    <n v="52178.43"/>
    <m/>
  </r>
  <r>
    <x v="1"/>
    <x v="41"/>
    <s v="SEAGATE"/>
    <x v="1"/>
    <x v="1"/>
    <x v="0"/>
    <x v="0"/>
    <s v="SAS (SPL-3)"/>
    <n v="300000"/>
    <n v="234324"/>
    <n v="51781.72"/>
    <m/>
  </r>
  <r>
    <x v="1"/>
    <x v="42"/>
    <s v="SEAGATE"/>
    <x v="1"/>
    <x v="1"/>
    <x v="0"/>
    <x v="0"/>
    <s v="SAS (SPL-3)"/>
    <n v="300000"/>
    <n v="400011"/>
    <n v="52178.85"/>
    <m/>
  </r>
  <r>
    <x v="1"/>
    <x v="43"/>
    <s v="SEAGATE"/>
    <x v="1"/>
    <x v="1"/>
    <x v="0"/>
    <x v="0"/>
    <s v="SAS (SPL-3)"/>
    <n v="300000"/>
    <n v="408928"/>
    <n v="52178.58"/>
    <m/>
  </r>
  <r>
    <x v="1"/>
    <x v="44"/>
    <s v="SEAGATE"/>
    <x v="1"/>
    <x v="1"/>
    <x v="0"/>
    <x v="0"/>
    <s v="SAS (SPL-3)"/>
    <n v="300000"/>
    <n v="142458"/>
    <n v="29753.119999999999"/>
    <m/>
  </r>
  <r>
    <x v="1"/>
    <x v="45"/>
    <s v="SEAGATE"/>
    <x v="2"/>
    <x v="1"/>
    <x v="0"/>
    <x v="0"/>
    <s v="SAS (SPL-3)"/>
    <n v="600000"/>
    <n v="4881"/>
    <n v="1831.1"/>
    <m/>
  </r>
  <r>
    <x v="2"/>
    <x v="0"/>
    <s v="SEAGATE"/>
    <x v="3"/>
    <x v="1"/>
    <x v="0"/>
    <x v="0"/>
    <s v="SAS (SPL-3)"/>
    <n v="300000"/>
    <n v="143316"/>
    <n v="52057.52"/>
    <m/>
  </r>
  <r>
    <x v="2"/>
    <x v="1"/>
    <s v="SEAGATE"/>
    <x v="3"/>
    <x v="1"/>
    <x v="0"/>
    <x v="0"/>
    <s v="SAS (SPL-3)"/>
    <n v="300000"/>
    <n v="138092"/>
    <n v="52057.42"/>
    <m/>
  </r>
  <r>
    <x v="2"/>
    <x v="46"/>
    <s v="SEAGATE"/>
    <x v="3"/>
    <x v="1"/>
    <x v="0"/>
    <x v="0"/>
    <s v="SAS (SPL-3)"/>
    <n v="300000"/>
    <n v="141643"/>
    <n v="52057.8"/>
    <m/>
  </r>
  <r>
    <x v="2"/>
    <x v="2"/>
    <s v="SEAGATE"/>
    <x v="3"/>
    <x v="1"/>
    <x v="0"/>
    <x v="0"/>
    <s v="SAS (SPL-3)"/>
    <n v="300000"/>
    <n v="106167"/>
    <n v="52058.12"/>
    <m/>
  </r>
  <r>
    <x v="2"/>
    <x v="3"/>
    <s v="SEAGATE"/>
    <x v="3"/>
    <x v="1"/>
    <x v="0"/>
    <x v="0"/>
    <s v="SAS (SPL-3)"/>
    <m/>
    <m/>
    <m/>
    <m/>
  </r>
  <r>
    <x v="2"/>
    <x v="4"/>
    <s v="SEAGATE"/>
    <x v="3"/>
    <x v="1"/>
    <x v="0"/>
    <x v="0"/>
    <s v="SAS (SPL-3)"/>
    <n v="300000"/>
    <n v="141984"/>
    <n v="52057.55"/>
    <m/>
  </r>
  <r>
    <x v="2"/>
    <x v="5"/>
    <s v="SEAGATE"/>
    <x v="3"/>
    <x v="1"/>
    <x v="0"/>
    <x v="0"/>
    <s v="SAS (SPL-3)"/>
    <n v="300000"/>
    <n v="104204"/>
    <n v="52057.599999999999"/>
    <m/>
  </r>
  <r>
    <x v="2"/>
    <x v="6"/>
    <s v="SEAGATE"/>
    <x v="3"/>
    <x v="1"/>
    <x v="0"/>
    <x v="0"/>
    <s v="SAS (SPL-3)"/>
    <n v="300000"/>
    <n v="148156"/>
    <n v="52057.63"/>
    <m/>
  </r>
  <r>
    <x v="3"/>
    <x v="47"/>
    <s v="SEAGATE"/>
    <x v="3"/>
    <x v="1"/>
    <x v="0"/>
    <x v="0"/>
    <s v="SAS (SPL-3)"/>
    <n v="300000"/>
    <n v="287099"/>
    <n v="49168.53"/>
    <m/>
  </r>
  <r>
    <x v="3"/>
    <x v="48"/>
    <s v="SEAGATE"/>
    <x v="3"/>
    <x v="1"/>
    <x v="0"/>
    <x v="0"/>
    <s v="SAS (SPL-3)"/>
    <n v="300000"/>
    <n v="279124"/>
    <n v="49168.68"/>
    <m/>
  </r>
  <r>
    <x v="3"/>
    <x v="49"/>
    <s v="SEAGATE"/>
    <x v="3"/>
    <x v="1"/>
    <x v="0"/>
    <x v="0"/>
    <s v="SAS (SPL-3)"/>
    <n v="300000"/>
    <n v="275386"/>
    <n v="49169.55"/>
    <m/>
  </r>
  <r>
    <x v="3"/>
    <x v="50"/>
    <s v="SEAGATE"/>
    <x v="3"/>
    <x v="1"/>
    <x v="0"/>
    <x v="0"/>
    <s v="SAS (SPL-3)"/>
    <m/>
    <m/>
    <m/>
    <m/>
  </r>
  <r>
    <x v="3"/>
    <x v="51"/>
    <s v="SEAGATE"/>
    <x v="3"/>
    <x v="1"/>
    <x v="0"/>
    <x v="0"/>
    <s v="SAS (SPL-3)"/>
    <n v="300000"/>
    <n v="265342"/>
    <n v="49168.67"/>
    <m/>
  </r>
  <r>
    <x v="3"/>
    <x v="52"/>
    <s v="SEAGATE"/>
    <x v="3"/>
    <x v="1"/>
    <x v="0"/>
    <x v="0"/>
    <s v="SAS (SPL-3)"/>
    <n v="300000"/>
    <n v="288150"/>
    <n v="49168.28"/>
    <m/>
  </r>
  <r>
    <x v="3"/>
    <x v="0"/>
    <s v="SEAGATE"/>
    <x v="4"/>
    <x v="1"/>
    <x v="0"/>
    <x v="0"/>
    <s v="SAS (SPL-3)"/>
    <n v="600000"/>
    <n v="200290"/>
    <n v="33422.25"/>
    <m/>
  </r>
  <r>
    <x v="3"/>
    <x v="46"/>
    <s v="SEAGATE"/>
    <x v="2"/>
    <x v="1"/>
    <x v="0"/>
    <x v="0"/>
    <s v="SAS (SPL-3)"/>
    <n v="600000"/>
    <n v="33133"/>
    <n v="12026.32"/>
    <m/>
  </r>
  <r>
    <x v="4"/>
    <x v="16"/>
    <s v="SEAGATE"/>
    <x v="5"/>
    <x v="2"/>
    <x v="0"/>
    <x v="0"/>
    <s v="SAS (SPL-3)"/>
    <n v="600000"/>
    <n v="85881"/>
    <n v="33547.519999999997"/>
    <m/>
  </r>
  <r>
    <x v="4"/>
    <x v="17"/>
    <s v="SEAGATE"/>
    <x v="5"/>
    <x v="2"/>
    <x v="0"/>
    <x v="0"/>
    <s v="SAS (SPL-3)"/>
    <n v="600000"/>
    <n v="94828"/>
    <n v="33547.4"/>
    <m/>
  </r>
  <r>
    <x v="4"/>
    <x v="18"/>
    <s v="SEAGATE"/>
    <x v="5"/>
    <x v="2"/>
    <x v="0"/>
    <x v="0"/>
    <s v="SAS (SPL-3)"/>
    <n v="600000"/>
    <n v="90939"/>
    <n v="33547.35"/>
    <m/>
  </r>
  <r>
    <x v="4"/>
    <x v="19"/>
    <s v="SEAGATE"/>
    <x v="5"/>
    <x v="2"/>
    <x v="0"/>
    <x v="0"/>
    <s v="SAS (SPL-3)"/>
    <n v="600000"/>
    <n v="116321"/>
    <n v="33547.379999999997"/>
    <m/>
  </r>
  <r>
    <x v="4"/>
    <x v="20"/>
    <s v="SEAGATE"/>
    <x v="5"/>
    <x v="2"/>
    <x v="0"/>
    <x v="0"/>
    <s v="SAS (SPL-3)"/>
    <n v="600000"/>
    <n v="133334"/>
    <n v="33546.949999999997"/>
    <m/>
  </r>
  <r>
    <x v="4"/>
    <x v="21"/>
    <s v="SEAGATE"/>
    <x v="5"/>
    <x v="2"/>
    <x v="0"/>
    <x v="0"/>
    <s v="SAS (SPL-3)"/>
    <n v="600000"/>
    <n v="139740"/>
    <n v="33546.75"/>
    <m/>
  </r>
  <r>
    <x v="4"/>
    <x v="22"/>
    <s v="SEAGATE"/>
    <x v="5"/>
    <x v="2"/>
    <x v="0"/>
    <x v="0"/>
    <s v="SAS (SPL-3)"/>
    <n v="600000"/>
    <n v="101602"/>
    <n v="33547.800000000003"/>
    <m/>
  </r>
  <r>
    <x v="4"/>
    <x v="23"/>
    <s v="SEAGATE"/>
    <x v="5"/>
    <x v="2"/>
    <x v="0"/>
    <x v="0"/>
    <s v="SAS (SPL-3)"/>
    <n v="600000"/>
    <n v="98105"/>
    <n v="33547.300000000003"/>
    <m/>
  </r>
  <r>
    <x v="4"/>
    <x v="24"/>
    <s v="SEAGATE"/>
    <x v="5"/>
    <x v="2"/>
    <x v="0"/>
    <x v="0"/>
    <s v="SAS (SPL-3)"/>
    <n v="600000"/>
    <n v="99228"/>
    <n v="33547.480000000003"/>
    <m/>
  </r>
  <r>
    <x v="4"/>
    <x v="25"/>
    <s v="SEAGATE"/>
    <x v="5"/>
    <x v="2"/>
    <x v="0"/>
    <x v="0"/>
    <s v="SAS (SPL-3)"/>
    <n v="600000"/>
    <n v="139182"/>
    <n v="33547.449999999997"/>
    <m/>
  </r>
  <r>
    <x v="4"/>
    <x v="26"/>
    <s v="SEAGATE"/>
    <x v="5"/>
    <x v="2"/>
    <x v="0"/>
    <x v="0"/>
    <s v="SAS (SPL-3)"/>
    <n v="600000"/>
    <n v="89164"/>
    <n v="33546.82"/>
    <m/>
  </r>
  <r>
    <x v="4"/>
    <x v="27"/>
    <s v="SEAGATE"/>
    <x v="5"/>
    <x v="2"/>
    <x v="0"/>
    <x v="0"/>
    <s v="SAS (SPL-3)"/>
    <m/>
    <m/>
    <m/>
    <m/>
  </r>
  <r>
    <x v="4"/>
    <x v="28"/>
    <s v="SEAGATE"/>
    <x v="5"/>
    <x v="2"/>
    <x v="0"/>
    <x v="0"/>
    <s v="SAS (SPL-3)"/>
    <n v="600000"/>
    <n v="71946"/>
    <n v="33547.42"/>
    <m/>
  </r>
  <r>
    <x v="4"/>
    <x v="29"/>
    <s v="SEAGATE"/>
    <x v="5"/>
    <x v="2"/>
    <x v="0"/>
    <x v="0"/>
    <s v="SAS (SPL-3)"/>
    <n v="600000"/>
    <n v="125418"/>
    <n v="33547.480000000003"/>
    <m/>
  </r>
  <r>
    <x v="4"/>
    <x v="30"/>
    <s v="SEAGATE"/>
    <x v="5"/>
    <x v="2"/>
    <x v="0"/>
    <x v="0"/>
    <s v="SAS (SPL-3)"/>
    <n v="600000"/>
    <n v="99713"/>
    <n v="33547.199999999997"/>
    <m/>
  </r>
  <r>
    <x v="4"/>
    <x v="53"/>
    <s v="SEAGATE"/>
    <x v="5"/>
    <x v="2"/>
    <x v="0"/>
    <x v="0"/>
    <s v="SAS (SPL-3)"/>
    <m/>
    <m/>
    <m/>
    <m/>
  </r>
  <r>
    <x v="4"/>
    <x v="31"/>
    <s v="SEAGATE"/>
    <x v="5"/>
    <x v="2"/>
    <x v="0"/>
    <x v="0"/>
    <s v="SAS (SPL-3)"/>
    <n v="600000"/>
    <n v="92234"/>
    <n v="33547.78"/>
    <m/>
  </r>
  <r>
    <x v="4"/>
    <x v="32"/>
    <s v="SEAGATE"/>
    <x v="5"/>
    <x v="2"/>
    <x v="0"/>
    <x v="0"/>
    <s v="SAS (SPL-3)"/>
    <n v="600000"/>
    <n v="97876"/>
    <n v="33547.22"/>
    <m/>
  </r>
  <r>
    <x v="4"/>
    <x v="33"/>
    <s v="SEAGATE"/>
    <x v="5"/>
    <x v="2"/>
    <x v="0"/>
    <x v="0"/>
    <s v="SAS (SPL-3)"/>
    <n v="600000"/>
    <n v="140451"/>
    <n v="33547.83"/>
    <m/>
  </r>
  <r>
    <x v="4"/>
    <x v="34"/>
    <s v="SEAGATE"/>
    <x v="5"/>
    <x v="2"/>
    <x v="0"/>
    <x v="0"/>
    <s v="SAS (SPL-3)"/>
    <n v="600000"/>
    <n v="41513"/>
    <n v="33547.599999999999"/>
    <m/>
  </r>
  <r>
    <x v="4"/>
    <x v="35"/>
    <s v="SEAGATE"/>
    <x v="5"/>
    <x v="2"/>
    <x v="0"/>
    <x v="0"/>
    <s v="SAS (SPL-3)"/>
    <n v="600000"/>
    <n v="97717"/>
    <n v="33547.550000000003"/>
    <m/>
  </r>
  <r>
    <x v="4"/>
    <x v="36"/>
    <s v="SEAGATE"/>
    <x v="5"/>
    <x v="2"/>
    <x v="0"/>
    <x v="0"/>
    <s v="SAS (SPL-3)"/>
    <n v="600000"/>
    <n v="97396"/>
    <n v="33547.35"/>
    <m/>
  </r>
  <r>
    <x v="4"/>
    <x v="37"/>
    <s v="SEAGATE"/>
    <x v="5"/>
    <x v="2"/>
    <x v="0"/>
    <x v="0"/>
    <s v="SAS (SPL-3)"/>
    <n v="600000"/>
    <n v="103108"/>
    <n v="33546.769999999997"/>
    <m/>
  </r>
  <r>
    <x v="4"/>
    <x v="38"/>
    <s v="SEAGATE"/>
    <x v="5"/>
    <x v="2"/>
    <x v="0"/>
    <x v="0"/>
    <s v="SAS (SPL-3)"/>
    <m/>
    <m/>
    <m/>
    <m/>
  </r>
  <r>
    <x v="5"/>
    <x v="16"/>
    <s v="SEAGATE"/>
    <x v="5"/>
    <x v="2"/>
    <x v="0"/>
    <x v="0"/>
    <s v="SAS (SPL-3)"/>
    <n v="600000"/>
    <n v="237183"/>
    <n v="33507.980000000003"/>
    <m/>
  </r>
  <r>
    <x v="5"/>
    <x v="17"/>
    <s v="SEAGATE"/>
    <x v="5"/>
    <x v="2"/>
    <x v="0"/>
    <x v="0"/>
    <s v="SAS (SPL-3)"/>
    <n v="600000"/>
    <n v="256256"/>
    <n v="33507.5"/>
    <m/>
  </r>
  <r>
    <x v="5"/>
    <x v="18"/>
    <s v="SEAGATE"/>
    <x v="5"/>
    <x v="2"/>
    <x v="0"/>
    <x v="0"/>
    <s v="SAS (SPL-3)"/>
    <n v="600000"/>
    <n v="292846"/>
    <n v="33507.42"/>
    <m/>
  </r>
  <r>
    <x v="5"/>
    <x v="19"/>
    <s v="SEAGATE"/>
    <x v="5"/>
    <x v="2"/>
    <x v="0"/>
    <x v="0"/>
    <s v="SAS (SPL-3)"/>
    <n v="600000"/>
    <n v="337433"/>
    <n v="33506.97"/>
    <m/>
  </r>
  <r>
    <x v="5"/>
    <x v="20"/>
    <s v="SEAGATE"/>
    <x v="5"/>
    <x v="2"/>
    <x v="0"/>
    <x v="0"/>
    <s v="SAS (SPL-3)"/>
    <n v="600000"/>
    <n v="335006"/>
    <n v="33507.629999999997"/>
    <m/>
  </r>
  <r>
    <x v="5"/>
    <x v="21"/>
    <s v="SEAGATE"/>
    <x v="5"/>
    <x v="2"/>
    <x v="0"/>
    <x v="0"/>
    <s v="SAS (SPL-3)"/>
    <n v="600000"/>
    <n v="332746"/>
    <n v="33507.33"/>
    <m/>
  </r>
  <r>
    <x v="5"/>
    <x v="22"/>
    <s v="SEAGATE"/>
    <x v="5"/>
    <x v="2"/>
    <x v="0"/>
    <x v="0"/>
    <s v="SAS (SPL-3)"/>
    <n v="600000"/>
    <n v="298671"/>
    <n v="33507.4"/>
    <m/>
  </r>
  <r>
    <x v="5"/>
    <x v="23"/>
    <s v="SEAGATE"/>
    <x v="5"/>
    <x v="2"/>
    <x v="0"/>
    <x v="0"/>
    <s v="SAS (SPL-3)"/>
    <n v="600000"/>
    <n v="224941"/>
    <n v="33507.370000000003"/>
    <m/>
  </r>
  <r>
    <x v="5"/>
    <x v="24"/>
    <s v="SEAGATE"/>
    <x v="5"/>
    <x v="2"/>
    <x v="0"/>
    <x v="0"/>
    <s v="SAS (SPL-3)"/>
    <n v="600000"/>
    <n v="333436"/>
    <n v="33507.4"/>
    <m/>
  </r>
  <r>
    <x v="5"/>
    <x v="25"/>
    <s v="SEAGATE"/>
    <x v="5"/>
    <x v="2"/>
    <x v="0"/>
    <x v="0"/>
    <s v="SAS (SPL-3)"/>
    <m/>
    <m/>
    <m/>
    <m/>
  </r>
  <r>
    <x v="5"/>
    <x v="26"/>
    <s v="SEAGATE"/>
    <x v="5"/>
    <x v="2"/>
    <x v="0"/>
    <x v="0"/>
    <s v="SAS (SPL-3)"/>
    <n v="600000"/>
    <n v="239159"/>
    <n v="33507.65"/>
    <m/>
  </r>
  <r>
    <x v="5"/>
    <x v="27"/>
    <s v="SEAGATE"/>
    <x v="5"/>
    <x v="2"/>
    <x v="0"/>
    <x v="0"/>
    <s v="SAS (SPL-3)"/>
    <n v="600000"/>
    <n v="340063"/>
    <n v="33507.300000000003"/>
    <m/>
  </r>
  <r>
    <x v="5"/>
    <x v="28"/>
    <s v="SEAGATE"/>
    <x v="5"/>
    <x v="2"/>
    <x v="0"/>
    <x v="0"/>
    <s v="SAS (SPL-3)"/>
    <n v="600000"/>
    <n v="321901"/>
    <n v="33507.599999999999"/>
    <m/>
  </r>
  <r>
    <x v="5"/>
    <x v="29"/>
    <s v="SEAGATE"/>
    <x v="5"/>
    <x v="2"/>
    <x v="0"/>
    <x v="0"/>
    <s v="SAS (SPL-3)"/>
    <n v="600000"/>
    <n v="283907"/>
    <n v="33507.019999999997"/>
    <m/>
  </r>
  <r>
    <x v="5"/>
    <x v="30"/>
    <s v="SEAGATE"/>
    <x v="5"/>
    <x v="2"/>
    <x v="0"/>
    <x v="0"/>
    <s v="SAS (SPL-3)"/>
    <n v="600000"/>
    <n v="342239"/>
    <n v="33506.949999999997"/>
    <m/>
  </r>
  <r>
    <x v="5"/>
    <x v="53"/>
    <s v="SEAGATE"/>
    <x v="5"/>
    <x v="2"/>
    <x v="0"/>
    <x v="0"/>
    <s v="SAS (SPL-3)"/>
    <n v="600000"/>
    <n v="243936"/>
    <n v="33506.93"/>
    <m/>
  </r>
  <r>
    <x v="5"/>
    <x v="31"/>
    <s v="SEAGATE"/>
    <x v="5"/>
    <x v="2"/>
    <x v="0"/>
    <x v="0"/>
    <s v="SAS (SPL-3)"/>
    <n v="600000"/>
    <n v="237113"/>
    <n v="33507.730000000003"/>
    <m/>
  </r>
  <r>
    <x v="5"/>
    <x v="32"/>
    <s v="SEAGATE"/>
    <x v="5"/>
    <x v="2"/>
    <x v="0"/>
    <x v="0"/>
    <s v="SAS (SPL-3)"/>
    <n v="600000"/>
    <n v="213063"/>
    <n v="33507.07"/>
    <m/>
  </r>
  <r>
    <x v="5"/>
    <x v="33"/>
    <s v="SEAGATE"/>
    <x v="5"/>
    <x v="2"/>
    <x v="0"/>
    <x v="0"/>
    <s v="SAS (SPL-3)"/>
    <n v="600000"/>
    <n v="315290"/>
    <n v="33507.199999999997"/>
    <m/>
  </r>
  <r>
    <x v="5"/>
    <x v="34"/>
    <s v="SEAGATE"/>
    <x v="5"/>
    <x v="2"/>
    <x v="0"/>
    <x v="0"/>
    <s v="SAS (SPL-3)"/>
    <n v="600000"/>
    <n v="233779"/>
    <n v="33507.57"/>
    <m/>
  </r>
  <r>
    <x v="5"/>
    <x v="35"/>
    <s v="SEAGATE"/>
    <x v="5"/>
    <x v="2"/>
    <x v="0"/>
    <x v="0"/>
    <s v="SAS (SPL-3)"/>
    <n v="600000"/>
    <n v="309283"/>
    <n v="33507.18"/>
    <m/>
  </r>
  <r>
    <x v="5"/>
    <x v="36"/>
    <s v="SEAGATE"/>
    <x v="5"/>
    <x v="2"/>
    <x v="0"/>
    <x v="0"/>
    <s v="SAS (SPL-3)"/>
    <n v="600000"/>
    <n v="236121"/>
    <n v="33507"/>
    <m/>
  </r>
  <r>
    <x v="5"/>
    <x v="37"/>
    <s v="SEAGATE"/>
    <x v="5"/>
    <x v="2"/>
    <x v="0"/>
    <x v="0"/>
    <s v="SAS (SPL-3)"/>
    <m/>
    <m/>
    <m/>
    <m/>
  </r>
  <r>
    <x v="5"/>
    <x v="38"/>
    <s v="SEAGATE"/>
    <x v="5"/>
    <x v="2"/>
    <x v="0"/>
    <x v="0"/>
    <s v="SAS (SPL-3)"/>
    <m/>
    <m/>
    <m/>
    <m/>
  </r>
  <r>
    <x v="6"/>
    <x v="47"/>
    <s v="SEAGATE"/>
    <x v="6"/>
    <x v="2"/>
    <x v="0"/>
    <x v="0"/>
    <s v="SAS (SPL-3)"/>
    <n v="300000"/>
    <n v="516635"/>
    <n v="52122.67"/>
    <m/>
  </r>
  <r>
    <x v="6"/>
    <x v="48"/>
    <s v="SEAGATE"/>
    <x v="6"/>
    <x v="2"/>
    <x v="0"/>
    <x v="0"/>
    <s v="SAS (SPL-3)"/>
    <n v="300000"/>
    <n v="521087"/>
    <n v="52123.199999999997"/>
    <m/>
  </r>
  <r>
    <x v="6"/>
    <x v="49"/>
    <s v="SEAGATE"/>
    <x v="6"/>
    <x v="2"/>
    <x v="0"/>
    <x v="0"/>
    <s v="SAS (SPL-3)"/>
    <n v="300000"/>
    <n v="514214"/>
    <n v="52122.97"/>
    <m/>
  </r>
  <r>
    <x v="6"/>
    <x v="50"/>
    <s v="SEAGATE"/>
    <x v="6"/>
    <x v="2"/>
    <x v="0"/>
    <x v="0"/>
    <s v="SAS (SPL-3)"/>
    <n v="300000"/>
    <n v="523483"/>
    <n v="52122.77"/>
    <m/>
  </r>
  <r>
    <x v="6"/>
    <x v="51"/>
    <m/>
    <x v="7"/>
    <x v="3"/>
    <x v="1"/>
    <x v="1"/>
    <m/>
    <m/>
    <m/>
    <m/>
    <m/>
  </r>
  <r>
    <x v="6"/>
    <x v="52"/>
    <m/>
    <x v="7"/>
    <x v="3"/>
    <x v="1"/>
    <x v="1"/>
    <m/>
    <m/>
    <m/>
    <m/>
    <m/>
  </r>
  <r>
    <x v="6"/>
    <x v="0"/>
    <s v="SEAGATE"/>
    <x v="6"/>
    <x v="2"/>
    <x v="0"/>
    <x v="0"/>
    <s v="SAS (SPL-3)"/>
    <n v="300000"/>
    <n v="517785"/>
    <n v="52123"/>
    <m/>
  </r>
  <r>
    <x v="6"/>
    <x v="1"/>
    <s v="SEAGATE"/>
    <x v="6"/>
    <x v="2"/>
    <x v="0"/>
    <x v="0"/>
    <s v="SAS (SPL-3)"/>
    <n v="300000"/>
    <n v="514738"/>
    <n v="52122.65"/>
    <m/>
  </r>
  <r>
    <x v="6"/>
    <x v="46"/>
    <s v="SEAGATE"/>
    <x v="6"/>
    <x v="2"/>
    <x v="0"/>
    <x v="0"/>
    <s v="SAS (SPL-3)"/>
    <n v="300000"/>
    <n v="527641"/>
    <n v="52123.08"/>
    <m/>
  </r>
  <r>
    <x v="6"/>
    <x v="2"/>
    <s v="SEAGATE"/>
    <x v="8"/>
    <x v="2"/>
    <x v="0"/>
    <x v="0"/>
    <s v="SAS (SPL-3)"/>
    <n v="600000"/>
    <n v="11304"/>
    <n v="1831.2"/>
    <m/>
  </r>
  <r>
    <x v="7"/>
    <x v="47"/>
    <s v="SEAGATE"/>
    <x v="6"/>
    <x v="2"/>
    <x v="0"/>
    <x v="0"/>
    <s v="SAS (SPL-3)"/>
    <n v="300000"/>
    <n v="237039"/>
    <n v="52119.47"/>
    <m/>
  </r>
  <r>
    <x v="7"/>
    <x v="48"/>
    <s v="SEAGATE"/>
    <x v="6"/>
    <x v="2"/>
    <x v="0"/>
    <x v="0"/>
    <s v="SAS (SPL-3)"/>
    <n v="300000"/>
    <n v="212244"/>
    <n v="52119.73"/>
    <m/>
  </r>
  <r>
    <x v="7"/>
    <x v="49"/>
    <s v="SEAGATE"/>
    <x v="6"/>
    <x v="2"/>
    <x v="0"/>
    <x v="0"/>
    <s v="SAS (SPL-3)"/>
    <n v="300000"/>
    <n v="227222"/>
    <n v="52120.13"/>
    <m/>
  </r>
  <r>
    <x v="7"/>
    <x v="50"/>
    <s v="SEAGATE"/>
    <x v="6"/>
    <x v="2"/>
    <x v="0"/>
    <x v="0"/>
    <s v="SAS (SPL-3)"/>
    <n v="300000"/>
    <n v="254018"/>
    <n v="52120"/>
    <m/>
  </r>
  <r>
    <x v="7"/>
    <x v="54"/>
    <s v="SEAGATE"/>
    <x v="6"/>
    <x v="2"/>
    <x v="0"/>
    <x v="0"/>
    <s v="SAS (SPL-3)"/>
    <n v="300000"/>
    <n v="224600"/>
    <n v="52119.78"/>
    <m/>
  </r>
  <r>
    <x v="7"/>
    <x v="51"/>
    <s v="SEAGATE"/>
    <x v="6"/>
    <x v="2"/>
    <x v="0"/>
    <x v="0"/>
    <s v="SAS (SPL-3)"/>
    <n v="300000"/>
    <n v="250982"/>
    <n v="52119.92"/>
    <m/>
  </r>
  <r>
    <x v="7"/>
    <x v="52"/>
    <s v="SEAGATE"/>
    <x v="6"/>
    <x v="2"/>
    <x v="0"/>
    <x v="0"/>
    <s v="SAS (SPL-3)"/>
    <n v="300000"/>
    <n v="234805"/>
    <n v="52119.88"/>
    <m/>
  </r>
  <r>
    <x v="7"/>
    <x v="0"/>
    <s v="SEAGATE"/>
    <x v="6"/>
    <x v="2"/>
    <x v="0"/>
    <x v="0"/>
    <s v="SAS (SPL-3)"/>
    <n v="300000"/>
    <n v="233835"/>
    <n v="52119.88"/>
    <m/>
  </r>
  <r>
    <x v="7"/>
    <x v="1"/>
    <m/>
    <x v="7"/>
    <x v="3"/>
    <x v="1"/>
    <x v="1"/>
    <m/>
    <m/>
    <m/>
    <m/>
    <m/>
  </r>
  <r>
    <x v="7"/>
    <x v="46"/>
    <m/>
    <x v="7"/>
    <x v="3"/>
    <x v="1"/>
    <x v="1"/>
    <m/>
    <m/>
    <m/>
    <m/>
    <m/>
  </r>
  <r>
    <x v="8"/>
    <x v="47"/>
    <m/>
    <x v="7"/>
    <x v="3"/>
    <x v="1"/>
    <x v="1"/>
    <m/>
    <m/>
    <m/>
    <m/>
    <m/>
  </r>
  <r>
    <x v="8"/>
    <x v="48"/>
    <m/>
    <x v="7"/>
    <x v="3"/>
    <x v="1"/>
    <x v="1"/>
    <m/>
    <m/>
    <m/>
    <m/>
    <m/>
  </r>
  <r>
    <x v="8"/>
    <x v="49"/>
    <s v="SEAGATE"/>
    <x v="6"/>
    <x v="2"/>
    <x v="0"/>
    <x v="0"/>
    <s v="SAS (SPL-3)"/>
    <n v="300000"/>
    <n v="548262"/>
    <n v="52122.68"/>
    <m/>
  </r>
  <r>
    <x v="8"/>
    <x v="50"/>
    <s v="SEAGATE"/>
    <x v="6"/>
    <x v="2"/>
    <x v="0"/>
    <x v="0"/>
    <s v="SAS (SPL-3)"/>
    <n v="300000"/>
    <n v="548723"/>
    <n v="52123.02"/>
    <m/>
  </r>
  <r>
    <x v="8"/>
    <x v="54"/>
    <s v="SEAGATE"/>
    <x v="6"/>
    <x v="2"/>
    <x v="0"/>
    <x v="0"/>
    <s v="SAS (SPL-3)"/>
    <n v="300000"/>
    <n v="544236"/>
    <n v="52122.9"/>
    <m/>
  </r>
  <r>
    <x v="8"/>
    <x v="51"/>
    <s v="SEAGATE"/>
    <x v="6"/>
    <x v="2"/>
    <x v="0"/>
    <x v="0"/>
    <s v="SAS (SPL-3)"/>
    <n v="300000"/>
    <n v="548425"/>
    <n v="52122.95"/>
    <m/>
  </r>
  <r>
    <x v="8"/>
    <x v="52"/>
    <s v="SEAGATE"/>
    <x v="6"/>
    <x v="2"/>
    <x v="0"/>
    <x v="0"/>
    <s v="SAS (SPL-3)"/>
    <n v="300000"/>
    <n v="543641"/>
    <n v="52122.8"/>
    <m/>
  </r>
  <r>
    <x v="8"/>
    <x v="0"/>
    <s v="SEAGATE"/>
    <x v="6"/>
    <x v="2"/>
    <x v="0"/>
    <x v="0"/>
    <s v="SAS (SPL-3)"/>
    <n v="300000"/>
    <n v="546581"/>
    <n v="52122.82"/>
    <m/>
  </r>
  <r>
    <x v="8"/>
    <x v="1"/>
    <s v="SEAGATE"/>
    <x v="6"/>
    <x v="2"/>
    <x v="0"/>
    <x v="0"/>
    <s v="SAS (SPL-3)"/>
    <n v="300000"/>
    <n v="544224"/>
    <n v="52122.47"/>
    <m/>
  </r>
  <r>
    <x v="8"/>
    <x v="46"/>
    <s v="SEAGATE"/>
    <x v="6"/>
    <x v="2"/>
    <x v="0"/>
    <x v="0"/>
    <s v="SAS (SPL-3)"/>
    <n v="300000"/>
    <n v="540394"/>
    <n v="52122.87"/>
    <m/>
  </r>
  <r>
    <x v="9"/>
    <x v="47"/>
    <s v="SEAGATE"/>
    <x v="6"/>
    <x v="2"/>
    <x v="0"/>
    <x v="0"/>
    <s v="SAS (SPL-3)"/>
    <n v="300000"/>
    <n v="522809"/>
    <n v="52120"/>
    <m/>
  </r>
  <r>
    <x v="9"/>
    <x v="48"/>
    <s v="SEAGATE"/>
    <x v="6"/>
    <x v="2"/>
    <x v="0"/>
    <x v="0"/>
    <s v="SAS (SPL-3)"/>
    <n v="300000"/>
    <n v="531673"/>
    <n v="52119.83"/>
    <m/>
  </r>
  <r>
    <x v="9"/>
    <x v="49"/>
    <s v="SEAGATE"/>
    <x v="6"/>
    <x v="2"/>
    <x v="0"/>
    <x v="0"/>
    <s v="SAS (SPL-3)"/>
    <n v="300000"/>
    <n v="527460"/>
    <n v="52119.7"/>
    <m/>
  </r>
  <r>
    <x v="9"/>
    <x v="50"/>
    <s v="SEAGATE"/>
    <x v="6"/>
    <x v="2"/>
    <x v="0"/>
    <x v="0"/>
    <s v="SAS (SPL-3)"/>
    <n v="300000"/>
    <n v="530073"/>
    <n v="52120.18"/>
    <m/>
  </r>
  <r>
    <x v="9"/>
    <x v="54"/>
    <s v="SEAGATE"/>
    <x v="6"/>
    <x v="2"/>
    <x v="0"/>
    <x v="0"/>
    <s v="SAS (SPL-3)"/>
    <n v="300000"/>
    <n v="528320"/>
    <n v="52119.78"/>
    <m/>
  </r>
  <r>
    <x v="9"/>
    <x v="51"/>
    <s v="SEAGATE"/>
    <x v="6"/>
    <x v="2"/>
    <x v="0"/>
    <x v="0"/>
    <s v="SAS (SPL-3)"/>
    <n v="300000"/>
    <n v="524783"/>
    <n v="52119.83"/>
    <m/>
  </r>
  <r>
    <x v="9"/>
    <x v="52"/>
    <s v="SEAGATE"/>
    <x v="6"/>
    <x v="2"/>
    <x v="0"/>
    <x v="0"/>
    <s v="SAS (SPL-3)"/>
    <n v="300000"/>
    <n v="524480"/>
    <n v="52119.73"/>
    <m/>
  </r>
  <r>
    <x v="9"/>
    <x v="0"/>
    <s v="SEAGATE"/>
    <x v="6"/>
    <x v="2"/>
    <x v="0"/>
    <x v="0"/>
    <s v="SAS (SPL-3)"/>
    <n v="300000"/>
    <n v="521347"/>
    <n v="52119.73"/>
    <m/>
  </r>
  <r>
    <x v="9"/>
    <x v="1"/>
    <m/>
    <x v="7"/>
    <x v="3"/>
    <x v="1"/>
    <x v="1"/>
    <m/>
    <m/>
    <m/>
    <m/>
    <m/>
  </r>
  <r>
    <x v="9"/>
    <x v="46"/>
    <m/>
    <x v="7"/>
    <x v="3"/>
    <x v="1"/>
    <x v="1"/>
    <m/>
    <m/>
    <m/>
    <m/>
    <m/>
  </r>
  <r>
    <x v="10"/>
    <x v="47"/>
    <s v="SEAGATE"/>
    <x v="6"/>
    <x v="2"/>
    <x v="0"/>
    <x v="0"/>
    <s v="SAS (SPL-3)"/>
    <n v="300000"/>
    <n v="542498"/>
    <n v="52122.62"/>
    <m/>
  </r>
  <r>
    <x v="10"/>
    <x v="48"/>
    <s v="SEAGATE"/>
    <x v="6"/>
    <x v="2"/>
    <x v="0"/>
    <x v="0"/>
    <s v="SAS (SPL-3)"/>
    <n v="300000"/>
    <n v="548274"/>
    <n v="52123.4"/>
    <m/>
  </r>
  <r>
    <x v="10"/>
    <x v="49"/>
    <m/>
    <x v="7"/>
    <x v="3"/>
    <x v="1"/>
    <x v="1"/>
    <m/>
    <m/>
    <m/>
    <m/>
    <m/>
  </r>
  <r>
    <x v="10"/>
    <x v="50"/>
    <m/>
    <x v="7"/>
    <x v="3"/>
    <x v="1"/>
    <x v="1"/>
    <m/>
    <m/>
    <m/>
    <m/>
    <m/>
  </r>
  <r>
    <x v="10"/>
    <x v="54"/>
    <s v="SEAGATE"/>
    <x v="6"/>
    <x v="2"/>
    <x v="0"/>
    <x v="0"/>
    <s v="SAS (SPL-3)"/>
    <n v="300000"/>
    <n v="543619"/>
    <n v="52122.720000000001"/>
    <m/>
  </r>
  <r>
    <x v="10"/>
    <x v="51"/>
    <s v="SEAGATE"/>
    <x v="6"/>
    <x v="2"/>
    <x v="0"/>
    <x v="0"/>
    <s v="SAS (SPL-3)"/>
    <n v="300000"/>
    <n v="546451"/>
    <n v="52122.43"/>
    <m/>
  </r>
  <r>
    <x v="10"/>
    <x v="52"/>
    <s v="SEAGATE"/>
    <x v="6"/>
    <x v="2"/>
    <x v="0"/>
    <x v="0"/>
    <s v="SAS (SPL-3)"/>
    <n v="300000"/>
    <n v="550030"/>
    <n v="52122.95"/>
    <m/>
  </r>
  <r>
    <x v="10"/>
    <x v="0"/>
    <s v="SEAGATE"/>
    <x v="6"/>
    <x v="2"/>
    <x v="0"/>
    <x v="0"/>
    <s v="SAS (SPL-3)"/>
    <n v="300000"/>
    <n v="551827"/>
    <n v="52122.58"/>
    <m/>
  </r>
  <r>
    <x v="10"/>
    <x v="1"/>
    <s v="SEAGATE"/>
    <x v="6"/>
    <x v="2"/>
    <x v="0"/>
    <x v="0"/>
    <s v="SAS (SPL-3)"/>
    <n v="300000"/>
    <n v="545753"/>
    <n v="52122.67"/>
    <m/>
  </r>
  <r>
    <x v="10"/>
    <x v="46"/>
    <s v="SEAGATE"/>
    <x v="6"/>
    <x v="2"/>
    <x v="0"/>
    <x v="0"/>
    <s v="SAS (SPL-3)"/>
    <n v="300000"/>
    <n v="550553"/>
    <n v="52122.720000000001"/>
    <m/>
  </r>
  <r>
    <x v="11"/>
    <x v="47"/>
    <s v="SEAGATE"/>
    <x v="6"/>
    <x v="2"/>
    <x v="0"/>
    <x v="0"/>
    <s v="SAS (SPL-3)"/>
    <n v="300000"/>
    <n v="567055"/>
    <n v="52119.519999999997"/>
    <m/>
  </r>
  <r>
    <x v="11"/>
    <x v="48"/>
    <s v="SEAGATE"/>
    <x v="6"/>
    <x v="2"/>
    <x v="0"/>
    <x v="0"/>
    <s v="SAS (SPL-3)"/>
    <n v="300000"/>
    <n v="578157"/>
    <n v="52119.63"/>
    <m/>
  </r>
  <r>
    <x v="11"/>
    <x v="49"/>
    <s v="SEAGATE"/>
    <x v="6"/>
    <x v="2"/>
    <x v="0"/>
    <x v="0"/>
    <s v="SAS (SPL-3)"/>
    <n v="300000"/>
    <n v="572471"/>
    <n v="52119.55"/>
    <m/>
  </r>
  <r>
    <x v="11"/>
    <x v="50"/>
    <s v="SEAGATE"/>
    <x v="6"/>
    <x v="2"/>
    <x v="0"/>
    <x v="0"/>
    <s v="SAS (SPL-3)"/>
    <n v="300000"/>
    <n v="576981"/>
    <n v="52119.7"/>
    <m/>
  </r>
  <r>
    <x v="11"/>
    <x v="54"/>
    <s v="SEAGATE"/>
    <x v="6"/>
    <x v="2"/>
    <x v="0"/>
    <x v="0"/>
    <s v="SAS (SPL-3)"/>
    <n v="300000"/>
    <n v="566124"/>
    <n v="52119.48"/>
    <m/>
  </r>
  <r>
    <x v="11"/>
    <x v="51"/>
    <s v="SEAGATE"/>
    <x v="6"/>
    <x v="2"/>
    <x v="0"/>
    <x v="0"/>
    <s v="SAS (SPL-3)"/>
    <n v="300000"/>
    <n v="569016"/>
    <n v="52119.67"/>
    <m/>
  </r>
  <r>
    <x v="11"/>
    <x v="52"/>
    <s v="SEAGATE"/>
    <x v="6"/>
    <x v="2"/>
    <x v="0"/>
    <x v="0"/>
    <s v="SAS (SPL-3)"/>
    <n v="300000"/>
    <n v="566084"/>
    <n v="52119.6"/>
    <m/>
  </r>
  <r>
    <x v="11"/>
    <x v="0"/>
    <s v="SEAGATE"/>
    <x v="6"/>
    <x v="2"/>
    <x v="0"/>
    <x v="0"/>
    <s v="SAS (SPL-3)"/>
    <n v="300000"/>
    <n v="575946"/>
    <n v="52119.5"/>
    <m/>
  </r>
  <r>
    <x v="11"/>
    <x v="1"/>
    <m/>
    <x v="7"/>
    <x v="3"/>
    <x v="1"/>
    <x v="1"/>
    <m/>
    <m/>
    <m/>
    <m/>
    <m/>
  </r>
  <r>
    <x v="11"/>
    <x v="46"/>
    <m/>
    <x v="7"/>
    <x v="3"/>
    <x v="1"/>
    <x v="1"/>
    <m/>
    <m/>
    <m/>
    <m/>
    <m/>
  </r>
  <r>
    <x v="12"/>
    <x v="47"/>
    <m/>
    <x v="7"/>
    <x v="3"/>
    <x v="1"/>
    <x v="1"/>
    <m/>
    <m/>
    <m/>
    <m/>
    <m/>
  </r>
  <r>
    <x v="12"/>
    <x v="48"/>
    <m/>
    <x v="7"/>
    <x v="3"/>
    <x v="1"/>
    <x v="1"/>
    <m/>
    <m/>
    <m/>
    <m/>
    <m/>
  </r>
  <r>
    <x v="12"/>
    <x v="49"/>
    <s v="SEAGATE"/>
    <x v="6"/>
    <x v="2"/>
    <x v="0"/>
    <x v="0"/>
    <s v="SAS (SPL-3)"/>
    <n v="300000"/>
    <n v="569176"/>
    <n v="52125.03"/>
    <m/>
  </r>
  <r>
    <x v="12"/>
    <x v="50"/>
    <s v="SEAGATE"/>
    <x v="6"/>
    <x v="2"/>
    <x v="0"/>
    <x v="0"/>
    <s v="SAS (SPL-3)"/>
    <n v="300000"/>
    <n v="566949"/>
    <n v="52122.63"/>
    <m/>
  </r>
  <r>
    <x v="12"/>
    <x v="54"/>
    <s v="SEAGATE"/>
    <x v="6"/>
    <x v="2"/>
    <x v="0"/>
    <x v="0"/>
    <s v="SAS (SPL-3)"/>
    <n v="300000"/>
    <n v="571331"/>
    <n v="52122.9"/>
    <m/>
  </r>
  <r>
    <x v="12"/>
    <x v="51"/>
    <s v="SEAGATE"/>
    <x v="6"/>
    <x v="2"/>
    <x v="0"/>
    <x v="0"/>
    <s v="SAS (SPL-3)"/>
    <n v="300000"/>
    <n v="576878"/>
    <n v="52122.63"/>
    <m/>
  </r>
  <r>
    <x v="12"/>
    <x v="52"/>
    <s v="SEAGATE"/>
    <x v="6"/>
    <x v="2"/>
    <x v="0"/>
    <x v="0"/>
    <s v="SAS (SPL-3)"/>
    <n v="300000"/>
    <n v="573403"/>
    <n v="52123.07"/>
    <m/>
  </r>
  <r>
    <x v="12"/>
    <x v="0"/>
    <s v="SEAGATE"/>
    <x v="6"/>
    <x v="2"/>
    <x v="0"/>
    <x v="0"/>
    <s v="SAS (SPL-3)"/>
    <n v="300000"/>
    <n v="565089"/>
    <n v="52122.8"/>
    <m/>
  </r>
  <r>
    <x v="12"/>
    <x v="1"/>
    <s v="SEAGATE"/>
    <x v="6"/>
    <x v="2"/>
    <x v="0"/>
    <x v="0"/>
    <s v="SAS (SPL-3)"/>
    <n v="300000"/>
    <n v="569601"/>
    <n v="51999.15"/>
    <m/>
  </r>
  <r>
    <x v="12"/>
    <x v="46"/>
    <s v="SEAGATE"/>
    <x v="6"/>
    <x v="2"/>
    <x v="0"/>
    <x v="0"/>
    <s v="SAS (SPL-3)"/>
    <n v="300000"/>
    <n v="577897"/>
    <n v="52123.57"/>
    <m/>
  </r>
  <r>
    <x v="13"/>
    <x v="47"/>
    <s v="SEAGATE"/>
    <x v="6"/>
    <x v="2"/>
    <x v="0"/>
    <x v="0"/>
    <s v="SAS (SPL-3)"/>
    <n v="300000"/>
    <n v="368872"/>
    <n v="52156.88"/>
    <m/>
  </r>
  <r>
    <x v="13"/>
    <x v="48"/>
    <s v="SEAGATE"/>
    <x v="6"/>
    <x v="2"/>
    <x v="0"/>
    <x v="0"/>
    <s v="SAS (SPL-3)"/>
    <n v="300000"/>
    <n v="369109"/>
    <n v="52156.77"/>
    <m/>
  </r>
  <r>
    <x v="13"/>
    <x v="49"/>
    <s v="SEAGATE"/>
    <x v="6"/>
    <x v="2"/>
    <x v="0"/>
    <x v="0"/>
    <s v="SAS (SPL-3)"/>
    <n v="300000"/>
    <n v="364512"/>
    <n v="52156.57"/>
    <m/>
  </r>
  <r>
    <x v="13"/>
    <x v="50"/>
    <s v="SEAGATE"/>
    <x v="6"/>
    <x v="2"/>
    <x v="0"/>
    <x v="0"/>
    <s v="SAS (SPL-3)"/>
    <n v="300000"/>
    <n v="367980"/>
    <n v="52156.58"/>
    <m/>
  </r>
  <r>
    <x v="13"/>
    <x v="54"/>
    <s v="SEAGATE"/>
    <x v="6"/>
    <x v="2"/>
    <x v="0"/>
    <x v="0"/>
    <s v="SAS (SPL-3)"/>
    <n v="300000"/>
    <n v="371966"/>
    <n v="52156.480000000003"/>
    <m/>
  </r>
  <r>
    <x v="13"/>
    <x v="52"/>
    <s v="SEAGATE"/>
    <x v="6"/>
    <x v="2"/>
    <x v="0"/>
    <x v="0"/>
    <s v="SAS (SPL-3)"/>
    <n v="300000"/>
    <n v="374216"/>
    <n v="52156.75"/>
    <m/>
  </r>
  <r>
    <x v="13"/>
    <x v="0"/>
    <s v="SEAGATE"/>
    <x v="6"/>
    <x v="2"/>
    <x v="0"/>
    <x v="0"/>
    <s v="SAS (SPL-3)"/>
    <n v="300000"/>
    <n v="372022"/>
    <n v="52156.92"/>
    <m/>
  </r>
  <r>
    <x v="13"/>
    <x v="1"/>
    <m/>
    <x v="7"/>
    <x v="3"/>
    <x v="1"/>
    <x v="1"/>
    <m/>
    <m/>
    <m/>
    <m/>
    <m/>
  </r>
  <r>
    <x v="13"/>
    <x v="46"/>
    <m/>
    <x v="7"/>
    <x v="3"/>
    <x v="1"/>
    <x v="1"/>
    <m/>
    <m/>
    <m/>
    <m/>
    <m/>
  </r>
  <r>
    <x v="13"/>
    <x v="2"/>
    <s v="SEAGATE"/>
    <x v="6"/>
    <x v="2"/>
    <x v="0"/>
    <x v="0"/>
    <s v="SAS (SPL-3)"/>
    <n v="300000"/>
    <n v="358721"/>
    <n v="51303.98"/>
    <m/>
  </r>
  <r>
    <x v="14"/>
    <x v="47"/>
    <m/>
    <x v="7"/>
    <x v="3"/>
    <x v="1"/>
    <x v="1"/>
    <m/>
    <m/>
    <m/>
    <m/>
    <m/>
  </r>
  <r>
    <x v="14"/>
    <x v="48"/>
    <m/>
    <x v="7"/>
    <x v="3"/>
    <x v="1"/>
    <x v="1"/>
    <m/>
    <m/>
    <m/>
    <m/>
    <m/>
  </r>
  <r>
    <x v="14"/>
    <x v="49"/>
    <s v="SEAGATE"/>
    <x v="6"/>
    <x v="2"/>
    <x v="0"/>
    <x v="0"/>
    <s v="SAS (SPL-3)"/>
    <n v="300000"/>
    <n v="406368"/>
    <n v="52122.32"/>
    <m/>
  </r>
  <r>
    <x v="14"/>
    <x v="50"/>
    <s v="SEAGATE"/>
    <x v="6"/>
    <x v="2"/>
    <x v="0"/>
    <x v="0"/>
    <s v="SAS (SPL-3)"/>
    <n v="300000"/>
    <n v="415118"/>
    <n v="52122.78"/>
    <m/>
  </r>
  <r>
    <x v="14"/>
    <x v="54"/>
    <s v="SEAGATE"/>
    <x v="6"/>
    <x v="2"/>
    <x v="0"/>
    <x v="0"/>
    <s v="SAS (SPL-3)"/>
    <n v="300000"/>
    <n v="411747"/>
    <n v="52123.05"/>
    <m/>
  </r>
  <r>
    <x v="14"/>
    <x v="51"/>
    <s v="SEAGATE"/>
    <x v="6"/>
    <x v="2"/>
    <x v="0"/>
    <x v="0"/>
    <s v="SAS (SPL-3)"/>
    <n v="300000"/>
    <n v="409768"/>
    <n v="52121.47"/>
    <m/>
  </r>
  <r>
    <x v="14"/>
    <x v="52"/>
    <s v="SEAGATE"/>
    <x v="6"/>
    <x v="2"/>
    <x v="0"/>
    <x v="0"/>
    <s v="SAS (SPL-3)"/>
    <n v="300000"/>
    <n v="405338"/>
    <n v="52122.95"/>
    <m/>
  </r>
  <r>
    <x v="14"/>
    <x v="0"/>
    <s v="SEAGATE"/>
    <x v="6"/>
    <x v="2"/>
    <x v="0"/>
    <x v="0"/>
    <s v="SAS (SPL-3)"/>
    <n v="300000"/>
    <n v="417029"/>
    <n v="52122.400000000001"/>
    <m/>
  </r>
  <r>
    <x v="14"/>
    <x v="1"/>
    <s v="SEAGATE"/>
    <x v="6"/>
    <x v="2"/>
    <x v="0"/>
    <x v="0"/>
    <s v="SAS (SPL-3)"/>
    <n v="300000"/>
    <n v="412809"/>
    <n v="52124.45"/>
    <m/>
  </r>
  <r>
    <x v="14"/>
    <x v="46"/>
    <s v="SEAGATE"/>
    <x v="6"/>
    <x v="2"/>
    <x v="0"/>
    <x v="0"/>
    <s v="SAS (SPL-3)"/>
    <n v="300000"/>
    <n v="410907"/>
    <n v="52123.28"/>
    <m/>
  </r>
  <r>
    <x v="15"/>
    <x v="55"/>
    <m/>
    <x v="7"/>
    <x v="3"/>
    <x v="1"/>
    <x v="1"/>
    <m/>
    <m/>
    <m/>
    <m/>
    <m/>
  </r>
  <r>
    <x v="15"/>
    <x v="47"/>
    <m/>
    <x v="7"/>
    <x v="3"/>
    <x v="1"/>
    <x v="1"/>
    <m/>
    <m/>
    <m/>
    <m/>
    <m/>
  </r>
  <r>
    <x v="15"/>
    <x v="49"/>
    <s v="SEAGATE"/>
    <x v="6"/>
    <x v="2"/>
    <x v="0"/>
    <x v="0"/>
    <s v="SAS (SPL-3)"/>
    <n v="300000"/>
    <n v="542514"/>
    <n v="52099.53"/>
    <m/>
  </r>
  <r>
    <x v="15"/>
    <x v="50"/>
    <s v="SEAGATE"/>
    <x v="6"/>
    <x v="2"/>
    <x v="0"/>
    <x v="0"/>
    <s v="SAS (SPL-3)"/>
    <n v="300000"/>
    <n v="534179"/>
    <n v="52098.57"/>
    <m/>
  </r>
  <r>
    <x v="15"/>
    <x v="54"/>
    <s v="SEAGATE"/>
    <x v="6"/>
    <x v="2"/>
    <x v="0"/>
    <x v="0"/>
    <s v="SAS (SPL-3)"/>
    <n v="300000"/>
    <n v="534432"/>
    <n v="52099.83"/>
    <m/>
  </r>
  <r>
    <x v="15"/>
    <x v="51"/>
    <s v="SEAGATE"/>
    <x v="6"/>
    <x v="2"/>
    <x v="0"/>
    <x v="0"/>
    <s v="SAS (SPL-3)"/>
    <n v="300000"/>
    <n v="539010"/>
    <n v="52099.57"/>
    <m/>
  </r>
  <r>
    <x v="15"/>
    <x v="52"/>
    <s v="SEAGATE"/>
    <x v="6"/>
    <x v="2"/>
    <x v="0"/>
    <x v="0"/>
    <s v="SAS (SPL-3)"/>
    <n v="300000"/>
    <n v="548620"/>
    <n v="52098.720000000001"/>
    <m/>
  </r>
  <r>
    <x v="15"/>
    <x v="0"/>
    <s v="SEAGATE"/>
    <x v="6"/>
    <x v="2"/>
    <x v="0"/>
    <x v="0"/>
    <s v="SAS (SPL-3)"/>
    <n v="300000"/>
    <n v="540128"/>
    <n v="52098.77"/>
    <m/>
  </r>
  <r>
    <x v="15"/>
    <x v="1"/>
    <s v="SEAGATE"/>
    <x v="6"/>
    <x v="2"/>
    <x v="0"/>
    <x v="0"/>
    <s v="SAS (SPL-3)"/>
    <n v="300000"/>
    <n v="547197"/>
    <n v="52098.58"/>
    <m/>
  </r>
  <r>
    <x v="15"/>
    <x v="46"/>
    <s v="SEAGATE"/>
    <x v="6"/>
    <x v="2"/>
    <x v="0"/>
    <x v="0"/>
    <s v="SAS (SPL-3)"/>
    <n v="300000"/>
    <n v="541544"/>
    <n v="52099.15"/>
    <m/>
  </r>
  <r>
    <x v="16"/>
    <x v="47"/>
    <m/>
    <x v="7"/>
    <x v="3"/>
    <x v="1"/>
    <x v="1"/>
    <m/>
    <m/>
    <m/>
    <m/>
    <m/>
  </r>
  <r>
    <x v="16"/>
    <x v="48"/>
    <m/>
    <x v="7"/>
    <x v="3"/>
    <x v="1"/>
    <x v="1"/>
    <m/>
    <m/>
    <m/>
    <m/>
    <m/>
  </r>
  <r>
    <x v="16"/>
    <x v="49"/>
    <s v="SEAGATE"/>
    <x v="6"/>
    <x v="2"/>
    <x v="0"/>
    <x v="0"/>
    <s v="SAS (SPL-3)"/>
    <n v="300000"/>
    <n v="307459"/>
    <n v="52159.18"/>
    <m/>
  </r>
  <r>
    <x v="16"/>
    <x v="50"/>
    <s v="SEAGATE"/>
    <x v="6"/>
    <x v="2"/>
    <x v="0"/>
    <x v="0"/>
    <s v="SAS (SPL-3)"/>
    <n v="300000"/>
    <n v="313978"/>
    <n v="52159.42"/>
    <m/>
  </r>
  <r>
    <x v="16"/>
    <x v="54"/>
    <s v="SEAGATE"/>
    <x v="6"/>
    <x v="2"/>
    <x v="0"/>
    <x v="0"/>
    <s v="SAS (SPL-3)"/>
    <n v="300000"/>
    <n v="292025"/>
    <n v="52159.53"/>
    <m/>
  </r>
  <r>
    <x v="16"/>
    <x v="51"/>
    <s v="SEAGATE"/>
    <x v="6"/>
    <x v="2"/>
    <x v="0"/>
    <x v="0"/>
    <s v="SAS (SPL-3)"/>
    <n v="300000"/>
    <n v="265293"/>
    <n v="52159.53"/>
    <m/>
  </r>
  <r>
    <x v="16"/>
    <x v="52"/>
    <s v="SEAGATE"/>
    <x v="6"/>
    <x v="2"/>
    <x v="0"/>
    <x v="0"/>
    <s v="SAS (SPL-3)"/>
    <n v="300000"/>
    <n v="263945"/>
    <n v="52159.37"/>
    <m/>
  </r>
  <r>
    <x v="16"/>
    <x v="0"/>
    <s v="SEAGATE"/>
    <x v="6"/>
    <x v="2"/>
    <x v="0"/>
    <x v="0"/>
    <s v="SAS (SPL-3)"/>
    <n v="300000"/>
    <n v="322471"/>
    <n v="52159.28"/>
    <m/>
  </r>
  <r>
    <x v="16"/>
    <x v="1"/>
    <s v="SEAGATE"/>
    <x v="6"/>
    <x v="2"/>
    <x v="0"/>
    <x v="0"/>
    <s v="SAS (SPL-3)"/>
    <n v="300000"/>
    <n v="305222"/>
    <n v="52159.43"/>
    <m/>
  </r>
  <r>
    <x v="16"/>
    <x v="46"/>
    <s v="SEAGATE"/>
    <x v="6"/>
    <x v="2"/>
    <x v="0"/>
    <x v="0"/>
    <s v="SAS (SPL-3)"/>
    <n v="300000"/>
    <n v="248315"/>
    <n v="52159.25"/>
    <m/>
  </r>
  <r>
    <x v="17"/>
    <x v="55"/>
    <m/>
    <x v="7"/>
    <x v="3"/>
    <x v="1"/>
    <x v="1"/>
    <m/>
    <m/>
    <m/>
    <m/>
    <m/>
  </r>
  <r>
    <x v="17"/>
    <x v="47"/>
    <m/>
    <x v="7"/>
    <x v="3"/>
    <x v="1"/>
    <x v="1"/>
    <m/>
    <m/>
    <m/>
    <m/>
    <m/>
  </r>
  <r>
    <x v="17"/>
    <x v="49"/>
    <s v="SEAGATE"/>
    <x v="6"/>
    <x v="2"/>
    <x v="0"/>
    <x v="0"/>
    <s v="SAS (SPL-3)"/>
    <n v="300000"/>
    <n v="509094"/>
    <n v="52102.35"/>
    <m/>
  </r>
  <r>
    <x v="17"/>
    <x v="50"/>
    <s v="SEAGATE"/>
    <x v="6"/>
    <x v="2"/>
    <x v="0"/>
    <x v="0"/>
    <s v="SAS (SPL-3)"/>
    <n v="300000"/>
    <n v="513268"/>
    <n v="52102.22"/>
    <m/>
  </r>
  <r>
    <x v="17"/>
    <x v="54"/>
    <s v="SEAGATE"/>
    <x v="6"/>
    <x v="2"/>
    <x v="0"/>
    <x v="0"/>
    <s v="SAS (SPL-3)"/>
    <n v="300000"/>
    <n v="519909"/>
    <n v="52101.77"/>
    <m/>
  </r>
  <r>
    <x v="17"/>
    <x v="51"/>
    <s v="SEAGATE"/>
    <x v="6"/>
    <x v="2"/>
    <x v="0"/>
    <x v="0"/>
    <s v="SAS (SPL-3)"/>
    <n v="300000"/>
    <n v="510527"/>
    <n v="52102.400000000001"/>
    <m/>
  </r>
  <r>
    <x v="17"/>
    <x v="52"/>
    <s v="SEAGATE"/>
    <x v="6"/>
    <x v="2"/>
    <x v="0"/>
    <x v="0"/>
    <s v="SAS (SPL-3)"/>
    <n v="300000"/>
    <n v="505794"/>
    <n v="52101.95"/>
    <m/>
  </r>
  <r>
    <x v="17"/>
    <x v="0"/>
    <s v="SEAGATE"/>
    <x v="6"/>
    <x v="2"/>
    <x v="0"/>
    <x v="0"/>
    <s v="SAS (SPL-3)"/>
    <n v="300000"/>
    <n v="506605"/>
    <n v="52102.03"/>
    <m/>
  </r>
  <r>
    <x v="17"/>
    <x v="1"/>
    <s v="SEAGATE"/>
    <x v="6"/>
    <x v="2"/>
    <x v="0"/>
    <x v="0"/>
    <s v="SAS (SPL-3)"/>
    <n v="300000"/>
    <n v="510527"/>
    <n v="52101.77"/>
    <m/>
  </r>
  <r>
    <x v="17"/>
    <x v="46"/>
    <s v="SEAGATE"/>
    <x v="6"/>
    <x v="2"/>
    <x v="0"/>
    <x v="0"/>
    <s v="SAS (SPL-3)"/>
    <n v="300000"/>
    <n v="509239"/>
    <n v="52102.2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s v="/dev/bus/0 -d megaraid,8"/>
    <m/>
    <x v="0"/>
    <x v="0"/>
    <s v="7200 rpm"/>
    <s v="3.5 inches"/>
    <m/>
    <m/>
    <m/>
    <m/>
    <m/>
  </r>
  <r>
    <x v="0"/>
    <s v="/dev/bus/0 -d megaraid,9"/>
    <m/>
    <x v="0"/>
    <x v="0"/>
    <s v="7200 rpm"/>
    <s v="3.5 inches"/>
    <m/>
    <m/>
    <m/>
    <m/>
    <m/>
  </r>
  <r>
    <x v="1"/>
    <s v="/dev/bus/0 -d megaraid,11"/>
    <s v="SEAGATE"/>
    <x v="1"/>
    <x v="1"/>
    <s v="7200 rpm"/>
    <s v="3.5 inches"/>
    <s v="SAS (SPL-3)"/>
    <n v="300000"/>
    <n v="330970"/>
    <n v="52179.23"/>
    <m/>
  </r>
  <r>
    <x v="1"/>
    <s v="/dev/bus/0 -d megaraid,12"/>
    <s v="SEAGATE"/>
    <x v="1"/>
    <x v="1"/>
    <s v="7200 rpm"/>
    <s v="3.5 inches"/>
    <s v="SAS (SPL-3)"/>
    <n v="300000"/>
    <n v="379701"/>
    <n v="52179.33"/>
    <m/>
  </r>
  <r>
    <x v="1"/>
    <s v="/dev/bus/0 -d megaraid,13"/>
    <s v="SEAGATE"/>
    <x v="1"/>
    <x v="1"/>
    <s v="7200 rpm"/>
    <s v="3.5 inches"/>
    <s v="SAS (SPL-3)"/>
    <n v="300000"/>
    <n v="389564"/>
    <n v="52178.55"/>
    <m/>
  </r>
  <r>
    <x v="1"/>
    <s v="/dev/bus/0 -d megaraid,14"/>
    <s v="SEAGATE"/>
    <x v="1"/>
    <x v="1"/>
    <s v="7200 rpm"/>
    <s v="3.5 inches"/>
    <s v="SAS (SPL-3)"/>
    <n v="300000"/>
    <n v="322917"/>
    <n v="52179.97"/>
    <m/>
  </r>
  <r>
    <x v="1"/>
    <s v="/dev/bus/0 -d megaraid,15"/>
    <s v="SEAGATE"/>
    <x v="1"/>
    <x v="1"/>
    <s v="7200 rpm"/>
    <s v="3.5 inches"/>
    <s v="SAS (SPL-3)"/>
    <n v="300000"/>
    <n v="327688"/>
    <n v="52179.43"/>
    <m/>
  </r>
  <r>
    <x v="1"/>
    <s v="/dev/bus/0 -d megaraid,16"/>
    <s v="SEAGATE"/>
    <x v="1"/>
    <x v="1"/>
    <s v="7200 rpm"/>
    <s v="3.5 inches"/>
    <s v="SAS (SPL-3)"/>
    <n v="300000"/>
    <n v="333076"/>
    <n v="52179.55"/>
    <m/>
  </r>
  <r>
    <x v="1"/>
    <s v="/dev/bus/0 -d megaraid,17"/>
    <s v="SEAGATE"/>
    <x v="1"/>
    <x v="1"/>
    <s v="7200 rpm"/>
    <s v="3.5 inches"/>
    <s v="SAS (SPL-3)"/>
    <n v="300000"/>
    <n v="326961"/>
    <n v="52179.27"/>
    <m/>
  </r>
  <r>
    <x v="1"/>
    <s v="/dev/bus/0 -d megaraid,18"/>
    <s v="SEAGATE"/>
    <x v="1"/>
    <x v="1"/>
    <s v="7200 rpm"/>
    <s v="3.5 inches"/>
    <s v="SAS (SPL-3)"/>
    <n v="300000"/>
    <n v="399047"/>
    <n v="52178.58"/>
    <m/>
  </r>
  <r>
    <x v="1"/>
    <s v="/dev/bus/0 -d megaraid,19"/>
    <s v="SEAGATE"/>
    <x v="1"/>
    <x v="1"/>
    <s v="7200 rpm"/>
    <s v="3.5 inches"/>
    <s v="SAS (SPL-3)"/>
    <n v="300000"/>
    <n v="335559"/>
    <n v="52179.45"/>
    <m/>
  </r>
  <r>
    <x v="1"/>
    <s v="/dev/bus/0 -d megaraid,20"/>
    <s v="SEAGATE"/>
    <x v="1"/>
    <x v="1"/>
    <s v="7200 rpm"/>
    <s v="3.5 inches"/>
    <s v="SAS (SPL-3)"/>
    <n v="300000"/>
    <n v="398972"/>
    <n v="52178.58"/>
    <m/>
  </r>
  <r>
    <x v="1"/>
    <s v="/dev/bus/0 -d megaraid,21"/>
    <s v="SEAGATE"/>
    <x v="1"/>
    <x v="1"/>
    <s v="7200 rpm"/>
    <s v="3.5 inches"/>
    <s v="SAS (SPL-3)"/>
    <n v="300000"/>
    <n v="333120"/>
    <n v="52179.38"/>
    <m/>
  </r>
  <r>
    <x v="1"/>
    <s v="/dev/bus/0 -d megaraid,23"/>
    <s v="SEAGATE"/>
    <x v="1"/>
    <x v="1"/>
    <s v="7200 rpm"/>
    <s v="3.5 inches"/>
    <s v="SAS (SPL-3)"/>
    <n v="300000"/>
    <n v="404739"/>
    <n v="52178.27"/>
    <m/>
  </r>
  <r>
    <x v="1"/>
    <s v="/dev/bus/0 -d megaraid,24"/>
    <s v="SEAGATE"/>
    <x v="1"/>
    <x v="1"/>
    <s v="7200 rpm"/>
    <s v="3.5 inches"/>
    <s v="SAS (SPL-3)"/>
    <n v="300000"/>
    <n v="331393"/>
    <n v="52178.27"/>
    <m/>
  </r>
  <r>
    <x v="1"/>
    <s v="/dev/bus/0 -d megaraid,25"/>
    <s v="SEAGATE"/>
    <x v="1"/>
    <x v="1"/>
    <s v="7200 rpm"/>
    <s v="3.5 inches"/>
    <s v="SAS (SPL-3)"/>
    <n v="300000"/>
    <n v="405205"/>
    <n v="52178.63"/>
    <m/>
  </r>
  <r>
    <x v="1"/>
    <s v="/dev/bus/0 -d megaraid,26"/>
    <s v="SEAGATE"/>
    <x v="1"/>
    <x v="1"/>
    <s v="7200 rpm"/>
    <s v="3.5 inches"/>
    <s v="SAS (SPL-3)"/>
    <n v="300000"/>
    <n v="396471"/>
    <n v="52179.4"/>
    <m/>
  </r>
  <r>
    <x v="1"/>
    <s v="/dev/bus/0 -d megaraid,27"/>
    <s v="SEAGATE"/>
    <x v="1"/>
    <x v="1"/>
    <s v="7200 rpm"/>
    <s v="3.5 inches"/>
    <s v="SAS (SPL-3)"/>
    <n v="300000"/>
    <n v="334210"/>
    <n v="52179.4"/>
    <m/>
  </r>
  <r>
    <x v="1"/>
    <s v="/dev/bus/0 -d megaraid,28"/>
    <s v="SEAGATE"/>
    <x v="1"/>
    <x v="1"/>
    <s v="7200 rpm"/>
    <s v="3.5 inches"/>
    <s v="SAS (SPL-3)"/>
    <n v="300000"/>
    <n v="333000"/>
    <n v="52178.47"/>
    <m/>
  </r>
  <r>
    <x v="1"/>
    <s v="/dev/bus/0 -d megaraid,29"/>
    <s v="SEAGATE"/>
    <x v="1"/>
    <x v="1"/>
    <s v="7200 rpm"/>
    <s v="3.5 inches"/>
    <s v="SAS (SPL-3)"/>
    <n v="300000"/>
    <n v="401157"/>
    <n v="52179.55"/>
    <m/>
  </r>
  <r>
    <x v="1"/>
    <s v="/dev/bus/0 -d megaraid,30"/>
    <s v="SEAGATE"/>
    <x v="1"/>
    <x v="1"/>
    <s v="7200 rpm"/>
    <s v="3.5 inches"/>
    <s v="SAS (SPL-3)"/>
    <n v="300000"/>
    <n v="384167"/>
    <n v="52178.47"/>
    <m/>
  </r>
  <r>
    <x v="1"/>
    <s v="/dev/bus/0 -d megaraid,31"/>
    <s v="SEAGATE"/>
    <x v="1"/>
    <x v="1"/>
    <s v="7200 rpm"/>
    <s v="3.5 inches"/>
    <s v="SAS (SPL-3)"/>
    <n v="300000"/>
    <n v="400307"/>
    <n v="52179.45"/>
    <m/>
  </r>
  <r>
    <x v="1"/>
    <s v="/dev/bus/0 -d megaraid,32"/>
    <s v="SEAGATE"/>
    <x v="1"/>
    <x v="1"/>
    <s v="7200 rpm"/>
    <s v="3.5 inches"/>
    <s v="SAS (SPL-3)"/>
    <n v="300000"/>
    <n v="314796"/>
    <n v="52178.95"/>
    <m/>
  </r>
  <r>
    <x v="1"/>
    <s v="/dev/bus/0 -d megaraid,33"/>
    <s v="SEAGATE"/>
    <x v="1"/>
    <x v="1"/>
    <s v="7200 rpm"/>
    <s v="3.5 inches"/>
    <s v="SAS (SPL-3)"/>
    <n v="300000"/>
    <n v="326028"/>
    <n v="52178.27"/>
    <m/>
  </r>
  <r>
    <x v="1"/>
    <s v="/dev/bus/0 -d megaraid,34"/>
    <s v="SEAGATE"/>
    <x v="1"/>
    <x v="1"/>
    <s v="7200 rpm"/>
    <s v="3.5 inches"/>
    <s v="SAS (SPL-3)"/>
    <n v="300000"/>
    <n v="323491"/>
    <n v="52177.97"/>
    <m/>
  </r>
  <r>
    <x v="1"/>
    <s v="/dev/bus/0 -d megaraid,35"/>
    <s v="SEAGATE"/>
    <x v="1"/>
    <x v="1"/>
    <s v="7200 rpm"/>
    <s v="3.5 inches"/>
    <s v="SAS (SPL-3)"/>
    <n v="300000"/>
    <n v="390355"/>
    <n v="52179.32"/>
    <m/>
  </r>
  <r>
    <x v="1"/>
    <s v="/dev/bus/0 -d megaraid,36"/>
    <s v="SEAGATE"/>
    <x v="1"/>
    <x v="1"/>
    <s v="7200 rpm"/>
    <s v="3.5 inches"/>
    <s v="SAS (SPL-3)"/>
    <n v="300000"/>
    <n v="330239"/>
    <n v="52178.45"/>
    <m/>
  </r>
  <r>
    <x v="1"/>
    <s v="/dev/bus/0 -d megaraid,37"/>
    <s v="SEAGATE"/>
    <x v="1"/>
    <x v="1"/>
    <s v="7200 rpm"/>
    <s v="3.5 inches"/>
    <s v="SAS (SPL-3)"/>
    <n v="300000"/>
    <n v="322370"/>
    <n v="52178.37"/>
    <m/>
  </r>
  <r>
    <x v="1"/>
    <s v="/dev/bus/0 -d megaraid,38"/>
    <s v="SEAGATE"/>
    <x v="1"/>
    <x v="1"/>
    <s v="7200 rpm"/>
    <s v="3.5 inches"/>
    <s v="SAS (SPL-3)"/>
    <n v="300000"/>
    <n v="319540"/>
    <n v="52179.3"/>
    <m/>
  </r>
  <r>
    <x v="1"/>
    <s v="/dev/bus/0 -d megaraid,39"/>
    <s v="SEAGATE"/>
    <x v="1"/>
    <x v="1"/>
    <s v="7200 rpm"/>
    <s v="3.5 inches"/>
    <s v="SAS (SPL-3)"/>
    <n v="300000"/>
    <n v="407105"/>
    <n v="52179.37"/>
    <m/>
  </r>
  <r>
    <x v="1"/>
    <s v="/dev/bus/0 -d megaraid,40"/>
    <s v="SEAGATE"/>
    <x v="1"/>
    <x v="1"/>
    <s v="7200 rpm"/>
    <s v="3.5 inches"/>
    <s v="SAS (SPL-3)"/>
    <n v="300000"/>
    <n v="410575"/>
    <n v="52179.68"/>
    <m/>
  </r>
  <r>
    <x v="1"/>
    <s v="/dev/bus/0 -d megaraid,42"/>
    <s v="SEAGATE"/>
    <x v="1"/>
    <x v="1"/>
    <s v="7200 rpm"/>
    <s v="3.5 inches"/>
    <s v="SAS (SPL-3)"/>
    <n v="300000"/>
    <n v="321038"/>
    <n v="52178.53"/>
    <m/>
  </r>
  <r>
    <x v="1"/>
    <s v="/dev/bus/0 -d megaraid,43"/>
    <s v="SEAGATE"/>
    <x v="1"/>
    <x v="1"/>
    <s v="7200 rpm"/>
    <s v="3.5 inches"/>
    <s v="SAS (SPL-3)"/>
    <n v="300000"/>
    <n v="410652"/>
    <n v="52178.42"/>
    <m/>
  </r>
  <r>
    <x v="1"/>
    <s v="/dev/bus/0 -d megaraid,44"/>
    <s v="SEAGATE"/>
    <x v="1"/>
    <x v="1"/>
    <s v="7200 rpm"/>
    <s v="3.5 inches"/>
    <s v="SAS (SPL-3)"/>
    <n v="300000"/>
    <n v="326920"/>
    <n v="52178.77"/>
    <m/>
  </r>
  <r>
    <x v="1"/>
    <s v="/dev/bus/0 -d megaraid,45"/>
    <s v="SEAGATE"/>
    <x v="1"/>
    <x v="1"/>
    <s v="7200 rpm"/>
    <s v="3.5 inches"/>
    <s v="SAS (SPL-3)"/>
    <n v="300000"/>
    <n v="319373"/>
    <n v="52178.48"/>
    <m/>
  </r>
  <r>
    <x v="1"/>
    <s v="/dev/bus/0 -d megaraid,46"/>
    <s v="SEAGATE"/>
    <x v="1"/>
    <x v="1"/>
    <s v="7200 rpm"/>
    <s v="3.5 inches"/>
    <s v="SAS (SPL-3)"/>
    <n v="300000"/>
    <n v="321457"/>
    <n v="52178.05"/>
    <m/>
  </r>
  <r>
    <x v="1"/>
    <s v="/dev/bus/0 -d megaraid,47"/>
    <s v="SEAGATE"/>
    <x v="1"/>
    <x v="1"/>
    <s v="7200 rpm"/>
    <s v="3.5 inches"/>
    <s v="SAS (SPL-3)"/>
    <n v="300000"/>
    <n v="227062"/>
    <n v="51783.03"/>
    <m/>
  </r>
  <r>
    <x v="1"/>
    <s v="/dev/bus/0 -d megaraid,48"/>
    <s v="SEAGATE"/>
    <x v="1"/>
    <x v="1"/>
    <s v="7200 rpm"/>
    <s v="3.5 inches"/>
    <s v="SAS (SPL-3)"/>
    <n v="300000"/>
    <n v="233223"/>
    <n v="51782.75"/>
    <m/>
  </r>
  <r>
    <x v="1"/>
    <s v="/dev/bus/0 -d megaraid,49"/>
    <s v="SEAGATE"/>
    <x v="1"/>
    <x v="1"/>
    <s v="7200 rpm"/>
    <s v="3.5 inches"/>
    <s v="SAS (SPL-3)"/>
    <n v="300000"/>
    <n v="407206"/>
    <n v="52178.33"/>
    <m/>
  </r>
  <r>
    <x v="1"/>
    <s v="/dev/bus/0 -d megaraid,50"/>
    <s v="SEAGATE"/>
    <x v="1"/>
    <x v="1"/>
    <s v="7200 rpm"/>
    <s v="3.5 inches"/>
    <s v="SAS (SPL-3)"/>
    <n v="300000"/>
    <n v="232404"/>
    <n v="51781.8"/>
    <m/>
  </r>
  <r>
    <x v="1"/>
    <s v="/dev/bus/0 -d megaraid,51"/>
    <s v="SEAGATE"/>
    <x v="1"/>
    <x v="1"/>
    <s v="7200 rpm"/>
    <s v="3.5 inches"/>
    <s v="SAS (SPL-3)"/>
    <n v="300000"/>
    <n v="404460"/>
    <n v="52178.43"/>
    <m/>
  </r>
  <r>
    <x v="1"/>
    <s v="/dev/bus/0 -d megaraid,52"/>
    <s v="SEAGATE"/>
    <x v="1"/>
    <x v="1"/>
    <s v="7200 rpm"/>
    <s v="3.5 inches"/>
    <s v="SAS (SPL-3)"/>
    <n v="300000"/>
    <n v="234324"/>
    <n v="51781.72"/>
    <m/>
  </r>
  <r>
    <x v="1"/>
    <s v="/dev/bus/0 -d megaraid,53"/>
    <s v="SEAGATE"/>
    <x v="1"/>
    <x v="1"/>
    <s v="7200 rpm"/>
    <s v="3.5 inches"/>
    <s v="SAS (SPL-3)"/>
    <n v="300000"/>
    <n v="400011"/>
    <n v="52178.85"/>
    <m/>
  </r>
  <r>
    <x v="1"/>
    <s v="/dev/bus/0 -d megaraid,54"/>
    <s v="SEAGATE"/>
    <x v="1"/>
    <x v="1"/>
    <s v="7200 rpm"/>
    <s v="3.5 inches"/>
    <s v="SAS (SPL-3)"/>
    <n v="300000"/>
    <n v="408928"/>
    <n v="52178.58"/>
    <m/>
  </r>
  <r>
    <x v="1"/>
    <s v="/dev/bus/0 -d megaraid,55"/>
    <s v="SEAGATE"/>
    <x v="1"/>
    <x v="1"/>
    <s v="7200 rpm"/>
    <s v="3.5 inches"/>
    <s v="SAS (SPL-3)"/>
    <n v="300000"/>
    <n v="142458"/>
    <n v="29753.119999999999"/>
    <m/>
  </r>
  <r>
    <x v="1"/>
    <s v="/dev/bus/0 -d megaraid,56"/>
    <s v="SEAGATE"/>
    <x v="2"/>
    <x v="1"/>
    <s v="7200 rpm"/>
    <s v="3.5 inches"/>
    <s v="SAS (SPL-3)"/>
    <n v="600000"/>
    <n v="4881"/>
    <n v="1831.1"/>
    <m/>
  </r>
  <r>
    <x v="2"/>
    <s v="/dev/bus/0 -d megaraid,8"/>
    <s v="SEAGATE"/>
    <x v="3"/>
    <x v="1"/>
    <s v="7200 rpm"/>
    <s v="3.5 inches"/>
    <s v="SAS (SPL-3)"/>
    <n v="300000"/>
    <n v="143316"/>
    <n v="52057.52"/>
    <m/>
  </r>
  <r>
    <x v="2"/>
    <s v="/dev/bus/0 -d megaraid,9"/>
    <s v="SEAGATE"/>
    <x v="3"/>
    <x v="1"/>
    <s v="7200 rpm"/>
    <s v="3.5 inches"/>
    <s v="SAS (SPL-3)"/>
    <n v="300000"/>
    <n v="138092"/>
    <n v="52057.42"/>
    <m/>
  </r>
  <r>
    <x v="2"/>
    <s v="/dev/bus/0 -d megaraid,10"/>
    <s v="SEAGATE"/>
    <x v="3"/>
    <x v="1"/>
    <s v="7200 rpm"/>
    <s v="3.5 inches"/>
    <s v="SAS (SPL-3)"/>
    <n v="300000"/>
    <n v="141643"/>
    <n v="52057.8"/>
    <m/>
  </r>
  <r>
    <x v="2"/>
    <s v="/dev/bus/0 -d megaraid,11"/>
    <s v="SEAGATE"/>
    <x v="3"/>
    <x v="1"/>
    <s v="7200 rpm"/>
    <s v="3.5 inches"/>
    <s v="SAS (SPL-3)"/>
    <n v="300000"/>
    <n v="106167"/>
    <n v="52058.12"/>
    <m/>
  </r>
  <r>
    <x v="2"/>
    <s v="/dev/bus/0 -d megaraid,12"/>
    <s v="SEAGATE"/>
    <x v="3"/>
    <x v="1"/>
    <s v="7200 rpm"/>
    <s v="3.5 inches"/>
    <s v="SAS (SPL-3)"/>
    <m/>
    <m/>
    <m/>
    <m/>
  </r>
  <r>
    <x v="2"/>
    <s v="/dev/bus/0 -d megaraid,13"/>
    <s v="SEAGATE"/>
    <x v="3"/>
    <x v="1"/>
    <s v="7200 rpm"/>
    <s v="3.5 inches"/>
    <s v="SAS (SPL-3)"/>
    <n v="300000"/>
    <n v="141984"/>
    <n v="52057.55"/>
    <m/>
  </r>
  <r>
    <x v="2"/>
    <s v="/dev/bus/0 -d megaraid,14"/>
    <s v="SEAGATE"/>
    <x v="3"/>
    <x v="1"/>
    <s v="7200 rpm"/>
    <s v="3.5 inches"/>
    <s v="SAS (SPL-3)"/>
    <n v="300000"/>
    <n v="104204"/>
    <n v="52057.599999999999"/>
    <m/>
  </r>
  <r>
    <x v="2"/>
    <s v="/dev/bus/0 -d megaraid,15"/>
    <s v="SEAGATE"/>
    <x v="3"/>
    <x v="1"/>
    <s v="7200 rpm"/>
    <s v="3.5 inches"/>
    <s v="SAS (SPL-3)"/>
    <n v="300000"/>
    <n v="148156"/>
    <n v="52057.63"/>
    <m/>
  </r>
  <r>
    <x v="3"/>
    <s v="/dev/bus/0 -d megaraid,1"/>
    <s v="SEAGATE"/>
    <x v="3"/>
    <x v="1"/>
    <s v="7200 rpm"/>
    <s v="3.5 inches"/>
    <s v="SAS (SPL-3)"/>
    <n v="300000"/>
    <n v="287099"/>
    <n v="49168.53"/>
    <m/>
  </r>
  <r>
    <x v="3"/>
    <s v="/dev/bus/0 -d megaraid,2"/>
    <s v="SEAGATE"/>
    <x v="3"/>
    <x v="1"/>
    <s v="7200 rpm"/>
    <s v="3.5 inches"/>
    <s v="SAS (SPL-3)"/>
    <n v="300000"/>
    <n v="279124"/>
    <n v="49168.68"/>
    <m/>
  </r>
  <r>
    <x v="3"/>
    <s v="/dev/bus/0 -d megaraid,3"/>
    <s v="SEAGATE"/>
    <x v="3"/>
    <x v="1"/>
    <s v="7200 rpm"/>
    <s v="3.5 inches"/>
    <s v="SAS (SPL-3)"/>
    <n v="300000"/>
    <n v="275386"/>
    <n v="49169.55"/>
    <m/>
  </r>
  <r>
    <x v="3"/>
    <s v="/dev/bus/0 -d megaraid,4"/>
    <s v="SEAGATE"/>
    <x v="3"/>
    <x v="1"/>
    <s v="7200 rpm"/>
    <s v="3.5 inches"/>
    <s v="SAS (SPL-3)"/>
    <m/>
    <m/>
    <m/>
    <m/>
  </r>
  <r>
    <x v="3"/>
    <s v="/dev/bus/0 -d megaraid,6"/>
    <s v="SEAGATE"/>
    <x v="3"/>
    <x v="1"/>
    <s v="7200 rpm"/>
    <s v="3.5 inches"/>
    <s v="SAS (SPL-3)"/>
    <n v="300000"/>
    <n v="265342"/>
    <n v="49168.67"/>
    <m/>
  </r>
  <r>
    <x v="3"/>
    <s v="/dev/bus/0 -d megaraid,7"/>
    <s v="SEAGATE"/>
    <x v="3"/>
    <x v="1"/>
    <s v="7200 rpm"/>
    <s v="3.5 inches"/>
    <s v="SAS (SPL-3)"/>
    <n v="300000"/>
    <n v="288150"/>
    <n v="49168.28"/>
    <m/>
  </r>
  <r>
    <x v="3"/>
    <s v="/dev/bus/0 -d megaraid,8"/>
    <s v="SEAGATE"/>
    <x v="4"/>
    <x v="1"/>
    <s v="7200 rpm"/>
    <s v="3.5 inches"/>
    <s v="SAS (SPL-3)"/>
    <n v="600000"/>
    <n v="200290"/>
    <n v="33422.25"/>
    <m/>
  </r>
  <r>
    <x v="3"/>
    <s v="/dev/bus/0 -d megaraid,10"/>
    <s v="SEAGATE"/>
    <x v="2"/>
    <x v="1"/>
    <s v="7200 rpm"/>
    <s v="3.5 inches"/>
    <s v="SAS (SPL-3)"/>
    <n v="600000"/>
    <n v="33133"/>
    <n v="12026.32"/>
    <m/>
  </r>
  <r>
    <x v="4"/>
    <s v="/dev/bus/0 -d megaraid,26"/>
    <s v="SEAGATE"/>
    <x v="5"/>
    <x v="2"/>
    <s v="7200 rpm"/>
    <s v="3.5 inches"/>
    <s v="SAS (SPL-3)"/>
    <n v="600000"/>
    <n v="85881"/>
    <n v="33547.519999999997"/>
    <m/>
  </r>
  <r>
    <x v="4"/>
    <s v="/dev/bus/0 -d megaraid,27"/>
    <s v="SEAGATE"/>
    <x v="5"/>
    <x v="2"/>
    <s v="7200 rpm"/>
    <s v="3.5 inches"/>
    <s v="SAS (SPL-3)"/>
    <n v="600000"/>
    <n v="94828"/>
    <n v="33547.4"/>
    <m/>
  </r>
  <r>
    <x v="4"/>
    <s v="/dev/bus/0 -d megaraid,28"/>
    <s v="SEAGATE"/>
    <x v="5"/>
    <x v="2"/>
    <s v="7200 rpm"/>
    <s v="3.5 inches"/>
    <s v="SAS (SPL-3)"/>
    <n v="600000"/>
    <n v="90939"/>
    <n v="33547.35"/>
    <m/>
  </r>
  <r>
    <x v="4"/>
    <s v="/dev/bus/0 -d megaraid,29"/>
    <s v="SEAGATE"/>
    <x v="5"/>
    <x v="2"/>
    <s v="7200 rpm"/>
    <s v="3.5 inches"/>
    <s v="SAS (SPL-3)"/>
    <n v="600000"/>
    <n v="116321"/>
    <n v="33547.379999999997"/>
    <m/>
  </r>
  <r>
    <x v="4"/>
    <s v="/dev/bus/0 -d megaraid,30"/>
    <s v="SEAGATE"/>
    <x v="5"/>
    <x v="2"/>
    <s v="7200 rpm"/>
    <s v="3.5 inches"/>
    <s v="SAS (SPL-3)"/>
    <n v="600000"/>
    <n v="133334"/>
    <n v="33546.949999999997"/>
    <m/>
  </r>
  <r>
    <x v="4"/>
    <s v="/dev/bus/0 -d megaraid,31"/>
    <s v="SEAGATE"/>
    <x v="5"/>
    <x v="2"/>
    <s v="7200 rpm"/>
    <s v="3.5 inches"/>
    <s v="SAS (SPL-3)"/>
    <n v="600000"/>
    <n v="139740"/>
    <n v="33546.75"/>
    <m/>
  </r>
  <r>
    <x v="4"/>
    <s v="/dev/bus/0 -d megaraid,32"/>
    <s v="SEAGATE"/>
    <x v="5"/>
    <x v="2"/>
    <s v="7200 rpm"/>
    <s v="3.5 inches"/>
    <s v="SAS (SPL-3)"/>
    <n v="600000"/>
    <n v="101602"/>
    <n v="33547.800000000003"/>
    <m/>
  </r>
  <r>
    <x v="4"/>
    <s v="/dev/bus/0 -d megaraid,33"/>
    <s v="SEAGATE"/>
    <x v="5"/>
    <x v="2"/>
    <s v="7200 rpm"/>
    <s v="3.5 inches"/>
    <s v="SAS (SPL-3)"/>
    <n v="600000"/>
    <n v="98105"/>
    <n v="33547.300000000003"/>
    <m/>
  </r>
  <r>
    <x v="4"/>
    <s v="/dev/bus/0 -d megaraid,34"/>
    <s v="SEAGATE"/>
    <x v="5"/>
    <x v="2"/>
    <s v="7200 rpm"/>
    <s v="3.5 inches"/>
    <s v="SAS (SPL-3)"/>
    <n v="600000"/>
    <n v="99228"/>
    <n v="33547.480000000003"/>
    <m/>
  </r>
  <r>
    <x v="4"/>
    <s v="/dev/bus/0 -d megaraid,35"/>
    <s v="SEAGATE"/>
    <x v="5"/>
    <x v="2"/>
    <s v="7200 rpm"/>
    <s v="3.5 inches"/>
    <s v="SAS (SPL-3)"/>
    <n v="600000"/>
    <n v="139182"/>
    <n v="33547.449999999997"/>
    <m/>
  </r>
  <r>
    <x v="4"/>
    <s v="/dev/bus/0 -d megaraid,36"/>
    <s v="SEAGATE"/>
    <x v="5"/>
    <x v="2"/>
    <s v="7200 rpm"/>
    <s v="3.5 inches"/>
    <s v="SAS (SPL-3)"/>
    <n v="600000"/>
    <n v="89164"/>
    <n v="33546.82"/>
    <m/>
  </r>
  <r>
    <x v="4"/>
    <s v="/dev/bus/0 -d megaraid,37"/>
    <s v="SEAGATE"/>
    <x v="5"/>
    <x v="2"/>
    <s v="7200 rpm"/>
    <s v="3.5 inches"/>
    <s v="SAS (SPL-3)"/>
    <m/>
    <m/>
    <m/>
    <m/>
  </r>
  <r>
    <x v="4"/>
    <s v="/dev/bus/0 -d megaraid,38"/>
    <s v="SEAGATE"/>
    <x v="5"/>
    <x v="2"/>
    <s v="7200 rpm"/>
    <s v="3.5 inches"/>
    <s v="SAS (SPL-3)"/>
    <n v="600000"/>
    <n v="71946"/>
    <n v="33547.42"/>
    <m/>
  </r>
  <r>
    <x v="4"/>
    <s v="/dev/bus/0 -d megaraid,39"/>
    <s v="SEAGATE"/>
    <x v="5"/>
    <x v="2"/>
    <s v="7200 rpm"/>
    <s v="3.5 inches"/>
    <s v="SAS (SPL-3)"/>
    <n v="600000"/>
    <n v="125418"/>
    <n v="33547.480000000003"/>
    <m/>
  </r>
  <r>
    <x v="4"/>
    <s v="/dev/bus/0 -d megaraid,40"/>
    <s v="SEAGATE"/>
    <x v="5"/>
    <x v="2"/>
    <s v="7200 rpm"/>
    <s v="3.5 inches"/>
    <s v="SAS (SPL-3)"/>
    <n v="600000"/>
    <n v="99713"/>
    <n v="33547.199999999997"/>
    <m/>
  </r>
  <r>
    <x v="4"/>
    <s v="/dev/bus/0 -d megaraid,41"/>
    <s v="SEAGATE"/>
    <x v="5"/>
    <x v="2"/>
    <s v="7200 rpm"/>
    <s v="3.5 inches"/>
    <s v="SAS (SPL-3)"/>
    <m/>
    <m/>
    <m/>
    <m/>
  </r>
  <r>
    <x v="4"/>
    <s v="/dev/bus/0 -d megaraid,42"/>
    <s v="SEAGATE"/>
    <x v="5"/>
    <x v="2"/>
    <s v="7200 rpm"/>
    <s v="3.5 inches"/>
    <s v="SAS (SPL-3)"/>
    <n v="600000"/>
    <n v="92234"/>
    <n v="33547.78"/>
    <m/>
  </r>
  <r>
    <x v="4"/>
    <s v="/dev/bus/0 -d megaraid,43"/>
    <s v="SEAGATE"/>
    <x v="5"/>
    <x v="2"/>
    <s v="7200 rpm"/>
    <s v="3.5 inches"/>
    <s v="SAS (SPL-3)"/>
    <n v="600000"/>
    <n v="97876"/>
    <n v="33547.22"/>
    <m/>
  </r>
  <r>
    <x v="4"/>
    <s v="/dev/bus/0 -d megaraid,44"/>
    <s v="SEAGATE"/>
    <x v="5"/>
    <x v="2"/>
    <s v="7200 rpm"/>
    <s v="3.5 inches"/>
    <s v="SAS (SPL-3)"/>
    <n v="600000"/>
    <n v="140451"/>
    <n v="33547.83"/>
    <m/>
  </r>
  <r>
    <x v="4"/>
    <s v="/dev/bus/0 -d megaraid,45"/>
    <s v="SEAGATE"/>
    <x v="5"/>
    <x v="2"/>
    <s v="7200 rpm"/>
    <s v="3.5 inches"/>
    <s v="SAS (SPL-3)"/>
    <n v="600000"/>
    <n v="41513"/>
    <n v="33547.599999999999"/>
    <m/>
  </r>
  <r>
    <x v="4"/>
    <s v="/dev/bus/0 -d megaraid,46"/>
    <s v="SEAGATE"/>
    <x v="5"/>
    <x v="2"/>
    <s v="7200 rpm"/>
    <s v="3.5 inches"/>
    <s v="SAS (SPL-3)"/>
    <n v="600000"/>
    <n v="97717"/>
    <n v="33547.550000000003"/>
    <m/>
  </r>
  <r>
    <x v="4"/>
    <s v="/dev/bus/0 -d megaraid,47"/>
    <s v="SEAGATE"/>
    <x v="5"/>
    <x v="2"/>
    <s v="7200 rpm"/>
    <s v="3.5 inches"/>
    <s v="SAS (SPL-3)"/>
    <n v="600000"/>
    <n v="97396"/>
    <n v="33547.35"/>
    <m/>
  </r>
  <r>
    <x v="4"/>
    <s v="/dev/bus/0 -d megaraid,48"/>
    <s v="SEAGATE"/>
    <x v="5"/>
    <x v="2"/>
    <s v="7200 rpm"/>
    <s v="3.5 inches"/>
    <s v="SAS (SPL-3)"/>
    <n v="600000"/>
    <n v="103108"/>
    <n v="33546.769999999997"/>
    <m/>
  </r>
  <r>
    <x v="4"/>
    <s v="/dev/bus/0 -d megaraid,49"/>
    <s v="SEAGATE"/>
    <x v="5"/>
    <x v="2"/>
    <s v="7200 rpm"/>
    <s v="3.5 inches"/>
    <s v="SAS (SPL-3)"/>
    <m/>
    <m/>
    <m/>
    <m/>
  </r>
  <r>
    <x v="5"/>
    <s v="/dev/bus/0 -d megaraid,26"/>
    <s v="SEAGATE"/>
    <x v="5"/>
    <x v="2"/>
    <s v="7200 rpm"/>
    <s v="3.5 inches"/>
    <s v="SAS (SPL-3)"/>
    <n v="600000"/>
    <n v="237183"/>
    <n v="33507.980000000003"/>
    <m/>
  </r>
  <r>
    <x v="5"/>
    <s v="/dev/bus/0 -d megaraid,27"/>
    <s v="SEAGATE"/>
    <x v="5"/>
    <x v="2"/>
    <s v="7200 rpm"/>
    <s v="3.5 inches"/>
    <s v="SAS (SPL-3)"/>
    <n v="600000"/>
    <n v="256256"/>
    <n v="33507.5"/>
    <m/>
  </r>
  <r>
    <x v="5"/>
    <s v="/dev/bus/0 -d megaraid,28"/>
    <s v="SEAGATE"/>
    <x v="5"/>
    <x v="2"/>
    <s v="7200 rpm"/>
    <s v="3.5 inches"/>
    <s v="SAS (SPL-3)"/>
    <n v="600000"/>
    <n v="292846"/>
    <n v="33507.42"/>
    <m/>
  </r>
  <r>
    <x v="5"/>
    <s v="/dev/bus/0 -d megaraid,29"/>
    <s v="SEAGATE"/>
    <x v="5"/>
    <x v="2"/>
    <s v="7200 rpm"/>
    <s v="3.5 inches"/>
    <s v="SAS (SPL-3)"/>
    <n v="600000"/>
    <n v="337433"/>
    <n v="33506.97"/>
    <m/>
  </r>
  <r>
    <x v="5"/>
    <s v="/dev/bus/0 -d megaraid,30"/>
    <s v="SEAGATE"/>
    <x v="5"/>
    <x v="2"/>
    <s v="7200 rpm"/>
    <s v="3.5 inches"/>
    <s v="SAS (SPL-3)"/>
    <n v="600000"/>
    <n v="335006"/>
    <n v="33507.629999999997"/>
    <m/>
  </r>
  <r>
    <x v="5"/>
    <s v="/dev/bus/0 -d megaraid,31"/>
    <s v="SEAGATE"/>
    <x v="5"/>
    <x v="2"/>
    <s v="7200 rpm"/>
    <s v="3.5 inches"/>
    <s v="SAS (SPL-3)"/>
    <n v="600000"/>
    <n v="332746"/>
    <n v="33507.33"/>
    <m/>
  </r>
  <r>
    <x v="5"/>
    <s v="/dev/bus/0 -d megaraid,32"/>
    <s v="SEAGATE"/>
    <x v="5"/>
    <x v="2"/>
    <s v="7200 rpm"/>
    <s v="3.5 inches"/>
    <s v="SAS (SPL-3)"/>
    <n v="600000"/>
    <n v="298671"/>
    <n v="33507.4"/>
    <m/>
  </r>
  <r>
    <x v="5"/>
    <s v="/dev/bus/0 -d megaraid,33"/>
    <s v="SEAGATE"/>
    <x v="5"/>
    <x v="2"/>
    <s v="7200 rpm"/>
    <s v="3.5 inches"/>
    <s v="SAS (SPL-3)"/>
    <n v="600000"/>
    <n v="224941"/>
    <n v="33507.370000000003"/>
    <m/>
  </r>
  <r>
    <x v="5"/>
    <s v="/dev/bus/0 -d megaraid,34"/>
    <s v="SEAGATE"/>
    <x v="5"/>
    <x v="2"/>
    <s v="7200 rpm"/>
    <s v="3.5 inches"/>
    <s v="SAS (SPL-3)"/>
    <n v="600000"/>
    <n v="333436"/>
    <n v="33507.4"/>
    <m/>
  </r>
  <r>
    <x v="5"/>
    <s v="/dev/bus/0 -d megaraid,35"/>
    <s v="SEAGATE"/>
    <x v="5"/>
    <x v="2"/>
    <s v="7200 rpm"/>
    <s v="3.5 inches"/>
    <s v="SAS (SPL-3)"/>
    <m/>
    <m/>
    <m/>
    <m/>
  </r>
  <r>
    <x v="5"/>
    <s v="/dev/bus/0 -d megaraid,36"/>
    <s v="SEAGATE"/>
    <x v="5"/>
    <x v="2"/>
    <s v="7200 rpm"/>
    <s v="3.5 inches"/>
    <s v="SAS (SPL-3)"/>
    <n v="600000"/>
    <n v="239159"/>
    <n v="33507.65"/>
    <m/>
  </r>
  <r>
    <x v="5"/>
    <s v="/dev/bus/0 -d megaraid,37"/>
    <s v="SEAGATE"/>
    <x v="5"/>
    <x v="2"/>
    <s v="7200 rpm"/>
    <s v="3.5 inches"/>
    <s v="SAS (SPL-3)"/>
    <n v="600000"/>
    <n v="340063"/>
    <n v="33507.300000000003"/>
    <m/>
  </r>
  <r>
    <x v="5"/>
    <s v="/dev/bus/0 -d megaraid,38"/>
    <s v="SEAGATE"/>
    <x v="5"/>
    <x v="2"/>
    <s v="7200 rpm"/>
    <s v="3.5 inches"/>
    <s v="SAS (SPL-3)"/>
    <n v="600000"/>
    <n v="321901"/>
    <n v="33507.599999999999"/>
    <m/>
  </r>
  <r>
    <x v="5"/>
    <s v="/dev/bus/0 -d megaraid,39"/>
    <s v="SEAGATE"/>
    <x v="5"/>
    <x v="2"/>
    <s v="7200 rpm"/>
    <s v="3.5 inches"/>
    <s v="SAS (SPL-3)"/>
    <n v="600000"/>
    <n v="283907"/>
    <n v="33507.019999999997"/>
    <m/>
  </r>
  <r>
    <x v="5"/>
    <s v="/dev/bus/0 -d megaraid,40"/>
    <s v="SEAGATE"/>
    <x v="5"/>
    <x v="2"/>
    <s v="7200 rpm"/>
    <s v="3.5 inches"/>
    <s v="SAS (SPL-3)"/>
    <n v="600000"/>
    <n v="342239"/>
    <n v="33506.949999999997"/>
    <m/>
  </r>
  <r>
    <x v="5"/>
    <s v="/dev/bus/0 -d megaraid,41"/>
    <s v="SEAGATE"/>
    <x v="5"/>
    <x v="2"/>
    <s v="7200 rpm"/>
    <s v="3.5 inches"/>
    <s v="SAS (SPL-3)"/>
    <n v="600000"/>
    <n v="243936"/>
    <n v="33506.93"/>
    <m/>
  </r>
  <r>
    <x v="5"/>
    <s v="/dev/bus/0 -d megaraid,42"/>
    <s v="SEAGATE"/>
    <x v="5"/>
    <x v="2"/>
    <s v="7200 rpm"/>
    <s v="3.5 inches"/>
    <s v="SAS (SPL-3)"/>
    <n v="600000"/>
    <n v="237113"/>
    <n v="33507.730000000003"/>
    <m/>
  </r>
  <r>
    <x v="5"/>
    <s v="/dev/bus/0 -d megaraid,43"/>
    <s v="SEAGATE"/>
    <x v="5"/>
    <x v="2"/>
    <s v="7200 rpm"/>
    <s v="3.5 inches"/>
    <s v="SAS (SPL-3)"/>
    <n v="600000"/>
    <n v="213063"/>
    <n v="33507.07"/>
    <m/>
  </r>
  <r>
    <x v="5"/>
    <s v="/dev/bus/0 -d megaraid,44"/>
    <s v="SEAGATE"/>
    <x v="5"/>
    <x v="2"/>
    <s v="7200 rpm"/>
    <s v="3.5 inches"/>
    <s v="SAS (SPL-3)"/>
    <n v="600000"/>
    <n v="315290"/>
    <n v="33507.199999999997"/>
    <m/>
  </r>
  <r>
    <x v="5"/>
    <s v="/dev/bus/0 -d megaraid,45"/>
    <s v="SEAGATE"/>
    <x v="5"/>
    <x v="2"/>
    <s v="7200 rpm"/>
    <s v="3.5 inches"/>
    <s v="SAS (SPL-3)"/>
    <n v="600000"/>
    <n v="233779"/>
    <n v="33507.57"/>
    <m/>
  </r>
  <r>
    <x v="5"/>
    <s v="/dev/bus/0 -d megaraid,46"/>
    <s v="SEAGATE"/>
    <x v="5"/>
    <x v="2"/>
    <s v="7200 rpm"/>
    <s v="3.5 inches"/>
    <s v="SAS (SPL-3)"/>
    <n v="600000"/>
    <n v="309283"/>
    <n v="33507.18"/>
    <m/>
  </r>
  <r>
    <x v="5"/>
    <s v="/dev/bus/0 -d megaraid,47"/>
    <s v="SEAGATE"/>
    <x v="5"/>
    <x v="2"/>
    <s v="7200 rpm"/>
    <s v="3.5 inches"/>
    <s v="SAS (SPL-3)"/>
    <n v="600000"/>
    <n v="236121"/>
    <n v="33507"/>
    <m/>
  </r>
  <r>
    <x v="5"/>
    <s v="/dev/bus/0 -d megaraid,48"/>
    <s v="SEAGATE"/>
    <x v="5"/>
    <x v="2"/>
    <s v="7200 rpm"/>
    <s v="3.5 inches"/>
    <s v="SAS (SPL-3)"/>
    <m/>
    <m/>
    <m/>
    <m/>
  </r>
  <r>
    <x v="5"/>
    <s v="/dev/bus/0 -d megaraid,49"/>
    <s v="SEAGATE"/>
    <x v="5"/>
    <x v="2"/>
    <s v="7200 rpm"/>
    <s v="3.5 inches"/>
    <s v="SAS (SPL-3)"/>
    <m/>
    <m/>
    <m/>
    <m/>
  </r>
  <r>
    <x v="6"/>
    <s v="/dev/bus/0 -d megaraid,1"/>
    <s v="SEAGATE"/>
    <x v="6"/>
    <x v="2"/>
    <s v="7200 rpm"/>
    <s v="3.5 inches"/>
    <s v="SAS (SPL-3)"/>
    <n v="300000"/>
    <n v="516635"/>
    <n v="52122.67"/>
    <m/>
  </r>
  <r>
    <x v="6"/>
    <s v="/dev/bus/0 -d megaraid,2"/>
    <s v="SEAGATE"/>
    <x v="6"/>
    <x v="2"/>
    <s v="7200 rpm"/>
    <s v="3.5 inches"/>
    <s v="SAS (SPL-3)"/>
    <n v="300000"/>
    <n v="521087"/>
    <n v="52123.199999999997"/>
    <m/>
  </r>
  <r>
    <x v="6"/>
    <s v="/dev/bus/0 -d megaraid,3"/>
    <s v="SEAGATE"/>
    <x v="6"/>
    <x v="2"/>
    <s v="7200 rpm"/>
    <s v="3.5 inches"/>
    <s v="SAS (SPL-3)"/>
    <n v="300000"/>
    <n v="514214"/>
    <n v="52122.97"/>
    <m/>
  </r>
  <r>
    <x v="6"/>
    <s v="/dev/bus/0 -d megaraid,4"/>
    <s v="SEAGATE"/>
    <x v="6"/>
    <x v="2"/>
    <s v="7200 rpm"/>
    <s v="3.5 inches"/>
    <s v="SAS (SPL-3)"/>
    <n v="300000"/>
    <n v="523483"/>
    <n v="52122.77"/>
    <m/>
  </r>
  <r>
    <x v="6"/>
    <s v="/dev/bus/0 -d megaraid,6"/>
    <m/>
    <x v="7"/>
    <x v="3"/>
    <s v="Solid State Device"/>
    <s v="2.5 inches"/>
    <m/>
    <m/>
    <m/>
    <m/>
    <m/>
  </r>
  <r>
    <x v="6"/>
    <s v="/dev/bus/0 -d megaraid,7"/>
    <m/>
    <x v="7"/>
    <x v="3"/>
    <s v="Solid State Device"/>
    <s v="2.5 inches"/>
    <m/>
    <m/>
    <m/>
    <m/>
    <m/>
  </r>
  <r>
    <x v="6"/>
    <s v="/dev/bus/0 -d megaraid,8"/>
    <s v="SEAGATE"/>
    <x v="6"/>
    <x v="2"/>
    <s v="7200 rpm"/>
    <s v="3.5 inches"/>
    <s v="SAS (SPL-3)"/>
    <n v="300000"/>
    <n v="517785"/>
    <n v="52123"/>
    <m/>
  </r>
  <r>
    <x v="6"/>
    <s v="/dev/bus/0 -d megaraid,9"/>
    <s v="SEAGATE"/>
    <x v="6"/>
    <x v="2"/>
    <s v="7200 rpm"/>
    <s v="3.5 inches"/>
    <s v="SAS (SPL-3)"/>
    <n v="300000"/>
    <n v="514738"/>
    <n v="52122.65"/>
    <m/>
  </r>
  <r>
    <x v="6"/>
    <s v="/dev/bus/0 -d megaraid,10"/>
    <s v="SEAGATE"/>
    <x v="6"/>
    <x v="2"/>
    <s v="7200 rpm"/>
    <s v="3.5 inches"/>
    <s v="SAS (SPL-3)"/>
    <n v="300000"/>
    <n v="527641"/>
    <n v="52123.08"/>
    <m/>
  </r>
  <r>
    <x v="6"/>
    <s v="/dev/bus/0 -d megaraid,11"/>
    <s v="SEAGATE"/>
    <x v="8"/>
    <x v="2"/>
    <s v="7200 rpm"/>
    <s v="3.5 inches"/>
    <s v="SAS (SPL-3)"/>
    <n v="600000"/>
    <n v="11304"/>
    <n v="1831.2"/>
    <m/>
  </r>
  <r>
    <x v="7"/>
    <s v="/dev/bus/0 -d megaraid,1"/>
    <s v="SEAGATE"/>
    <x v="6"/>
    <x v="2"/>
    <s v="7200 rpm"/>
    <s v="3.5 inches"/>
    <s v="SAS (SPL-3)"/>
    <n v="300000"/>
    <n v="237039"/>
    <n v="52119.47"/>
    <m/>
  </r>
  <r>
    <x v="7"/>
    <s v="/dev/bus/0 -d megaraid,2"/>
    <s v="SEAGATE"/>
    <x v="6"/>
    <x v="2"/>
    <s v="7200 rpm"/>
    <s v="3.5 inches"/>
    <s v="SAS (SPL-3)"/>
    <n v="300000"/>
    <n v="212244"/>
    <n v="52119.73"/>
    <m/>
  </r>
  <r>
    <x v="7"/>
    <s v="/dev/bus/0 -d megaraid,3"/>
    <s v="SEAGATE"/>
    <x v="6"/>
    <x v="2"/>
    <s v="7200 rpm"/>
    <s v="3.5 inches"/>
    <s v="SAS (SPL-3)"/>
    <n v="300000"/>
    <n v="227222"/>
    <n v="52120.13"/>
    <m/>
  </r>
  <r>
    <x v="7"/>
    <s v="/dev/bus/0 -d megaraid,4"/>
    <s v="SEAGATE"/>
    <x v="6"/>
    <x v="2"/>
    <s v="7200 rpm"/>
    <s v="3.5 inches"/>
    <s v="SAS (SPL-3)"/>
    <n v="300000"/>
    <n v="254018"/>
    <n v="52120"/>
    <m/>
  </r>
  <r>
    <x v="7"/>
    <s v="/dev/bus/0 -d megaraid,5"/>
    <s v="SEAGATE"/>
    <x v="6"/>
    <x v="2"/>
    <s v="7200 rpm"/>
    <s v="3.5 inches"/>
    <s v="SAS (SPL-3)"/>
    <n v="300000"/>
    <n v="224600"/>
    <n v="52119.78"/>
    <m/>
  </r>
  <r>
    <x v="7"/>
    <s v="/dev/bus/0 -d megaraid,6"/>
    <s v="SEAGATE"/>
    <x v="6"/>
    <x v="2"/>
    <s v="7200 rpm"/>
    <s v="3.5 inches"/>
    <s v="SAS (SPL-3)"/>
    <n v="300000"/>
    <n v="250982"/>
    <n v="52119.92"/>
    <m/>
  </r>
  <r>
    <x v="7"/>
    <s v="/dev/bus/0 -d megaraid,7"/>
    <s v="SEAGATE"/>
    <x v="6"/>
    <x v="2"/>
    <s v="7200 rpm"/>
    <s v="3.5 inches"/>
    <s v="SAS (SPL-3)"/>
    <n v="300000"/>
    <n v="234805"/>
    <n v="52119.88"/>
    <m/>
  </r>
  <r>
    <x v="7"/>
    <s v="/dev/bus/0 -d megaraid,8"/>
    <s v="SEAGATE"/>
    <x v="6"/>
    <x v="2"/>
    <s v="7200 rpm"/>
    <s v="3.5 inches"/>
    <s v="SAS (SPL-3)"/>
    <n v="300000"/>
    <n v="233835"/>
    <n v="52119.88"/>
    <m/>
  </r>
  <r>
    <x v="7"/>
    <s v="/dev/bus/0 -d megaraid,9"/>
    <m/>
    <x v="7"/>
    <x v="3"/>
    <s v="Solid State Device"/>
    <s v="2.5 inches"/>
    <m/>
    <m/>
    <m/>
    <m/>
    <m/>
  </r>
  <r>
    <x v="7"/>
    <s v="/dev/bus/0 -d megaraid,10"/>
    <m/>
    <x v="7"/>
    <x v="3"/>
    <s v="Solid State Device"/>
    <s v="2.5 inches"/>
    <m/>
    <m/>
    <m/>
    <m/>
    <m/>
  </r>
  <r>
    <x v="8"/>
    <s v="/dev/bus/0 -d megaraid,1"/>
    <m/>
    <x v="7"/>
    <x v="3"/>
    <s v="Solid State Device"/>
    <s v="2.5 inches"/>
    <m/>
    <m/>
    <m/>
    <m/>
    <m/>
  </r>
  <r>
    <x v="8"/>
    <s v="/dev/bus/0 -d megaraid,2"/>
    <m/>
    <x v="7"/>
    <x v="3"/>
    <s v="Solid State Device"/>
    <s v="2.5 inches"/>
    <m/>
    <m/>
    <m/>
    <m/>
    <m/>
  </r>
  <r>
    <x v="8"/>
    <s v="/dev/bus/0 -d megaraid,3"/>
    <s v="SEAGATE"/>
    <x v="6"/>
    <x v="2"/>
    <s v="7200 rpm"/>
    <s v="3.5 inches"/>
    <s v="SAS (SPL-3)"/>
    <n v="300000"/>
    <n v="548262"/>
    <n v="52122.68"/>
    <m/>
  </r>
  <r>
    <x v="8"/>
    <s v="/dev/bus/0 -d megaraid,4"/>
    <s v="SEAGATE"/>
    <x v="6"/>
    <x v="2"/>
    <s v="7200 rpm"/>
    <s v="3.5 inches"/>
    <s v="SAS (SPL-3)"/>
    <n v="300000"/>
    <n v="548723"/>
    <n v="52123.02"/>
    <m/>
  </r>
  <r>
    <x v="8"/>
    <s v="/dev/bus/0 -d megaraid,5"/>
    <s v="SEAGATE"/>
    <x v="6"/>
    <x v="2"/>
    <s v="7200 rpm"/>
    <s v="3.5 inches"/>
    <s v="SAS (SPL-3)"/>
    <n v="300000"/>
    <n v="544236"/>
    <n v="52122.9"/>
    <m/>
  </r>
  <r>
    <x v="8"/>
    <s v="/dev/bus/0 -d megaraid,6"/>
    <s v="SEAGATE"/>
    <x v="6"/>
    <x v="2"/>
    <s v="7200 rpm"/>
    <s v="3.5 inches"/>
    <s v="SAS (SPL-3)"/>
    <n v="300000"/>
    <n v="548425"/>
    <n v="52122.95"/>
    <m/>
  </r>
  <r>
    <x v="8"/>
    <s v="/dev/bus/0 -d megaraid,7"/>
    <s v="SEAGATE"/>
    <x v="6"/>
    <x v="2"/>
    <s v="7200 rpm"/>
    <s v="3.5 inches"/>
    <s v="SAS (SPL-3)"/>
    <n v="300000"/>
    <n v="543641"/>
    <n v="52122.8"/>
    <m/>
  </r>
  <r>
    <x v="8"/>
    <s v="/dev/bus/0 -d megaraid,8"/>
    <s v="SEAGATE"/>
    <x v="6"/>
    <x v="2"/>
    <s v="7200 rpm"/>
    <s v="3.5 inches"/>
    <s v="SAS (SPL-3)"/>
    <n v="300000"/>
    <n v="546581"/>
    <n v="52122.82"/>
    <m/>
  </r>
  <r>
    <x v="8"/>
    <s v="/dev/bus/0 -d megaraid,9"/>
    <s v="SEAGATE"/>
    <x v="6"/>
    <x v="2"/>
    <s v="7200 rpm"/>
    <s v="3.5 inches"/>
    <s v="SAS (SPL-3)"/>
    <n v="300000"/>
    <n v="544224"/>
    <n v="52122.47"/>
    <m/>
  </r>
  <r>
    <x v="8"/>
    <s v="/dev/bus/0 -d megaraid,10"/>
    <s v="SEAGATE"/>
    <x v="6"/>
    <x v="2"/>
    <s v="7200 rpm"/>
    <s v="3.5 inches"/>
    <s v="SAS (SPL-3)"/>
    <n v="300000"/>
    <n v="540394"/>
    <n v="52122.87"/>
    <m/>
  </r>
  <r>
    <x v="9"/>
    <s v="/dev/bus/0 -d megaraid,1"/>
    <s v="SEAGATE"/>
    <x v="6"/>
    <x v="2"/>
    <s v="7200 rpm"/>
    <s v="3.5 inches"/>
    <s v="SAS (SPL-3)"/>
    <n v="300000"/>
    <n v="522809"/>
    <n v="52120"/>
    <m/>
  </r>
  <r>
    <x v="9"/>
    <s v="/dev/bus/0 -d megaraid,2"/>
    <s v="SEAGATE"/>
    <x v="6"/>
    <x v="2"/>
    <s v="7200 rpm"/>
    <s v="3.5 inches"/>
    <s v="SAS (SPL-3)"/>
    <n v="300000"/>
    <n v="531673"/>
    <n v="52119.83"/>
    <m/>
  </r>
  <r>
    <x v="9"/>
    <s v="/dev/bus/0 -d megaraid,3"/>
    <s v="SEAGATE"/>
    <x v="6"/>
    <x v="2"/>
    <s v="7200 rpm"/>
    <s v="3.5 inches"/>
    <s v="SAS (SPL-3)"/>
    <n v="300000"/>
    <n v="527460"/>
    <n v="52119.7"/>
    <m/>
  </r>
  <r>
    <x v="9"/>
    <s v="/dev/bus/0 -d megaraid,4"/>
    <s v="SEAGATE"/>
    <x v="6"/>
    <x v="2"/>
    <s v="7200 rpm"/>
    <s v="3.5 inches"/>
    <s v="SAS (SPL-3)"/>
    <n v="300000"/>
    <n v="530073"/>
    <n v="52120.18"/>
    <m/>
  </r>
  <r>
    <x v="9"/>
    <s v="/dev/bus/0 -d megaraid,5"/>
    <s v="SEAGATE"/>
    <x v="6"/>
    <x v="2"/>
    <s v="7200 rpm"/>
    <s v="3.5 inches"/>
    <s v="SAS (SPL-3)"/>
    <n v="300000"/>
    <n v="528320"/>
    <n v="52119.78"/>
    <m/>
  </r>
  <r>
    <x v="9"/>
    <s v="/dev/bus/0 -d megaraid,6"/>
    <s v="SEAGATE"/>
    <x v="6"/>
    <x v="2"/>
    <s v="7200 rpm"/>
    <s v="3.5 inches"/>
    <s v="SAS (SPL-3)"/>
    <n v="300000"/>
    <n v="524783"/>
    <n v="52119.83"/>
    <m/>
  </r>
  <r>
    <x v="9"/>
    <s v="/dev/bus/0 -d megaraid,7"/>
    <s v="SEAGATE"/>
    <x v="6"/>
    <x v="2"/>
    <s v="7200 rpm"/>
    <s v="3.5 inches"/>
    <s v="SAS (SPL-3)"/>
    <n v="300000"/>
    <n v="524480"/>
    <n v="52119.73"/>
    <m/>
  </r>
  <r>
    <x v="9"/>
    <s v="/dev/bus/0 -d megaraid,8"/>
    <s v="SEAGATE"/>
    <x v="6"/>
    <x v="2"/>
    <s v="7200 rpm"/>
    <s v="3.5 inches"/>
    <s v="SAS (SPL-3)"/>
    <n v="300000"/>
    <n v="521347"/>
    <n v="52119.73"/>
    <m/>
  </r>
  <r>
    <x v="9"/>
    <s v="/dev/bus/0 -d megaraid,9"/>
    <m/>
    <x v="7"/>
    <x v="3"/>
    <s v="Solid State Device"/>
    <s v="2.5 inches"/>
    <m/>
    <m/>
    <m/>
    <m/>
    <m/>
  </r>
  <r>
    <x v="9"/>
    <s v="/dev/bus/0 -d megaraid,10"/>
    <m/>
    <x v="7"/>
    <x v="3"/>
    <s v="Solid State Device"/>
    <s v="2.5 inches"/>
    <m/>
    <m/>
    <m/>
    <m/>
    <m/>
  </r>
  <r>
    <x v="10"/>
    <s v="/dev/bus/0 -d megaraid,1"/>
    <s v="SEAGATE"/>
    <x v="6"/>
    <x v="2"/>
    <s v="7200 rpm"/>
    <s v="3.5 inches"/>
    <s v="SAS (SPL-3)"/>
    <n v="300000"/>
    <n v="542498"/>
    <n v="52122.62"/>
    <m/>
  </r>
  <r>
    <x v="10"/>
    <s v="/dev/bus/0 -d megaraid,2"/>
    <s v="SEAGATE"/>
    <x v="6"/>
    <x v="2"/>
    <s v="7200 rpm"/>
    <s v="3.5 inches"/>
    <s v="SAS (SPL-3)"/>
    <n v="300000"/>
    <n v="548274"/>
    <n v="52123.4"/>
    <m/>
  </r>
  <r>
    <x v="10"/>
    <s v="/dev/bus/0 -d megaraid,3"/>
    <m/>
    <x v="7"/>
    <x v="3"/>
    <s v="Solid State Device"/>
    <s v="2.5 inches"/>
    <m/>
    <m/>
    <m/>
    <m/>
    <m/>
  </r>
  <r>
    <x v="10"/>
    <s v="/dev/bus/0 -d megaraid,4"/>
    <m/>
    <x v="7"/>
    <x v="3"/>
    <s v="Solid State Device"/>
    <s v="2.5 inches"/>
    <m/>
    <m/>
    <m/>
    <m/>
    <m/>
  </r>
  <r>
    <x v="10"/>
    <s v="/dev/bus/0 -d megaraid,5"/>
    <s v="SEAGATE"/>
    <x v="6"/>
    <x v="2"/>
    <s v="7200 rpm"/>
    <s v="3.5 inches"/>
    <s v="SAS (SPL-3)"/>
    <n v="300000"/>
    <n v="543619"/>
    <n v="52122.720000000001"/>
    <m/>
  </r>
  <r>
    <x v="10"/>
    <s v="/dev/bus/0 -d megaraid,6"/>
    <s v="SEAGATE"/>
    <x v="6"/>
    <x v="2"/>
    <s v="7200 rpm"/>
    <s v="3.5 inches"/>
    <s v="SAS (SPL-3)"/>
    <n v="300000"/>
    <n v="546451"/>
    <n v="52122.43"/>
    <m/>
  </r>
  <r>
    <x v="10"/>
    <s v="/dev/bus/0 -d megaraid,7"/>
    <s v="SEAGATE"/>
    <x v="6"/>
    <x v="2"/>
    <s v="7200 rpm"/>
    <s v="3.5 inches"/>
    <s v="SAS (SPL-3)"/>
    <n v="300000"/>
    <n v="550030"/>
    <n v="52122.95"/>
    <m/>
  </r>
  <r>
    <x v="10"/>
    <s v="/dev/bus/0 -d megaraid,8"/>
    <s v="SEAGATE"/>
    <x v="6"/>
    <x v="2"/>
    <s v="7200 rpm"/>
    <s v="3.5 inches"/>
    <s v="SAS (SPL-3)"/>
    <n v="300000"/>
    <n v="551827"/>
    <n v="52122.58"/>
    <m/>
  </r>
  <r>
    <x v="10"/>
    <s v="/dev/bus/0 -d megaraid,9"/>
    <s v="SEAGATE"/>
    <x v="6"/>
    <x v="2"/>
    <s v="7200 rpm"/>
    <s v="3.5 inches"/>
    <s v="SAS (SPL-3)"/>
    <n v="300000"/>
    <n v="545753"/>
    <n v="52122.67"/>
    <m/>
  </r>
  <r>
    <x v="10"/>
    <s v="/dev/bus/0 -d megaraid,10"/>
    <s v="SEAGATE"/>
    <x v="6"/>
    <x v="2"/>
    <s v="7200 rpm"/>
    <s v="3.5 inches"/>
    <s v="SAS (SPL-3)"/>
    <n v="300000"/>
    <n v="550553"/>
    <n v="52122.720000000001"/>
    <m/>
  </r>
  <r>
    <x v="11"/>
    <s v="/dev/bus/0 -d megaraid,1"/>
    <s v="SEAGATE"/>
    <x v="6"/>
    <x v="2"/>
    <s v="7200 rpm"/>
    <s v="3.5 inches"/>
    <s v="SAS (SPL-3)"/>
    <n v="300000"/>
    <n v="567055"/>
    <n v="52119.519999999997"/>
    <m/>
  </r>
  <r>
    <x v="11"/>
    <s v="/dev/bus/0 -d megaraid,2"/>
    <s v="SEAGATE"/>
    <x v="6"/>
    <x v="2"/>
    <s v="7200 rpm"/>
    <s v="3.5 inches"/>
    <s v="SAS (SPL-3)"/>
    <n v="300000"/>
    <n v="578157"/>
    <n v="52119.63"/>
    <m/>
  </r>
  <r>
    <x v="11"/>
    <s v="/dev/bus/0 -d megaraid,3"/>
    <s v="SEAGATE"/>
    <x v="6"/>
    <x v="2"/>
    <s v="7200 rpm"/>
    <s v="3.5 inches"/>
    <s v="SAS (SPL-3)"/>
    <n v="300000"/>
    <n v="572471"/>
    <n v="52119.55"/>
    <m/>
  </r>
  <r>
    <x v="11"/>
    <s v="/dev/bus/0 -d megaraid,4"/>
    <s v="SEAGATE"/>
    <x v="6"/>
    <x v="2"/>
    <s v="7200 rpm"/>
    <s v="3.5 inches"/>
    <s v="SAS (SPL-3)"/>
    <n v="300000"/>
    <n v="576981"/>
    <n v="52119.7"/>
    <m/>
  </r>
  <r>
    <x v="11"/>
    <s v="/dev/bus/0 -d megaraid,5"/>
    <s v="SEAGATE"/>
    <x v="6"/>
    <x v="2"/>
    <s v="7200 rpm"/>
    <s v="3.5 inches"/>
    <s v="SAS (SPL-3)"/>
    <n v="300000"/>
    <n v="566124"/>
    <n v="52119.48"/>
    <m/>
  </r>
  <r>
    <x v="11"/>
    <s v="/dev/bus/0 -d megaraid,6"/>
    <s v="SEAGATE"/>
    <x v="6"/>
    <x v="2"/>
    <s v="7200 rpm"/>
    <s v="3.5 inches"/>
    <s v="SAS (SPL-3)"/>
    <n v="300000"/>
    <n v="569016"/>
    <n v="52119.67"/>
    <m/>
  </r>
  <r>
    <x v="11"/>
    <s v="/dev/bus/0 -d megaraid,7"/>
    <s v="SEAGATE"/>
    <x v="6"/>
    <x v="2"/>
    <s v="7200 rpm"/>
    <s v="3.5 inches"/>
    <s v="SAS (SPL-3)"/>
    <n v="300000"/>
    <n v="566084"/>
    <n v="52119.6"/>
    <m/>
  </r>
  <r>
    <x v="11"/>
    <s v="/dev/bus/0 -d megaraid,8"/>
    <s v="SEAGATE"/>
    <x v="6"/>
    <x v="2"/>
    <s v="7200 rpm"/>
    <s v="3.5 inches"/>
    <s v="SAS (SPL-3)"/>
    <n v="300000"/>
    <n v="575946"/>
    <n v="52119.5"/>
    <m/>
  </r>
  <r>
    <x v="11"/>
    <s v="/dev/bus/0 -d megaraid,9"/>
    <m/>
    <x v="7"/>
    <x v="3"/>
    <s v="Solid State Device"/>
    <s v="2.5 inches"/>
    <m/>
    <m/>
    <m/>
    <m/>
    <m/>
  </r>
  <r>
    <x v="11"/>
    <s v="/dev/bus/0 -d megaraid,10"/>
    <m/>
    <x v="7"/>
    <x v="3"/>
    <s v="Solid State Device"/>
    <s v="2.5 inches"/>
    <m/>
    <m/>
    <m/>
    <m/>
    <m/>
  </r>
  <r>
    <x v="12"/>
    <s v="/dev/bus/0 -d megaraid,1"/>
    <m/>
    <x v="7"/>
    <x v="3"/>
    <s v="Solid State Device"/>
    <s v="2.5 inches"/>
    <m/>
    <m/>
    <m/>
    <m/>
    <m/>
  </r>
  <r>
    <x v="12"/>
    <s v="/dev/bus/0 -d megaraid,2"/>
    <m/>
    <x v="7"/>
    <x v="3"/>
    <s v="Solid State Device"/>
    <s v="2.5 inches"/>
    <m/>
    <m/>
    <m/>
    <m/>
    <m/>
  </r>
  <r>
    <x v="12"/>
    <s v="/dev/bus/0 -d megaraid,3"/>
    <s v="SEAGATE"/>
    <x v="6"/>
    <x v="2"/>
    <s v="7200 rpm"/>
    <s v="3.5 inches"/>
    <s v="SAS (SPL-3)"/>
    <n v="300000"/>
    <n v="569176"/>
    <n v="52125.03"/>
    <m/>
  </r>
  <r>
    <x v="12"/>
    <s v="/dev/bus/0 -d megaraid,4"/>
    <s v="SEAGATE"/>
    <x v="6"/>
    <x v="2"/>
    <s v="7200 rpm"/>
    <s v="3.5 inches"/>
    <s v="SAS (SPL-3)"/>
    <n v="300000"/>
    <n v="566949"/>
    <n v="52122.63"/>
    <m/>
  </r>
  <r>
    <x v="12"/>
    <s v="/dev/bus/0 -d megaraid,5"/>
    <s v="SEAGATE"/>
    <x v="6"/>
    <x v="2"/>
    <s v="7200 rpm"/>
    <s v="3.5 inches"/>
    <s v="SAS (SPL-3)"/>
    <n v="300000"/>
    <n v="571331"/>
    <n v="52122.9"/>
    <m/>
  </r>
  <r>
    <x v="12"/>
    <s v="/dev/bus/0 -d megaraid,6"/>
    <s v="SEAGATE"/>
    <x v="6"/>
    <x v="2"/>
    <s v="7200 rpm"/>
    <s v="3.5 inches"/>
    <s v="SAS (SPL-3)"/>
    <n v="300000"/>
    <n v="576878"/>
    <n v="52122.63"/>
    <m/>
  </r>
  <r>
    <x v="12"/>
    <s v="/dev/bus/0 -d megaraid,7"/>
    <s v="SEAGATE"/>
    <x v="6"/>
    <x v="2"/>
    <s v="7200 rpm"/>
    <s v="3.5 inches"/>
    <s v="SAS (SPL-3)"/>
    <n v="300000"/>
    <n v="573403"/>
    <n v="52123.07"/>
    <m/>
  </r>
  <r>
    <x v="12"/>
    <s v="/dev/bus/0 -d megaraid,8"/>
    <s v="SEAGATE"/>
    <x v="6"/>
    <x v="2"/>
    <s v="7200 rpm"/>
    <s v="3.5 inches"/>
    <s v="SAS (SPL-3)"/>
    <n v="300000"/>
    <n v="565089"/>
    <n v="52122.8"/>
    <m/>
  </r>
  <r>
    <x v="12"/>
    <s v="/dev/bus/0 -d megaraid,9"/>
    <s v="SEAGATE"/>
    <x v="6"/>
    <x v="2"/>
    <s v="7200 rpm"/>
    <s v="3.5 inches"/>
    <s v="SAS (SPL-3)"/>
    <n v="300000"/>
    <n v="569601"/>
    <n v="51999.15"/>
    <m/>
  </r>
  <r>
    <x v="12"/>
    <s v="/dev/bus/0 -d megaraid,10"/>
    <s v="SEAGATE"/>
    <x v="6"/>
    <x v="2"/>
    <s v="7200 rpm"/>
    <s v="3.5 inches"/>
    <s v="SAS (SPL-3)"/>
    <n v="300000"/>
    <n v="577897"/>
    <n v="52123.57"/>
    <m/>
  </r>
  <r>
    <x v="13"/>
    <s v="/dev/bus/0 -d megaraid,1"/>
    <s v="SEAGATE"/>
    <x v="6"/>
    <x v="2"/>
    <s v="7200 rpm"/>
    <s v="3.5 inches"/>
    <s v="SAS (SPL-3)"/>
    <n v="300000"/>
    <n v="368872"/>
    <n v="52156.88"/>
    <m/>
  </r>
  <r>
    <x v="13"/>
    <s v="/dev/bus/0 -d megaraid,2"/>
    <s v="SEAGATE"/>
    <x v="6"/>
    <x v="2"/>
    <s v="7200 rpm"/>
    <s v="3.5 inches"/>
    <s v="SAS (SPL-3)"/>
    <n v="300000"/>
    <n v="369109"/>
    <n v="52156.77"/>
    <m/>
  </r>
  <r>
    <x v="13"/>
    <s v="/dev/bus/0 -d megaraid,3"/>
    <s v="SEAGATE"/>
    <x v="6"/>
    <x v="2"/>
    <s v="7200 rpm"/>
    <s v="3.5 inches"/>
    <s v="SAS (SPL-3)"/>
    <n v="300000"/>
    <n v="364512"/>
    <n v="52156.57"/>
    <m/>
  </r>
  <r>
    <x v="13"/>
    <s v="/dev/bus/0 -d megaraid,4"/>
    <s v="SEAGATE"/>
    <x v="6"/>
    <x v="2"/>
    <s v="7200 rpm"/>
    <s v="3.5 inches"/>
    <s v="SAS (SPL-3)"/>
    <n v="300000"/>
    <n v="367980"/>
    <n v="52156.58"/>
    <m/>
  </r>
  <r>
    <x v="13"/>
    <s v="/dev/bus/0 -d megaraid,5"/>
    <s v="SEAGATE"/>
    <x v="6"/>
    <x v="2"/>
    <s v="7200 rpm"/>
    <s v="3.5 inches"/>
    <s v="SAS (SPL-3)"/>
    <n v="300000"/>
    <n v="371966"/>
    <n v="52156.480000000003"/>
    <m/>
  </r>
  <r>
    <x v="13"/>
    <s v="/dev/bus/0 -d megaraid,7"/>
    <s v="SEAGATE"/>
    <x v="6"/>
    <x v="2"/>
    <s v="7200 rpm"/>
    <s v="3.5 inches"/>
    <s v="SAS (SPL-3)"/>
    <n v="300000"/>
    <n v="374216"/>
    <n v="52156.75"/>
    <m/>
  </r>
  <r>
    <x v="13"/>
    <s v="/dev/bus/0 -d megaraid,8"/>
    <s v="SEAGATE"/>
    <x v="6"/>
    <x v="2"/>
    <s v="7200 rpm"/>
    <s v="3.5 inches"/>
    <s v="SAS (SPL-3)"/>
    <n v="300000"/>
    <n v="372022"/>
    <n v="52156.92"/>
    <m/>
  </r>
  <r>
    <x v="13"/>
    <s v="/dev/bus/0 -d megaraid,9"/>
    <m/>
    <x v="7"/>
    <x v="3"/>
    <s v="Solid State Device"/>
    <s v="2.5 inches"/>
    <m/>
    <m/>
    <m/>
    <m/>
    <m/>
  </r>
  <r>
    <x v="13"/>
    <s v="/dev/bus/0 -d megaraid,10"/>
    <m/>
    <x v="7"/>
    <x v="3"/>
    <s v="Solid State Device"/>
    <s v="2.5 inches"/>
    <m/>
    <m/>
    <m/>
    <m/>
    <m/>
  </r>
  <r>
    <x v="13"/>
    <s v="/dev/bus/0 -d megaraid,11"/>
    <s v="SEAGATE"/>
    <x v="6"/>
    <x v="2"/>
    <s v="7200 rpm"/>
    <s v="3.5 inches"/>
    <s v="SAS (SPL-3)"/>
    <n v="300000"/>
    <n v="358721"/>
    <n v="51303.98"/>
    <m/>
  </r>
  <r>
    <x v="14"/>
    <s v="/dev/bus/0 -d megaraid,1"/>
    <m/>
    <x v="7"/>
    <x v="3"/>
    <s v="Solid State Device"/>
    <s v="2.5 inches"/>
    <m/>
    <m/>
    <m/>
    <m/>
    <m/>
  </r>
  <r>
    <x v="14"/>
    <s v="/dev/bus/0 -d megaraid,2"/>
    <m/>
    <x v="7"/>
    <x v="3"/>
    <s v="Solid State Device"/>
    <s v="2.5 inches"/>
    <m/>
    <m/>
    <m/>
    <m/>
    <m/>
  </r>
  <r>
    <x v="14"/>
    <s v="/dev/bus/0 -d megaraid,3"/>
    <s v="SEAGATE"/>
    <x v="6"/>
    <x v="2"/>
    <s v="7200 rpm"/>
    <s v="3.5 inches"/>
    <s v="SAS (SPL-3)"/>
    <n v="300000"/>
    <n v="406368"/>
    <n v="52122.32"/>
    <m/>
  </r>
  <r>
    <x v="14"/>
    <s v="/dev/bus/0 -d megaraid,4"/>
    <s v="SEAGATE"/>
    <x v="6"/>
    <x v="2"/>
    <s v="7200 rpm"/>
    <s v="3.5 inches"/>
    <s v="SAS (SPL-3)"/>
    <n v="300000"/>
    <n v="415118"/>
    <n v="52122.78"/>
    <m/>
  </r>
  <r>
    <x v="14"/>
    <s v="/dev/bus/0 -d megaraid,5"/>
    <s v="SEAGATE"/>
    <x v="6"/>
    <x v="2"/>
    <s v="7200 rpm"/>
    <s v="3.5 inches"/>
    <s v="SAS (SPL-3)"/>
    <n v="300000"/>
    <n v="411747"/>
    <n v="52123.05"/>
    <m/>
  </r>
  <r>
    <x v="14"/>
    <s v="/dev/bus/0 -d megaraid,6"/>
    <s v="SEAGATE"/>
    <x v="6"/>
    <x v="2"/>
    <s v="7200 rpm"/>
    <s v="3.5 inches"/>
    <s v="SAS (SPL-3)"/>
    <n v="300000"/>
    <n v="409768"/>
    <n v="52121.47"/>
    <m/>
  </r>
  <r>
    <x v="14"/>
    <s v="/dev/bus/0 -d megaraid,7"/>
    <s v="SEAGATE"/>
    <x v="6"/>
    <x v="2"/>
    <s v="7200 rpm"/>
    <s v="3.5 inches"/>
    <s v="SAS (SPL-3)"/>
    <n v="300000"/>
    <n v="405338"/>
    <n v="52122.95"/>
    <m/>
  </r>
  <r>
    <x v="14"/>
    <s v="/dev/bus/0 -d megaraid,8"/>
    <s v="SEAGATE"/>
    <x v="6"/>
    <x v="2"/>
    <s v="7200 rpm"/>
    <s v="3.5 inches"/>
    <s v="SAS (SPL-3)"/>
    <n v="300000"/>
    <n v="417029"/>
    <n v="52122.400000000001"/>
    <m/>
  </r>
  <r>
    <x v="14"/>
    <s v="/dev/bus/0 -d megaraid,9"/>
    <s v="SEAGATE"/>
    <x v="6"/>
    <x v="2"/>
    <s v="7200 rpm"/>
    <s v="3.5 inches"/>
    <s v="SAS (SPL-3)"/>
    <n v="300000"/>
    <n v="412809"/>
    <n v="52124.45"/>
    <m/>
  </r>
  <r>
    <x v="14"/>
    <s v="/dev/bus/0 -d megaraid,10"/>
    <s v="SEAGATE"/>
    <x v="6"/>
    <x v="2"/>
    <s v="7200 rpm"/>
    <s v="3.5 inches"/>
    <s v="SAS (SPL-3)"/>
    <n v="300000"/>
    <n v="410907"/>
    <n v="52123.28"/>
    <m/>
  </r>
  <r>
    <x v="15"/>
    <s v="/dev/bus/0 -d megaraid,0"/>
    <m/>
    <x v="7"/>
    <x v="3"/>
    <s v="Solid State Device"/>
    <s v="2.5 inches"/>
    <m/>
    <m/>
    <m/>
    <m/>
    <m/>
  </r>
  <r>
    <x v="15"/>
    <s v="/dev/bus/0 -d megaraid,1"/>
    <m/>
    <x v="7"/>
    <x v="3"/>
    <s v="Solid State Device"/>
    <s v="2.5 inches"/>
    <m/>
    <m/>
    <m/>
    <m/>
    <m/>
  </r>
  <r>
    <x v="15"/>
    <s v="/dev/bus/0 -d megaraid,3"/>
    <s v="SEAGATE"/>
    <x v="6"/>
    <x v="2"/>
    <s v="7200 rpm"/>
    <s v="3.5 inches"/>
    <s v="SAS (SPL-3)"/>
    <n v="300000"/>
    <n v="542514"/>
    <n v="52099.53"/>
    <m/>
  </r>
  <r>
    <x v="15"/>
    <s v="/dev/bus/0 -d megaraid,4"/>
    <s v="SEAGATE"/>
    <x v="6"/>
    <x v="2"/>
    <s v="7200 rpm"/>
    <s v="3.5 inches"/>
    <s v="SAS (SPL-3)"/>
    <n v="300000"/>
    <n v="534179"/>
    <n v="52098.57"/>
    <m/>
  </r>
  <r>
    <x v="15"/>
    <s v="/dev/bus/0 -d megaraid,5"/>
    <s v="SEAGATE"/>
    <x v="6"/>
    <x v="2"/>
    <s v="7200 rpm"/>
    <s v="3.5 inches"/>
    <s v="SAS (SPL-3)"/>
    <n v="300000"/>
    <n v="534432"/>
    <n v="52099.83"/>
    <m/>
  </r>
  <r>
    <x v="15"/>
    <s v="/dev/bus/0 -d megaraid,6"/>
    <s v="SEAGATE"/>
    <x v="6"/>
    <x v="2"/>
    <s v="7200 rpm"/>
    <s v="3.5 inches"/>
    <s v="SAS (SPL-3)"/>
    <n v="300000"/>
    <n v="539010"/>
    <n v="52099.57"/>
    <m/>
  </r>
  <r>
    <x v="15"/>
    <s v="/dev/bus/0 -d megaraid,7"/>
    <s v="SEAGATE"/>
    <x v="6"/>
    <x v="2"/>
    <s v="7200 rpm"/>
    <s v="3.5 inches"/>
    <s v="SAS (SPL-3)"/>
    <n v="300000"/>
    <n v="548620"/>
    <n v="52098.720000000001"/>
    <m/>
  </r>
  <r>
    <x v="15"/>
    <s v="/dev/bus/0 -d megaraid,8"/>
    <s v="SEAGATE"/>
    <x v="6"/>
    <x v="2"/>
    <s v="7200 rpm"/>
    <s v="3.5 inches"/>
    <s v="SAS (SPL-3)"/>
    <n v="300000"/>
    <n v="540128"/>
    <n v="52098.77"/>
    <m/>
  </r>
  <r>
    <x v="15"/>
    <s v="/dev/bus/0 -d megaraid,9"/>
    <s v="SEAGATE"/>
    <x v="6"/>
    <x v="2"/>
    <s v="7200 rpm"/>
    <s v="3.5 inches"/>
    <s v="SAS (SPL-3)"/>
    <n v="300000"/>
    <n v="547197"/>
    <n v="52098.58"/>
    <m/>
  </r>
  <r>
    <x v="15"/>
    <s v="/dev/bus/0 -d megaraid,10"/>
    <s v="SEAGATE"/>
    <x v="6"/>
    <x v="2"/>
    <s v="7200 rpm"/>
    <s v="3.5 inches"/>
    <s v="SAS (SPL-3)"/>
    <n v="300000"/>
    <n v="541544"/>
    <n v="52099.15"/>
    <m/>
  </r>
  <r>
    <x v="16"/>
    <s v="/dev/bus/0 -d megaraid,1"/>
    <m/>
    <x v="7"/>
    <x v="3"/>
    <s v="Solid State Device"/>
    <s v="2.5 inches"/>
    <m/>
    <m/>
    <m/>
    <m/>
    <m/>
  </r>
  <r>
    <x v="16"/>
    <s v="/dev/bus/0 -d megaraid,2"/>
    <m/>
    <x v="7"/>
    <x v="3"/>
    <s v="Solid State Device"/>
    <s v="2.5 inches"/>
    <m/>
    <m/>
    <m/>
    <m/>
    <m/>
  </r>
  <r>
    <x v="16"/>
    <s v="/dev/bus/0 -d megaraid,3"/>
    <s v="SEAGATE"/>
    <x v="6"/>
    <x v="2"/>
    <s v="7200 rpm"/>
    <s v="3.5 inches"/>
    <s v="SAS (SPL-3)"/>
    <n v="300000"/>
    <n v="307459"/>
    <n v="52159.18"/>
    <m/>
  </r>
  <r>
    <x v="16"/>
    <s v="/dev/bus/0 -d megaraid,4"/>
    <s v="SEAGATE"/>
    <x v="6"/>
    <x v="2"/>
    <s v="7200 rpm"/>
    <s v="3.5 inches"/>
    <s v="SAS (SPL-3)"/>
    <n v="300000"/>
    <n v="313978"/>
    <n v="52159.42"/>
    <m/>
  </r>
  <r>
    <x v="16"/>
    <s v="/dev/bus/0 -d megaraid,5"/>
    <s v="SEAGATE"/>
    <x v="6"/>
    <x v="2"/>
    <s v="7200 rpm"/>
    <s v="3.5 inches"/>
    <s v="SAS (SPL-3)"/>
    <n v="300000"/>
    <n v="292025"/>
    <n v="52159.53"/>
    <m/>
  </r>
  <r>
    <x v="16"/>
    <s v="/dev/bus/0 -d megaraid,6"/>
    <s v="SEAGATE"/>
    <x v="6"/>
    <x v="2"/>
    <s v="7200 rpm"/>
    <s v="3.5 inches"/>
    <s v="SAS (SPL-3)"/>
    <n v="300000"/>
    <n v="265293"/>
    <n v="52159.53"/>
    <m/>
  </r>
  <r>
    <x v="16"/>
    <s v="/dev/bus/0 -d megaraid,7"/>
    <s v="SEAGATE"/>
    <x v="6"/>
    <x v="2"/>
    <s v="7200 rpm"/>
    <s v="3.5 inches"/>
    <s v="SAS (SPL-3)"/>
    <n v="300000"/>
    <n v="263945"/>
    <n v="52159.37"/>
    <m/>
  </r>
  <r>
    <x v="16"/>
    <s v="/dev/bus/0 -d megaraid,8"/>
    <s v="SEAGATE"/>
    <x v="6"/>
    <x v="2"/>
    <s v="7200 rpm"/>
    <s v="3.5 inches"/>
    <s v="SAS (SPL-3)"/>
    <n v="300000"/>
    <n v="322471"/>
    <n v="52159.28"/>
    <m/>
  </r>
  <r>
    <x v="16"/>
    <s v="/dev/bus/0 -d megaraid,9"/>
    <s v="SEAGATE"/>
    <x v="6"/>
    <x v="2"/>
    <s v="7200 rpm"/>
    <s v="3.5 inches"/>
    <s v="SAS (SPL-3)"/>
    <n v="300000"/>
    <n v="305222"/>
    <n v="52159.43"/>
    <m/>
  </r>
  <r>
    <x v="16"/>
    <s v="/dev/bus/0 -d megaraid,10"/>
    <s v="SEAGATE"/>
    <x v="6"/>
    <x v="2"/>
    <s v="7200 rpm"/>
    <s v="3.5 inches"/>
    <s v="SAS (SPL-3)"/>
    <n v="300000"/>
    <n v="248315"/>
    <n v="52159.25"/>
    <m/>
  </r>
  <r>
    <x v="17"/>
    <s v="/dev/bus/0 -d megaraid,0"/>
    <m/>
    <x v="7"/>
    <x v="3"/>
    <s v="Solid State Device"/>
    <s v="2.5 inches"/>
    <m/>
    <m/>
    <m/>
    <m/>
    <m/>
  </r>
  <r>
    <x v="17"/>
    <s v="/dev/bus/0 -d megaraid,1"/>
    <m/>
    <x v="7"/>
    <x v="3"/>
    <s v="Solid State Device"/>
    <s v="2.5 inches"/>
    <m/>
    <m/>
    <m/>
    <m/>
    <m/>
  </r>
  <r>
    <x v="17"/>
    <s v="/dev/bus/0 -d megaraid,3"/>
    <s v="SEAGATE"/>
    <x v="6"/>
    <x v="2"/>
    <s v="7200 rpm"/>
    <s v="3.5 inches"/>
    <s v="SAS (SPL-3)"/>
    <n v="300000"/>
    <n v="509094"/>
    <n v="52102.35"/>
    <m/>
  </r>
  <r>
    <x v="17"/>
    <s v="/dev/bus/0 -d megaraid,4"/>
    <s v="SEAGATE"/>
    <x v="6"/>
    <x v="2"/>
    <s v="7200 rpm"/>
    <s v="3.5 inches"/>
    <s v="SAS (SPL-3)"/>
    <n v="300000"/>
    <n v="513268"/>
    <n v="52102.22"/>
    <m/>
  </r>
  <r>
    <x v="17"/>
    <s v="/dev/bus/0 -d megaraid,5"/>
    <s v="SEAGATE"/>
    <x v="6"/>
    <x v="2"/>
    <s v="7200 rpm"/>
    <s v="3.5 inches"/>
    <s v="SAS (SPL-3)"/>
    <n v="300000"/>
    <n v="519909"/>
    <n v="52101.77"/>
    <m/>
  </r>
  <r>
    <x v="17"/>
    <s v="/dev/bus/0 -d megaraid,6"/>
    <s v="SEAGATE"/>
    <x v="6"/>
    <x v="2"/>
    <s v="7200 rpm"/>
    <s v="3.5 inches"/>
    <s v="SAS (SPL-3)"/>
    <n v="300000"/>
    <n v="510527"/>
    <n v="52102.400000000001"/>
    <m/>
  </r>
  <r>
    <x v="17"/>
    <s v="/dev/bus/0 -d megaraid,7"/>
    <s v="SEAGATE"/>
    <x v="6"/>
    <x v="2"/>
    <s v="7200 rpm"/>
    <s v="3.5 inches"/>
    <s v="SAS (SPL-3)"/>
    <n v="300000"/>
    <n v="505794"/>
    <n v="52101.95"/>
    <m/>
  </r>
  <r>
    <x v="17"/>
    <s v="/dev/bus/0 -d megaraid,8"/>
    <s v="SEAGATE"/>
    <x v="6"/>
    <x v="2"/>
    <s v="7200 rpm"/>
    <s v="3.5 inches"/>
    <s v="SAS (SPL-3)"/>
    <n v="300000"/>
    <n v="506605"/>
    <n v="52102.03"/>
    <m/>
  </r>
  <r>
    <x v="17"/>
    <s v="/dev/bus/0 -d megaraid,9"/>
    <s v="SEAGATE"/>
    <x v="6"/>
    <x v="2"/>
    <s v="7200 rpm"/>
    <s v="3.5 inches"/>
    <s v="SAS (SPL-3)"/>
    <n v="300000"/>
    <n v="510527"/>
    <n v="52101.77"/>
    <m/>
  </r>
  <r>
    <x v="17"/>
    <s v="/dev/bus/0 -d megaraid,10"/>
    <s v="SEAGATE"/>
    <x v="6"/>
    <x v="2"/>
    <s v="7200 rpm"/>
    <s v="3.5 inches"/>
    <s v="SAS (SPL-3)"/>
    <n v="300000"/>
    <n v="509239"/>
    <n v="52102.2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s v="/dev/bus/0 -d megaraid,8"/>
    <m/>
    <x v="0"/>
    <x v="0"/>
    <s v="7200 rpm"/>
    <s v="3.5 inches"/>
    <m/>
    <m/>
    <m/>
    <m/>
    <m/>
  </r>
  <r>
    <x v="0"/>
    <s v="/dev/bus/0 -d megaraid,9"/>
    <m/>
    <x v="0"/>
    <x v="0"/>
    <s v="7200 rpm"/>
    <s v="3.5 inches"/>
    <m/>
    <m/>
    <m/>
    <m/>
    <m/>
  </r>
  <r>
    <x v="1"/>
    <s v="/dev/bus/0 -d megaraid,8"/>
    <s v="SEAGATE"/>
    <x v="1"/>
    <x v="1"/>
    <s v="7200 rpm"/>
    <s v="3.5 inches"/>
    <s v="SAS (SPL-3)"/>
    <n v="300000"/>
    <n v="143316"/>
    <n v="52057.52"/>
    <m/>
  </r>
  <r>
    <x v="1"/>
    <s v="/dev/bus/0 -d megaraid,9"/>
    <s v="SEAGATE"/>
    <x v="1"/>
    <x v="1"/>
    <s v="7200 rpm"/>
    <s v="3.5 inches"/>
    <s v="SAS (SPL-3)"/>
    <n v="300000"/>
    <n v="138092"/>
    <n v="52057.42"/>
    <m/>
  </r>
  <r>
    <x v="1"/>
    <s v="/dev/bus/0 -d megaraid,10"/>
    <s v="SEAGATE"/>
    <x v="1"/>
    <x v="1"/>
    <s v="7200 rpm"/>
    <s v="3.5 inches"/>
    <s v="SAS (SPL-3)"/>
    <n v="300000"/>
    <n v="141643"/>
    <n v="52057.8"/>
    <m/>
  </r>
  <r>
    <x v="1"/>
    <s v="/dev/bus/0 -d megaraid,11"/>
    <s v="SEAGATE"/>
    <x v="1"/>
    <x v="1"/>
    <s v="7200 rpm"/>
    <s v="3.5 inches"/>
    <s v="SAS (SPL-3)"/>
    <n v="300000"/>
    <n v="106167"/>
    <n v="52058.12"/>
    <m/>
  </r>
  <r>
    <x v="1"/>
    <s v="/dev/bus/0 -d megaraid,12"/>
    <s v="SEAGATE"/>
    <x v="1"/>
    <x v="1"/>
    <s v="7200 rpm"/>
    <s v="3.5 inches"/>
    <s v="SAS (SPL-3)"/>
    <m/>
    <m/>
    <m/>
    <m/>
  </r>
  <r>
    <x v="1"/>
    <s v="/dev/bus/0 -d megaraid,13"/>
    <s v="SEAGATE"/>
    <x v="1"/>
    <x v="1"/>
    <s v="7200 rpm"/>
    <s v="3.5 inches"/>
    <s v="SAS (SPL-3)"/>
    <n v="300000"/>
    <n v="141984"/>
    <n v="52057.55"/>
    <m/>
  </r>
  <r>
    <x v="1"/>
    <s v="/dev/bus/0 -d megaraid,14"/>
    <s v="SEAGATE"/>
    <x v="1"/>
    <x v="1"/>
    <s v="7200 rpm"/>
    <s v="3.5 inches"/>
    <s v="SAS (SPL-3)"/>
    <n v="300000"/>
    <n v="104204"/>
    <n v="52057.599999999999"/>
    <m/>
  </r>
  <r>
    <x v="1"/>
    <s v="/dev/bus/0 -d megaraid,15"/>
    <s v="SEAGATE"/>
    <x v="1"/>
    <x v="1"/>
    <s v="7200 rpm"/>
    <s v="3.5 inches"/>
    <s v="SAS (SPL-3)"/>
    <n v="300000"/>
    <n v="148156"/>
    <n v="52057.63"/>
    <m/>
  </r>
  <r>
    <x v="2"/>
    <s v="/dev/bus/0 -d megaraid,1"/>
    <s v="SEAGATE"/>
    <x v="1"/>
    <x v="1"/>
    <s v="7200 rpm"/>
    <s v="3.5 inches"/>
    <s v="SAS (SPL-3)"/>
    <n v="300000"/>
    <n v="287099"/>
    <n v="49168.53"/>
    <m/>
  </r>
  <r>
    <x v="2"/>
    <s v="/dev/bus/0 -d megaraid,2"/>
    <s v="SEAGATE"/>
    <x v="1"/>
    <x v="1"/>
    <s v="7200 rpm"/>
    <s v="3.5 inches"/>
    <s v="SAS (SPL-3)"/>
    <n v="300000"/>
    <n v="279124"/>
    <n v="49168.68"/>
    <m/>
  </r>
  <r>
    <x v="2"/>
    <s v="/dev/bus/0 -d megaraid,3"/>
    <s v="SEAGATE"/>
    <x v="1"/>
    <x v="1"/>
    <s v="7200 rpm"/>
    <s v="3.5 inches"/>
    <s v="SAS (SPL-3)"/>
    <n v="300000"/>
    <n v="275386"/>
    <n v="49169.55"/>
    <m/>
  </r>
  <r>
    <x v="2"/>
    <s v="/dev/bus/0 -d megaraid,4"/>
    <s v="SEAGATE"/>
    <x v="1"/>
    <x v="1"/>
    <s v="7200 rpm"/>
    <s v="3.5 inches"/>
    <s v="SAS (SPL-3)"/>
    <m/>
    <m/>
    <m/>
    <m/>
  </r>
  <r>
    <x v="2"/>
    <s v="/dev/bus/0 -d megaraid,6"/>
    <s v="SEAGATE"/>
    <x v="1"/>
    <x v="1"/>
    <s v="7200 rpm"/>
    <s v="3.5 inches"/>
    <s v="SAS (SPL-3)"/>
    <n v="300000"/>
    <n v="265342"/>
    <n v="49168.67"/>
    <m/>
  </r>
  <r>
    <x v="2"/>
    <s v="/dev/bus/0 -d megaraid,7"/>
    <s v="SEAGATE"/>
    <x v="1"/>
    <x v="1"/>
    <s v="7200 rpm"/>
    <s v="3.5 inches"/>
    <s v="SAS (SPL-3)"/>
    <n v="300000"/>
    <n v="288150"/>
    <n v="49168.28"/>
    <m/>
  </r>
  <r>
    <x v="2"/>
    <s v="/dev/bus/0 -d megaraid,8"/>
    <s v="SEAGATE"/>
    <x v="2"/>
    <x v="1"/>
    <s v="7200 rpm"/>
    <s v="3.5 inches"/>
    <s v="SAS (SPL-3)"/>
    <n v="600000"/>
    <n v="200290"/>
    <n v="33422.25"/>
    <m/>
  </r>
  <r>
    <x v="2"/>
    <s v="/dev/bus/0 -d megaraid,10"/>
    <s v="SEAGATE"/>
    <x v="3"/>
    <x v="1"/>
    <s v="7200 rpm"/>
    <s v="3.5 inches"/>
    <s v="SAS (SPL-3)"/>
    <n v="600000"/>
    <n v="33133"/>
    <n v="12026.32"/>
    <m/>
  </r>
  <r>
    <x v="3"/>
    <s v="/dev/bus/0 -d megaraid,1"/>
    <s v="SEAGATE"/>
    <x v="4"/>
    <x v="2"/>
    <s v="7200 rpm"/>
    <s v="3.5 inches"/>
    <s v="SAS (SPL-3)"/>
    <n v="300000"/>
    <n v="516635"/>
    <n v="52122.67"/>
    <m/>
  </r>
  <r>
    <x v="3"/>
    <s v="/dev/bus/0 -d megaraid,2"/>
    <s v="SEAGATE"/>
    <x v="4"/>
    <x v="2"/>
    <s v="7200 rpm"/>
    <s v="3.5 inches"/>
    <s v="SAS (SPL-3)"/>
    <n v="300000"/>
    <n v="521087"/>
    <n v="52123.199999999997"/>
    <m/>
  </r>
  <r>
    <x v="3"/>
    <s v="/dev/bus/0 -d megaraid,3"/>
    <s v="SEAGATE"/>
    <x v="4"/>
    <x v="2"/>
    <s v="7200 rpm"/>
    <s v="3.5 inches"/>
    <s v="SAS (SPL-3)"/>
    <n v="300000"/>
    <n v="514214"/>
    <n v="52122.97"/>
    <m/>
  </r>
  <r>
    <x v="3"/>
    <s v="/dev/bus/0 -d megaraid,4"/>
    <s v="SEAGATE"/>
    <x v="4"/>
    <x v="2"/>
    <s v="7200 rpm"/>
    <s v="3.5 inches"/>
    <s v="SAS (SPL-3)"/>
    <n v="300000"/>
    <n v="523483"/>
    <n v="52122.77"/>
    <m/>
  </r>
  <r>
    <x v="3"/>
    <s v="/dev/bus/0 -d megaraid,6"/>
    <m/>
    <x v="5"/>
    <x v="3"/>
    <s v="Solid State Device"/>
    <s v="2.5 inches"/>
    <m/>
    <m/>
    <m/>
    <m/>
    <m/>
  </r>
  <r>
    <x v="3"/>
    <s v="/dev/bus/0 -d megaraid,7"/>
    <m/>
    <x v="5"/>
    <x v="3"/>
    <s v="Solid State Device"/>
    <s v="2.5 inches"/>
    <m/>
    <m/>
    <m/>
    <m/>
    <m/>
  </r>
  <r>
    <x v="3"/>
    <s v="/dev/bus/0 -d megaraid,8"/>
    <s v="SEAGATE"/>
    <x v="4"/>
    <x v="2"/>
    <s v="7200 rpm"/>
    <s v="3.5 inches"/>
    <s v="SAS (SPL-3)"/>
    <n v="300000"/>
    <n v="517785"/>
    <n v="52123"/>
    <m/>
  </r>
  <r>
    <x v="3"/>
    <s v="/dev/bus/0 -d megaraid,9"/>
    <s v="SEAGATE"/>
    <x v="4"/>
    <x v="2"/>
    <s v="7200 rpm"/>
    <s v="3.5 inches"/>
    <s v="SAS (SPL-3)"/>
    <n v="300000"/>
    <n v="514738"/>
    <n v="52122.65"/>
    <m/>
  </r>
  <r>
    <x v="3"/>
    <s v="/dev/bus/0 -d megaraid,10"/>
    <s v="SEAGATE"/>
    <x v="4"/>
    <x v="2"/>
    <s v="7200 rpm"/>
    <s v="3.5 inches"/>
    <s v="SAS (SPL-3)"/>
    <n v="300000"/>
    <n v="527641"/>
    <n v="52123.08"/>
    <m/>
  </r>
  <r>
    <x v="3"/>
    <s v="/dev/bus/0 -d megaraid,11"/>
    <s v="SEAGATE"/>
    <x v="6"/>
    <x v="2"/>
    <s v="7200 rpm"/>
    <s v="3.5 inches"/>
    <s v="SAS (SPL-3)"/>
    <n v="600000"/>
    <n v="11304"/>
    <n v="1831.2"/>
    <m/>
  </r>
  <r>
    <x v="4"/>
    <s v="/dev/bus/0 -d megaraid,1"/>
    <s v="SEAGATE"/>
    <x v="4"/>
    <x v="2"/>
    <s v="7200 rpm"/>
    <s v="3.5 inches"/>
    <s v="SAS (SPL-3)"/>
    <n v="300000"/>
    <n v="237039"/>
    <n v="52119.47"/>
    <m/>
  </r>
  <r>
    <x v="4"/>
    <s v="/dev/bus/0 -d megaraid,2"/>
    <s v="SEAGATE"/>
    <x v="4"/>
    <x v="2"/>
    <s v="7200 rpm"/>
    <s v="3.5 inches"/>
    <s v="SAS (SPL-3)"/>
    <n v="300000"/>
    <n v="212244"/>
    <n v="52119.73"/>
    <m/>
  </r>
  <r>
    <x v="4"/>
    <s v="/dev/bus/0 -d megaraid,3"/>
    <s v="SEAGATE"/>
    <x v="4"/>
    <x v="2"/>
    <s v="7200 rpm"/>
    <s v="3.5 inches"/>
    <s v="SAS (SPL-3)"/>
    <n v="300000"/>
    <n v="227222"/>
    <n v="52120.13"/>
    <m/>
  </r>
  <r>
    <x v="4"/>
    <s v="/dev/bus/0 -d megaraid,4"/>
    <s v="SEAGATE"/>
    <x v="4"/>
    <x v="2"/>
    <s v="7200 rpm"/>
    <s v="3.5 inches"/>
    <s v="SAS (SPL-3)"/>
    <n v="300000"/>
    <n v="254018"/>
    <n v="52120"/>
    <m/>
  </r>
  <r>
    <x v="4"/>
    <s v="/dev/bus/0 -d megaraid,5"/>
    <s v="SEAGATE"/>
    <x v="4"/>
    <x v="2"/>
    <s v="7200 rpm"/>
    <s v="3.5 inches"/>
    <s v="SAS (SPL-3)"/>
    <n v="300000"/>
    <n v="224600"/>
    <n v="52119.78"/>
    <m/>
  </r>
  <r>
    <x v="4"/>
    <s v="/dev/bus/0 -d megaraid,6"/>
    <s v="SEAGATE"/>
    <x v="4"/>
    <x v="2"/>
    <s v="7200 rpm"/>
    <s v="3.5 inches"/>
    <s v="SAS (SPL-3)"/>
    <n v="300000"/>
    <n v="250982"/>
    <n v="52119.92"/>
    <m/>
  </r>
  <r>
    <x v="4"/>
    <s v="/dev/bus/0 -d megaraid,7"/>
    <s v="SEAGATE"/>
    <x v="4"/>
    <x v="2"/>
    <s v="7200 rpm"/>
    <s v="3.5 inches"/>
    <s v="SAS (SPL-3)"/>
    <n v="300000"/>
    <n v="234805"/>
    <n v="52119.88"/>
    <m/>
  </r>
  <r>
    <x v="4"/>
    <s v="/dev/bus/0 -d megaraid,8"/>
    <s v="SEAGATE"/>
    <x v="4"/>
    <x v="2"/>
    <s v="7200 rpm"/>
    <s v="3.5 inches"/>
    <s v="SAS (SPL-3)"/>
    <n v="300000"/>
    <n v="233835"/>
    <n v="52119.88"/>
    <m/>
  </r>
  <r>
    <x v="4"/>
    <s v="/dev/bus/0 -d megaraid,9"/>
    <m/>
    <x v="5"/>
    <x v="3"/>
    <s v="Solid State Device"/>
    <s v="2.5 inches"/>
    <m/>
    <m/>
    <m/>
    <m/>
    <m/>
  </r>
  <r>
    <x v="4"/>
    <s v="/dev/bus/0 -d megaraid,10"/>
    <m/>
    <x v="5"/>
    <x v="3"/>
    <s v="Solid State Device"/>
    <s v="2.5 inches"/>
    <m/>
    <m/>
    <m/>
    <m/>
    <m/>
  </r>
  <r>
    <x v="5"/>
    <s v="/dev/bus/0 -d megaraid,1"/>
    <m/>
    <x v="5"/>
    <x v="3"/>
    <s v="Solid State Device"/>
    <s v="2.5 inches"/>
    <m/>
    <m/>
    <m/>
    <m/>
    <m/>
  </r>
  <r>
    <x v="5"/>
    <s v="/dev/bus/0 -d megaraid,2"/>
    <m/>
    <x v="5"/>
    <x v="3"/>
    <s v="Solid State Device"/>
    <s v="2.5 inches"/>
    <m/>
    <m/>
    <m/>
    <m/>
    <m/>
  </r>
  <r>
    <x v="5"/>
    <s v="/dev/bus/0 -d megaraid,3"/>
    <s v="SEAGATE"/>
    <x v="4"/>
    <x v="2"/>
    <s v="7200 rpm"/>
    <s v="3.5 inches"/>
    <s v="SAS (SPL-3)"/>
    <n v="300000"/>
    <n v="548262"/>
    <n v="52122.68"/>
    <m/>
  </r>
  <r>
    <x v="5"/>
    <s v="/dev/bus/0 -d megaraid,4"/>
    <s v="SEAGATE"/>
    <x v="4"/>
    <x v="2"/>
    <s v="7200 rpm"/>
    <s v="3.5 inches"/>
    <s v="SAS (SPL-3)"/>
    <n v="300000"/>
    <n v="548723"/>
    <n v="52123.02"/>
    <m/>
  </r>
  <r>
    <x v="5"/>
    <s v="/dev/bus/0 -d megaraid,5"/>
    <s v="SEAGATE"/>
    <x v="4"/>
    <x v="2"/>
    <s v="7200 rpm"/>
    <s v="3.5 inches"/>
    <s v="SAS (SPL-3)"/>
    <n v="300000"/>
    <n v="544236"/>
    <n v="52122.9"/>
    <m/>
  </r>
  <r>
    <x v="5"/>
    <s v="/dev/bus/0 -d megaraid,6"/>
    <s v="SEAGATE"/>
    <x v="4"/>
    <x v="2"/>
    <s v="7200 rpm"/>
    <s v="3.5 inches"/>
    <s v="SAS (SPL-3)"/>
    <n v="300000"/>
    <n v="548425"/>
    <n v="52122.95"/>
    <m/>
  </r>
  <r>
    <x v="5"/>
    <s v="/dev/bus/0 -d megaraid,7"/>
    <s v="SEAGATE"/>
    <x v="4"/>
    <x v="2"/>
    <s v="7200 rpm"/>
    <s v="3.5 inches"/>
    <s v="SAS (SPL-3)"/>
    <n v="300000"/>
    <n v="543641"/>
    <n v="52122.8"/>
    <m/>
  </r>
  <r>
    <x v="5"/>
    <s v="/dev/bus/0 -d megaraid,8"/>
    <s v="SEAGATE"/>
    <x v="4"/>
    <x v="2"/>
    <s v="7200 rpm"/>
    <s v="3.5 inches"/>
    <s v="SAS (SPL-3)"/>
    <n v="300000"/>
    <n v="546581"/>
    <n v="52122.82"/>
    <m/>
  </r>
  <r>
    <x v="5"/>
    <s v="/dev/bus/0 -d megaraid,9"/>
    <s v="SEAGATE"/>
    <x v="4"/>
    <x v="2"/>
    <s v="7200 rpm"/>
    <s v="3.5 inches"/>
    <s v="SAS (SPL-3)"/>
    <n v="300000"/>
    <n v="544224"/>
    <n v="52122.47"/>
    <m/>
  </r>
  <r>
    <x v="5"/>
    <s v="/dev/bus/0 -d megaraid,10"/>
    <s v="SEAGATE"/>
    <x v="4"/>
    <x v="2"/>
    <s v="7200 rpm"/>
    <s v="3.5 inches"/>
    <s v="SAS (SPL-3)"/>
    <n v="300000"/>
    <n v="540394"/>
    <n v="52122.87"/>
    <m/>
  </r>
  <r>
    <x v="6"/>
    <s v="/dev/bus/0 -d megaraid,1"/>
    <s v="SEAGATE"/>
    <x v="4"/>
    <x v="2"/>
    <s v="7200 rpm"/>
    <s v="3.5 inches"/>
    <s v="SAS (SPL-3)"/>
    <n v="300000"/>
    <n v="522809"/>
    <n v="52120"/>
    <m/>
  </r>
  <r>
    <x v="6"/>
    <s v="/dev/bus/0 -d megaraid,2"/>
    <s v="SEAGATE"/>
    <x v="4"/>
    <x v="2"/>
    <s v="7200 rpm"/>
    <s v="3.5 inches"/>
    <s v="SAS (SPL-3)"/>
    <n v="300000"/>
    <n v="531673"/>
    <n v="52119.83"/>
    <m/>
  </r>
  <r>
    <x v="6"/>
    <s v="/dev/bus/0 -d megaraid,3"/>
    <s v="SEAGATE"/>
    <x v="4"/>
    <x v="2"/>
    <s v="7200 rpm"/>
    <s v="3.5 inches"/>
    <s v="SAS (SPL-3)"/>
    <n v="300000"/>
    <n v="527460"/>
    <n v="52119.7"/>
    <m/>
  </r>
  <r>
    <x v="6"/>
    <s v="/dev/bus/0 -d megaraid,4"/>
    <s v="SEAGATE"/>
    <x v="4"/>
    <x v="2"/>
    <s v="7200 rpm"/>
    <s v="3.5 inches"/>
    <s v="SAS (SPL-3)"/>
    <n v="300000"/>
    <n v="530073"/>
    <n v="52120.18"/>
    <m/>
  </r>
  <r>
    <x v="6"/>
    <s v="/dev/bus/0 -d megaraid,5"/>
    <s v="SEAGATE"/>
    <x v="4"/>
    <x v="2"/>
    <s v="7200 rpm"/>
    <s v="3.5 inches"/>
    <s v="SAS (SPL-3)"/>
    <n v="300000"/>
    <n v="528320"/>
    <n v="52119.78"/>
    <m/>
  </r>
  <r>
    <x v="6"/>
    <s v="/dev/bus/0 -d megaraid,6"/>
    <s v="SEAGATE"/>
    <x v="4"/>
    <x v="2"/>
    <s v="7200 rpm"/>
    <s v="3.5 inches"/>
    <s v="SAS (SPL-3)"/>
    <n v="300000"/>
    <n v="524783"/>
    <n v="52119.83"/>
    <m/>
  </r>
  <r>
    <x v="6"/>
    <s v="/dev/bus/0 -d megaraid,7"/>
    <s v="SEAGATE"/>
    <x v="4"/>
    <x v="2"/>
    <s v="7200 rpm"/>
    <s v="3.5 inches"/>
    <s v="SAS (SPL-3)"/>
    <n v="300000"/>
    <n v="524480"/>
    <n v="52119.73"/>
    <m/>
  </r>
  <r>
    <x v="6"/>
    <s v="/dev/bus/0 -d megaraid,8"/>
    <s v="SEAGATE"/>
    <x v="4"/>
    <x v="2"/>
    <s v="7200 rpm"/>
    <s v="3.5 inches"/>
    <s v="SAS (SPL-3)"/>
    <n v="300000"/>
    <n v="521347"/>
    <n v="52119.73"/>
    <m/>
  </r>
  <r>
    <x v="6"/>
    <s v="/dev/bus/0 -d megaraid,9"/>
    <m/>
    <x v="5"/>
    <x v="3"/>
    <s v="Solid State Device"/>
    <s v="2.5 inches"/>
    <m/>
    <m/>
    <m/>
    <m/>
    <m/>
  </r>
  <r>
    <x v="6"/>
    <s v="/dev/bus/0 -d megaraid,10"/>
    <m/>
    <x v="5"/>
    <x v="3"/>
    <s v="Solid State Device"/>
    <s v="2.5 inches"/>
    <m/>
    <m/>
    <m/>
    <m/>
    <m/>
  </r>
  <r>
    <x v="7"/>
    <s v="/dev/bus/0 -d megaraid,1"/>
    <s v="SEAGATE"/>
    <x v="4"/>
    <x v="2"/>
    <s v="7200 rpm"/>
    <s v="3.5 inches"/>
    <s v="SAS (SPL-3)"/>
    <n v="300000"/>
    <n v="542498"/>
    <n v="52122.62"/>
    <m/>
  </r>
  <r>
    <x v="7"/>
    <s v="/dev/bus/0 -d megaraid,2"/>
    <s v="SEAGATE"/>
    <x v="4"/>
    <x v="2"/>
    <s v="7200 rpm"/>
    <s v="3.5 inches"/>
    <s v="SAS (SPL-3)"/>
    <n v="300000"/>
    <n v="548274"/>
    <n v="52123.4"/>
    <m/>
  </r>
  <r>
    <x v="7"/>
    <s v="/dev/bus/0 -d megaraid,3"/>
    <m/>
    <x v="5"/>
    <x v="3"/>
    <s v="Solid State Device"/>
    <s v="2.5 inches"/>
    <m/>
    <m/>
    <m/>
    <m/>
    <m/>
  </r>
  <r>
    <x v="7"/>
    <s v="/dev/bus/0 -d megaraid,4"/>
    <m/>
    <x v="5"/>
    <x v="3"/>
    <s v="Solid State Device"/>
    <s v="2.5 inches"/>
    <m/>
    <m/>
    <m/>
    <m/>
    <m/>
  </r>
  <r>
    <x v="7"/>
    <s v="/dev/bus/0 -d megaraid,5"/>
    <s v="SEAGATE"/>
    <x v="4"/>
    <x v="2"/>
    <s v="7200 rpm"/>
    <s v="3.5 inches"/>
    <s v="SAS (SPL-3)"/>
    <n v="300000"/>
    <n v="543619"/>
    <n v="52122.720000000001"/>
    <m/>
  </r>
  <r>
    <x v="7"/>
    <s v="/dev/bus/0 -d megaraid,6"/>
    <s v="SEAGATE"/>
    <x v="4"/>
    <x v="2"/>
    <s v="7200 rpm"/>
    <s v="3.5 inches"/>
    <s v="SAS (SPL-3)"/>
    <n v="300000"/>
    <n v="546451"/>
    <n v="52122.43"/>
    <m/>
  </r>
  <r>
    <x v="7"/>
    <s v="/dev/bus/0 -d megaraid,7"/>
    <s v="SEAGATE"/>
    <x v="4"/>
    <x v="2"/>
    <s v="7200 rpm"/>
    <s v="3.5 inches"/>
    <s v="SAS (SPL-3)"/>
    <n v="300000"/>
    <n v="550030"/>
    <n v="52122.95"/>
    <m/>
  </r>
  <r>
    <x v="7"/>
    <s v="/dev/bus/0 -d megaraid,8"/>
    <s v="SEAGATE"/>
    <x v="4"/>
    <x v="2"/>
    <s v="7200 rpm"/>
    <s v="3.5 inches"/>
    <s v="SAS (SPL-3)"/>
    <n v="300000"/>
    <n v="551827"/>
    <n v="52122.58"/>
    <m/>
  </r>
  <r>
    <x v="7"/>
    <s v="/dev/bus/0 -d megaraid,9"/>
    <s v="SEAGATE"/>
    <x v="4"/>
    <x v="2"/>
    <s v="7200 rpm"/>
    <s v="3.5 inches"/>
    <s v="SAS (SPL-3)"/>
    <n v="300000"/>
    <n v="545753"/>
    <n v="52122.67"/>
    <m/>
  </r>
  <r>
    <x v="7"/>
    <s v="/dev/bus/0 -d megaraid,10"/>
    <s v="SEAGATE"/>
    <x v="4"/>
    <x v="2"/>
    <s v="7200 rpm"/>
    <s v="3.5 inches"/>
    <s v="SAS (SPL-3)"/>
    <n v="300000"/>
    <n v="550553"/>
    <n v="52122.720000000001"/>
    <m/>
  </r>
  <r>
    <x v="8"/>
    <s v="/dev/bus/0 -d megaraid,1"/>
    <s v="SEAGATE"/>
    <x v="4"/>
    <x v="2"/>
    <s v="7200 rpm"/>
    <s v="3.5 inches"/>
    <s v="SAS (SPL-3)"/>
    <n v="300000"/>
    <n v="567055"/>
    <n v="52119.519999999997"/>
    <m/>
  </r>
  <r>
    <x v="8"/>
    <s v="/dev/bus/0 -d megaraid,2"/>
    <s v="SEAGATE"/>
    <x v="4"/>
    <x v="2"/>
    <s v="7200 rpm"/>
    <s v="3.5 inches"/>
    <s v="SAS (SPL-3)"/>
    <n v="300000"/>
    <n v="578157"/>
    <n v="52119.63"/>
    <m/>
  </r>
  <r>
    <x v="8"/>
    <s v="/dev/bus/0 -d megaraid,3"/>
    <s v="SEAGATE"/>
    <x v="4"/>
    <x v="2"/>
    <s v="7200 rpm"/>
    <s v="3.5 inches"/>
    <s v="SAS (SPL-3)"/>
    <n v="300000"/>
    <n v="572471"/>
    <n v="52119.55"/>
    <m/>
  </r>
  <r>
    <x v="8"/>
    <s v="/dev/bus/0 -d megaraid,4"/>
    <s v="SEAGATE"/>
    <x v="4"/>
    <x v="2"/>
    <s v="7200 rpm"/>
    <s v="3.5 inches"/>
    <s v="SAS (SPL-3)"/>
    <n v="300000"/>
    <n v="576981"/>
    <n v="52119.7"/>
    <m/>
  </r>
  <r>
    <x v="8"/>
    <s v="/dev/bus/0 -d megaraid,5"/>
    <s v="SEAGATE"/>
    <x v="4"/>
    <x v="2"/>
    <s v="7200 rpm"/>
    <s v="3.5 inches"/>
    <s v="SAS (SPL-3)"/>
    <n v="300000"/>
    <n v="566124"/>
    <n v="52119.48"/>
    <m/>
  </r>
  <r>
    <x v="8"/>
    <s v="/dev/bus/0 -d megaraid,6"/>
    <s v="SEAGATE"/>
    <x v="4"/>
    <x v="2"/>
    <s v="7200 rpm"/>
    <s v="3.5 inches"/>
    <s v="SAS (SPL-3)"/>
    <n v="300000"/>
    <n v="569016"/>
    <n v="52119.67"/>
    <m/>
  </r>
  <r>
    <x v="8"/>
    <s v="/dev/bus/0 -d megaraid,7"/>
    <s v="SEAGATE"/>
    <x v="4"/>
    <x v="2"/>
    <s v="7200 rpm"/>
    <s v="3.5 inches"/>
    <s v="SAS (SPL-3)"/>
    <n v="300000"/>
    <n v="566084"/>
    <n v="52119.6"/>
    <m/>
  </r>
  <r>
    <x v="8"/>
    <s v="/dev/bus/0 -d megaraid,8"/>
    <s v="SEAGATE"/>
    <x v="4"/>
    <x v="2"/>
    <s v="7200 rpm"/>
    <s v="3.5 inches"/>
    <s v="SAS (SPL-3)"/>
    <n v="300000"/>
    <n v="575946"/>
    <n v="52119.5"/>
    <m/>
  </r>
  <r>
    <x v="8"/>
    <s v="/dev/bus/0 -d megaraid,9"/>
    <m/>
    <x v="5"/>
    <x v="3"/>
    <s v="Solid State Device"/>
    <s v="2.5 inches"/>
    <m/>
    <m/>
    <m/>
    <m/>
    <m/>
  </r>
  <r>
    <x v="8"/>
    <s v="/dev/bus/0 -d megaraid,10"/>
    <m/>
    <x v="5"/>
    <x v="3"/>
    <s v="Solid State Device"/>
    <s v="2.5 inches"/>
    <m/>
    <m/>
    <m/>
    <m/>
    <m/>
  </r>
  <r>
    <x v="9"/>
    <s v="/dev/bus/0 -d megaraid,1"/>
    <m/>
    <x v="5"/>
    <x v="3"/>
    <s v="Solid State Device"/>
    <s v="2.5 inches"/>
    <m/>
    <m/>
    <m/>
    <m/>
    <m/>
  </r>
  <r>
    <x v="9"/>
    <s v="/dev/bus/0 -d megaraid,2"/>
    <m/>
    <x v="5"/>
    <x v="3"/>
    <s v="Solid State Device"/>
    <s v="2.5 inches"/>
    <m/>
    <m/>
    <m/>
    <m/>
    <m/>
  </r>
  <r>
    <x v="9"/>
    <s v="/dev/bus/0 -d megaraid,3"/>
    <s v="SEAGATE"/>
    <x v="4"/>
    <x v="2"/>
    <s v="7200 rpm"/>
    <s v="3.5 inches"/>
    <s v="SAS (SPL-3)"/>
    <n v="300000"/>
    <n v="569176"/>
    <n v="52125.03"/>
    <m/>
  </r>
  <r>
    <x v="9"/>
    <s v="/dev/bus/0 -d megaraid,4"/>
    <s v="SEAGATE"/>
    <x v="4"/>
    <x v="2"/>
    <s v="7200 rpm"/>
    <s v="3.5 inches"/>
    <s v="SAS (SPL-3)"/>
    <n v="300000"/>
    <n v="566949"/>
    <n v="52122.63"/>
    <m/>
  </r>
  <r>
    <x v="9"/>
    <s v="/dev/bus/0 -d megaraid,5"/>
    <s v="SEAGATE"/>
    <x v="4"/>
    <x v="2"/>
    <s v="7200 rpm"/>
    <s v="3.5 inches"/>
    <s v="SAS (SPL-3)"/>
    <n v="300000"/>
    <n v="571331"/>
    <n v="52122.9"/>
    <m/>
  </r>
  <r>
    <x v="9"/>
    <s v="/dev/bus/0 -d megaraid,6"/>
    <s v="SEAGATE"/>
    <x v="4"/>
    <x v="2"/>
    <s v="7200 rpm"/>
    <s v="3.5 inches"/>
    <s v="SAS (SPL-3)"/>
    <n v="300000"/>
    <n v="576878"/>
    <n v="52122.63"/>
    <m/>
  </r>
  <r>
    <x v="9"/>
    <s v="/dev/bus/0 -d megaraid,7"/>
    <s v="SEAGATE"/>
    <x v="4"/>
    <x v="2"/>
    <s v="7200 rpm"/>
    <s v="3.5 inches"/>
    <s v="SAS (SPL-3)"/>
    <n v="300000"/>
    <n v="573403"/>
    <n v="52123.07"/>
    <m/>
  </r>
  <r>
    <x v="9"/>
    <s v="/dev/bus/0 -d megaraid,8"/>
    <s v="SEAGATE"/>
    <x v="4"/>
    <x v="2"/>
    <s v="7200 rpm"/>
    <s v="3.5 inches"/>
    <s v="SAS (SPL-3)"/>
    <n v="300000"/>
    <n v="565089"/>
    <n v="52122.8"/>
    <m/>
  </r>
  <r>
    <x v="9"/>
    <s v="/dev/bus/0 -d megaraid,9"/>
    <s v="SEAGATE"/>
    <x v="4"/>
    <x v="2"/>
    <s v="7200 rpm"/>
    <s v="3.5 inches"/>
    <s v="SAS (SPL-3)"/>
    <n v="300000"/>
    <n v="569601"/>
    <n v="51999.15"/>
    <m/>
  </r>
  <r>
    <x v="9"/>
    <s v="/dev/bus/0 -d megaraid,10"/>
    <s v="SEAGATE"/>
    <x v="4"/>
    <x v="2"/>
    <s v="7200 rpm"/>
    <s v="3.5 inches"/>
    <s v="SAS (SPL-3)"/>
    <n v="300000"/>
    <n v="577897"/>
    <n v="52123.57"/>
    <m/>
  </r>
  <r>
    <x v="10"/>
    <s v="/dev/bus/0 -d megaraid,1"/>
    <s v="SEAGATE"/>
    <x v="4"/>
    <x v="2"/>
    <s v="7200 rpm"/>
    <s v="3.5 inches"/>
    <s v="SAS (SPL-3)"/>
    <n v="300000"/>
    <n v="368872"/>
    <n v="52156.88"/>
    <m/>
  </r>
  <r>
    <x v="10"/>
    <s v="/dev/bus/0 -d megaraid,2"/>
    <s v="SEAGATE"/>
    <x v="4"/>
    <x v="2"/>
    <s v="7200 rpm"/>
    <s v="3.5 inches"/>
    <s v="SAS (SPL-3)"/>
    <n v="300000"/>
    <n v="369109"/>
    <n v="52156.77"/>
    <m/>
  </r>
  <r>
    <x v="10"/>
    <s v="/dev/bus/0 -d megaraid,3"/>
    <s v="SEAGATE"/>
    <x v="4"/>
    <x v="2"/>
    <s v="7200 rpm"/>
    <s v="3.5 inches"/>
    <s v="SAS (SPL-3)"/>
    <n v="300000"/>
    <n v="364512"/>
    <n v="52156.57"/>
    <m/>
  </r>
  <r>
    <x v="10"/>
    <s v="/dev/bus/0 -d megaraid,4"/>
    <s v="SEAGATE"/>
    <x v="4"/>
    <x v="2"/>
    <s v="7200 rpm"/>
    <s v="3.5 inches"/>
    <s v="SAS (SPL-3)"/>
    <n v="300000"/>
    <n v="367980"/>
    <n v="52156.58"/>
    <m/>
  </r>
  <r>
    <x v="10"/>
    <s v="/dev/bus/0 -d megaraid,5"/>
    <s v="SEAGATE"/>
    <x v="4"/>
    <x v="2"/>
    <s v="7200 rpm"/>
    <s v="3.5 inches"/>
    <s v="SAS (SPL-3)"/>
    <n v="300000"/>
    <n v="371966"/>
    <n v="52156.480000000003"/>
    <m/>
  </r>
  <r>
    <x v="10"/>
    <s v="/dev/bus/0 -d megaraid,7"/>
    <s v="SEAGATE"/>
    <x v="4"/>
    <x v="2"/>
    <s v="7200 rpm"/>
    <s v="3.5 inches"/>
    <s v="SAS (SPL-3)"/>
    <n v="300000"/>
    <n v="374216"/>
    <n v="52156.75"/>
    <m/>
  </r>
  <r>
    <x v="10"/>
    <s v="/dev/bus/0 -d megaraid,8"/>
    <s v="SEAGATE"/>
    <x v="4"/>
    <x v="2"/>
    <s v="7200 rpm"/>
    <s v="3.5 inches"/>
    <s v="SAS (SPL-3)"/>
    <n v="300000"/>
    <n v="372022"/>
    <n v="52156.92"/>
    <m/>
  </r>
  <r>
    <x v="10"/>
    <s v="/dev/bus/0 -d megaraid,9"/>
    <m/>
    <x v="5"/>
    <x v="3"/>
    <s v="Solid State Device"/>
    <s v="2.5 inches"/>
    <m/>
    <m/>
    <m/>
    <m/>
    <m/>
  </r>
  <r>
    <x v="10"/>
    <s v="/dev/bus/0 -d megaraid,10"/>
    <m/>
    <x v="5"/>
    <x v="3"/>
    <s v="Solid State Device"/>
    <s v="2.5 inches"/>
    <m/>
    <m/>
    <m/>
    <m/>
    <m/>
  </r>
  <r>
    <x v="10"/>
    <s v="/dev/bus/0 -d megaraid,11"/>
    <s v="SEAGATE"/>
    <x v="4"/>
    <x v="2"/>
    <s v="7200 rpm"/>
    <s v="3.5 inches"/>
    <s v="SAS (SPL-3)"/>
    <n v="300000"/>
    <n v="358721"/>
    <n v="51303.98"/>
    <m/>
  </r>
  <r>
    <x v="11"/>
    <s v="/dev/bus/0 -d megaraid,1"/>
    <m/>
    <x v="5"/>
    <x v="3"/>
    <s v="Solid State Device"/>
    <s v="2.5 inches"/>
    <m/>
    <m/>
    <m/>
    <m/>
    <m/>
  </r>
  <r>
    <x v="11"/>
    <s v="/dev/bus/0 -d megaraid,2"/>
    <m/>
    <x v="5"/>
    <x v="3"/>
    <s v="Solid State Device"/>
    <s v="2.5 inches"/>
    <m/>
    <m/>
    <m/>
    <m/>
    <m/>
  </r>
  <r>
    <x v="11"/>
    <s v="/dev/bus/0 -d megaraid,3"/>
    <s v="SEAGATE"/>
    <x v="4"/>
    <x v="2"/>
    <s v="7200 rpm"/>
    <s v="3.5 inches"/>
    <s v="SAS (SPL-3)"/>
    <n v="300000"/>
    <n v="406368"/>
    <n v="52122.32"/>
    <m/>
  </r>
  <r>
    <x v="11"/>
    <s v="/dev/bus/0 -d megaraid,4"/>
    <s v="SEAGATE"/>
    <x v="4"/>
    <x v="2"/>
    <s v="7200 rpm"/>
    <s v="3.5 inches"/>
    <s v="SAS (SPL-3)"/>
    <n v="300000"/>
    <n v="415118"/>
    <n v="52122.78"/>
    <m/>
  </r>
  <r>
    <x v="11"/>
    <s v="/dev/bus/0 -d megaraid,5"/>
    <s v="SEAGATE"/>
    <x v="4"/>
    <x v="2"/>
    <s v="7200 rpm"/>
    <s v="3.5 inches"/>
    <s v="SAS (SPL-3)"/>
    <n v="300000"/>
    <n v="411747"/>
    <n v="52123.05"/>
    <m/>
  </r>
  <r>
    <x v="11"/>
    <s v="/dev/bus/0 -d megaraid,6"/>
    <s v="SEAGATE"/>
    <x v="4"/>
    <x v="2"/>
    <s v="7200 rpm"/>
    <s v="3.5 inches"/>
    <s v="SAS (SPL-3)"/>
    <n v="300000"/>
    <n v="409768"/>
    <n v="52121.47"/>
    <m/>
  </r>
  <r>
    <x v="11"/>
    <s v="/dev/bus/0 -d megaraid,7"/>
    <s v="SEAGATE"/>
    <x v="4"/>
    <x v="2"/>
    <s v="7200 rpm"/>
    <s v="3.5 inches"/>
    <s v="SAS (SPL-3)"/>
    <n v="300000"/>
    <n v="405338"/>
    <n v="52122.95"/>
    <m/>
  </r>
  <r>
    <x v="11"/>
    <s v="/dev/bus/0 -d megaraid,8"/>
    <s v="SEAGATE"/>
    <x v="4"/>
    <x v="2"/>
    <s v="7200 rpm"/>
    <s v="3.5 inches"/>
    <s v="SAS (SPL-3)"/>
    <n v="300000"/>
    <n v="417029"/>
    <n v="52122.400000000001"/>
    <m/>
  </r>
  <r>
    <x v="11"/>
    <s v="/dev/bus/0 -d megaraid,9"/>
    <s v="SEAGATE"/>
    <x v="4"/>
    <x v="2"/>
    <s v="7200 rpm"/>
    <s v="3.5 inches"/>
    <s v="SAS (SPL-3)"/>
    <n v="300000"/>
    <n v="412809"/>
    <n v="52124.45"/>
    <m/>
  </r>
  <r>
    <x v="11"/>
    <s v="/dev/bus/0 -d megaraid,10"/>
    <s v="SEAGATE"/>
    <x v="4"/>
    <x v="2"/>
    <s v="7200 rpm"/>
    <s v="3.5 inches"/>
    <s v="SAS (SPL-3)"/>
    <n v="300000"/>
    <n v="410907"/>
    <n v="52123.28"/>
    <m/>
  </r>
  <r>
    <x v="12"/>
    <s v="/dev/bus/0 -d megaraid,0"/>
    <m/>
    <x v="5"/>
    <x v="3"/>
    <s v="Solid State Device"/>
    <s v="2.5 inches"/>
    <m/>
    <m/>
    <m/>
    <m/>
    <m/>
  </r>
  <r>
    <x v="12"/>
    <s v="/dev/bus/0 -d megaraid,1"/>
    <m/>
    <x v="5"/>
    <x v="3"/>
    <s v="Solid State Device"/>
    <s v="2.5 inches"/>
    <m/>
    <m/>
    <m/>
    <m/>
    <m/>
  </r>
  <r>
    <x v="12"/>
    <s v="/dev/bus/0 -d megaraid,3"/>
    <s v="SEAGATE"/>
    <x v="4"/>
    <x v="2"/>
    <s v="7200 rpm"/>
    <s v="3.5 inches"/>
    <s v="SAS (SPL-3)"/>
    <n v="300000"/>
    <n v="542514"/>
    <n v="52099.53"/>
    <m/>
  </r>
  <r>
    <x v="12"/>
    <s v="/dev/bus/0 -d megaraid,4"/>
    <s v="SEAGATE"/>
    <x v="4"/>
    <x v="2"/>
    <s v="7200 rpm"/>
    <s v="3.5 inches"/>
    <s v="SAS (SPL-3)"/>
    <n v="300000"/>
    <n v="534179"/>
    <n v="52098.57"/>
    <m/>
  </r>
  <r>
    <x v="12"/>
    <s v="/dev/bus/0 -d megaraid,5"/>
    <s v="SEAGATE"/>
    <x v="4"/>
    <x v="2"/>
    <s v="7200 rpm"/>
    <s v="3.5 inches"/>
    <s v="SAS (SPL-3)"/>
    <n v="300000"/>
    <n v="534432"/>
    <n v="52099.83"/>
    <m/>
  </r>
  <r>
    <x v="12"/>
    <s v="/dev/bus/0 -d megaraid,6"/>
    <s v="SEAGATE"/>
    <x v="4"/>
    <x v="2"/>
    <s v="7200 rpm"/>
    <s v="3.5 inches"/>
    <s v="SAS (SPL-3)"/>
    <n v="300000"/>
    <n v="539010"/>
    <n v="52099.57"/>
    <m/>
  </r>
  <r>
    <x v="12"/>
    <s v="/dev/bus/0 -d megaraid,7"/>
    <s v="SEAGATE"/>
    <x v="4"/>
    <x v="2"/>
    <s v="7200 rpm"/>
    <s v="3.5 inches"/>
    <s v="SAS (SPL-3)"/>
    <n v="300000"/>
    <n v="548620"/>
    <n v="52098.720000000001"/>
    <m/>
  </r>
  <r>
    <x v="12"/>
    <s v="/dev/bus/0 -d megaraid,8"/>
    <s v="SEAGATE"/>
    <x v="4"/>
    <x v="2"/>
    <s v="7200 rpm"/>
    <s v="3.5 inches"/>
    <s v="SAS (SPL-3)"/>
    <n v="300000"/>
    <n v="540128"/>
    <n v="52098.77"/>
    <m/>
  </r>
  <r>
    <x v="12"/>
    <s v="/dev/bus/0 -d megaraid,9"/>
    <s v="SEAGATE"/>
    <x v="4"/>
    <x v="2"/>
    <s v="7200 rpm"/>
    <s v="3.5 inches"/>
    <s v="SAS (SPL-3)"/>
    <n v="300000"/>
    <n v="547197"/>
    <n v="52098.58"/>
    <m/>
  </r>
  <r>
    <x v="12"/>
    <s v="/dev/bus/0 -d megaraid,10"/>
    <s v="SEAGATE"/>
    <x v="4"/>
    <x v="2"/>
    <s v="7200 rpm"/>
    <s v="3.5 inches"/>
    <s v="SAS (SPL-3)"/>
    <n v="300000"/>
    <n v="541544"/>
    <n v="52099.15"/>
    <m/>
  </r>
  <r>
    <x v="13"/>
    <s v="/dev/bus/0 -d megaraid,1"/>
    <m/>
    <x v="5"/>
    <x v="3"/>
    <s v="Solid State Device"/>
    <s v="2.5 inches"/>
    <m/>
    <m/>
    <m/>
    <m/>
    <m/>
  </r>
  <r>
    <x v="13"/>
    <s v="/dev/bus/0 -d megaraid,2"/>
    <m/>
    <x v="5"/>
    <x v="3"/>
    <s v="Solid State Device"/>
    <s v="2.5 inches"/>
    <m/>
    <m/>
    <m/>
    <m/>
    <m/>
  </r>
  <r>
    <x v="13"/>
    <s v="/dev/bus/0 -d megaraid,3"/>
    <s v="SEAGATE"/>
    <x v="4"/>
    <x v="2"/>
    <s v="7200 rpm"/>
    <s v="3.5 inches"/>
    <s v="SAS (SPL-3)"/>
    <n v="300000"/>
    <n v="307459"/>
    <n v="52159.18"/>
    <m/>
  </r>
  <r>
    <x v="13"/>
    <s v="/dev/bus/0 -d megaraid,4"/>
    <s v="SEAGATE"/>
    <x v="4"/>
    <x v="2"/>
    <s v="7200 rpm"/>
    <s v="3.5 inches"/>
    <s v="SAS (SPL-3)"/>
    <n v="300000"/>
    <n v="313978"/>
    <n v="52159.42"/>
    <m/>
  </r>
  <r>
    <x v="13"/>
    <s v="/dev/bus/0 -d megaraid,5"/>
    <s v="SEAGATE"/>
    <x v="4"/>
    <x v="2"/>
    <s v="7200 rpm"/>
    <s v="3.5 inches"/>
    <s v="SAS (SPL-3)"/>
    <n v="300000"/>
    <n v="292025"/>
    <n v="52159.53"/>
    <m/>
  </r>
  <r>
    <x v="13"/>
    <s v="/dev/bus/0 -d megaraid,6"/>
    <s v="SEAGATE"/>
    <x v="4"/>
    <x v="2"/>
    <s v="7200 rpm"/>
    <s v="3.5 inches"/>
    <s v="SAS (SPL-3)"/>
    <n v="300000"/>
    <n v="265293"/>
    <n v="52159.53"/>
    <m/>
  </r>
  <r>
    <x v="13"/>
    <s v="/dev/bus/0 -d megaraid,7"/>
    <s v="SEAGATE"/>
    <x v="4"/>
    <x v="2"/>
    <s v="7200 rpm"/>
    <s v="3.5 inches"/>
    <s v="SAS (SPL-3)"/>
    <n v="300000"/>
    <n v="263945"/>
    <n v="52159.37"/>
    <m/>
  </r>
  <r>
    <x v="13"/>
    <s v="/dev/bus/0 -d megaraid,8"/>
    <s v="SEAGATE"/>
    <x v="4"/>
    <x v="2"/>
    <s v="7200 rpm"/>
    <s v="3.5 inches"/>
    <s v="SAS (SPL-3)"/>
    <n v="300000"/>
    <n v="322471"/>
    <n v="52159.28"/>
    <m/>
  </r>
  <r>
    <x v="13"/>
    <s v="/dev/bus/0 -d megaraid,9"/>
    <s v="SEAGATE"/>
    <x v="4"/>
    <x v="2"/>
    <s v="7200 rpm"/>
    <s v="3.5 inches"/>
    <s v="SAS (SPL-3)"/>
    <n v="300000"/>
    <n v="305222"/>
    <n v="52159.43"/>
    <m/>
  </r>
  <r>
    <x v="13"/>
    <s v="/dev/bus/0 -d megaraid,10"/>
    <s v="SEAGATE"/>
    <x v="4"/>
    <x v="2"/>
    <s v="7200 rpm"/>
    <s v="3.5 inches"/>
    <s v="SAS (SPL-3)"/>
    <n v="300000"/>
    <n v="248315"/>
    <n v="52159.25"/>
    <m/>
  </r>
  <r>
    <x v="14"/>
    <s v="/dev/bus/0 -d megaraid,0"/>
    <m/>
    <x v="5"/>
    <x v="3"/>
    <s v="Solid State Device"/>
    <s v="2.5 inches"/>
    <m/>
    <m/>
    <m/>
    <m/>
    <m/>
  </r>
  <r>
    <x v="14"/>
    <s v="/dev/bus/0 -d megaraid,1"/>
    <m/>
    <x v="5"/>
    <x v="3"/>
    <s v="Solid State Device"/>
    <s v="2.5 inches"/>
    <m/>
    <m/>
    <m/>
    <m/>
    <m/>
  </r>
  <r>
    <x v="14"/>
    <s v="/dev/bus/0 -d megaraid,3"/>
    <s v="SEAGATE"/>
    <x v="4"/>
    <x v="2"/>
    <s v="7200 rpm"/>
    <s v="3.5 inches"/>
    <s v="SAS (SPL-3)"/>
    <n v="300000"/>
    <n v="509094"/>
    <n v="52102.35"/>
    <m/>
  </r>
  <r>
    <x v="14"/>
    <s v="/dev/bus/0 -d megaraid,4"/>
    <s v="SEAGATE"/>
    <x v="4"/>
    <x v="2"/>
    <s v="7200 rpm"/>
    <s v="3.5 inches"/>
    <s v="SAS (SPL-3)"/>
    <n v="300000"/>
    <n v="513268"/>
    <n v="52102.22"/>
    <m/>
  </r>
  <r>
    <x v="14"/>
    <s v="/dev/bus/0 -d megaraid,5"/>
    <s v="SEAGATE"/>
    <x v="4"/>
    <x v="2"/>
    <s v="7200 rpm"/>
    <s v="3.5 inches"/>
    <s v="SAS (SPL-3)"/>
    <n v="300000"/>
    <n v="519909"/>
    <n v="52101.77"/>
    <m/>
  </r>
  <r>
    <x v="14"/>
    <s v="/dev/bus/0 -d megaraid,6"/>
    <s v="SEAGATE"/>
    <x v="4"/>
    <x v="2"/>
    <s v="7200 rpm"/>
    <s v="3.5 inches"/>
    <s v="SAS (SPL-3)"/>
    <n v="300000"/>
    <n v="510527"/>
    <n v="52102.400000000001"/>
    <m/>
  </r>
  <r>
    <x v="14"/>
    <s v="/dev/bus/0 -d megaraid,7"/>
    <s v="SEAGATE"/>
    <x v="4"/>
    <x v="2"/>
    <s v="7200 rpm"/>
    <s v="3.5 inches"/>
    <s v="SAS (SPL-3)"/>
    <n v="300000"/>
    <n v="505794"/>
    <n v="52101.95"/>
    <m/>
  </r>
  <r>
    <x v="14"/>
    <s v="/dev/bus/0 -d megaraid,8"/>
    <s v="SEAGATE"/>
    <x v="4"/>
    <x v="2"/>
    <s v="7200 rpm"/>
    <s v="3.5 inches"/>
    <s v="SAS (SPL-3)"/>
    <n v="300000"/>
    <n v="506605"/>
    <n v="52102.03"/>
    <m/>
  </r>
  <r>
    <x v="14"/>
    <s v="/dev/bus/0 -d megaraid,9"/>
    <s v="SEAGATE"/>
    <x v="4"/>
    <x v="2"/>
    <s v="7200 rpm"/>
    <s v="3.5 inches"/>
    <s v="SAS (SPL-3)"/>
    <n v="300000"/>
    <n v="510527"/>
    <n v="52101.77"/>
    <m/>
  </r>
  <r>
    <x v="14"/>
    <s v="/dev/bus/0 -d megaraid,10"/>
    <s v="SEAGATE"/>
    <x v="4"/>
    <x v="2"/>
    <s v="7200 rpm"/>
    <s v="3.5 inches"/>
    <s v="SAS (SPL-3)"/>
    <n v="300000"/>
    <n v="509239"/>
    <n v="52102.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2440B-3257-A84F-B611-294C0358063F}" name="피벗 테이블3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:AL24" firstHeaderRow="1" firstDataRow="5" firstDataCol="1"/>
  <pivotFields count="12">
    <pivotField axis="axisRow" showAll="0">
      <items count="19">
        <item x="2"/>
        <item x="3"/>
        <item x="0"/>
        <item x="6"/>
        <item x="15"/>
        <item x="16"/>
        <item x="17"/>
        <item x="7"/>
        <item x="8"/>
        <item x="9"/>
        <item x="10"/>
        <item x="11"/>
        <item x="12"/>
        <item x="13"/>
        <item x="14"/>
        <item x="1"/>
        <item x="4"/>
        <item x="5"/>
        <item t="default"/>
      </items>
    </pivotField>
    <pivotField showAll="0">
      <items count="57">
        <item x="55"/>
        <item x="47"/>
        <item x="46"/>
        <item x="2"/>
        <item x="3"/>
        <item x="4"/>
        <item x="5"/>
        <item x="6"/>
        <item x="7"/>
        <item x="8"/>
        <item x="9"/>
        <item x="10"/>
        <item x="48"/>
        <item x="11"/>
        <item x="12"/>
        <item x="13"/>
        <item x="14"/>
        <item x="15"/>
        <item x="16"/>
        <item x="17"/>
        <item x="18"/>
        <item x="19"/>
        <item x="49"/>
        <item x="20"/>
        <item x="21"/>
        <item x="22"/>
        <item x="23"/>
        <item x="24"/>
        <item x="25"/>
        <item x="26"/>
        <item x="27"/>
        <item x="28"/>
        <item x="29"/>
        <item x="50"/>
        <item x="30"/>
        <item x="53"/>
        <item x="31"/>
        <item x="32"/>
        <item x="33"/>
        <item x="34"/>
        <item x="35"/>
        <item x="36"/>
        <item x="37"/>
        <item x="38"/>
        <item x="54"/>
        <item x="39"/>
        <item x="40"/>
        <item x="41"/>
        <item x="42"/>
        <item x="43"/>
        <item x="44"/>
        <item x="45"/>
        <item x="51"/>
        <item x="52"/>
        <item x="0"/>
        <item x="1"/>
        <item t="default"/>
      </items>
    </pivotField>
    <pivotField showAll="0"/>
    <pivotField axis="axisCol" showAll="0">
      <items count="10">
        <item x="7"/>
        <item x="6"/>
        <item x="8"/>
        <item x="5"/>
        <item x="0"/>
        <item x="4"/>
        <item x="1"/>
        <item x="3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4">
    <field x="3"/>
    <field x="4"/>
    <field x="5"/>
    <field x="6"/>
  </colFields>
  <colItems count="37">
    <i>
      <x/>
      <x v="1"/>
      <x v="1"/>
      <x/>
    </i>
    <i t="default" r="2">
      <x v="1"/>
    </i>
    <i t="default" r="1">
      <x v="1"/>
    </i>
    <i t="default">
      <x/>
    </i>
    <i>
      <x v="1"/>
      <x/>
      <x/>
      <x v="1"/>
    </i>
    <i t="default" r="2">
      <x/>
    </i>
    <i t="default" r="1">
      <x/>
    </i>
    <i t="default">
      <x v="1"/>
    </i>
    <i>
      <x v="2"/>
      <x/>
      <x/>
      <x v="1"/>
    </i>
    <i t="default" r="2">
      <x/>
    </i>
    <i t="default" r="1">
      <x/>
    </i>
    <i t="default">
      <x v="2"/>
    </i>
    <i>
      <x v="3"/>
      <x/>
      <x/>
      <x v="1"/>
    </i>
    <i t="default" r="2">
      <x/>
    </i>
    <i t="default" r="1">
      <x/>
    </i>
    <i t="default">
      <x v="3"/>
    </i>
    <i>
      <x v="4"/>
      <x v="2"/>
      <x/>
      <x v="1"/>
    </i>
    <i t="default" r="2">
      <x/>
    </i>
    <i t="default" r="1">
      <x v="2"/>
    </i>
    <i t="default">
      <x v="4"/>
    </i>
    <i>
      <x v="5"/>
      <x v="3"/>
      <x/>
      <x v="1"/>
    </i>
    <i t="default" r="2">
      <x/>
    </i>
    <i t="default" r="1">
      <x v="3"/>
    </i>
    <i t="default">
      <x v="5"/>
    </i>
    <i>
      <x v="6"/>
      <x v="3"/>
      <x/>
      <x v="1"/>
    </i>
    <i t="default" r="2">
      <x/>
    </i>
    <i t="default" r="1">
      <x v="3"/>
    </i>
    <i t="default">
      <x v="6"/>
    </i>
    <i>
      <x v="7"/>
      <x v="3"/>
      <x/>
      <x v="1"/>
    </i>
    <i t="default" r="2">
      <x/>
    </i>
    <i t="default" r="1">
      <x v="3"/>
    </i>
    <i t="default">
      <x v="7"/>
    </i>
    <i>
      <x v="8"/>
      <x v="3"/>
      <x/>
      <x v="1"/>
    </i>
    <i t="default" r="2">
      <x/>
    </i>
    <i t="default" r="1">
      <x v="3"/>
    </i>
    <i t="default">
      <x v="8"/>
    </i>
    <i t="grand">
      <x/>
    </i>
  </colItems>
  <dataFields count="1">
    <dataField name="개수 : Form Factor:" fld="6" subtotal="count" baseField="0" baseItem="0"/>
  </dataFields>
  <formats count="2">
    <format dxfId="100">
      <pivotArea dataOnly="0" labelOnly="1" fieldPosition="0">
        <references count="1">
          <reference field="0" count="1">
            <x v="17"/>
          </reference>
        </references>
      </pivotArea>
    </format>
    <format dxfId="99">
      <pivotArea dataOnly="0" labelOnly="1" fieldPosition="0">
        <references count="1">
          <reference field="0" count="3">
            <x v="15"/>
            <x v="16"/>
            <x v="17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EB6C-D7AD-8C46-B27B-97C7F4B74B18}" name="피벗 테이블5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K9" firstHeaderRow="1" firstDataRow="2" firstDataCol="1"/>
  <pivotFields count="12">
    <pivotField showAll="0">
      <items count="19">
        <item x="2"/>
        <item x="3"/>
        <item x="0"/>
        <item x="6"/>
        <item x="15"/>
        <item x="16"/>
        <item x="17"/>
        <item x="7"/>
        <item x="8"/>
        <item x="9"/>
        <item x="10"/>
        <item x="11"/>
        <item x="12"/>
        <item x="13"/>
        <item x="14"/>
        <item x="1"/>
        <item x="4"/>
        <item x="5"/>
        <item t="default"/>
      </items>
    </pivotField>
    <pivotField showAll="0"/>
    <pivotField showAll="0"/>
    <pivotField axis="axisCol" showAll="0">
      <items count="10">
        <item x="7"/>
        <item x="6"/>
        <item x="8"/>
        <item x="5"/>
        <item x="0"/>
        <item x="4"/>
        <item x="1"/>
        <item x="3"/>
        <item x="2"/>
        <item t="default"/>
      </items>
    </pivotField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개수 : User Capacity:" fld="4" subtotal="count" baseField="0" baseItem="0"/>
  </dataFields>
  <formats count="51"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3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0" type="button" dataOnly="0" labelOnly="1" outline="0"/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3" count="0"/>
        </references>
      </pivotArea>
    </format>
    <format dxfId="90">
      <pivotArea dataOnly="0" labelOnly="1" grandCol="1" outline="0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3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4" type="button" dataOnly="0" labelOnly="1" outline="0" axis="axisRow" fieldPosition="0"/>
    </format>
    <format dxfId="83">
      <pivotArea dataOnly="0" labelOnly="1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Col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3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4" type="button" dataOnly="0" labelOnly="1" outline="0" axis="axisRow" fieldPosition="0"/>
    </format>
    <format dxfId="73">
      <pivotArea dataOnly="0" labelOnly="1" fieldPosition="0">
        <references count="1">
          <reference field="4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Col="1" outline="0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3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4" type="button" dataOnly="0" labelOnly="1" outline="0" axis="axisRow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3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2EF15-7427-154A-8A47-D7AD47F7882F}" name="피벗 테이블8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:I34" firstHeaderRow="1" firstDataRow="2" firstDataCol="1"/>
  <pivotFields count="12">
    <pivotField axis="axisRow" showAll="0">
      <items count="16">
        <item x="1"/>
        <item x="2"/>
        <item x="0"/>
        <item x="3"/>
        <item x="12"/>
        <item x="13"/>
        <item x="14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Col" showAll="0">
      <items count="8">
        <item x="5"/>
        <item x="4"/>
        <item x="6"/>
        <item x="0"/>
        <item x="2"/>
        <item x="1"/>
        <item x="3"/>
        <item t="default"/>
      </items>
    </pivotField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0"/>
  </rowFields>
  <rowItems count="32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2"/>
    </i>
    <i>
      <x v="3"/>
    </i>
    <i r="1">
      <x/>
    </i>
    <i r="1">
      <x v="1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개수 : User Capacity:" fld="4" subtotal="count" baseField="0" baseItem="0"/>
  </dataFields>
  <formats count="48"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4" type="button" dataOnly="0" labelOnly="1" outline="0" axis="axisRow" fieldPosition="0"/>
    </format>
    <format dxfId="35">
      <pivotArea dataOnly="0" labelOnly="1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0"/>
          </reference>
        </references>
      </pivotArea>
    </format>
    <format dxfId="32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1"/>
          </reference>
        </references>
      </pivotArea>
    </format>
    <format dxfId="31">
      <pivotArea dataOnly="0" labelOnly="1" fieldPosition="0">
        <references count="2">
          <reference field="0" count="1">
            <x v="2"/>
          </reference>
          <reference field="4" count="1" selected="0">
            <x v="2"/>
          </reference>
        </references>
      </pivotArea>
    </format>
    <format dxfId="30">
      <pivotArea dataOnly="0" labelOnly="1" fieldPosition="0">
        <references count="2">
          <reference field="0" count="2">
            <x v="0"/>
            <x v="1"/>
          </reference>
          <reference field="4" count="1" selected="0">
            <x v="3"/>
          </reference>
        </references>
      </pivotArea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0"/>
          </reference>
        </references>
      </pivotArea>
    </format>
    <format dxfId="18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1"/>
          </reference>
        </references>
      </pivotArea>
    </format>
    <format dxfId="17">
      <pivotArea dataOnly="0" labelOnly="1" fieldPosition="0">
        <references count="2">
          <reference field="0" count="1">
            <x v="2"/>
          </reference>
          <reference field="4" count="1" selected="0">
            <x v="2"/>
          </reference>
        </references>
      </pivotArea>
    </format>
    <format dxfId="16">
      <pivotArea dataOnly="0" labelOnly="1" fieldPosition="0">
        <references count="2">
          <reference field="0" count="2">
            <x v="0"/>
            <x v="1"/>
          </reference>
          <reference field="4" count="1" selected="0">
            <x v="3"/>
          </reference>
        </references>
      </pivotArea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0"/>
          </reference>
        </references>
      </pivotArea>
    </format>
    <format dxfId="4">
      <pivotArea dataOnly="0" labelOnly="1" fieldPosition="0">
        <references count="2">
          <reference field="0" count="12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1"/>
          </reference>
        </references>
      </pivotArea>
    </format>
    <format dxfId="3">
      <pivotArea dataOnly="0" labelOnly="1" fieldPosition="0">
        <references count="2">
          <reference field="0" count="1">
            <x v="2"/>
          </reference>
          <reference field="4" count="1" selected="0">
            <x v="2"/>
          </reference>
        </references>
      </pivotArea>
    </format>
    <format dxfId="2">
      <pivotArea dataOnly="0" labelOnly="1" fieldPosition="0">
        <references count="2">
          <reference field="0" count="2">
            <x v="0"/>
            <x v="1"/>
          </reference>
          <reference field="4" count="1" selected="0">
            <x v="3"/>
          </reference>
        </references>
      </pivotArea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3BD128-65E9-314E-A8C4-8EB0D690D343}" name="표1_3" displayName="표1_3" ref="A1:L139" totalsRowShown="0" headerRowDxfId="134" dataDxfId="132" headerRowBorderDxfId="133" tableBorderDxfId="131">
  <autoFilter ref="A1:L139" xr:uid="{B710C1A8-2A24-2E47-A5C9-35A3394EFF0F}"/>
  <tableColumns count="12">
    <tableColumn id="1" xr3:uid="{634C0E3F-76DA-EE4D-BD98-8EF7AC00E871}" name="hostname:" dataDxfId="130"/>
    <tableColumn id="2" xr3:uid="{A141511F-A066-2046-9B7B-F79B289A204F}" name="smartctl param:" dataDxfId="129"/>
    <tableColumn id="3" xr3:uid="{6DFA693E-643B-B743-8AFD-E44194E7A138}" name="Vendor:" dataDxfId="128"/>
    <tableColumn id="4" xr3:uid="{110FAD96-195C-DB43-975C-C8D1554B10ED}" name="Product:" dataDxfId="127"/>
    <tableColumn id="5" xr3:uid="{E712CCCE-B16C-FE4F-A2D2-C68BE6B16237}" name="User Capacity:" dataDxfId="126"/>
    <tableColumn id="6" xr3:uid="{A30A8C99-EFC4-384A-8DE3-8CB0ACDE29DA}" name="Rotation Rate:" dataDxfId="125"/>
    <tableColumn id="7" xr3:uid="{0D66F8F3-01B6-EE47-8FFE-BD487893E623}" name="Form Factor:" dataDxfId="124"/>
    <tableColumn id="8" xr3:uid="{D55713A2-E293-C741-8B11-1ABC8D92FD5E}" name="Transport protocol:" dataDxfId="123"/>
    <tableColumn id="9" xr3:uid="{BB73F758-4D41-444C-BFF3-3640F877EEEF}" name="Specified load-unload count over device lifetime:" dataDxfId="122"/>
    <tableColumn id="10" xr3:uid="{A68B5D55-427E-124B-846F-436D2BD83092}" name="Accumulated load-unload cycles:" dataDxfId="121"/>
    <tableColumn id="11" xr3:uid="{B1352E52-6468-2740-B687-73F5A0943B1F}" name="number of hours powered up :" dataDxfId="120"/>
    <tableColumn id="12" xr3:uid="{574BE32E-EDBE-9442-902B-2C24317BAFF4}" name="Device Model:" dataDxfId="1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0C1A8-2A24-2E47-A5C9-35A3394EFF0F}" name="표1" displayName="표1" ref="A1:N231" totalsRowShown="0" headerRowDxfId="118" dataDxfId="116" headerRowBorderDxfId="117" tableBorderDxfId="115">
  <autoFilter ref="A1:N231" xr:uid="{B710C1A8-2A24-2E47-A5C9-35A3394EFF0F}"/>
  <sortState xmlns:xlrd2="http://schemas.microsoft.com/office/spreadsheetml/2017/richdata2" ref="A2:N231">
    <sortCondition ref="A1:A231"/>
  </sortState>
  <tableColumns count="14">
    <tableColumn id="1" xr3:uid="{CF912124-337B-B845-884D-45601240F82D}" name="hostname:" dataDxfId="114"/>
    <tableColumn id="2" xr3:uid="{B222C2F3-3C9A-0D43-BF85-86CAB0B71E37}" name="smartctl param:" dataDxfId="113"/>
    <tableColumn id="3" xr3:uid="{16CEFE21-478F-E945-AF4D-DA1CB80E321D}" name="Vendor:" dataDxfId="112"/>
    <tableColumn id="4" xr3:uid="{8101AE99-5840-E548-89C8-450BB3501233}" name="Product:" dataDxfId="111"/>
    <tableColumn id="5" xr3:uid="{4A482B6C-94A4-E947-BB11-28517DAB5222}" name="User Capacity:" dataDxfId="110"/>
    <tableColumn id="6" xr3:uid="{BA31B298-55EC-D846-B1A3-5C9F0722EB74}" name="Rotation Rate:" dataDxfId="109"/>
    <tableColumn id="7" xr3:uid="{C013040D-8DF9-A64C-B965-B6AC7C83571C}" name="Form Factor:" dataDxfId="108"/>
    <tableColumn id="8" xr3:uid="{F8879101-3416-C342-81DF-FCAEFDE4FC89}" name="Transport protocol:" dataDxfId="107"/>
    <tableColumn id="9" xr3:uid="{6491118A-25DA-AE42-8FA4-855F24A479FE}" name="Specified load-unload count over device lifetime:" dataDxfId="106"/>
    <tableColumn id="10" xr3:uid="{A6EC3999-BBEE-1045-8C64-50822AC05C3F}" name="Accumulated load-unload cycles:" dataDxfId="105"/>
    <tableColumn id="11" xr3:uid="{6BFDC751-5BB0-2C41-90D0-E5A5B4C53A81}" name="number of hours powered up :" dataDxfId="104"/>
    <tableColumn id="12" xr3:uid="{082A6BED-2BB2-3444-9DC4-F62C6BB947E6}" name="Device Model:" dataDxfId="103"/>
    <tableColumn id="13" xr3:uid="{9FCD971A-7823-6D4E-8A2F-C31B6FA47E4D}" name="사용량" dataDxfId="102" dataCellStyle="백분율">
      <calculatedColumnFormula>표1[[#This Row],[Accumulated load-unload cycles:]]/표1[[#This Row],[Specified load-unload count over device lifetime:]]</calculatedColumnFormula>
    </tableColumn>
    <tableColumn id="14" xr3:uid="{7060EAD5-C64D-F044-A31B-974156EBDF35}" name="점검" dataDxfId="101">
      <calculatedColumnFormula>IF(표1[[#This Row],[사용량]]&lt;=60%, "양호", IF(표1[[#This Row],[사용량]]&lt;=70%, "교체 권고", IF(표1[[#This Row],[사용량]]&lt;=80%, "교체", "긴급 교체")))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gmarket.co.kr/Item?goodscode=3477424497&amp;GoodsSale=Y&amp;jaehuid=200002657" TargetMode="External"/><Relationship Id="rId3" Type="http://schemas.openxmlformats.org/officeDocument/2006/relationships/hyperlink" Target="https://prod.danawa.com/info/?pcode=6452378&amp;keyword=ST10000NM0096&amp;cate=1131450" TargetMode="External"/><Relationship Id="rId7" Type="http://schemas.openxmlformats.org/officeDocument/2006/relationships/hyperlink" Target="https://prod.danawa.com/info/?pcode=6453106" TargetMode="External"/><Relationship Id="rId2" Type="http://schemas.openxmlformats.org/officeDocument/2006/relationships/hyperlink" Target="https://smartstore.naver.com/seagateshop/products/8887791095?NaPm=ct%3Dls2vkdim%7Cci%3Dshopn%7Ctr%3Ddana%7Chk%3D88cf1f2ac6aab2ba5ee68210e54641ec953fe637%7Ctrx%3Dundefined" TargetMode="External"/><Relationship Id="rId1" Type="http://schemas.openxmlformats.org/officeDocument/2006/relationships/pivotTable" Target="../pivotTables/pivotTable2.xml"/><Relationship Id="rId6" Type="http://schemas.openxmlformats.org/officeDocument/2006/relationships/hyperlink" Target="https://prod.danawa.com/info/?pcode=11777944&amp;keyword=ST8000NM001A&amp;cate=1131450" TargetMode="External"/><Relationship Id="rId5" Type="http://schemas.openxmlformats.org/officeDocument/2006/relationships/hyperlink" Target="https://prod.danawa.com/info/?pcode=6452481&amp;keyword=ST4000NM0035&amp;cate=1131450" TargetMode="External"/><Relationship Id="rId10" Type="http://schemas.openxmlformats.org/officeDocument/2006/relationships/hyperlink" Target="https://korean.alibaba.com/product-detail/SSDSC2KB240G7-SSDSC2KB240G701-For-Intel-DC-S4500-1600338455237.html" TargetMode="External"/><Relationship Id="rId4" Type="http://schemas.openxmlformats.org/officeDocument/2006/relationships/hyperlink" Target="https://www.coupang.com/vp/products/7775473222?itemId=21003101022&amp;vendorItemId=88022211977&amp;src=1032034&amp;spec=10305199&amp;addtag=400&amp;ctag=7775473222&amp;lptag=I21003101022&amp;itime=20240201160954&amp;pageType=PRODUCT&amp;pageValue=7775473222&amp;wPcid=17067713944884726626034&amp;wRef=prod.danawa.com&amp;wTime=20240201160954&amp;redirect=landing&amp;mcid=f8beb491840f49d3ab22fcc941c0e156&amp;isAddedCart=" TargetMode="External"/><Relationship Id="rId9" Type="http://schemas.openxmlformats.org/officeDocument/2006/relationships/hyperlink" Target="https://prod.danawa.com/info/?pcode=18680411&amp;keyword=ST8000NM018B&amp;cate=113145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FD6-95FC-0247-A1E8-4C9021300B38}">
  <sheetPr>
    <pageSetUpPr fitToPage="1"/>
  </sheetPr>
  <dimension ref="A1:L139"/>
  <sheetViews>
    <sheetView showGridLines="0" workbookViewId="0">
      <selection activeCell="I19" sqref="I19"/>
    </sheetView>
  </sheetViews>
  <sheetFormatPr baseColWidth="10" defaultColWidth="8.33203125" defaultRowHeight="20" customHeight="1"/>
  <cols>
    <col min="1" max="1" width="12" style="1" customWidth="1"/>
    <col min="2" max="2" width="21.5" style="1" customWidth="1"/>
    <col min="3" max="3" width="19.83203125" style="1" customWidth="1"/>
    <col min="4" max="4" width="27" style="1" customWidth="1"/>
    <col min="5" max="5" width="28" style="1" customWidth="1"/>
    <col min="6" max="6" width="15.33203125" style="1" customWidth="1"/>
    <col min="7" max="7" width="14" style="1" customWidth="1"/>
    <col min="8" max="8" width="19.1640625" style="1" customWidth="1"/>
    <col min="9" max="9" width="43.33203125" style="1" customWidth="1"/>
    <col min="10" max="10" width="30.6640625" style="1" customWidth="1"/>
    <col min="11" max="11" width="27.6640625" style="1" customWidth="1"/>
    <col min="12" max="12" width="15" style="1" customWidth="1"/>
    <col min="13" max="13" width="8.33203125" style="1" customWidth="1"/>
    <col min="14" max="16384" width="8.33203125" style="1"/>
  </cols>
  <sheetData>
    <row r="1" spans="1:12" ht="20.25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</row>
    <row r="2" spans="1:12" ht="20.25" customHeight="1">
      <c r="A2" s="10" t="s">
        <v>12</v>
      </c>
      <c r="B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/>
      <c r="I2" s="4"/>
      <c r="J2" s="4"/>
      <c r="K2" s="4"/>
      <c r="L2" s="12"/>
    </row>
    <row r="3" spans="1:12" ht="20" customHeight="1">
      <c r="A3" s="11" t="s">
        <v>12</v>
      </c>
      <c r="B3" s="5" t="s">
        <v>18</v>
      </c>
      <c r="D3" s="6" t="s">
        <v>14</v>
      </c>
      <c r="E3" s="6" t="s">
        <v>15</v>
      </c>
      <c r="F3" s="6" t="s">
        <v>16</v>
      </c>
      <c r="G3" s="6" t="s">
        <v>17</v>
      </c>
      <c r="H3" s="7"/>
      <c r="I3" s="7"/>
      <c r="J3" s="7"/>
      <c r="K3" s="7"/>
      <c r="L3" s="13"/>
    </row>
    <row r="4" spans="1:12" ht="20" customHeight="1">
      <c r="A4" s="11" t="s">
        <v>69</v>
      </c>
      <c r="B4" s="5" t="s">
        <v>13</v>
      </c>
      <c r="C4" s="6" t="s">
        <v>21</v>
      </c>
      <c r="D4" s="6" t="s">
        <v>70</v>
      </c>
      <c r="E4" s="6" t="s">
        <v>23</v>
      </c>
      <c r="F4" s="6" t="s">
        <v>16</v>
      </c>
      <c r="G4" s="6" t="s">
        <v>17</v>
      </c>
      <c r="H4" s="6" t="s">
        <v>24</v>
      </c>
      <c r="I4" s="8">
        <v>300000</v>
      </c>
      <c r="J4" s="8">
        <v>143316</v>
      </c>
      <c r="K4" s="9">
        <v>52057.52</v>
      </c>
      <c r="L4" s="13"/>
    </row>
    <row r="5" spans="1:12" ht="20" customHeight="1">
      <c r="A5" s="11" t="s">
        <v>69</v>
      </c>
      <c r="B5" s="5" t="s">
        <v>18</v>
      </c>
      <c r="C5" s="6" t="s">
        <v>21</v>
      </c>
      <c r="D5" s="6" t="s">
        <v>70</v>
      </c>
      <c r="E5" s="6" t="s">
        <v>23</v>
      </c>
      <c r="F5" s="6" t="s">
        <v>16</v>
      </c>
      <c r="G5" s="6" t="s">
        <v>17</v>
      </c>
      <c r="H5" s="6" t="s">
        <v>24</v>
      </c>
      <c r="I5" s="8">
        <v>300000</v>
      </c>
      <c r="J5" s="8">
        <v>138092</v>
      </c>
      <c r="K5" s="9">
        <v>52057.42</v>
      </c>
      <c r="L5" s="13"/>
    </row>
    <row r="6" spans="1:12" ht="20" customHeight="1">
      <c r="A6" s="11" t="s">
        <v>69</v>
      </c>
      <c r="B6" s="5" t="s">
        <v>71</v>
      </c>
      <c r="C6" s="6" t="s">
        <v>21</v>
      </c>
      <c r="D6" s="6" t="s">
        <v>70</v>
      </c>
      <c r="E6" s="6" t="s">
        <v>23</v>
      </c>
      <c r="F6" s="6" t="s">
        <v>16</v>
      </c>
      <c r="G6" s="6" t="s">
        <v>17</v>
      </c>
      <c r="H6" s="6" t="s">
        <v>24</v>
      </c>
      <c r="I6" s="8">
        <v>300000</v>
      </c>
      <c r="J6" s="8">
        <v>141643</v>
      </c>
      <c r="K6" s="9">
        <v>52057.8</v>
      </c>
      <c r="L6" s="13"/>
    </row>
    <row r="7" spans="1:12" ht="20" customHeight="1">
      <c r="A7" s="11" t="s">
        <v>69</v>
      </c>
      <c r="B7" s="5" t="s">
        <v>20</v>
      </c>
      <c r="C7" s="6" t="s">
        <v>21</v>
      </c>
      <c r="D7" s="6" t="s">
        <v>70</v>
      </c>
      <c r="E7" s="6" t="s">
        <v>23</v>
      </c>
      <c r="F7" s="6" t="s">
        <v>16</v>
      </c>
      <c r="G7" s="6" t="s">
        <v>17</v>
      </c>
      <c r="H7" s="6" t="s">
        <v>24</v>
      </c>
      <c r="I7" s="8">
        <v>300000</v>
      </c>
      <c r="J7" s="8">
        <v>106167</v>
      </c>
      <c r="K7" s="9">
        <v>52058.12</v>
      </c>
      <c r="L7" s="13"/>
    </row>
    <row r="8" spans="1:12" ht="20" customHeight="1">
      <c r="A8" s="11" t="s">
        <v>69</v>
      </c>
      <c r="B8" s="5" t="s">
        <v>25</v>
      </c>
      <c r="C8" s="6" t="s">
        <v>21</v>
      </c>
      <c r="D8" s="6" t="s">
        <v>70</v>
      </c>
      <c r="E8" s="6" t="s">
        <v>23</v>
      </c>
      <c r="F8" s="6" t="s">
        <v>16</v>
      </c>
      <c r="G8" s="6" t="s">
        <v>17</v>
      </c>
      <c r="H8" s="6" t="s">
        <v>24</v>
      </c>
      <c r="I8" s="7"/>
      <c r="J8" s="7"/>
      <c r="K8" s="7"/>
      <c r="L8" s="13"/>
    </row>
    <row r="9" spans="1:12" ht="20" customHeight="1">
      <c r="A9" s="11" t="s">
        <v>69</v>
      </c>
      <c r="B9" s="5" t="s">
        <v>26</v>
      </c>
      <c r="C9" s="6" t="s">
        <v>21</v>
      </c>
      <c r="D9" s="6" t="s">
        <v>70</v>
      </c>
      <c r="E9" s="6" t="s">
        <v>23</v>
      </c>
      <c r="F9" s="6" t="s">
        <v>16</v>
      </c>
      <c r="G9" s="6" t="s">
        <v>17</v>
      </c>
      <c r="H9" s="6" t="s">
        <v>24</v>
      </c>
      <c r="I9" s="8">
        <v>300000</v>
      </c>
      <c r="J9" s="8">
        <v>141984</v>
      </c>
      <c r="K9" s="9">
        <v>52057.55</v>
      </c>
      <c r="L9" s="13"/>
    </row>
    <row r="10" spans="1:12" ht="20" customHeight="1">
      <c r="A10" s="11" t="s">
        <v>69</v>
      </c>
      <c r="B10" s="5" t="s">
        <v>27</v>
      </c>
      <c r="C10" s="6" t="s">
        <v>21</v>
      </c>
      <c r="D10" s="6" t="s">
        <v>70</v>
      </c>
      <c r="E10" s="6" t="s">
        <v>23</v>
      </c>
      <c r="F10" s="6" t="s">
        <v>16</v>
      </c>
      <c r="G10" s="6" t="s">
        <v>17</v>
      </c>
      <c r="H10" s="6" t="s">
        <v>24</v>
      </c>
      <c r="I10" s="8">
        <v>300000</v>
      </c>
      <c r="J10" s="8">
        <v>104204</v>
      </c>
      <c r="K10" s="9">
        <v>52057.599999999999</v>
      </c>
      <c r="L10" s="13"/>
    </row>
    <row r="11" spans="1:12" ht="20" customHeight="1">
      <c r="A11" s="11" t="s">
        <v>69</v>
      </c>
      <c r="B11" s="5" t="s">
        <v>28</v>
      </c>
      <c r="C11" s="6" t="s">
        <v>21</v>
      </c>
      <c r="D11" s="6" t="s">
        <v>70</v>
      </c>
      <c r="E11" s="6" t="s">
        <v>23</v>
      </c>
      <c r="F11" s="6" t="s">
        <v>16</v>
      </c>
      <c r="G11" s="6" t="s">
        <v>17</v>
      </c>
      <c r="H11" s="6" t="s">
        <v>24</v>
      </c>
      <c r="I11" s="8">
        <v>300000</v>
      </c>
      <c r="J11" s="8">
        <v>148156</v>
      </c>
      <c r="K11" s="9">
        <v>52057.63</v>
      </c>
      <c r="L11" s="13"/>
    </row>
    <row r="12" spans="1:12" ht="20" customHeight="1">
      <c r="A12" s="11" t="s">
        <v>72</v>
      </c>
      <c r="B12" s="5" t="s">
        <v>73</v>
      </c>
      <c r="C12" s="6" t="s">
        <v>21</v>
      </c>
      <c r="D12" s="6" t="s">
        <v>70</v>
      </c>
      <c r="E12" s="6" t="s">
        <v>23</v>
      </c>
      <c r="F12" s="6" t="s">
        <v>16</v>
      </c>
      <c r="G12" s="6" t="s">
        <v>17</v>
      </c>
      <c r="H12" s="6" t="s">
        <v>24</v>
      </c>
      <c r="I12" s="8">
        <v>300000</v>
      </c>
      <c r="J12" s="8">
        <v>287099</v>
      </c>
      <c r="K12" s="9">
        <v>49168.53</v>
      </c>
      <c r="L12" s="13"/>
    </row>
    <row r="13" spans="1:12" ht="20" customHeight="1">
      <c r="A13" s="11" t="s">
        <v>72</v>
      </c>
      <c r="B13" s="5" t="s">
        <v>74</v>
      </c>
      <c r="C13" s="6" t="s">
        <v>21</v>
      </c>
      <c r="D13" s="6" t="s">
        <v>70</v>
      </c>
      <c r="E13" s="6" t="s">
        <v>23</v>
      </c>
      <c r="F13" s="6" t="s">
        <v>16</v>
      </c>
      <c r="G13" s="6" t="s">
        <v>17</v>
      </c>
      <c r="H13" s="6" t="s">
        <v>24</v>
      </c>
      <c r="I13" s="8">
        <v>300000</v>
      </c>
      <c r="J13" s="8">
        <v>279124</v>
      </c>
      <c r="K13" s="9">
        <v>49168.68</v>
      </c>
      <c r="L13" s="13"/>
    </row>
    <row r="14" spans="1:12" ht="20" customHeight="1">
      <c r="A14" s="11" t="s">
        <v>72</v>
      </c>
      <c r="B14" s="5" t="s">
        <v>75</v>
      </c>
      <c r="C14" s="6" t="s">
        <v>21</v>
      </c>
      <c r="D14" s="6" t="s">
        <v>70</v>
      </c>
      <c r="E14" s="6" t="s">
        <v>23</v>
      </c>
      <c r="F14" s="6" t="s">
        <v>16</v>
      </c>
      <c r="G14" s="6" t="s">
        <v>17</v>
      </c>
      <c r="H14" s="6" t="s">
        <v>24</v>
      </c>
      <c r="I14" s="8">
        <v>300000</v>
      </c>
      <c r="J14" s="8">
        <v>275386</v>
      </c>
      <c r="K14" s="9">
        <v>49169.55</v>
      </c>
      <c r="L14" s="13"/>
    </row>
    <row r="15" spans="1:12" ht="20" customHeight="1">
      <c r="A15" s="11" t="s">
        <v>72</v>
      </c>
      <c r="B15" s="5" t="s">
        <v>76</v>
      </c>
      <c r="C15" s="6" t="s">
        <v>21</v>
      </c>
      <c r="D15" s="6" t="s">
        <v>70</v>
      </c>
      <c r="E15" s="6" t="s">
        <v>23</v>
      </c>
      <c r="F15" s="6" t="s">
        <v>16</v>
      </c>
      <c r="G15" s="6" t="s">
        <v>17</v>
      </c>
      <c r="H15" s="6" t="s">
        <v>24</v>
      </c>
      <c r="I15" s="7"/>
      <c r="J15" s="7"/>
      <c r="K15" s="7"/>
      <c r="L15" s="13"/>
    </row>
    <row r="16" spans="1:12" ht="20" customHeight="1">
      <c r="A16" s="11" t="s">
        <v>72</v>
      </c>
      <c r="B16" s="5" t="s">
        <v>77</v>
      </c>
      <c r="C16" s="6" t="s">
        <v>21</v>
      </c>
      <c r="D16" s="6" t="s">
        <v>70</v>
      </c>
      <c r="E16" s="6" t="s">
        <v>23</v>
      </c>
      <c r="F16" s="6" t="s">
        <v>16</v>
      </c>
      <c r="G16" s="6" t="s">
        <v>17</v>
      </c>
      <c r="H16" s="6" t="s">
        <v>24</v>
      </c>
      <c r="I16" s="8">
        <v>300000</v>
      </c>
      <c r="J16" s="8">
        <v>265342</v>
      </c>
      <c r="K16" s="9">
        <v>49168.67</v>
      </c>
      <c r="L16" s="13"/>
    </row>
    <row r="17" spans="1:12" ht="20" customHeight="1">
      <c r="A17" s="11" t="s">
        <v>72</v>
      </c>
      <c r="B17" s="5" t="s">
        <v>78</v>
      </c>
      <c r="C17" s="6" t="s">
        <v>21</v>
      </c>
      <c r="D17" s="6" t="s">
        <v>70</v>
      </c>
      <c r="E17" s="6" t="s">
        <v>23</v>
      </c>
      <c r="F17" s="6" t="s">
        <v>16</v>
      </c>
      <c r="G17" s="6" t="s">
        <v>17</v>
      </c>
      <c r="H17" s="6" t="s">
        <v>24</v>
      </c>
      <c r="I17" s="8">
        <v>300000</v>
      </c>
      <c r="J17" s="8">
        <v>288150</v>
      </c>
      <c r="K17" s="9">
        <v>49168.28</v>
      </c>
      <c r="L17" s="13"/>
    </row>
    <row r="18" spans="1:12" ht="20" customHeight="1">
      <c r="A18" s="11" t="s">
        <v>72</v>
      </c>
      <c r="B18" s="5" t="s">
        <v>13</v>
      </c>
      <c r="C18" s="6" t="s">
        <v>21</v>
      </c>
      <c r="D18" s="6" t="s">
        <v>79</v>
      </c>
      <c r="E18" s="6" t="s">
        <v>23</v>
      </c>
      <c r="F18" s="6" t="s">
        <v>16</v>
      </c>
      <c r="G18" s="6" t="s">
        <v>17</v>
      </c>
      <c r="H18" s="6" t="s">
        <v>24</v>
      </c>
      <c r="I18" s="8">
        <v>600000</v>
      </c>
      <c r="J18" s="8">
        <v>200290</v>
      </c>
      <c r="K18" s="9">
        <v>33422.25</v>
      </c>
      <c r="L18" s="13"/>
    </row>
    <row r="19" spans="1:12" ht="20" customHeight="1">
      <c r="A19" s="11" t="s">
        <v>72</v>
      </c>
      <c r="B19" s="5" t="s">
        <v>71</v>
      </c>
      <c r="C19" s="6" t="s">
        <v>21</v>
      </c>
      <c r="D19" s="6" t="s">
        <v>68</v>
      </c>
      <c r="E19" s="6" t="s">
        <v>23</v>
      </c>
      <c r="F19" s="6" t="s">
        <v>16</v>
      </c>
      <c r="G19" s="6" t="s">
        <v>17</v>
      </c>
      <c r="H19" s="6" t="s">
        <v>24</v>
      </c>
      <c r="I19" s="8">
        <v>600000</v>
      </c>
      <c r="J19" s="8">
        <v>33133</v>
      </c>
      <c r="K19" s="9">
        <v>12026.32</v>
      </c>
      <c r="L19" s="13"/>
    </row>
    <row r="20" spans="1:12" ht="20" customHeight="1">
      <c r="A20" s="11" t="s">
        <v>85</v>
      </c>
      <c r="B20" s="5" t="s">
        <v>73</v>
      </c>
      <c r="C20" s="6" t="s">
        <v>21</v>
      </c>
      <c r="D20" s="6" t="s">
        <v>86</v>
      </c>
      <c r="E20" s="6" t="s">
        <v>82</v>
      </c>
      <c r="F20" s="6" t="s">
        <v>16</v>
      </c>
      <c r="G20" s="6" t="s">
        <v>17</v>
      </c>
      <c r="H20" s="6" t="s">
        <v>24</v>
      </c>
      <c r="I20" s="8">
        <v>300000</v>
      </c>
      <c r="J20" s="8">
        <v>516635</v>
      </c>
      <c r="K20" s="9">
        <v>52122.67</v>
      </c>
      <c r="L20" s="13"/>
    </row>
    <row r="21" spans="1:12" ht="20" customHeight="1">
      <c r="A21" s="11" t="s">
        <v>85</v>
      </c>
      <c r="B21" s="5" t="s">
        <v>74</v>
      </c>
      <c r="C21" s="6" t="s">
        <v>21</v>
      </c>
      <c r="D21" s="6" t="s">
        <v>86</v>
      </c>
      <c r="E21" s="6" t="s">
        <v>82</v>
      </c>
      <c r="F21" s="6" t="s">
        <v>16</v>
      </c>
      <c r="G21" s="6" t="s">
        <v>17</v>
      </c>
      <c r="H21" s="6" t="s">
        <v>24</v>
      </c>
      <c r="I21" s="8">
        <v>300000</v>
      </c>
      <c r="J21" s="8">
        <v>521087</v>
      </c>
      <c r="K21" s="9">
        <v>52123.199999999997</v>
      </c>
      <c r="L21" s="13"/>
    </row>
    <row r="22" spans="1:12" ht="20" customHeight="1">
      <c r="A22" s="11" t="s">
        <v>85</v>
      </c>
      <c r="B22" s="5" t="s">
        <v>75</v>
      </c>
      <c r="C22" s="6" t="s">
        <v>21</v>
      </c>
      <c r="D22" s="6" t="s">
        <v>86</v>
      </c>
      <c r="E22" s="6" t="s">
        <v>82</v>
      </c>
      <c r="F22" s="6" t="s">
        <v>16</v>
      </c>
      <c r="G22" s="6" t="s">
        <v>17</v>
      </c>
      <c r="H22" s="6" t="s">
        <v>24</v>
      </c>
      <c r="I22" s="8">
        <v>300000</v>
      </c>
      <c r="J22" s="8">
        <v>514214</v>
      </c>
      <c r="K22" s="9">
        <v>52122.97</v>
      </c>
      <c r="L22" s="13"/>
    </row>
    <row r="23" spans="1:12" ht="20" customHeight="1">
      <c r="A23" s="11" t="s">
        <v>85</v>
      </c>
      <c r="B23" s="5" t="s">
        <v>76</v>
      </c>
      <c r="C23" s="6" t="s">
        <v>21</v>
      </c>
      <c r="D23" s="6" t="s">
        <v>86</v>
      </c>
      <c r="E23" s="6" t="s">
        <v>82</v>
      </c>
      <c r="F23" s="6" t="s">
        <v>16</v>
      </c>
      <c r="G23" s="6" t="s">
        <v>17</v>
      </c>
      <c r="H23" s="6" t="s">
        <v>24</v>
      </c>
      <c r="I23" s="8">
        <v>300000</v>
      </c>
      <c r="J23" s="8">
        <v>523483</v>
      </c>
      <c r="K23" s="9">
        <v>52122.77</v>
      </c>
      <c r="L23" s="13"/>
    </row>
    <row r="24" spans="1:12" ht="20" customHeight="1">
      <c r="A24" s="11" t="s">
        <v>85</v>
      </c>
      <c r="B24" s="5" t="s">
        <v>77</v>
      </c>
      <c r="D24" s="6" t="s">
        <v>87</v>
      </c>
      <c r="E24" s="6" t="s">
        <v>88</v>
      </c>
      <c r="F24" s="6" t="s">
        <v>89</v>
      </c>
      <c r="G24" s="6" t="s">
        <v>90</v>
      </c>
      <c r="H24" s="7"/>
      <c r="I24" s="7"/>
      <c r="J24" s="7"/>
      <c r="K24" s="7"/>
      <c r="L24" s="13"/>
    </row>
    <row r="25" spans="1:12" ht="20" customHeight="1">
      <c r="A25" s="11" t="s">
        <v>85</v>
      </c>
      <c r="B25" s="5" t="s">
        <v>78</v>
      </c>
      <c r="D25" s="6" t="s">
        <v>87</v>
      </c>
      <c r="E25" s="6" t="s">
        <v>88</v>
      </c>
      <c r="F25" s="6" t="s">
        <v>89</v>
      </c>
      <c r="G25" s="6" t="s">
        <v>90</v>
      </c>
      <c r="H25" s="7"/>
      <c r="I25" s="7"/>
      <c r="J25" s="7"/>
      <c r="K25" s="7"/>
      <c r="L25" s="13"/>
    </row>
    <row r="26" spans="1:12" ht="20" customHeight="1">
      <c r="A26" s="11" t="s">
        <v>85</v>
      </c>
      <c r="B26" s="5" t="s">
        <v>13</v>
      </c>
      <c r="C26" s="6" t="s">
        <v>21</v>
      </c>
      <c r="D26" s="6" t="s">
        <v>86</v>
      </c>
      <c r="E26" s="6" t="s">
        <v>82</v>
      </c>
      <c r="F26" s="6" t="s">
        <v>16</v>
      </c>
      <c r="G26" s="6" t="s">
        <v>17</v>
      </c>
      <c r="H26" s="6" t="s">
        <v>24</v>
      </c>
      <c r="I26" s="8">
        <v>300000</v>
      </c>
      <c r="J26" s="8">
        <v>517785</v>
      </c>
      <c r="K26" s="9">
        <v>52123</v>
      </c>
      <c r="L26" s="13"/>
    </row>
    <row r="27" spans="1:12" ht="20" customHeight="1">
      <c r="A27" s="11" t="s">
        <v>85</v>
      </c>
      <c r="B27" s="5" t="s">
        <v>18</v>
      </c>
      <c r="C27" s="6" t="s">
        <v>21</v>
      </c>
      <c r="D27" s="6" t="s">
        <v>86</v>
      </c>
      <c r="E27" s="6" t="s">
        <v>82</v>
      </c>
      <c r="F27" s="6" t="s">
        <v>16</v>
      </c>
      <c r="G27" s="6" t="s">
        <v>17</v>
      </c>
      <c r="H27" s="6" t="s">
        <v>24</v>
      </c>
      <c r="I27" s="8">
        <v>300000</v>
      </c>
      <c r="J27" s="8">
        <v>514738</v>
      </c>
      <c r="K27" s="9">
        <v>52122.65</v>
      </c>
      <c r="L27" s="13"/>
    </row>
    <row r="28" spans="1:12" ht="20" customHeight="1">
      <c r="A28" s="11" t="s">
        <v>85</v>
      </c>
      <c r="B28" s="5" t="s">
        <v>71</v>
      </c>
      <c r="C28" s="6" t="s">
        <v>21</v>
      </c>
      <c r="D28" s="6" t="s">
        <v>86</v>
      </c>
      <c r="E28" s="6" t="s">
        <v>82</v>
      </c>
      <c r="F28" s="6" t="s">
        <v>16</v>
      </c>
      <c r="G28" s="6" t="s">
        <v>17</v>
      </c>
      <c r="H28" s="6" t="s">
        <v>24</v>
      </c>
      <c r="I28" s="8">
        <v>300000</v>
      </c>
      <c r="J28" s="8">
        <v>527641</v>
      </c>
      <c r="K28" s="9">
        <v>52123.08</v>
      </c>
      <c r="L28" s="13"/>
    </row>
    <row r="29" spans="1:12" ht="20" customHeight="1">
      <c r="A29" s="11" t="s">
        <v>85</v>
      </c>
      <c r="B29" s="5" t="s">
        <v>20</v>
      </c>
      <c r="C29" s="6" t="s">
        <v>21</v>
      </c>
      <c r="D29" s="6" t="s">
        <v>91</v>
      </c>
      <c r="E29" s="6" t="s">
        <v>82</v>
      </c>
      <c r="F29" s="6" t="s">
        <v>16</v>
      </c>
      <c r="G29" s="6" t="s">
        <v>17</v>
      </c>
      <c r="H29" s="6" t="s">
        <v>24</v>
      </c>
      <c r="I29" s="8">
        <v>600000</v>
      </c>
      <c r="J29" s="8">
        <v>11304</v>
      </c>
      <c r="K29" s="9">
        <v>1831.2</v>
      </c>
      <c r="L29" s="13"/>
    </row>
    <row r="30" spans="1:12" ht="20" customHeight="1">
      <c r="A30" s="11" t="s">
        <v>92</v>
      </c>
      <c r="B30" s="5" t="s">
        <v>73</v>
      </c>
      <c r="C30" s="6" t="s">
        <v>21</v>
      </c>
      <c r="D30" s="6" t="s">
        <v>86</v>
      </c>
      <c r="E30" s="6" t="s">
        <v>82</v>
      </c>
      <c r="F30" s="6" t="s">
        <v>16</v>
      </c>
      <c r="G30" s="6" t="s">
        <v>17</v>
      </c>
      <c r="H30" s="6" t="s">
        <v>24</v>
      </c>
      <c r="I30" s="8">
        <v>300000</v>
      </c>
      <c r="J30" s="8">
        <v>237039</v>
      </c>
      <c r="K30" s="9">
        <v>52119.47</v>
      </c>
      <c r="L30" s="13"/>
    </row>
    <row r="31" spans="1:12" ht="20" customHeight="1">
      <c r="A31" s="11" t="s">
        <v>92</v>
      </c>
      <c r="B31" s="5" t="s">
        <v>74</v>
      </c>
      <c r="C31" s="6" t="s">
        <v>21</v>
      </c>
      <c r="D31" s="6" t="s">
        <v>86</v>
      </c>
      <c r="E31" s="6" t="s">
        <v>82</v>
      </c>
      <c r="F31" s="6" t="s">
        <v>16</v>
      </c>
      <c r="G31" s="6" t="s">
        <v>17</v>
      </c>
      <c r="H31" s="6" t="s">
        <v>24</v>
      </c>
      <c r="I31" s="8">
        <v>300000</v>
      </c>
      <c r="J31" s="8">
        <v>212244</v>
      </c>
      <c r="K31" s="9">
        <v>52119.73</v>
      </c>
      <c r="L31" s="13"/>
    </row>
    <row r="32" spans="1:12" ht="20" customHeight="1">
      <c r="A32" s="11" t="s">
        <v>92</v>
      </c>
      <c r="B32" s="5" t="s">
        <v>75</v>
      </c>
      <c r="C32" s="6" t="s">
        <v>21</v>
      </c>
      <c r="D32" s="6" t="s">
        <v>86</v>
      </c>
      <c r="E32" s="6" t="s">
        <v>82</v>
      </c>
      <c r="F32" s="6" t="s">
        <v>16</v>
      </c>
      <c r="G32" s="6" t="s">
        <v>17</v>
      </c>
      <c r="H32" s="6" t="s">
        <v>24</v>
      </c>
      <c r="I32" s="8">
        <v>300000</v>
      </c>
      <c r="J32" s="8">
        <v>227222</v>
      </c>
      <c r="K32" s="9">
        <v>52120.13</v>
      </c>
      <c r="L32" s="13"/>
    </row>
    <row r="33" spans="1:12" ht="20" customHeight="1">
      <c r="A33" s="11" t="s">
        <v>92</v>
      </c>
      <c r="B33" s="5" t="s">
        <v>76</v>
      </c>
      <c r="C33" s="6" t="s">
        <v>21</v>
      </c>
      <c r="D33" s="6" t="s">
        <v>86</v>
      </c>
      <c r="E33" s="6" t="s">
        <v>82</v>
      </c>
      <c r="F33" s="6" t="s">
        <v>16</v>
      </c>
      <c r="G33" s="6" t="s">
        <v>17</v>
      </c>
      <c r="H33" s="6" t="s">
        <v>24</v>
      </c>
      <c r="I33" s="8">
        <v>300000</v>
      </c>
      <c r="J33" s="8">
        <v>254018</v>
      </c>
      <c r="K33" s="9">
        <v>52120</v>
      </c>
      <c r="L33" s="13"/>
    </row>
    <row r="34" spans="1:12" ht="20" customHeight="1">
      <c r="A34" s="11" t="s">
        <v>92</v>
      </c>
      <c r="B34" s="5" t="s">
        <v>93</v>
      </c>
      <c r="C34" s="6" t="s">
        <v>21</v>
      </c>
      <c r="D34" s="6" t="s">
        <v>86</v>
      </c>
      <c r="E34" s="6" t="s">
        <v>82</v>
      </c>
      <c r="F34" s="6" t="s">
        <v>16</v>
      </c>
      <c r="G34" s="6" t="s">
        <v>17</v>
      </c>
      <c r="H34" s="6" t="s">
        <v>24</v>
      </c>
      <c r="I34" s="8">
        <v>300000</v>
      </c>
      <c r="J34" s="8">
        <v>224600</v>
      </c>
      <c r="K34" s="9">
        <v>52119.78</v>
      </c>
      <c r="L34" s="13"/>
    </row>
    <row r="35" spans="1:12" ht="20" customHeight="1">
      <c r="A35" s="11" t="s">
        <v>92</v>
      </c>
      <c r="B35" s="5" t="s">
        <v>77</v>
      </c>
      <c r="C35" s="6" t="s">
        <v>21</v>
      </c>
      <c r="D35" s="6" t="s">
        <v>86</v>
      </c>
      <c r="E35" s="6" t="s">
        <v>82</v>
      </c>
      <c r="F35" s="6" t="s">
        <v>16</v>
      </c>
      <c r="G35" s="6" t="s">
        <v>17</v>
      </c>
      <c r="H35" s="6" t="s">
        <v>24</v>
      </c>
      <c r="I35" s="8">
        <v>300000</v>
      </c>
      <c r="J35" s="8">
        <v>250982</v>
      </c>
      <c r="K35" s="9">
        <v>52119.92</v>
      </c>
      <c r="L35" s="13"/>
    </row>
    <row r="36" spans="1:12" ht="20" customHeight="1">
      <c r="A36" s="11" t="s">
        <v>92</v>
      </c>
      <c r="B36" s="5" t="s">
        <v>78</v>
      </c>
      <c r="C36" s="6" t="s">
        <v>21</v>
      </c>
      <c r="D36" s="6" t="s">
        <v>86</v>
      </c>
      <c r="E36" s="6" t="s">
        <v>82</v>
      </c>
      <c r="F36" s="6" t="s">
        <v>16</v>
      </c>
      <c r="G36" s="6" t="s">
        <v>17</v>
      </c>
      <c r="H36" s="6" t="s">
        <v>24</v>
      </c>
      <c r="I36" s="8">
        <v>300000</v>
      </c>
      <c r="J36" s="8">
        <v>234805</v>
      </c>
      <c r="K36" s="9">
        <v>52119.88</v>
      </c>
      <c r="L36" s="13"/>
    </row>
    <row r="37" spans="1:12" ht="20" customHeight="1">
      <c r="A37" s="11" t="s">
        <v>92</v>
      </c>
      <c r="B37" s="5" t="s">
        <v>13</v>
      </c>
      <c r="C37" s="6" t="s">
        <v>21</v>
      </c>
      <c r="D37" s="6" t="s">
        <v>86</v>
      </c>
      <c r="E37" s="6" t="s">
        <v>82</v>
      </c>
      <c r="F37" s="6" t="s">
        <v>16</v>
      </c>
      <c r="G37" s="6" t="s">
        <v>17</v>
      </c>
      <c r="H37" s="6" t="s">
        <v>24</v>
      </c>
      <c r="I37" s="8">
        <v>300000</v>
      </c>
      <c r="J37" s="8">
        <v>233835</v>
      </c>
      <c r="K37" s="9">
        <v>52119.88</v>
      </c>
      <c r="L37" s="13"/>
    </row>
    <row r="38" spans="1:12" ht="20" customHeight="1">
      <c r="A38" s="11" t="s">
        <v>92</v>
      </c>
      <c r="B38" s="5" t="s">
        <v>18</v>
      </c>
      <c r="C38" s="6"/>
      <c r="D38" s="6" t="s">
        <v>87</v>
      </c>
      <c r="E38" s="6" t="s">
        <v>88</v>
      </c>
      <c r="F38" s="6" t="s">
        <v>89</v>
      </c>
      <c r="G38" s="6" t="s">
        <v>90</v>
      </c>
      <c r="H38" s="7"/>
      <c r="I38" s="7"/>
      <c r="J38" s="7"/>
      <c r="K38" s="7"/>
      <c r="L38" s="13"/>
    </row>
    <row r="39" spans="1:12" ht="20" customHeight="1">
      <c r="A39" s="11" t="s">
        <v>92</v>
      </c>
      <c r="B39" s="5" t="s">
        <v>71</v>
      </c>
      <c r="C39" s="6"/>
      <c r="D39" s="6" t="s">
        <v>87</v>
      </c>
      <c r="E39" s="6" t="s">
        <v>88</v>
      </c>
      <c r="F39" s="6" t="s">
        <v>89</v>
      </c>
      <c r="G39" s="6" t="s">
        <v>90</v>
      </c>
      <c r="H39" s="7"/>
      <c r="I39" s="7"/>
      <c r="J39" s="7"/>
      <c r="K39" s="7"/>
      <c r="L39" s="13"/>
    </row>
    <row r="40" spans="1:12" ht="20" customHeight="1">
      <c r="A40" s="11" t="s">
        <v>94</v>
      </c>
      <c r="B40" s="5" t="s">
        <v>73</v>
      </c>
      <c r="C40" s="6"/>
      <c r="D40" s="6" t="s">
        <v>87</v>
      </c>
      <c r="E40" s="6" t="s">
        <v>88</v>
      </c>
      <c r="F40" s="6" t="s">
        <v>89</v>
      </c>
      <c r="G40" s="6" t="s">
        <v>90</v>
      </c>
      <c r="H40" s="7"/>
      <c r="I40" s="7"/>
      <c r="J40" s="7"/>
      <c r="K40" s="7"/>
      <c r="L40" s="13"/>
    </row>
    <row r="41" spans="1:12" ht="20" customHeight="1">
      <c r="A41" s="11" t="s">
        <v>94</v>
      </c>
      <c r="B41" s="5" t="s">
        <v>74</v>
      </c>
      <c r="C41" s="6"/>
      <c r="D41" s="6" t="s">
        <v>87</v>
      </c>
      <c r="E41" s="6" t="s">
        <v>88</v>
      </c>
      <c r="F41" s="6" t="s">
        <v>89</v>
      </c>
      <c r="G41" s="6" t="s">
        <v>90</v>
      </c>
      <c r="H41" s="7"/>
      <c r="I41" s="7"/>
      <c r="J41" s="7"/>
      <c r="K41" s="7"/>
      <c r="L41" s="13"/>
    </row>
    <row r="42" spans="1:12" ht="20" customHeight="1">
      <c r="A42" s="11" t="s">
        <v>94</v>
      </c>
      <c r="B42" s="5" t="s">
        <v>75</v>
      </c>
      <c r="C42" s="6" t="s">
        <v>21</v>
      </c>
      <c r="D42" s="6" t="s">
        <v>86</v>
      </c>
      <c r="E42" s="6" t="s">
        <v>82</v>
      </c>
      <c r="F42" s="6" t="s">
        <v>16</v>
      </c>
      <c r="G42" s="6" t="s">
        <v>17</v>
      </c>
      <c r="H42" s="6" t="s">
        <v>24</v>
      </c>
      <c r="I42" s="8">
        <v>300000</v>
      </c>
      <c r="J42" s="8">
        <v>548262</v>
      </c>
      <c r="K42" s="9">
        <v>52122.68</v>
      </c>
      <c r="L42" s="13"/>
    </row>
    <row r="43" spans="1:12" ht="20" customHeight="1">
      <c r="A43" s="11" t="s">
        <v>94</v>
      </c>
      <c r="B43" s="5" t="s">
        <v>76</v>
      </c>
      <c r="C43" s="6" t="s">
        <v>21</v>
      </c>
      <c r="D43" s="6" t="s">
        <v>86</v>
      </c>
      <c r="E43" s="6" t="s">
        <v>82</v>
      </c>
      <c r="F43" s="6" t="s">
        <v>16</v>
      </c>
      <c r="G43" s="6" t="s">
        <v>17</v>
      </c>
      <c r="H43" s="6" t="s">
        <v>24</v>
      </c>
      <c r="I43" s="8">
        <v>300000</v>
      </c>
      <c r="J43" s="8">
        <v>548723</v>
      </c>
      <c r="K43" s="9">
        <v>52123.02</v>
      </c>
      <c r="L43" s="13"/>
    </row>
    <row r="44" spans="1:12" ht="20" customHeight="1">
      <c r="A44" s="11" t="s">
        <v>94</v>
      </c>
      <c r="B44" s="5" t="s">
        <v>93</v>
      </c>
      <c r="C44" s="6" t="s">
        <v>21</v>
      </c>
      <c r="D44" s="6" t="s">
        <v>86</v>
      </c>
      <c r="E44" s="6" t="s">
        <v>82</v>
      </c>
      <c r="F44" s="6" t="s">
        <v>16</v>
      </c>
      <c r="G44" s="6" t="s">
        <v>17</v>
      </c>
      <c r="H44" s="6" t="s">
        <v>24</v>
      </c>
      <c r="I44" s="8">
        <v>300000</v>
      </c>
      <c r="J44" s="8">
        <v>544236</v>
      </c>
      <c r="K44" s="9">
        <v>52122.9</v>
      </c>
      <c r="L44" s="13"/>
    </row>
    <row r="45" spans="1:12" ht="20" customHeight="1">
      <c r="A45" s="11" t="s">
        <v>94</v>
      </c>
      <c r="B45" s="5" t="s">
        <v>77</v>
      </c>
      <c r="C45" s="6" t="s">
        <v>21</v>
      </c>
      <c r="D45" s="6" t="s">
        <v>86</v>
      </c>
      <c r="E45" s="6" t="s">
        <v>82</v>
      </c>
      <c r="F45" s="6" t="s">
        <v>16</v>
      </c>
      <c r="G45" s="6" t="s">
        <v>17</v>
      </c>
      <c r="H45" s="6" t="s">
        <v>24</v>
      </c>
      <c r="I45" s="8">
        <v>300000</v>
      </c>
      <c r="J45" s="8">
        <v>548425</v>
      </c>
      <c r="K45" s="9">
        <v>52122.95</v>
      </c>
      <c r="L45" s="13"/>
    </row>
    <row r="46" spans="1:12" ht="20" customHeight="1">
      <c r="A46" s="11" t="s">
        <v>94</v>
      </c>
      <c r="B46" s="5" t="s">
        <v>78</v>
      </c>
      <c r="C46" s="6" t="s">
        <v>21</v>
      </c>
      <c r="D46" s="6" t="s">
        <v>86</v>
      </c>
      <c r="E46" s="6" t="s">
        <v>82</v>
      </c>
      <c r="F46" s="6" t="s">
        <v>16</v>
      </c>
      <c r="G46" s="6" t="s">
        <v>17</v>
      </c>
      <c r="H46" s="6" t="s">
        <v>24</v>
      </c>
      <c r="I46" s="8">
        <v>300000</v>
      </c>
      <c r="J46" s="8">
        <v>543641</v>
      </c>
      <c r="K46" s="9">
        <v>52122.8</v>
      </c>
      <c r="L46" s="13"/>
    </row>
    <row r="47" spans="1:12" ht="20" customHeight="1">
      <c r="A47" s="11" t="s">
        <v>94</v>
      </c>
      <c r="B47" s="5" t="s">
        <v>13</v>
      </c>
      <c r="C47" s="6" t="s">
        <v>21</v>
      </c>
      <c r="D47" s="6" t="s">
        <v>86</v>
      </c>
      <c r="E47" s="6" t="s">
        <v>82</v>
      </c>
      <c r="F47" s="6" t="s">
        <v>16</v>
      </c>
      <c r="G47" s="6" t="s">
        <v>17</v>
      </c>
      <c r="H47" s="6" t="s">
        <v>24</v>
      </c>
      <c r="I47" s="8">
        <v>300000</v>
      </c>
      <c r="J47" s="8">
        <v>546581</v>
      </c>
      <c r="K47" s="9">
        <v>52122.82</v>
      </c>
      <c r="L47" s="13"/>
    </row>
    <row r="48" spans="1:12" ht="20" customHeight="1">
      <c r="A48" s="11" t="s">
        <v>94</v>
      </c>
      <c r="B48" s="5" t="s">
        <v>18</v>
      </c>
      <c r="C48" s="6" t="s">
        <v>21</v>
      </c>
      <c r="D48" s="6" t="s">
        <v>86</v>
      </c>
      <c r="E48" s="6" t="s">
        <v>82</v>
      </c>
      <c r="F48" s="6" t="s">
        <v>16</v>
      </c>
      <c r="G48" s="6" t="s">
        <v>17</v>
      </c>
      <c r="H48" s="6" t="s">
        <v>24</v>
      </c>
      <c r="I48" s="8">
        <v>300000</v>
      </c>
      <c r="J48" s="8">
        <v>544224</v>
      </c>
      <c r="K48" s="9">
        <v>52122.47</v>
      </c>
      <c r="L48" s="13"/>
    </row>
    <row r="49" spans="1:12" ht="20" customHeight="1">
      <c r="A49" s="11" t="s">
        <v>94</v>
      </c>
      <c r="B49" s="5" t="s">
        <v>71</v>
      </c>
      <c r="C49" s="6" t="s">
        <v>21</v>
      </c>
      <c r="D49" s="6" t="s">
        <v>86</v>
      </c>
      <c r="E49" s="6" t="s">
        <v>82</v>
      </c>
      <c r="F49" s="6" t="s">
        <v>16</v>
      </c>
      <c r="G49" s="6" t="s">
        <v>17</v>
      </c>
      <c r="H49" s="6" t="s">
        <v>24</v>
      </c>
      <c r="I49" s="8">
        <v>300000</v>
      </c>
      <c r="J49" s="8">
        <v>540394</v>
      </c>
      <c r="K49" s="9">
        <v>52122.87</v>
      </c>
      <c r="L49" s="13"/>
    </row>
    <row r="50" spans="1:12" ht="20" customHeight="1">
      <c r="A50" s="11" t="s">
        <v>95</v>
      </c>
      <c r="B50" s="5" t="s">
        <v>73</v>
      </c>
      <c r="C50" s="6" t="s">
        <v>21</v>
      </c>
      <c r="D50" s="6" t="s">
        <v>86</v>
      </c>
      <c r="E50" s="6" t="s">
        <v>82</v>
      </c>
      <c r="F50" s="6" t="s">
        <v>16</v>
      </c>
      <c r="G50" s="6" t="s">
        <v>17</v>
      </c>
      <c r="H50" s="6" t="s">
        <v>24</v>
      </c>
      <c r="I50" s="8">
        <v>300000</v>
      </c>
      <c r="J50" s="8">
        <v>522809</v>
      </c>
      <c r="K50" s="9">
        <v>52120</v>
      </c>
      <c r="L50" s="13"/>
    </row>
    <row r="51" spans="1:12" ht="20" customHeight="1">
      <c r="A51" s="11" t="s">
        <v>95</v>
      </c>
      <c r="B51" s="5" t="s">
        <v>74</v>
      </c>
      <c r="C51" s="6" t="s">
        <v>21</v>
      </c>
      <c r="D51" s="6" t="s">
        <v>86</v>
      </c>
      <c r="E51" s="6" t="s">
        <v>82</v>
      </c>
      <c r="F51" s="6" t="s">
        <v>16</v>
      </c>
      <c r="G51" s="6" t="s">
        <v>17</v>
      </c>
      <c r="H51" s="6" t="s">
        <v>24</v>
      </c>
      <c r="I51" s="8">
        <v>300000</v>
      </c>
      <c r="J51" s="8">
        <v>531673</v>
      </c>
      <c r="K51" s="9">
        <v>52119.83</v>
      </c>
      <c r="L51" s="13"/>
    </row>
    <row r="52" spans="1:12" ht="20" customHeight="1">
      <c r="A52" s="11" t="s">
        <v>95</v>
      </c>
      <c r="B52" s="5" t="s">
        <v>75</v>
      </c>
      <c r="C52" s="6" t="s">
        <v>21</v>
      </c>
      <c r="D52" s="6" t="s">
        <v>86</v>
      </c>
      <c r="E52" s="6" t="s">
        <v>82</v>
      </c>
      <c r="F52" s="6" t="s">
        <v>16</v>
      </c>
      <c r="G52" s="6" t="s">
        <v>17</v>
      </c>
      <c r="H52" s="6" t="s">
        <v>24</v>
      </c>
      <c r="I52" s="8">
        <v>300000</v>
      </c>
      <c r="J52" s="8">
        <v>527460</v>
      </c>
      <c r="K52" s="9">
        <v>52119.7</v>
      </c>
      <c r="L52" s="13"/>
    </row>
    <row r="53" spans="1:12" ht="20" customHeight="1">
      <c r="A53" s="11" t="s">
        <v>95</v>
      </c>
      <c r="B53" s="5" t="s">
        <v>76</v>
      </c>
      <c r="C53" s="6" t="s">
        <v>21</v>
      </c>
      <c r="D53" s="6" t="s">
        <v>86</v>
      </c>
      <c r="E53" s="6" t="s">
        <v>82</v>
      </c>
      <c r="F53" s="6" t="s">
        <v>16</v>
      </c>
      <c r="G53" s="6" t="s">
        <v>17</v>
      </c>
      <c r="H53" s="6" t="s">
        <v>24</v>
      </c>
      <c r="I53" s="8">
        <v>300000</v>
      </c>
      <c r="J53" s="8">
        <v>530073</v>
      </c>
      <c r="K53" s="9">
        <v>52120.18</v>
      </c>
      <c r="L53" s="13"/>
    </row>
    <row r="54" spans="1:12" ht="20" customHeight="1">
      <c r="A54" s="11" t="s">
        <v>95</v>
      </c>
      <c r="B54" s="5" t="s">
        <v>93</v>
      </c>
      <c r="C54" s="6" t="s">
        <v>21</v>
      </c>
      <c r="D54" s="6" t="s">
        <v>86</v>
      </c>
      <c r="E54" s="6" t="s">
        <v>82</v>
      </c>
      <c r="F54" s="6" t="s">
        <v>16</v>
      </c>
      <c r="G54" s="6" t="s">
        <v>17</v>
      </c>
      <c r="H54" s="6" t="s">
        <v>24</v>
      </c>
      <c r="I54" s="8">
        <v>300000</v>
      </c>
      <c r="J54" s="8">
        <v>528320</v>
      </c>
      <c r="K54" s="9">
        <v>52119.78</v>
      </c>
      <c r="L54" s="13"/>
    </row>
    <row r="55" spans="1:12" ht="20" customHeight="1">
      <c r="A55" s="11" t="s">
        <v>95</v>
      </c>
      <c r="B55" s="5" t="s">
        <v>77</v>
      </c>
      <c r="C55" s="6" t="s">
        <v>21</v>
      </c>
      <c r="D55" s="6" t="s">
        <v>86</v>
      </c>
      <c r="E55" s="6" t="s">
        <v>82</v>
      </c>
      <c r="F55" s="6" t="s">
        <v>16</v>
      </c>
      <c r="G55" s="6" t="s">
        <v>17</v>
      </c>
      <c r="H55" s="6" t="s">
        <v>24</v>
      </c>
      <c r="I55" s="8">
        <v>300000</v>
      </c>
      <c r="J55" s="8">
        <v>524783</v>
      </c>
      <c r="K55" s="9">
        <v>52119.83</v>
      </c>
      <c r="L55" s="13"/>
    </row>
    <row r="56" spans="1:12" ht="20" customHeight="1">
      <c r="A56" s="11" t="s">
        <v>95</v>
      </c>
      <c r="B56" s="5" t="s">
        <v>78</v>
      </c>
      <c r="C56" s="6" t="s">
        <v>21</v>
      </c>
      <c r="D56" s="6" t="s">
        <v>86</v>
      </c>
      <c r="E56" s="6" t="s">
        <v>82</v>
      </c>
      <c r="F56" s="6" t="s">
        <v>16</v>
      </c>
      <c r="G56" s="6" t="s">
        <v>17</v>
      </c>
      <c r="H56" s="6" t="s">
        <v>24</v>
      </c>
      <c r="I56" s="8">
        <v>300000</v>
      </c>
      <c r="J56" s="8">
        <v>524480</v>
      </c>
      <c r="K56" s="9">
        <v>52119.73</v>
      </c>
      <c r="L56" s="13"/>
    </row>
    <row r="57" spans="1:12" ht="20" customHeight="1">
      <c r="A57" s="11" t="s">
        <v>95</v>
      </c>
      <c r="B57" s="5" t="s">
        <v>13</v>
      </c>
      <c r="C57" s="6" t="s">
        <v>21</v>
      </c>
      <c r="D57" s="6" t="s">
        <v>86</v>
      </c>
      <c r="E57" s="6" t="s">
        <v>82</v>
      </c>
      <c r="F57" s="6" t="s">
        <v>16</v>
      </c>
      <c r="G57" s="6" t="s">
        <v>17</v>
      </c>
      <c r="H57" s="6" t="s">
        <v>24</v>
      </c>
      <c r="I57" s="8">
        <v>300000</v>
      </c>
      <c r="J57" s="8">
        <v>521347</v>
      </c>
      <c r="K57" s="9">
        <v>52119.73</v>
      </c>
      <c r="L57" s="13"/>
    </row>
    <row r="58" spans="1:12" ht="20" customHeight="1">
      <c r="A58" s="11" t="s">
        <v>95</v>
      </c>
      <c r="B58" s="5" t="s">
        <v>18</v>
      </c>
      <c r="D58" s="6" t="s">
        <v>87</v>
      </c>
      <c r="E58" s="6" t="s">
        <v>88</v>
      </c>
      <c r="F58" s="6" t="s">
        <v>89</v>
      </c>
      <c r="G58" s="6" t="s">
        <v>90</v>
      </c>
      <c r="H58" s="7"/>
      <c r="I58" s="7"/>
      <c r="J58" s="7"/>
      <c r="K58" s="7"/>
      <c r="L58" s="13"/>
    </row>
    <row r="59" spans="1:12" ht="20" customHeight="1">
      <c r="A59" s="11" t="s">
        <v>95</v>
      </c>
      <c r="B59" s="5" t="s">
        <v>71</v>
      </c>
      <c r="D59" s="6" t="s">
        <v>87</v>
      </c>
      <c r="E59" s="6" t="s">
        <v>88</v>
      </c>
      <c r="F59" s="6" t="s">
        <v>89</v>
      </c>
      <c r="G59" s="6" t="s">
        <v>90</v>
      </c>
      <c r="H59" s="7"/>
      <c r="I59" s="7"/>
      <c r="J59" s="7"/>
      <c r="K59" s="7"/>
      <c r="L59" s="13"/>
    </row>
    <row r="60" spans="1:12" ht="20" customHeight="1">
      <c r="A60" s="11" t="s">
        <v>96</v>
      </c>
      <c r="B60" s="5" t="s">
        <v>73</v>
      </c>
      <c r="C60" s="6" t="s">
        <v>21</v>
      </c>
      <c r="D60" s="6" t="s">
        <v>86</v>
      </c>
      <c r="E60" s="6" t="s">
        <v>82</v>
      </c>
      <c r="F60" s="6" t="s">
        <v>16</v>
      </c>
      <c r="G60" s="6" t="s">
        <v>17</v>
      </c>
      <c r="H60" s="6" t="s">
        <v>24</v>
      </c>
      <c r="I60" s="8">
        <v>300000</v>
      </c>
      <c r="J60" s="8">
        <v>542498</v>
      </c>
      <c r="K60" s="9">
        <v>52122.62</v>
      </c>
      <c r="L60" s="13"/>
    </row>
    <row r="61" spans="1:12" ht="20" customHeight="1">
      <c r="A61" s="11" t="s">
        <v>96</v>
      </c>
      <c r="B61" s="5" t="s">
        <v>74</v>
      </c>
      <c r="C61" s="6" t="s">
        <v>21</v>
      </c>
      <c r="D61" s="6" t="s">
        <v>86</v>
      </c>
      <c r="E61" s="6" t="s">
        <v>82</v>
      </c>
      <c r="F61" s="6" t="s">
        <v>16</v>
      </c>
      <c r="G61" s="6" t="s">
        <v>17</v>
      </c>
      <c r="H61" s="6" t="s">
        <v>24</v>
      </c>
      <c r="I61" s="8">
        <v>300000</v>
      </c>
      <c r="J61" s="8">
        <v>548274</v>
      </c>
      <c r="K61" s="9">
        <v>52123.4</v>
      </c>
      <c r="L61" s="13"/>
    </row>
    <row r="62" spans="1:12" ht="20" customHeight="1">
      <c r="A62" s="11" t="s">
        <v>96</v>
      </c>
      <c r="B62" s="5" t="s">
        <v>75</v>
      </c>
      <c r="D62" s="6" t="s">
        <v>87</v>
      </c>
      <c r="E62" s="6" t="s">
        <v>88</v>
      </c>
      <c r="F62" s="6" t="s">
        <v>89</v>
      </c>
      <c r="G62" s="6" t="s">
        <v>90</v>
      </c>
      <c r="H62" s="7"/>
      <c r="I62" s="7"/>
      <c r="J62" s="7"/>
      <c r="K62" s="7"/>
      <c r="L62" s="13"/>
    </row>
    <row r="63" spans="1:12" ht="20" customHeight="1">
      <c r="A63" s="11" t="s">
        <v>96</v>
      </c>
      <c r="B63" s="5" t="s">
        <v>76</v>
      </c>
      <c r="D63" s="6" t="s">
        <v>87</v>
      </c>
      <c r="E63" s="6" t="s">
        <v>88</v>
      </c>
      <c r="F63" s="6" t="s">
        <v>89</v>
      </c>
      <c r="G63" s="6" t="s">
        <v>90</v>
      </c>
      <c r="H63" s="7"/>
      <c r="I63" s="7"/>
      <c r="J63" s="7"/>
      <c r="K63" s="7"/>
      <c r="L63" s="13"/>
    </row>
    <row r="64" spans="1:12" ht="20" customHeight="1">
      <c r="A64" s="11" t="s">
        <v>96</v>
      </c>
      <c r="B64" s="5" t="s">
        <v>93</v>
      </c>
      <c r="C64" s="6" t="s">
        <v>21</v>
      </c>
      <c r="D64" s="6" t="s">
        <v>86</v>
      </c>
      <c r="E64" s="6" t="s">
        <v>82</v>
      </c>
      <c r="F64" s="6" t="s">
        <v>16</v>
      </c>
      <c r="G64" s="6" t="s">
        <v>17</v>
      </c>
      <c r="H64" s="6" t="s">
        <v>24</v>
      </c>
      <c r="I64" s="8">
        <v>300000</v>
      </c>
      <c r="J64" s="8">
        <v>543619</v>
      </c>
      <c r="K64" s="9">
        <v>52122.720000000001</v>
      </c>
      <c r="L64" s="13"/>
    </row>
    <row r="65" spans="1:12" ht="20" customHeight="1">
      <c r="A65" s="11" t="s">
        <v>96</v>
      </c>
      <c r="B65" s="5" t="s">
        <v>77</v>
      </c>
      <c r="C65" s="6" t="s">
        <v>21</v>
      </c>
      <c r="D65" s="6" t="s">
        <v>86</v>
      </c>
      <c r="E65" s="6" t="s">
        <v>82</v>
      </c>
      <c r="F65" s="6" t="s">
        <v>16</v>
      </c>
      <c r="G65" s="6" t="s">
        <v>17</v>
      </c>
      <c r="H65" s="6" t="s">
        <v>24</v>
      </c>
      <c r="I65" s="8">
        <v>300000</v>
      </c>
      <c r="J65" s="8">
        <v>546451</v>
      </c>
      <c r="K65" s="9">
        <v>52122.43</v>
      </c>
      <c r="L65" s="13"/>
    </row>
    <row r="66" spans="1:12" ht="20" customHeight="1">
      <c r="A66" s="11" t="s">
        <v>96</v>
      </c>
      <c r="B66" s="5" t="s">
        <v>78</v>
      </c>
      <c r="C66" s="6" t="s">
        <v>21</v>
      </c>
      <c r="D66" s="6" t="s">
        <v>86</v>
      </c>
      <c r="E66" s="6" t="s">
        <v>82</v>
      </c>
      <c r="F66" s="6" t="s">
        <v>16</v>
      </c>
      <c r="G66" s="6" t="s">
        <v>17</v>
      </c>
      <c r="H66" s="6" t="s">
        <v>24</v>
      </c>
      <c r="I66" s="8">
        <v>300000</v>
      </c>
      <c r="J66" s="8">
        <v>550030</v>
      </c>
      <c r="K66" s="9">
        <v>52122.95</v>
      </c>
      <c r="L66" s="13"/>
    </row>
    <row r="67" spans="1:12" ht="20" customHeight="1">
      <c r="A67" s="11" t="s">
        <v>96</v>
      </c>
      <c r="B67" s="5" t="s">
        <v>13</v>
      </c>
      <c r="C67" s="6" t="s">
        <v>21</v>
      </c>
      <c r="D67" s="6" t="s">
        <v>86</v>
      </c>
      <c r="E67" s="6" t="s">
        <v>82</v>
      </c>
      <c r="F67" s="6" t="s">
        <v>16</v>
      </c>
      <c r="G67" s="6" t="s">
        <v>17</v>
      </c>
      <c r="H67" s="6" t="s">
        <v>24</v>
      </c>
      <c r="I67" s="8">
        <v>300000</v>
      </c>
      <c r="J67" s="8">
        <v>551827</v>
      </c>
      <c r="K67" s="9">
        <v>52122.58</v>
      </c>
      <c r="L67" s="13"/>
    </row>
    <row r="68" spans="1:12" ht="20" customHeight="1">
      <c r="A68" s="11" t="s">
        <v>96</v>
      </c>
      <c r="B68" s="5" t="s">
        <v>18</v>
      </c>
      <c r="C68" s="6" t="s">
        <v>21</v>
      </c>
      <c r="D68" s="6" t="s">
        <v>86</v>
      </c>
      <c r="E68" s="6" t="s">
        <v>82</v>
      </c>
      <c r="F68" s="6" t="s">
        <v>16</v>
      </c>
      <c r="G68" s="6" t="s">
        <v>17</v>
      </c>
      <c r="H68" s="6" t="s">
        <v>24</v>
      </c>
      <c r="I68" s="8">
        <v>300000</v>
      </c>
      <c r="J68" s="8">
        <v>545753</v>
      </c>
      <c r="K68" s="9">
        <v>52122.67</v>
      </c>
      <c r="L68" s="13"/>
    </row>
    <row r="69" spans="1:12" ht="20" customHeight="1">
      <c r="A69" s="11" t="s">
        <v>96</v>
      </c>
      <c r="B69" s="5" t="s">
        <v>71</v>
      </c>
      <c r="C69" s="6" t="s">
        <v>21</v>
      </c>
      <c r="D69" s="6" t="s">
        <v>86</v>
      </c>
      <c r="E69" s="6" t="s">
        <v>82</v>
      </c>
      <c r="F69" s="6" t="s">
        <v>16</v>
      </c>
      <c r="G69" s="6" t="s">
        <v>17</v>
      </c>
      <c r="H69" s="6" t="s">
        <v>24</v>
      </c>
      <c r="I69" s="8">
        <v>300000</v>
      </c>
      <c r="J69" s="8">
        <v>550553</v>
      </c>
      <c r="K69" s="9">
        <v>52122.720000000001</v>
      </c>
      <c r="L69" s="13"/>
    </row>
    <row r="70" spans="1:12" ht="20" customHeight="1">
      <c r="A70" s="11" t="s">
        <v>97</v>
      </c>
      <c r="B70" s="5" t="s">
        <v>73</v>
      </c>
      <c r="C70" s="6" t="s">
        <v>21</v>
      </c>
      <c r="D70" s="6" t="s">
        <v>86</v>
      </c>
      <c r="E70" s="6" t="s">
        <v>82</v>
      </c>
      <c r="F70" s="6" t="s">
        <v>16</v>
      </c>
      <c r="G70" s="6" t="s">
        <v>17</v>
      </c>
      <c r="H70" s="6" t="s">
        <v>24</v>
      </c>
      <c r="I70" s="8">
        <v>300000</v>
      </c>
      <c r="J70" s="8">
        <v>567055</v>
      </c>
      <c r="K70" s="9">
        <v>52119.519999999997</v>
      </c>
      <c r="L70" s="13"/>
    </row>
    <row r="71" spans="1:12" ht="20" customHeight="1">
      <c r="A71" s="11" t="s">
        <v>97</v>
      </c>
      <c r="B71" s="5" t="s">
        <v>74</v>
      </c>
      <c r="C71" s="6" t="s">
        <v>21</v>
      </c>
      <c r="D71" s="6" t="s">
        <v>86</v>
      </c>
      <c r="E71" s="6" t="s">
        <v>82</v>
      </c>
      <c r="F71" s="6" t="s">
        <v>16</v>
      </c>
      <c r="G71" s="6" t="s">
        <v>17</v>
      </c>
      <c r="H71" s="6" t="s">
        <v>24</v>
      </c>
      <c r="I71" s="8">
        <v>300000</v>
      </c>
      <c r="J71" s="8">
        <v>578157</v>
      </c>
      <c r="K71" s="9">
        <v>52119.63</v>
      </c>
      <c r="L71" s="13"/>
    </row>
    <row r="72" spans="1:12" ht="20" customHeight="1">
      <c r="A72" s="11" t="s">
        <v>97</v>
      </c>
      <c r="B72" s="5" t="s">
        <v>75</v>
      </c>
      <c r="C72" s="6" t="s">
        <v>21</v>
      </c>
      <c r="D72" s="6" t="s">
        <v>86</v>
      </c>
      <c r="E72" s="6" t="s">
        <v>82</v>
      </c>
      <c r="F72" s="6" t="s">
        <v>16</v>
      </c>
      <c r="G72" s="6" t="s">
        <v>17</v>
      </c>
      <c r="H72" s="6" t="s">
        <v>24</v>
      </c>
      <c r="I72" s="8">
        <v>300000</v>
      </c>
      <c r="J72" s="8">
        <v>572471</v>
      </c>
      <c r="K72" s="9">
        <v>52119.55</v>
      </c>
      <c r="L72" s="13"/>
    </row>
    <row r="73" spans="1:12" ht="20" customHeight="1">
      <c r="A73" s="11" t="s">
        <v>97</v>
      </c>
      <c r="B73" s="5" t="s">
        <v>76</v>
      </c>
      <c r="C73" s="6" t="s">
        <v>21</v>
      </c>
      <c r="D73" s="6" t="s">
        <v>86</v>
      </c>
      <c r="E73" s="6" t="s">
        <v>82</v>
      </c>
      <c r="F73" s="6" t="s">
        <v>16</v>
      </c>
      <c r="G73" s="6" t="s">
        <v>17</v>
      </c>
      <c r="H73" s="6" t="s">
        <v>24</v>
      </c>
      <c r="I73" s="8">
        <v>300000</v>
      </c>
      <c r="J73" s="8">
        <v>576981</v>
      </c>
      <c r="K73" s="9">
        <v>52119.7</v>
      </c>
      <c r="L73" s="13"/>
    </row>
    <row r="74" spans="1:12" ht="20" customHeight="1">
      <c r="A74" s="11" t="s">
        <v>97</v>
      </c>
      <c r="B74" s="5" t="s">
        <v>93</v>
      </c>
      <c r="C74" s="6" t="s">
        <v>21</v>
      </c>
      <c r="D74" s="6" t="s">
        <v>86</v>
      </c>
      <c r="E74" s="6" t="s">
        <v>82</v>
      </c>
      <c r="F74" s="6" t="s">
        <v>16</v>
      </c>
      <c r="G74" s="6" t="s">
        <v>17</v>
      </c>
      <c r="H74" s="6" t="s">
        <v>24</v>
      </c>
      <c r="I74" s="8">
        <v>300000</v>
      </c>
      <c r="J74" s="8">
        <v>566124</v>
      </c>
      <c r="K74" s="9">
        <v>52119.48</v>
      </c>
      <c r="L74" s="13"/>
    </row>
    <row r="75" spans="1:12" ht="20" customHeight="1">
      <c r="A75" s="11" t="s">
        <v>97</v>
      </c>
      <c r="B75" s="5" t="s">
        <v>77</v>
      </c>
      <c r="C75" s="6" t="s">
        <v>21</v>
      </c>
      <c r="D75" s="6" t="s">
        <v>86</v>
      </c>
      <c r="E75" s="6" t="s">
        <v>82</v>
      </c>
      <c r="F75" s="6" t="s">
        <v>16</v>
      </c>
      <c r="G75" s="6" t="s">
        <v>17</v>
      </c>
      <c r="H75" s="6" t="s">
        <v>24</v>
      </c>
      <c r="I75" s="8">
        <v>300000</v>
      </c>
      <c r="J75" s="8">
        <v>569016</v>
      </c>
      <c r="K75" s="9">
        <v>52119.67</v>
      </c>
      <c r="L75" s="13"/>
    </row>
    <row r="76" spans="1:12" ht="20" customHeight="1">
      <c r="A76" s="11" t="s">
        <v>97</v>
      </c>
      <c r="B76" s="5" t="s">
        <v>78</v>
      </c>
      <c r="C76" s="6" t="s">
        <v>21</v>
      </c>
      <c r="D76" s="6" t="s">
        <v>86</v>
      </c>
      <c r="E76" s="6" t="s">
        <v>82</v>
      </c>
      <c r="F76" s="6" t="s">
        <v>16</v>
      </c>
      <c r="G76" s="6" t="s">
        <v>17</v>
      </c>
      <c r="H76" s="6" t="s">
        <v>24</v>
      </c>
      <c r="I76" s="8">
        <v>300000</v>
      </c>
      <c r="J76" s="8">
        <v>566084</v>
      </c>
      <c r="K76" s="9">
        <v>52119.6</v>
      </c>
      <c r="L76" s="13"/>
    </row>
    <row r="77" spans="1:12" ht="20" customHeight="1">
      <c r="A77" s="11" t="s">
        <v>97</v>
      </c>
      <c r="B77" s="5" t="s">
        <v>13</v>
      </c>
      <c r="C77" s="6" t="s">
        <v>21</v>
      </c>
      <c r="D77" s="6" t="s">
        <v>86</v>
      </c>
      <c r="E77" s="6" t="s">
        <v>82</v>
      </c>
      <c r="F77" s="6" t="s">
        <v>16</v>
      </c>
      <c r="G77" s="6" t="s">
        <v>17</v>
      </c>
      <c r="H77" s="6" t="s">
        <v>24</v>
      </c>
      <c r="I77" s="8">
        <v>300000</v>
      </c>
      <c r="J77" s="8">
        <v>575946</v>
      </c>
      <c r="K77" s="9">
        <v>52119.5</v>
      </c>
      <c r="L77" s="13"/>
    </row>
    <row r="78" spans="1:12" ht="20" customHeight="1">
      <c r="A78" s="11" t="s">
        <v>97</v>
      </c>
      <c r="B78" s="5" t="s">
        <v>18</v>
      </c>
      <c r="D78" s="6" t="s">
        <v>87</v>
      </c>
      <c r="E78" s="6" t="s">
        <v>88</v>
      </c>
      <c r="F78" s="6" t="s">
        <v>89</v>
      </c>
      <c r="G78" s="6" t="s">
        <v>90</v>
      </c>
      <c r="H78" s="7"/>
      <c r="I78" s="7"/>
      <c r="J78" s="7"/>
      <c r="K78" s="7"/>
      <c r="L78" s="13"/>
    </row>
    <row r="79" spans="1:12" ht="20" customHeight="1">
      <c r="A79" s="11" t="s">
        <v>97</v>
      </c>
      <c r="B79" s="5" t="s">
        <v>71</v>
      </c>
      <c r="D79" s="6" t="s">
        <v>87</v>
      </c>
      <c r="E79" s="6" t="s">
        <v>88</v>
      </c>
      <c r="F79" s="6" t="s">
        <v>89</v>
      </c>
      <c r="G79" s="6" t="s">
        <v>90</v>
      </c>
      <c r="H79" s="7"/>
      <c r="I79" s="7"/>
      <c r="J79" s="7"/>
      <c r="K79" s="7"/>
      <c r="L79" s="13"/>
    </row>
    <row r="80" spans="1:12" ht="20" customHeight="1">
      <c r="A80" s="11" t="s">
        <v>98</v>
      </c>
      <c r="B80" s="5" t="s">
        <v>73</v>
      </c>
      <c r="D80" s="6" t="s">
        <v>87</v>
      </c>
      <c r="E80" s="6" t="s">
        <v>88</v>
      </c>
      <c r="F80" s="6" t="s">
        <v>89</v>
      </c>
      <c r="G80" s="6" t="s">
        <v>90</v>
      </c>
      <c r="H80" s="7"/>
      <c r="I80" s="7"/>
      <c r="J80" s="7"/>
      <c r="K80" s="7"/>
      <c r="L80" s="13"/>
    </row>
    <row r="81" spans="1:12" ht="20" customHeight="1">
      <c r="A81" s="11" t="s">
        <v>98</v>
      </c>
      <c r="B81" s="5" t="s">
        <v>74</v>
      </c>
      <c r="D81" s="6" t="s">
        <v>87</v>
      </c>
      <c r="E81" s="6" t="s">
        <v>88</v>
      </c>
      <c r="F81" s="6" t="s">
        <v>89</v>
      </c>
      <c r="G81" s="6" t="s">
        <v>90</v>
      </c>
      <c r="H81" s="7"/>
      <c r="I81" s="7"/>
      <c r="J81" s="7"/>
      <c r="K81" s="7"/>
      <c r="L81" s="13"/>
    </row>
    <row r="82" spans="1:12" ht="20" customHeight="1">
      <c r="A82" s="11" t="s">
        <v>98</v>
      </c>
      <c r="B82" s="5" t="s">
        <v>75</v>
      </c>
      <c r="C82" s="6" t="s">
        <v>21</v>
      </c>
      <c r="D82" s="6" t="s">
        <v>86</v>
      </c>
      <c r="E82" s="6" t="s">
        <v>82</v>
      </c>
      <c r="F82" s="6" t="s">
        <v>16</v>
      </c>
      <c r="G82" s="6" t="s">
        <v>17</v>
      </c>
      <c r="H82" s="6" t="s">
        <v>24</v>
      </c>
      <c r="I82" s="8">
        <v>300000</v>
      </c>
      <c r="J82" s="8">
        <v>569176</v>
      </c>
      <c r="K82" s="9">
        <v>52125.03</v>
      </c>
      <c r="L82" s="13"/>
    </row>
    <row r="83" spans="1:12" ht="20" customHeight="1">
      <c r="A83" s="11" t="s">
        <v>98</v>
      </c>
      <c r="B83" s="5" t="s">
        <v>76</v>
      </c>
      <c r="C83" s="6" t="s">
        <v>21</v>
      </c>
      <c r="D83" s="6" t="s">
        <v>86</v>
      </c>
      <c r="E83" s="6" t="s">
        <v>82</v>
      </c>
      <c r="F83" s="6" t="s">
        <v>16</v>
      </c>
      <c r="G83" s="6" t="s">
        <v>17</v>
      </c>
      <c r="H83" s="6" t="s">
        <v>24</v>
      </c>
      <c r="I83" s="8">
        <v>300000</v>
      </c>
      <c r="J83" s="8">
        <v>566949</v>
      </c>
      <c r="K83" s="9">
        <v>52122.63</v>
      </c>
      <c r="L83" s="13"/>
    </row>
    <row r="84" spans="1:12" ht="20" customHeight="1">
      <c r="A84" s="11" t="s">
        <v>98</v>
      </c>
      <c r="B84" s="5" t="s">
        <v>93</v>
      </c>
      <c r="C84" s="6" t="s">
        <v>21</v>
      </c>
      <c r="D84" s="6" t="s">
        <v>86</v>
      </c>
      <c r="E84" s="6" t="s">
        <v>82</v>
      </c>
      <c r="F84" s="6" t="s">
        <v>16</v>
      </c>
      <c r="G84" s="6" t="s">
        <v>17</v>
      </c>
      <c r="H84" s="6" t="s">
        <v>24</v>
      </c>
      <c r="I84" s="8">
        <v>300000</v>
      </c>
      <c r="J84" s="8">
        <v>571331</v>
      </c>
      <c r="K84" s="9">
        <v>52122.9</v>
      </c>
      <c r="L84" s="13"/>
    </row>
    <row r="85" spans="1:12" ht="20" customHeight="1">
      <c r="A85" s="11" t="s">
        <v>98</v>
      </c>
      <c r="B85" s="5" t="s">
        <v>77</v>
      </c>
      <c r="C85" s="6" t="s">
        <v>21</v>
      </c>
      <c r="D85" s="6" t="s">
        <v>86</v>
      </c>
      <c r="E85" s="6" t="s">
        <v>82</v>
      </c>
      <c r="F85" s="6" t="s">
        <v>16</v>
      </c>
      <c r="G85" s="6" t="s">
        <v>17</v>
      </c>
      <c r="H85" s="6" t="s">
        <v>24</v>
      </c>
      <c r="I85" s="8">
        <v>300000</v>
      </c>
      <c r="J85" s="8">
        <v>576878</v>
      </c>
      <c r="K85" s="9">
        <v>52122.63</v>
      </c>
      <c r="L85" s="13"/>
    </row>
    <row r="86" spans="1:12" ht="20" customHeight="1">
      <c r="A86" s="11" t="s">
        <v>98</v>
      </c>
      <c r="B86" s="5" t="s">
        <v>78</v>
      </c>
      <c r="C86" s="6" t="s">
        <v>21</v>
      </c>
      <c r="D86" s="6" t="s">
        <v>86</v>
      </c>
      <c r="E86" s="6" t="s">
        <v>82</v>
      </c>
      <c r="F86" s="6" t="s">
        <v>16</v>
      </c>
      <c r="G86" s="6" t="s">
        <v>17</v>
      </c>
      <c r="H86" s="6" t="s">
        <v>24</v>
      </c>
      <c r="I86" s="8">
        <v>300000</v>
      </c>
      <c r="J86" s="8">
        <v>573403</v>
      </c>
      <c r="K86" s="9">
        <v>52123.07</v>
      </c>
      <c r="L86" s="13"/>
    </row>
    <row r="87" spans="1:12" ht="20" customHeight="1">
      <c r="A87" s="11" t="s">
        <v>98</v>
      </c>
      <c r="B87" s="5" t="s">
        <v>13</v>
      </c>
      <c r="C87" s="6" t="s">
        <v>21</v>
      </c>
      <c r="D87" s="6" t="s">
        <v>86</v>
      </c>
      <c r="E87" s="6" t="s">
        <v>82</v>
      </c>
      <c r="F87" s="6" t="s">
        <v>16</v>
      </c>
      <c r="G87" s="6" t="s">
        <v>17</v>
      </c>
      <c r="H87" s="6" t="s">
        <v>24</v>
      </c>
      <c r="I87" s="8">
        <v>300000</v>
      </c>
      <c r="J87" s="8">
        <v>565089</v>
      </c>
      <c r="K87" s="9">
        <v>52122.8</v>
      </c>
      <c r="L87" s="13"/>
    </row>
    <row r="88" spans="1:12" ht="20" customHeight="1">
      <c r="A88" s="11" t="s">
        <v>98</v>
      </c>
      <c r="B88" s="5" t="s">
        <v>18</v>
      </c>
      <c r="C88" s="6" t="s">
        <v>21</v>
      </c>
      <c r="D88" s="6" t="s">
        <v>86</v>
      </c>
      <c r="E88" s="6" t="s">
        <v>82</v>
      </c>
      <c r="F88" s="6" t="s">
        <v>16</v>
      </c>
      <c r="G88" s="6" t="s">
        <v>17</v>
      </c>
      <c r="H88" s="6" t="s">
        <v>24</v>
      </c>
      <c r="I88" s="8">
        <v>300000</v>
      </c>
      <c r="J88" s="8">
        <v>569601</v>
      </c>
      <c r="K88" s="9">
        <v>51999.15</v>
      </c>
      <c r="L88" s="13"/>
    </row>
    <row r="89" spans="1:12" ht="20" customHeight="1">
      <c r="A89" s="11" t="s">
        <v>98</v>
      </c>
      <c r="B89" s="5" t="s">
        <v>71</v>
      </c>
      <c r="C89" s="6" t="s">
        <v>21</v>
      </c>
      <c r="D89" s="6" t="s">
        <v>86</v>
      </c>
      <c r="E89" s="6" t="s">
        <v>82</v>
      </c>
      <c r="F89" s="6" t="s">
        <v>16</v>
      </c>
      <c r="G89" s="6" t="s">
        <v>17</v>
      </c>
      <c r="H89" s="6" t="s">
        <v>24</v>
      </c>
      <c r="I89" s="8">
        <v>300000</v>
      </c>
      <c r="J89" s="8">
        <v>577897</v>
      </c>
      <c r="K89" s="9">
        <v>52123.57</v>
      </c>
      <c r="L89" s="13"/>
    </row>
    <row r="90" spans="1:12" ht="20" customHeight="1">
      <c r="A90" s="11" t="s">
        <v>99</v>
      </c>
      <c r="B90" s="5" t="s">
        <v>73</v>
      </c>
      <c r="C90" s="6" t="s">
        <v>21</v>
      </c>
      <c r="D90" s="6" t="s">
        <v>86</v>
      </c>
      <c r="E90" s="6" t="s">
        <v>82</v>
      </c>
      <c r="F90" s="6" t="s">
        <v>16</v>
      </c>
      <c r="G90" s="6" t="s">
        <v>17</v>
      </c>
      <c r="H90" s="6" t="s">
        <v>24</v>
      </c>
      <c r="I90" s="8">
        <v>300000</v>
      </c>
      <c r="J90" s="8">
        <v>368872</v>
      </c>
      <c r="K90" s="9">
        <v>52156.88</v>
      </c>
      <c r="L90" s="13"/>
    </row>
    <row r="91" spans="1:12" ht="20" customHeight="1">
      <c r="A91" s="11" t="s">
        <v>99</v>
      </c>
      <c r="B91" s="5" t="s">
        <v>74</v>
      </c>
      <c r="C91" s="6" t="s">
        <v>21</v>
      </c>
      <c r="D91" s="6" t="s">
        <v>86</v>
      </c>
      <c r="E91" s="6" t="s">
        <v>82</v>
      </c>
      <c r="F91" s="6" t="s">
        <v>16</v>
      </c>
      <c r="G91" s="6" t="s">
        <v>17</v>
      </c>
      <c r="H91" s="6" t="s">
        <v>24</v>
      </c>
      <c r="I91" s="8">
        <v>300000</v>
      </c>
      <c r="J91" s="8">
        <v>369109</v>
      </c>
      <c r="K91" s="9">
        <v>52156.77</v>
      </c>
      <c r="L91" s="13"/>
    </row>
    <row r="92" spans="1:12" ht="20" customHeight="1">
      <c r="A92" s="11" t="s">
        <v>99</v>
      </c>
      <c r="B92" s="5" t="s">
        <v>75</v>
      </c>
      <c r="C92" s="6" t="s">
        <v>21</v>
      </c>
      <c r="D92" s="6" t="s">
        <v>86</v>
      </c>
      <c r="E92" s="6" t="s">
        <v>82</v>
      </c>
      <c r="F92" s="6" t="s">
        <v>16</v>
      </c>
      <c r="G92" s="6" t="s">
        <v>17</v>
      </c>
      <c r="H92" s="6" t="s">
        <v>24</v>
      </c>
      <c r="I92" s="8">
        <v>300000</v>
      </c>
      <c r="J92" s="8">
        <v>364512</v>
      </c>
      <c r="K92" s="9">
        <v>52156.57</v>
      </c>
      <c r="L92" s="13"/>
    </row>
    <row r="93" spans="1:12" ht="20" customHeight="1">
      <c r="A93" s="11" t="s">
        <v>99</v>
      </c>
      <c r="B93" s="5" t="s">
        <v>76</v>
      </c>
      <c r="C93" s="6" t="s">
        <v>21</v>
      </c>
      <c r="D93" s="6" t="s">
        <v>86</v>
      </c>
      <c r="E93" s="6" t="s">
        <v>82</v>
      </c>
      <c r="F93" s="6" t="s">
        <v>16</v>
      </c>
      <c r="G93" s="6" t="s">
        <v>17</v>
      </c>
      <c r="H93" s="6" t="s">
        <v>24</v>
      </c>
      <c r="I93" s="8">
        <v>300000</v>
      </c>
      <c r="J93" s="8">
        <v>367980</v>
      </c>
      <c r="K93" s="9">
        <v>52156.58</v>
      </c>
      <c r="L93" s="13"/>
    </row>
    <row r="94" spans="1:12" ht="20" customHeight="1">
      <c r="A94" s="11" t="s">
        <v>99</v>
      </c>
      <c r="B94" s="5" t="s">
        <v>93</v>
      </c>
      <c r="C94" s="6" t="s">
        <v>21</v>
      </c>
      <c r="D94" s="6" t="s">
        <v>86</v>
      </c>
      <c r="E94" s="6" t="s">
        <v>82</v>
      </c>
      <c r="F94" s="6" t="s">
        <v>16</v>
      </c>
      <c r="G94" s="6" t="s">
        <v>17</v>
      </c>
      <c r="H94" s="6" t="s">
        <v>24</v>
      </c>
      <c r="I94" s="8">
        <v>300000</v>
      </c>
      <c r="J94" s="8">
        <v>371966</v>
      </c>
      <c r="K94" s="9">
        <v>52156.480000000003</v>
      </c>
      <c r="L94" s="13"/>
    </row>
    <row r="95" spans="1:12" ht="20" customHeight="1">
      <c r="A95" s="11" t="s">
        <v>99</v>
      </c>
      <c r="B95" s="5" t="s">
        <v>78</v>
      </c>
      <c r="C95" s="6" t="s">
        <v>21</v>
      </c>
      <c r="D95" s="6" t="s">
        <v>86</v>
      </c>
      <c r="E95" s="6" t="s">
        <v>82</v>
      </c>
      <c r="F95" s="6" t="s">
        <v>16</v>
      </c>
      <c r="G95" s="6" t="s">
        <v>17</v>
      </c>
      <c r="H95" s="6" t="s">
        <v>24</v>
      </c>
      <c r="I95" s="8">
        <v>300000</v>
      </c>
      <c r="J95" s="8">
        <v>374216</v>
      </c>
      <c r="K95" s="9">
        <v>52156.75</v>
      </c>
      <c r="L95" s="13"/>
    </row>
    <row r="96" spans="1:12" ht="20" customHeight="1">
      <c r="A96" s="11" t="s">
        <v>99</v>
      </c>
      <c r="B96" s="5" t="s">
        <v>13</v>
      </c>
      <c r="C96" s="6" t="s">
        <v>21</v>
      </c>
      <c r="D96" s="6" t="s">
        <v>86</v>
      </c>
      <c r="E96" s="6" t="s">
        <v>82</v>
      </c>
      <c r="F96" s="6" t="s">
        <v>16</v>
      </c>
      <c r="G96" s="6" t="s">
        <v>17</v>
      </c>
      <c r="H96" s="6" t="s">
        <v>24</v>
      </c>
      <c r="I96" s="8">
        <v>300000</v>
      </c>
      <c r="J96" s="8">
        <v>372022</v>
      </c>
      <c r="K96" s="9">
        <v>52156.92</v>
      </c>
      <c r="L96" s="13"/>
    </row>
    <row r="97" spans="1:12" ht="20" customHeight="1">
      <c r="A97" s="11" t="s">
        <v>99</v>
      </c>
      <c r="B97" s="5" t="s">
        <v>18</v>
      </c>
      <c r="D97" s="6" t="s">
        <v>87</v>
      </c>
      <c r="E97" s="6" t="s">
        <v>88</v>
      </c>
      <c r="F97" s="6" t="s">
        <v>89</v>
      </c>
      <c r="G97" s="6" t="s">
        <v>90</v>
      </c>
      <c r="H97" s="7"/>
      <c r="I97" s="7"/>
      <c r="J97" s="7"/>
      <c r="K97" s="7"/>
      <c r="L97" s="13"/>
    </row>
    <row r="98" spans="1:12" ht="20" customHeight="1">
      <c r="A98" s="11" t="s">
        <v>99</v>
      </c>
      <c r="B98" s="5" t="s">
        <v>71</v>
      </c>
      <c r="D98" s="6" t="s">
        <v>87</v>
      </c>
      <c r="E98" s="6" t="s">
        <v>88</v>
      </c>
      <c r="F98" s="6" t="s">
        <v>89</v>
      </c>
      <c r="G98" s="6" t="s">
        <v>90</v>
      </c>
      <c r="H98" s="7"/>
      <c r="I98" s="7"/>
      <c r="J98" s="7"/>
      <c r="K98" s="7"/>
      <c r="L98" s="13"/>
    </row>
    <row r="99" spans="1:12" ht="20" customHeight="1">
      <c r="A99" s="11" t="s">
        <v>99</v>
      </c>
      <c r="B99" s="5" t="s">
        <v>20</v>
      </c>
      <c r="C99" s="6" t="s">
        <v>21</v>
      </c>
      <c r="D99" s="6" t="s">
        <v>86</v>
      </c>
      <c r="E99" s="6" t="s">
        <v>82</v>
      </c>
      <c r="F99" s="6" t="s">
        <v>16</v>
      </c>
      <c r="G99" s="6" t="s">
        <v>17</v>
      </c>
      <c r="H99" s="6" t="s">
        <v>24</v>
      </c>
      <c r="I99" s="8">
        <v>300000</v>
      </c>
      <c r="J99" s="8">
        <v>358721</v>
      </c>
      <c r="K99" s="9">
        <v>51303.98</v>
      </c>
      <c r="L99" s="13"/>
    </row>
    <row r="100" spans="1:12" ht="20" customHeight="1">
      <c r="A100" s="11" t="s">
        <v>100</v>
      </c>
      <c r="B100" s="5" t="s">
        <v>73</v>
      </c>
      <c r="D100" s="6" t="s">
        <v>87</v>
      </c>
      <c r="E100" s="6" t="s">
        <v>88</v>
      </c>
      <c r="F100" s="6" t="s">
        <v>89</v>
      </c>
      <c r="G100" s="6" t="s">
        <v>90</v>
      </c>
      <c r="H100" s="7"/>
      <c r="I100" s="7"/>
      <c r="J100" s="7"/>
      <c r="K100" s="7"/>
      <c r="L100" s="13"/>
    </row>
    <row r="101" spans="1:12" ht="20" customHeight="1">
      <c r="A101" s="11" t="s">
        <v>100</v>
      </c>
      <c r="B101" s="5" t="s">
        <v>74</v>
      </c>
      <c r="D101" s="6" t="s">
        <v>87</v>
      </c>
      <c r="E101" s="6" t="s">
        <v>88</v>
      </c>
      <c r="F101" s="6" t="s">
        <v>89</v>
      </c>
      <c r="G101" s="6" t="s">
        <v>90</v>
      </c>
      <c r="H101" s="7"/>
      <c r="I101" s="7"/>
      <c r="J101" s="7"/>
      <c r="K101" s="7"/>
      <c r="L101" s="13"/>
    </row>
    <row r="102" spans="1:12" ht="20" customHeight="1">
      <c r="A102" s="11" t="s">
        <v>100</v>
      </c>
      <c r="B102" s="5" t="s">
        <v>75</v>
      </c>
      <c r="C102" s="6" t="s">
        <v>21</v>
      </c>
      <c r="D102" s="6" t="s">
        <v>86</v>
      </c>
      <c r="E102" s="6" t="s">
        <v>82</v>
      </c>
      <c r="F102" s="6" t="s">
        <v>16</v>
      </c>
      <c r="G102" s="6" t="s">
        <v>17</v>
      </c>
      <c r="H102" s="6" t="s">
        <v>24</v>
      </c>
      <c r="I102" s="8">
        <v>300000</v>
      </c>
      <c r="J102" s="8">
        <v>406368</v>
      </c>
      <c r="K102" s="9">
        <v>52122.32</v>
      </c>
      <c r="L102" s="13"/>
    </row>
    <row r="103" spans="1:12" ht="20" customHeight="1">
      <c r="A103" s="11" t="s">
        <v>100</v>
      </c>
      <c r="B103" s="5" t="s">
        <v>76</v>
      </c>
      <c r="C103" s="6" t="s">
        <v>21</v>
      </c>
      <c r="D103" s="6" t="s">
        <v>86</v>
      </c>
      <c r="E103" s="6" t="s">
        <v>82</v>
      </c>
      <c r="F103" s="6" t="s">
        <v>16</v>
      </c>
      <c r="G103" s="6" t="s">
        <v>17</v>
      </c>
      <c r="H103" s="6" t="s">
        <v>24</v>
      </c>
      <c r="I103" s="8">
        <v>300000</v>
      </c>
      <c r="J103" s="8">
        <v>415118</v>
      </c>
      <c r="K103" s="9">
        <v>52122.78</v>
      </c>
      <c r="L103" s="13"/>
    </row>
    <row r="104" spans="1:12" ht="20" customHeight="1">
      <c r="A104" s="11" t="s">
        <v>100</v>
      </c>
      <c r="B104" s="5" t="s">
        <v>93</v>
      </c>
      <c r="C104" s="6" t="s">
        <v>21</v>
      </c>
      <c r="D104" s="6" t="s">
        <v>86</v>
      </c>
      <c r="E104" s="6" t="s">
        <v>82</v>
      </c>
      <c r="F104" s="6" t="s">
        <v>16</v>
      </c>
      <c r="G104" s="6" t="s">
        <v>17</v>
      </c>
      <c r="H104" s="6" t="s">
        <v>24</v>
      </c>
      <c r="I104" s="8">
        <v>300000</v>
      </c>
      <c r="J104" s="8">
        <v>411747</v>
      </c>
      <c r="K104" s="9">
        <v>52123.05</v>
      </c>
      <c r="L104" s="13"/>
    </row>
    <row r="105" spans="1:12" ht="20" customHeight="1">
      <c r="A105" s="11" t="s">
        <v>100</v>
      </c>
      <c r="B105" s="5" t="s">
        <v>77</v>
      </c>
      <c r="C105" s="6" t="s">
        <v>21</v>
      </c>
      <c r="D105" s="6" t="s">
        <v>86</v>
      </c>
      <c r="E105" s="6" t="s">
        <v>82</v>
      </c>
      <c r="F105" s="6" t="s">
        <v>16</v>
      </c>
      <c r="G105" s="6" t="s">
        <v>17</v>
      </c>
      <c r="H105" s="6" t="s">
        <v>24</v>
      </c>
      <c r="I105" s="8">
        <v>300000</v>
      </c>
      <c r="J105" s="8">
        <v>409768</v>
      </c>
      <c r="K105" s="9">
        <v>52121.47</v>
      </c>
      <c r="L105" s="13"/>
    </row>
    <row r="106" spans="1:12" ht="20" customHeight="1">
      <c r="A106" s="11" t="s">
        <v>100</v>
      </c>
      <c r="B106" s="5" t="s">
        <v>78</v>
      </c>
      <c r="C106" s="6" t="s">
        <v>21</v>
      </c>
      <c r="D106" s="6" t="s">
        <v>86</v>
      </c>
      <c r="E106" s="6" t="s">
        <v>82</v>
      </c>
      <c r="F106" s="6" t="s">
        <v>16</v>
      </c>
      <c r="G106" s="6" t="s">
        <v>17</v>
      </c>
      <c r="H106" s="6" t="s">
        <v>24</v>
      </c>
      <c r="I106" s="8">
        <v>300000</v>
      </c>
      <c r="J106" s="8">
        <v>405338</v>
      </c>
      <c r="K106" s="9">
        <v>52122.95</v>
      </c>
      <c r="L106" s="13"/>
    </row>
    <row r="107" spans="1:12" ht="20" customHeight="1">
      <c r="A107" s="11" t="s">
        <v>100</v>
      </c>
      <c r="B107" s="5" t="s">
        <v>13</v>
      </c>
      <c r="C107" s="6" t="s">
        <v>21</v>
      </c>
      <c r="D107" s="6" t="s">
        <v>86</v>
      </c>
      <c r="E107" s="6" t="s">
        <v>82</v>
      </c>
      <c r="F107" s="6" t="s">
        <v>16</v>
      </c>
      <c r="G107" s="6" t="s">
        <v>17</v>
      </c>
      <c r="H107" s="6" t="s">
        <v>24</v>
      </c>
      <c r="I107" s="8">
        <v>300000</v>
      </c>
      <c r="J107" s="8">
        <v>417029</v>
      </c>
      <c r="K107" s="9">
        <v>52122.400000000001</v>
      </c>
      <c r="L107" s="13"/>
    </row>
    <row r="108" spans="1:12" ht="20" customHeight="1">
      <c r="A108" s="11" t="s">
        <v>100</v>
      </c>
      <c r="B108" s="5" t="s">
        <v>18</v>
      </c>
      <c r="C108" s="6" t="s">
        <v>21</v>
      </c>
      <c r="D108" s="6" t="s">
        <v>86</v>
      </c>
      <c r="E108" s="6" t="s">
        <v>82</v>
      </c>
      <c r="F108" s="6" t="s">
        <v>16</v>
      </c>
      <c r="G108" s="6" t="s">
        <v>17</v>
      </c>
      <c r="H108" s="6" t="s">
        <v>24</v>
      </c>
      <c r="I108" s="8">
        <v>300000</v>
      </c>
      <c r="J108" s="8">
        <v>412809</v>
      </c>
      <c r="K108" s="9">
        <v>52124.45</v>
      </c>
      <c r="L108" s="13"/>
    </row>
    <row r="109" spans="1:12" ht="20" customHeight="1">
      <c r="A109" s="11" t="s">
        <v>100</v>
      </c>
      <c r="B109" s="5" t="s">
        <v>71</v>
      </c>
      <c r="C109" s="6" t="s">
        <v>21</v>
      </c>
      <c r="D109" s="6" t="s">
        <v>86</v>
      </c>
      <c r="E109" s="6" t="s">
        <v>82</v>
      </c>
      <c r="F109" s="6" t="s">
        <v>16</v>
      </c>
      <c r="G109" s="6" t="s">
        <v>17</v>
      </c>
      <c r="H109" s="6" t="s">
        <v>24</v>
      </c>
      <c r="I109" s="8">
        <v>300000</v>
      </c>
      <c r="J109" s="8">
        <v>410907</v>
      </c>
      <c r="K109" s="9">
        <v>52123.28</v>
      </c>
      <c r="L109" s="13"/>
    </row>
    <row r="110" spans="1:12" ht="20" customHeight="1">
      <c r="A110" s="11" t="s">
        <v>101</v>
      </c>
      <c r="B110" s="5" t="s">
        <v>102</v>
      </c>
      <c r="D110" s="6" t="s">
        <v>87</v>
      </c>
      <c r="E110" s="6" t="s">
        <v>88</v>
      </c>
      <c r="F110" s="6" t="s">
        <v>89</v>
      </c>
      <c r="G110" s="6" t="s">
        <v>90</v>
      </c>
      <c r="H110" s="7"/>
      <c r="I110" s="7"/>
      <c r="J110" s="7"/>
      <c r="K110" s="7"/>
      <c r="L110" s="13"/>
    </row>
    <row r="111" spans="1:12" ht="20" customHeight="1">
      <c r="A111" s="11" t="s">
        <v>101</v>
      </c>
      <c r="B111" s="5" t="s">
        <v>73</v>
      </c>
      <c r="D111" s="6" t="s">
        <v>87</v>
      </c>
      <c r="E111" s="6" t="s">
        <v>88</v>
      </c>
      <c r="F111" s="6" t="s">
        <v>89</v>
      </c>
      <c r="G111" s="6" t="s">
        <v>90</v>
      </c>
      <c r="H111" s="7"/>
      <c r="I111" s="7"/>
      <c r="J111" s="7"/>
      <c r="K111" s="7"/>
      <c r="L111" s="13"/>
    </row>
    <row r="112" spans="1:12" ht="20" customHeight="1">
      <c r="A112" s="11" t="s">
        <v>101</v>
      </c>
      <c r="B112" s="5" t="s">
        <v>75</v>
      </c>
      <c r="C112" s="6" t="s">
        <v>21</v>
      </c>
      <c r="D112" s="6" t="s">
        <v>86</v>
      </c>
      <c r="E112" s="6" t="s">
        <v>82</v>
      </c>
      <c r="F112" s="6" t="s">
        <v>16</v>
      </c>
      <c r="G112" s="6" t="s">
        <v>17</v>
      </c>
      <c r="H112" s="6" t="s">
        <v>24</v>
      </c>
      <c r="I112" s="8">
        <v>300000</v>
      </c>
      <c r="J112" s="8">
        <v>542514</v>
      </c>
      <c r="K112" s="9">
        <v>52099.53</v>
      </c>
      <c r="L112" s="13"/>
    </row>
    <row r="113" spans="1:12" ht="20" customHeight="1">
      <c r="A113" s="11" t="s">
        <v>101</v>
      </c>
      <c r="B113" s="5" t="s">
        <v>76</v>
      </c>
      <c r="C113" s="6" t="s">
        <v>21</v>
      </c>
      <c r="D113" s="6" t="s">
        <v>86</v>
      </c>
      <c r="E113" s="6" t="s">
        <v>82</v>
      </c>
      <c r="F113" s="6" t="s">
        <v>16</v>
      </c>
      <c r="G113" s="6" t="s">
        <v>17</v>
      </c>
      <c r="H113" s="6" t="s">
        <v>24</v>
      </c>
      <c r="I113" s="8">
        <v>300000</v>
      </c>
      <c r="J113" s="8">
        <v>534179</v>
      </c>
      <c r="K113" s="9">
        <v>52098.57</v>
      </c>
      <c r="L113" s="13"/>
    </row>
    <row r="114" spans="1:12" ht="20" customHeight="1">
      <c r="A114" s="11" t="s">
        <v>101</v>
      </c>
      <c r="B114" s="5" t="s">
        <v>93</v>
      </c>
      <c r="C114" s="6" t="s">
        <v>21</v>
      </c>
      <c r="D114" s="6" t="s">
        <v>86</v>
      </c>
      <c r="E114" s="6" t="s">
        <v>82</v>
      </c>
      <c r="F114" s="6" t="s">
        <v>16</v>
      </c>
      <c r="G114" s="6" t="s">
        <v>17</v>
      </c>
      <c r="H114" s="6" t="s">
        <v>24</v>
      </c>
      <c r="I114" s="8">
        <v>300000</v>
      </c>
      <c r="J114" s="8">
        <v>534432</v>
      </c>
      <c r="K114" s="9">
        <v>52099.83</v>
      </c>
      <c r="L114" s="13"/>
    </row>
    <row r="115" spans="1:12" ht="20" customHeight="1">
      <c r="A115" s="11" t="s">
        <v>101</v>
      </c>
      <c r="B115" s="5" t="s">
        <v>77</v>
      </c>
      <c r="C115" s="6" t="s">
        <v>21</v>
      </c>
      <c r="D115" s="6" t="s">
        <v>86</v>
      </c>
      <c r="E115" s="6" t="s">
        <v>82</v>
      </c>
      <c r="F115" s="6" t="s">
        <v>16</v>
      </c>
      <c r="G115" s="6" t="s">
        <v>17</v>
      </c>
      <c r="H115" s="6" t="s">
        <v>24</v>
      </c>
      <c r="I115" s="8">
        <v>300000</v>
      </c>
      <c r="J115" s="8">
        <v>539010</v>
      </c>
      <c r="K115" s="9">
        <v>52099.57</v>
      </c>
      <c r="L115" s="13"/>
    </row>
    <row r="116" spans="1:12" ht="20" customHeight="1">
      <c r="A116" s="11" t="s">
        <v>101</v>
      </c>
      <c r="B116" s="5" t="s">
        <v>78</v>
      </c>
      <c r="C116" s="6" t="s">
        <v>21</v>
      </c>
      <c r="D116" s="6" t="s">
        <v>86</v>
      </c>
      <c r="E116" s="6" t="s">
        <v>82</v>
      </c>
      <c r="F116" s="6" t="s">
        <v>16</v>
      </c>
      <c r="G116" s="6" t="s">
        <v>17</v>
      </c>
      <c r="H116" s="6" t="s">
        <v>24</v>
      </c>
      <c r="I116" s="8">
        <v>300000</v>
      </c>
      <c r="J116" s="8">
        <v>548620</v>
      </c>
      <c r="K116" s="9">
        <v>52098.720000000001</v>
      </c>
      <c r="L116" s="13"/>
    </row>
    <row r="117" spans="1:12" ht="20" customHeight="1">
      <c r="A117" s="11" t="s">
        <v>101</v>
      </c>
      <c r="B117" s="5" t="s">
        <v>13</v>
      </c>
      <c r="C117" s="6" t="s">
        <v>21</v>
      </c>
      <c r="D117" s="6" t="s">
        <v>86</v>
      </c>
      <c r="E117" s="6" t="s">
        <v>82</v>
      </c>
      <c r="F117" s="6" t="s">
        <v>16</v>
      </c>
      <c r="G117" s="6" t="s">
        <v>17</v>
      </c>
      <c r="H117" s="6" t="s">
        <v>24</v>
      </c>
      <c r="I117" s="8">
        <v>300000</v>
      </c>
      <c r="J117" s="8">
        <v>540128</v>
      </c>
      <c r="K117" s="9">
        <v>52098.77</v>
      </c>
      <c r="L117" s="13"/>
    </row>
    <row r="118" spans="1:12" ht="20" customHeight="1">
      <c r="A118" s="11" t="s">
        <v>101</v>
      </c>
      <c r="B118" s="5" t="s">
        <v>18</v>
      </c>
      <c r="C118" s="6" t="s">
        <v>21</v>
      </c>
      <c r="D118" s="6" t="s">
        <v>86</v>
      </c>
      <c r="E118" s="6" t="s">
        <v>82</v>
      </c>
      <c r="F118" s="6" t="s">
        <v>16</v>
      </c>
      <c r="G118" s="6" t="s">
        <v>17</v>
      </c>
      <c r="H118" s="6" t="s">
        <v>24</v>
      </c>
      <c r="I118" s="8">
        <v>300000</v>
      </c>
      <c r="J118" s="8">
        <v>547197</v>
      </c>
      <c r="K118" s="9">
        <v>52098.58</v>
      </c>
      <c r="L118" s="13"/>
    </row>
    <row r="119" spans="1:12" ht="20" customHeight="1">
      <c r="A119" s="11" t="s">
        <v>101</v>
      </c>
      <c r="B119" s="5" t="s">
        <v>71</v>
      </c>
      <c r="C119" s="6" t="s">
        <v>21</v>
      </c>
      <c r="D119" s="6" t="s">
        <v>86</v>
      </c>
      <c r="E119" s="6" t="s">
        <v>82</v>
      </c>
      <c r="F119" s="6" t="s">
        <v>16</v>
      </c>
      <c r="G119" s="6" t="s">
        <v>17</v>
      </c>
      <c r="H119" s="6" t="s">
        <v>24</v>
      </c>
      <c r="I119" s="8">
        <v>300000</v>
      </c>
      <c r="J119" s="8">
        <v>541544</v>
      </c>
      <c r="K119" s="9">
        <v>52099.15</v>
      </c>
      <c r="L119" s="13"/>
    </row>
    <row r="120" spans="1:12" ht="20" customHeight="1">
      <c r="A120" s="11" t="s">
        <v>103</v>
      </c>
      <c r="B120" s="5" t="s">
        <v>73</v>
      </c>
      <c r="D120" s="6" t="s">
        <v>87</v>
      </c>
      <c r="E120" s="6" t="s">
        <v>88</v>
      </c>
      <c r="F120" s="6" t="s">
        <v>89</v>
      </c>
      <c r="G120" s="6" t="s">
        <v>90</v>
      </c>
      <c r="H120" s="7"/>
      <c r="I120" s="7"/>
      <c r="J120" s="7"/>
      <c r="K120" s="7"/>
      <c r="L120" s="13"/>
    </row>
    <row r="121" spans="1:12" ht="20" customHeight="1">
      <c r="A121" s="11" t="s">
        <v>103</v>
      </c>
      <c r="B121" s="5" t="s">
        <v>74</v>
      </c>
      <c r="D121" s="6" t="s">
        <v>87</v>
      </c>
      <c r="E121" s="6" t="s">
        <v>88</v>
      </c>
      <c r="F121" s="6" t="s">
        <v>89</v>
      </c>
      <c r="G121" s="6" t="s">
        <v>90</v>
      </c>
      <c r="H121" s="7"/>
      <c r="I121" s="7"/>
      <c r="J121" s="7"/>
      <c r="K121" s="7"/>
      <c r="L121" s="13"/>
    </row>
    <row r="122" spans="1:12" ht="20" customHeight="1">
      <c r="A122" s="11" t="s">
        <v>103</v>
      </c>
      <c r="B122" s="5" t="s">
        <v>75</v>
      </c>
      <c r="C122" s="6" t="s">
        <v>21</v>
      </c>
      <c r="D122" s="6" t="s">
        <v>86</v>
      </c>
      <c r="E122" s="6" t="s">
        <v>82</v>
      </c>
      <c r="F122" s="6" t="s">
        <v>16</v>
      </c>
      <c r="G122" s="6" t="s">
        <v>17</v>
      </c>
      <c r="H122" s="6" t="s">
        <v>24</v>
      </c>
      <c r="I122" s="8">
        <v>300000</v>
      </c>
      <c r="J122" s="8">
        <v>307459</v>
      </c>
      <c r="K122" s="9">
        <v>52159.18</v>
      </c>
      <c r="L122" s="13"/>
    </row>
    <row r="123" spans="1:12" ht="20" customHeight="1">
      <c r="A123" s="11" t="s">
        <v>103</v>
      </c>
      <c r="B123" s="5" t="s">
        <v>76</v>
      </c>
      <c r="C123" s="6" t="s">
        <v>21</v>
      </c>
      <c r="D123" s="6" t="s">
        <v>86</v>
      </c>
      <c r="E123" s="6" t="s">
        <v>82</v>
      </c>
      <c r="F123" s="6" t="s">
        <v>16</v>
      </c>
      <c r="G123" s="6" t="s">
        <v>17</v>
      </c>
      <c r="H123" s="6" t="s">
        <v>24</v>
      </c>
      <c r="I123" s="8">
        <v>300000</v>
      </c>
      <c r="J123" s="8">
        <v>313978</v>
      </c>
      <c r="K123" s="9">
        <v>52159.42</v>
      </c>
      <c r="L123" s="13"/>
    </row>
    <row r="124" spans="1:12" ht="20" customHeight="1">
      <c r="A124" s="11" t="s">
        <v>103</v>
      </c>
      <c r="B124" s="5" t="s">
        <v>93</v>
      </c>
      <c r="C124" s="6" t="s">
        <v>21</v>
      </c>
      <c r="D124" s="6" t="s">
        <v>86</v>
      </c>
      <c r="E124" s="6" t="s">
        <v>82</v>
      </c>
      <c r="F124" s="6" t="s">
        <v>16</v>
      </c>
      <c r="G124" s="6" t="s">
        <v>17</v>
      </c>
      <c r="H124" s="6" t="s">
        <v>24</v>
      </c>
      <c r="I124" s="8">
        <v>300000</v>
      </c>
      <c r="J124" s="8">
        <v>292025</v>
      </c>
      <c r="K124" s="9">
        <v>52159.53</v>
      </c>
      <c r="L124" s="13"/>
    </row>
    <row r="125" spans="1:12" ht="20" customHeight="1">
      <c r="A125" s="11" t="s">
        <v>103</v>
      </c>
      <c r="B125" s="5" t="s">
        <v>77</v>
      </c>
      <c r="C125" s="6" t="s">
        <v>21</v>
      </c>
      <c r="D125" s="6" t="s">
        <v>86</v>
      </c>
      <c r="E125" s="6" t="s">
        <v>82</v>
      </c>
      <c r="F125" s="6" t="s">
        <v>16</v>
      </c>
      <c r="G125" s="6" t="s">
        <v>17</v>
      </c>
      <c r="H125" s="6" t="s">
        <v>24</v>
      </c>
      <c r="I125" s="8">
        <v>300000</v>
      </c>
      <c r="J125" s="8">
        <v>265293</v>
      </c>
      <c r="K125" s="9">
        <v>52159.53</v>
      </c>
      <c r="L125" s="13"/>
    </row>
    <row r="126" spans="1:12" ht="20" customHeight="1">
      <c r="A126" s="11" t="s">
        <v>103</v>
      </c>
      <c r="B126" s="5" t="s">
        <v>78</v>
      </c>
      <c r="C126" s="6" t="s">
        <v>21</v>
      </c>
      <c r="D126" s="6" t="s">
        <v>86</v>
      </c>
      <c r="E126" s="6" t="s">
        <v>82</v>
      </c>
      <c r="F126" s="6" t="s">
        <v>16</v>
      </c>
      <c r="G126" s="6" t="s">
        <v>17</v>
      </c>
      <c r="H126" s="6" t="s">
        <v>24</v>
      </c>
      <c r="I126" s="8">
        <v>300000</v>
      </c>
      <c r="J126" s="8">
        <v>263945</v>
      </c>
      <c r="K126" s="9">
        <v>52159.37</v>
      </c>
      <c r="L126" s="13"/>
    </row>
    <row r="127" spans="1:12" ht="20" customHeight="1">
      <c r="A127" s="11" t="s">
        <v>103</v>
      </c>
      <c r="B127" s="5" t="s">
        <v>13</v>
      </c>
      <c r="C127" s="6" t="s">
        <v>21</v>
      </c>
      <c r="D127" s="6" t="s">
        <v>86</v>
      </c>
      <c r="E127" s="6" t="s">
        <v>82</v>
      </c>
      <c r="F127" s="6" t="s">
        <v>16</v>
      </c>
      <c r="G127" s="6" t="s">
        <v>17</v>
      </c>
      <c r="H127" s="6" t="s">
        <v>24</v>
      </c>
      <c r="I127" s="8">
        <v>300000</v>
      </c>
      <c r="J127" s="8">
        <v>322471</v>
      </c>
      <c r="K127" s="9">
        <v>52159.28</v>
      </c>
      <c r="L127" s="13"/>
    </row>
    <row r="128" spans="1:12" ht="20" customHeight="1">
      <c r="A128" s="11" t="s">
        <v>103</v>
      </c>
      <c r="B128" s="5" t="s">
        <v>18</v>
      </c>
      <c r="C128" s="6" t="s">
        <v>21</v>
      </c>
      <c r="D128" s="6" t="s">
        <v>86</v>
      </c>
      <c r="E128" s="6" t="s">
        <v>82</v>
      </c>
      <c r="F128" s="6" t="s">
        <v>16</v>
      </c>
      <c r="G128" s="6" t="s">
        <v>17</v>
      </c>
      <c r="H128" s="6" t="s">
        <v>24</v>
      </c>
      <c r="I128" s="8">
        <v>300000</v>
      </c>
      <c r="J128" s="8">
        <v>305222</v>
      </c>
      <c r="K128" s="9">
        <v>52159.43</v>
      </c>
      <c r="L128" s="13"/>
    </row>
    <row r="129" spans="1:12" ht="20" customHeight="1">
      <c r="A129" s="11" t="s">
        <v>103</v>
      </c>
      <c r="B129" s="5" t="s">
        <v>71</v>
      </c>
      <c r="C129" s="6" t="s">
        <v>21</v>
      </c>
      <c r="D129" s="6" t="s">
        <v>86</v>
      </c>
      <c r="E129" s="6" t="s">
        <v>82</v>
      </c>
      <c r="F129" s="6" t="s">
        <v>16</v>
      </c>
      <c r="G129" s="6" t="s">
        <v>17</v>
      </c>
      <c r="H129" s="6" t="s">
        <v>24</v>
      </c>
      <c r="I129" s="8">
        <v>300000</v>
      </c>
      <c r="J129" s="8">
        <v>248315</v>
      </c>
      <c r="K129" s="9">
        <v>52159.25</v>
      </c>
      <c r="L129" s="13"/>
    </row>
    <row r="130" spans="1:12" ht="20" customHeight="1">
      <c r="A130" s="11" t="s">
        <v>104</v>
      </c>
      <c r="B130" s="5" t="s">
        <v>102</v>
      </c>
      <c r="D130" s="6" t="s">
        <v>87</v>
      </c>
      <c r="E130" s="6" t="s">
        <v>88</v>
      </c>
      <c r="F130" s="6" t="s">
        <v>89</v>
      </c>
      <c r="G130" s="6" t="s">
        <v>90</v>
      </c>
      <c r="H130" s="7"/>
      <c r="I130" s="7"/>
      <c r="J130" s="7"/>
      <c r="K130" s="7"/>
      <c r="L130" s="13"/>
    </row>
    <row r="131" spans="1:12" ht="20" customHeight="1">
      <c r="A131" s="11" t="s">
        <v>104</v>
      </c>
      <c r="B131" s="5" t="s">
        <v>73</v>
      </c>
      <c r="D131" s="6" t="s">
        <v>87</v>
      </c>
      <c r="E131" s="6" t="s">
        <v>88</v>
      </c>
      <c r="F131" s="6" t="s">
        <v>89</v>
      </c>
      <c r="G131" s="6" t="s">
        <v>90</v>
      </c>
      <c r="H131" s="7"/>
      <c r="I131" s="7"/>
      <c r="J131" s="7"/>
      <c r="K131" s="7"/>
      <c r="L131" s="13"/>
    </row>
    <row r="132" spans="1:12" ht="20" customHeight="1">
      <c r="A132" s="11" t="s">
        <v>104</v>
      </c>
      <c r="B132" s="5" t="s">
        <v>75</v>
      </c>
      <c r="C132" s="6" t="s">
        <v>21</v>
      </c>
      <c r="D132" s="6" t="s">
        <v>86</v>
      </c>
      <c r="E132" s="6" t="s">
        <v>82</v>
      </c>
      <c r="F132" s="6" t="s">
        <v>16</v>
      </c>
      <c r="G132" s="6" t="s">
        <v>17</v>
      </c>
      <c r="H132" s="6" t="s">
        <v>24</v>
      </c>
      <c r="I132" s="8">
        <v>300000</v>
      </c>
      <c r="J132" s="8">
        <v>509094</v>
      </c>
      <c r="K132" s="9">
        <v>52102.35</v>
      </c>
      <c r="L132" s="13"/>
    </row>
    <row r="133" spans="1:12" ht="20" customHeight="1">
      <c r="A133" s="11" t="s">
        <v>104</v>
      </c>
      <c r="B133" s="5" t="s">
        <v>76</v>
      </c>
      <c r="C133" s="6" t="s">
        <v>21</v>
      </c>
      <c r="D133" s="6" t="s">
        <v>86</v>
      </c>
      <c r="E133" s="6" t="s">
        <v>82</v>
      </c>
      <c r="F133" s="6" t="s">
        <v>16</v>
      </c>
      <c r="G133" s="6" t="s">
        <v>17</v>
      </c>
      <c r="H133" s="6" t="s">
        <v>24</v>
      </c>
      <c r="I133" s="8">
        <v>300000</v>
      </c>
      <c r="J133" s="8">
        <v>513268</v>
      </c>
      <c r="K133" s="9">
        <v>52102.22</v>
      </c>
      <c r="L133" s="13"/>
    </row>
    <row r="134" spans="1:12" ht="20" customHeight="1">
      <c r="A134" s="11" t="s">
        <v>104</v>
      </c>
      <c r="B134" s="5" t="s">
        <v>93</v>
      </c>
      <c r="C134" s="6" t="s">
        <v>21</v>
      </c>
      <c r="D134" s="6" t="s">
        <v>86</v>
      </c>
      <c r="E134" s="6" t="s">
        <v>82</v>
      </c>
      <c r="F134" s="6" t="s">
        <v>16</v>
      </c>
      <c r="G134" s="6" t="s">
        <v>17</v>
      </c>
      <c r="H134" s="6" t="s">
        <v>24</v>
      </c>
      <c r="I134" s="8">
        <v>300000</v>
      </c>
      <c r="J134" s="8">
        <v>519909</v>
      </c>
      <c r="K134" s="9">
        <v>52101.77</v>
      </c>
      <c r="L134" s="13"/>
    </row>
    <row r="135" spans="1:12" ht="20" customHeight="1">
      <c r="A135" s="11" t="s">
        <v>104</v>
      </c>
      <c r="B135" s="5" t="s">
        <v>77</v>
      </c>
      <c r="C135" s="6" t="s">
        <v>21</v>
      </c>
      <c r="D135" s="6" t="s">
        <v>86</v>
      </c>
      <c r="E135" s="6" t="s">
        <v>82</v>
      </c>
      <c r="F135" s="6" t="s">
        <v>16</v>
      </c>
      <c r="G135" s="6" t="s">
        <v>17</v>
      </c>
      <c r="H135" s="6" t="s">
        <v>24</v>
      </c>
      <c r="I135" s="8">
        <v>300000</v>
      </c>
      <c r="J135" s="8">
        <v>510527</v>
      </c>
      <c r="K135" s="9">
        <v>52102.400000000001</v>
      </c>
      <c r="L135" s="13"/>
    </row>
    <row r="136" spans="1:12" ht="20" customHeight="1">
      <c r="A136" s="11" t="s">
        <v>104</v>
      </c>
      <c r="B136" s="5" t="s">
        <v>78</v>
      </c>
      <c r="C136" s="6" t="s">
        <v>21</v>
      </c>
      <c r="D136" s="6" t="s">
        <v>86</v>
      </c>
      <c r="E136" s="6" t="s">
        <v>82</v>
      </c>
      <c r="F136" s="6" t="s">
        <v>16</v>
      </c>
      <c r="G136" s="6" t="s">
        <v>17</v>
      </c>
      <c r="H136" s="6" t="s">
        <v>24</v>
      </c>
      <c r="I136" s="8">
        <v>300000</v>
      </c>
      <c r="J136" s="8">
        <v>505794</v>
      </c>
      <c r="K136" s="9">
        <v>52101.95</v>
      </c>
      <c r="L136" s="13"/>
    </row>
    <row r="137" spans="1:12" ht="20" customHeight="1">
      <c r="A137" s="11" t="s">
        <v>104</v>
      </c>
      <c r="B137" s="5" t="s">
        <v>13</v>
      </c>
      <c r="C137" s="6" t="s">
        <v>21</v>
      </c>
      <c r="D137" s="6" t="s">
        <v>86</v>
      </c>
      <c r="E137" s="6" t="s">
        <v>82</v>
      </c>
      <c r="F137" s="6" t="s">
        <v>16</v>
      </c>
      <c r="G137" s="6" t="s">
        <v>17</v>
      </c>
      <c r="H137" s="6" t="s">
        <v>24</v>
      </c>
      <c r="I137" s="8">
        <v>300000</v>
      </c>
      <c r="J137" s="8">
        <v>506605</v>
      </c>
      <c r="K137" s="9">
        <v>52102.03</v>
      </c>
      <c r="L137" s="13"/>
    </row>
    <row r="138" spans="1:12" ht="20" customHeight="1">
      <c r="A138" s="11" t="s">
        <v>104</v>
      </c>
      <c r="B138" s="5" t="s">
        <v>18</v>
      </c>
      <c r="C138" s="6" t="s">
        <v>21</v>
      </c>
      <c r="D138" s="6" t="s">
        <v>86</v>
      </c>
      <c r="E138" s="6" t="s">
        <v>82</v>
      </c>
      <c r="F138" s="6" t="s">
        <v>16</v>
      </c>
      <c r="G138" s="6" t="s">
        <v>17</v>
      </c>
      <c r="H138" s="6" t="s">
        <v>24</v>
      </c>
      <c r="I138" s="8">
        <v>300000</v>
      </c>
      <c r="J138" s="8">
        <v>510527</v>
      </c>
      <c r="K138" s="9">
        <v>52101.77</v>
      </c>
      <c r="L138" s="13"/>
    </row>
    <row r="139" spans="1:12" ht="20" customHeight="1">
      <c r="A139" s="17" t="s">
        <v>104</v>
      </c>
      <c r="B139" s="18" t="s">
        <v>71</v>
      </c>
      <c r="C139" s="19" t="s">
        <v>21</v>
      </c>
      <c r="D139" s="19" t="s">
        <v>86</v>
      </c>
      <c r="E139" s="19" t="s">
        <v>82</v>
      </c>
      <c r="F139" s="19" t="s">
        <v>16</v>
      </c>
      <c r="G139" s="19" t="s">
        <v>17</v>
      </c>
      <c r="H139" s="19" t="s">
        <v>24</v>
      </c>
      <c r="I139" s="20">
        <v>300000</v>
      </c>
      <c r="J139" s="20">
        <v>509239</v>
      </c>
      <c r="K139" s="21">
        <v>52102.28</v>
      </c>
      <c r="L139" s="22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1"/>
  <sheetViews>
    <sheetView showGridLines="0" tabSelected="1" topLeftCell="A125" workbookViewId="0">
      <selection activeCell="H143" sqref="H143"/>
    </sheetView>
  </sheetViews>
  <sheetFormatPr baseColWidth="10" defaultColWidth="8.33203125" defaultRowHeight="20" customHeight="1"/>
  <cols>
    <col min="1" max="1" width="12.1640625" style="1" customWidth="1"/>
    <col min="2" max="2" width="21.5" style="1" customWidth="1"/>
    <col min="3" max="3" width="19.83203125" style="1" customWidth="1"/>
    <col min="4" max="4" width="27" style="1" customWidth="1"/>
    <col min="5" max="5" width="28" style="1" customWidth="1"/>
    <col min="6" max="6" width="15.33203125" style="1" customWidth="1"/>
    <col min="7" max="7" width="14" style="1" customWidth="1"/>
    <col min="8" max="8" width="19.1640625" style="1" customWidth="1"/>
    <col min="9" max="9" width="43.33203125" style="1" customWidth="1"/>
    <col min="10" max="10" width="30.6640625" style="1" customWidth="1"/>
    <col min="11" max="11" width="27.6640625" style="1" customWidth="1"/>
    <col min="12" max="12" width="15" style="1" customWidth="1"/>
    <col min="13" max="13" width="8.33203125" style="63" customWidth="1"/>
    <col min="14" max="16384" width="8.33203125" style="1"/>
  </cols>
  <sheetData>
    <row r="1" spans="1:14" ht="20.25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62" t="s">
        <v>145</v>
      </c>
      <c r="N1" s="61" t="s">
        <v>146</v>
      </c>
    </row>
    <row r="2" spans="1:14" ht="20.25" customHeight="1">
      <c r="A2" s="10" t="s">
        <v>69</v>
      </c>
      <c r="B2" s="2" t="s">
        <v>25</v>
      </c>
      <c r="C2" s="64" t="s">
        <v>21</v>
      </c>
      <c r="D2" s="3" t="s">
        <v>70</v>
      </c>
      <c r="E2" s="3" t="s">
        <v>23</v>
      </c>
      <c r="F2" s="3" t="s">
        <v>16</v>
      </c>
      <c r="G2" s="3" t="s">
        <v>17</v>
      </c>
      <c r="H2" s="3" t="s">
        <v>24</v>
      </c>
      <c r="I2" s="4"/>
      <c r="J2" s="4"/>
      <c r="K2" s="4"/>
      <c r="L2" s="12"/>
      <c r="M2" s="63" t="e">
        <f>표1[[#This Row],[Accumulated load-unload cycles:]]/표1[[#This Row],[Specified load-unload count over device lifetime:]]</f>
        <v>#DIV/0!</v>
      </c>
      <c r="N2" s="1" t="e">
        <f>IF(표1[[#This Row],[사용량]]&lt;=60%, "양호", IF(표1[[#This Row],[사용량]]&lt;=70%, "교체 권고", IF(표1[[#This Row],[사용량]]&lt;=80%, "교체", "긴급 교체")))</f>
        <v>#DIV/0!</v>
      </c>
    </row>
    <row r="3" spans="1:14" ht="20" customHeight="1">
      <c r="A3" s="11" t="s">
        <v>69</v>
      </c>
      <c r="B3" s="5" t="s">
        <v>28</v>
      </c>
      <c r="C3" s="64" t="s">
        <v>21</v>
      </c>
      <c r="D3" s="6" t="s">
        <v>70</v>
      </c>
      <c r="E3" s="6" t="s">
        <v>23</v>
      </c>
      <c r="F3" s="6" t="s">
        <v>16</v>
      </c>
      <c r="G3" s="6" t="s">
        <v>17</v>
      </c>
      <c r="H3" s="6" t="s">
        <v>24</v>
      </c>
      <c r="I3" s="8">
        <v>300000</v>
      </c>
      <c r="J3" s="8">
        <v>148156</v>
      </c>
      <c r="K3" s="9">
        <v>52057.63</v>
      </c>
      <c r="L3" s="13"/>
      <c r="M3" s="63">
        <f>표1[[#This Row],[Accumulated load-unload cycles:]]/표1[[#This Row],[Specified load-unload count over device lifetime:]]</f>
        <v>0.49385333333333331</v>
      </c>
      <c r="N3" s="1" t="str">
        <f>IF(표1[[#This Row],[사용량]]&lt;=60%, "양호", IF(표1[[#This Row],[사용량]]&lt;=70%, "교체 권고", IF(표1[[#This Row],[사용량]]&lt;=80%, "교체", "긴급 교체")))</f>
        <v>양호</v>
      </c>
    </row>
    <row r="4" spans="1:14" ht="20" customHeight="1">
      <c r="A4" s="11" t="s">
        <v>69</v>
      </c>
      <c r="B4" s="5" t="s">
        <v>13</v>
      </c>
      <c r="C4" s="6" t="s">
        <v>21</v>
      </c>
      <c r="D4" s="6" t="s">
        <v>70</v>
      </c>
      <c r="E4" s="6" t="s">
        <v>23</v>
      </c>
      <c r="F4" s="6" t="s">
        <v>16</v>
      </c>
      <c r="G4" s="6" t="s">
        <v>17</v>
      </c>
      <c r="H4" s="6" t="s">
        <v>24</v>
      </c>
      <c r="I4" s="8">
        <v>300000</v>
      </c>
      <c r="J4" s="8">
        <v>143316</v>
      </c>
      <c r="K4" s="9">
        <v>52057.52</v>
      </c>
      <c r="L4" s="13"/>
      <c r="M4" s="63">
        <f>표1[[#This Row],[Accumulated load-unload cycles:]]/표1[[#This Row],[Specified load-unload count over device lifetime:]]</f>
        <v>0.47771999999999998</v>
      </c>
      <c r="N4" s="1" t="str">
        <f>IF(표1[[#This Row],[사용량]]&lt;=60%, "양호", IF(표1[[#This Row],[사용량]]&lt;=70%, "교체 권고", IF(표1[[#This Row],[사용량]]&lt;=80%, "교체", "긴급 교체")))</f>
        <v>양호</v>
      </c>
    </row>
    <row r="5" spans="1:14" ht="20" customHeight="1">
      <c r="A5" s="11" t="s">
        <v>69</v>
      </c>
      <c r="B5" s="5" t="s">
        <v>26</v>
      </c>
      <c r="C5" s="6" t="s">
        <v>21</v>
      </c>
      <c r="D5" s="6" t="s">
        <v>70</v>
      </c>
      <c r="E5" s="6" t="s">
        <v>23</v>
      </c>
      <c r="F5" s="6" t="s">
        <v>16</v>
      </c>
      <c r="G5" s="6" t="s">
        <v>17</v>
      </c>
      <c r="H5" s="6" t="s">
        <v>24</v>
      </c>
      <c r="I5" s="8">
        <v>300000</v>
      </c>
      <c r="J5" s="8">
        <v>141984</v>
      </c>
      <c r="K5" s="9">
        <v>52057.55</v>
      </c>
      <c r="L5" s="13"/>
      <c r="M5" s="63">
        <f>표1[[#This Row],[Accumulated load-unload cycles:]]/표1[[#This Row],[Specified load-unload count over device lifetime:]]</f>
        <v>0.47327999999999998</v>
      </c>
      <c r="N5" s="1" t="str">
        <f>IF(표1[[#This Row],[사용량]]&lt;=60%, "양호", IF(표1[[#This Row],[사용량]]&lt;=70%, "교체 권고", IF(표1[[#This Row],[사용량]]&lt;=80%, "교체", "긴급 교체")))</f>
        <v>양호</v>
      </c>
    </row>
    <row r="6" spans="1:14" ht="20" customHeight="1">
      <c r="A6" s="11" t="s">
        <v>69</v>
      </c>
      <c r="B6" s="5" t="s">
        <v>71</v>
      </c>
      <c r="C6" s="6" t="s">
        <v>21</v>
      </c>
      <c r="D6" s="6" t="s">
        <v>70</v>
      </c>
      <c r="E6" s="6" t="s">
        <v>23</v>
      </c>
      <c r="F6" s="6" t="s">
        <v>16</v>
      </c>
      <c r="G6" s="6" t="s">
        <v>17</v>
      </c>
      <c r="H6" s="6" t="s">
        <v>24</v>
      </c>
      <c r="I6" s="8">
        <v>300000</v>
      </c>
      <c r="J6" s="8">
        <v>141643</v>
      </c>
      <c r="K6" s="9">
        <v>52057.8</v>
      </c>
      <c r="L6" s="13"/>
      <c r="M6" s="63">
        <f>표1[[#This Row],[Accumulated load-unload cycles:]]/표1[[#This Row],[Specified load-unload count over device lifetime:]]</f>
        <v>0.47214333333333336</v>
      </c>
      <c r="N6" s="1" t="str">
        <f>IF(표1[[#This Row],[사용량]]&lt;=60%, "양호", IF(표1[[#This Row],[사용량]]&lt;=70%, "교체 권고", IF(표1[[#This Row],[사용량]]&lt;=80%, "교체", "긴급 교체")))</f>
        <v>양호</v>
      </c>
    </row>
    <row r="7" spans="1:14" ht="20" customHeight="1">
      <c r="A7" s="11" t="s">
        <v>69</v>
      </c>
      <c r="B7" s="5" t="s">
        <v>18</v>
      </c>
      <c r="C7" s="6" t="s">
        <v>21</v>
      </c>
      <c r="D7" s="6" t="s">
        <v>70</v>
      </c>
      <c r="E7" s="6" t="s">
        <v>23</v>
      </c>
      <c r="F7" s="6" t="s">
        <v>16</v>
      </c>
      <c r="G7" s="6" t="s">
        <v>17</v>
      </c>
      <c r="H7" s="6" t="s">
        <v>24</v>
      </c>
      <c r="I7" s="8">
        <v>300000</v>
      </c>
      <c r="J7" s="8">
        <v>138092</v>
      </c>
      <c r="K7" s="9">
        <v>52057.42</v>
      </c>
      <c r="L7" s="13"/>
      <c r="M7" s="63">
        <f>표1[[#This Row],[Accumulated load-unload cycles:]]/표1[[#This Row],[Specified load-unload count over device lifetime:]]</f>
        <v>0.46030666666666664</v>
      </c>
      <c r="N7" s="1" t="str">
        <f>IF(표1[[#This Row],[사용량]]&lt;=60%, "양호", IF(표1[[#This Row],[사용량]]&lt;=70%, "교체 권고", IF(표1[[#This Row],[사용량]]&lt;=80%, "교체", "긴급 교체")))</f>
        <v>양호</v>
      </c>
    </row>
    <row r="8" spans="1:14" ht="20" customHeight="1">
      <c r="A8" s="11" t="s">
        <v>69</v>
      </c>
      <c r="B8" s="5" t="s">
        <v>20</v>
      </c>
      <c r="C8" s="6" t="s">
        <v>21</v>
      </c>
      <c r="D8" s="6" t="s">
        <v>70</v>
      </c>
      <c r="E8" s="6" t="s">
        <v>23</v>
      </c>
      <c r="F8" s="6" t="s">
        <v>16</v>
      </c>
      <c r="G8" s="6" t="s">
        <v>17</v>
      </c>
      <c r="H8" s="6" t="s">
        <v>24</v>
      </c>
      <c r="I8" s="8">
        <v>300000</v>
      </c>
      <c r="J8" s="8">
        <v>106167</v>
      </c>
      <c r="K8" s="9">
        <v>52058.12</v>
      </c>
      <c r="L8" s="13"/>
      <c r="M8" s="63">
        <f>표1[[#This Row],[Accumulated load-unload cycles:]]/표1[[#This Row],[Specified load-unload count over device lifetime:]]</f>
        <v>0.35388999999999998</v>
      </c>
      <c r="N8" s="1" t="str">
        <f>IF(표1[[#This Row],[사용량]]&lt;=60%, "양호", IF(표1[[#This Row],[사용량]]&lt;=70%, "교체 권고", IF(표1[[#This Row],[사용량]]&lt;=80%, "교체", "긴급 교체")))</f>
        <v>양호</v>
      </c>
    </row>
    <row r="9" spans="1:14" ht="20" customHeight="1">
      <c r="A9" s="11" t="s">
        <v>69</v>
      </c>
      <c r="B9" s="5" t="s">
        <v>27</v>
      </c>
      <c r="C9" s="6" t="s">
        <v>21</v>
      </c>
      <c r="D9" s="6" t="s">
        <v>70</v>
      </c>
      <c r="E9" s="6" t="s">
        <v>23</v>
      </c>
      <c r="F9" s="6" t="s">
        <v>16</v>
      </c>
      <c r="G9" s="6" t="s">
        <v>17</v>
      </c>
      <c r="H9" s="6" t="s">
        <v>24</v>
      </c>
      <c r="I9" s="8">
        <v>300000</v>
      </c>
      <c r="J9" s="8">
        <v>104204</v>
      </c>
      <c r="K9" s="9">
        <v>52057.599999999999</v>
      </c>
      <c r="L9" s="13"/>
      <c r="M9" s="63">
        <f>표1[[#This Row],[Accumulated load-unload cycles:]]/표1[[#This Row],[Specified load-unload count over device lifetime:]]</f>
        <v>0.34734666666666669</v>
      </c>
      <c r="N9" s="1" t="str">
        <f>IF(표1[[#This Row],[사용량]]&lt;=60%, "양호", IF(표1[[#This Row],[사용량]]&lt;=70%, "교체 권고", IF(표1[[#This Row],[사용량]]&lt;=80%, "교체", "긴급 교체")))</f>
        <v>양호</v>
      </c>
    </row>
    <row r="10" spans="1:14" ht="20" customHeight="1">
      <c r="A10" s="11" t="s">
        <v>72</v>
      </c>
      <c r="B10" s="5" t="s">
        <v>76</v>
      </c>
      <c r="C10" s="6" t="s">
        <v>21</v>
      </c>
      <c r="D10" s="6" t="s">
        <v>70</v>
      </c>
      <c r="E10" s="6" t="s">
        <v>23</v>
      </c>
      <c r="F10" s="6" t="s">
        <v>16</v>
      </c>
      <c r="G10" s="6" t="s">
        <v>17</v>
      </c>
      <c r="H10" s="6" t="s">
        <v>24</v>
      </c>
      <c r="I10" s="7"/>
      <c r="J10" s="7"/>
      <c r="K10" s="7"/>
      <c r="L10" s="13"/>
      <c r="M10" s="63" t="e">
        <f>표1[[#This Row],[Accumulated load-unload cycles:]]/표1[[#This Row],[Specified load-unload count over device lifetime:]]</f>
        <v>#DIV/0!</v>
      </c>
      <c r="N10" s="1" t="e">
        <f>IF(표1[[#This Row],[사용량]]&lt;=60%, "양호", IF(표1[[#This Row],[사용량]]&lt;=70%, "교체 권고", IF(표1[[#This Row],[사용량]]&lt;=80%, "교체", "긴급 교체")))</f>
        <v>#DIV/0!</v>
      </c>
    </row>
    <row r="11" spans="1:14" ht="20" customHeight="1">
      <c r="A11" s="11" t="s">
        <v>72</v>
      </c>
      <c r="B11" s="5" t="s">
        <v>78</v>
      </c>
      <c r="C11" s="6" t="s">
        <v>21</v>
      </c>
      <c r="D11" s="6" t="s">
        <v>70</v>
      </c>
      <c r="E11" s="6" t="s">
        <v>23</v>
      </c>
      <c r="F11" s="6" t="s">
        <v>16</v>
      </c>
      <c r="G11" s="6" t="s">
        <v>17</v>
      </c>
      <c r="H11" s="6" t="s">
        <v>24</v>
      </c>
      <c r="I11" s="8">
        <v>300000</v>
      </c>
      <c r="J11" s="8">
        <v>288150</v>
      </c>
      <c r="K11" s="9">
        <v>49168.28</v>
      </c>
      <c r="L11" s="13"/>
      <c r="M11" s="63">
        <f>표1[[#This Row],[Accumulated load-unload cycles:]]/표1[[#This Row],[Specified load-unload count over device lifetime:]]</f>
        <v>0.96050000000000002</v>
      </c>
      <c r="N11" s="1" t="str">
        <f>IF(표1[[#This Row],[사용량]]&lt;=60%, "양호", IF(표1[[#This Row],[사용량]]&lt;=70%, "교체 권고", IF(표1[[#This Row],[사용량]]&lt;=80%, "교체", "긴급 교체")))</f>
        <v>긴급 교체</v>
      </c>
    </row>
    <row r="12" spans="1:14" ht="20" customHeight="1">
      <c r="A12" s="11" t="s">
        <v>72</v>
      </c>
      <c r="B12" s="5" t="s">
        <v>73</v>
      </c>
      <c r="C12" s="6" t="s">
        <v>21</v>
      </c>
      <c r="D12" s="6" t="s">
        <v>70</v>
      </c>
      <c r="E12" s="6" t="s">
        <v>23</v>
      </c>
      <c r="F12" s="6" t="s">
        <v>16</v>
      </c>
      <c r="G12" s="6" t="s">
        <v>17</v>
      </c>
      <c r="H12" s="6" t="s">
        <v>24</v>
      </c>
      <c r="I12" s="8">
        <v>300000</v>
      </c>
      <c r="J12" s="8">
        <v>287099</v>
      </c>
      <c r="K12" s="9">
        <v>49168.53</v>
      </c>
      <c r="L12" s="13"/>
      <c r="M12" s="63">
        <f>표1[[#This Row],[Accumulated load-unload cycles:]]/표1[[#This Row],[Specified load-unload count over device lifetime:]]</f>
        <v>0.95699666666666672</v>
      </c>
      <c r="N12" s="1" t="str">
        <f>IF(표1[[#This Row],[사용량]]&lt;=60%, "양호", IF(표1[[#This Row],[사용량]]&lt;=70%, "교체 권고", IF(표1[[#This Row],[사용량]]&lt;=80%, "교체", "긴급 교체")))</f>
        <v>긴급 교체</v>
      </c>
    </row>
    <row r="13" spans="1:14" ht="20" customHeight="1">
      <c r="A13" s="11" t="s">
        <v>72</v>
      </c>
      <c r="B13" s="5" t="s">
        <v>74</v>
      </c>
      <c r="C13" s="6" t="s">
        <v>21</v>
      </c>
      <c r="D13" s="6" t="s">
        <v>70</v>
      </c>
      <c r="E13" s="6" t="s">
        <v>23</v>
      </c>
      <c r="F13" s="6" t="s">
        <v>16</v>
      </c>
      <c r="G13" s="6" t="s">
        <v>17</v>
      </c>
      <c r="H13" s="6" t="s">
        <v>24</v>
      </c>
      <c r="I13" s="8">
        <v>300000</v>
      </c>
      <c r="J13" s="8">
        <v>279124</v>
      </c>
      <c r="K13" s="9">
        <v>49168.68</v>
      </c>
      <c r="L13" s="13"/>
      <c r="M13" s="63">
        <f>표1[[#This Row],[Accumulated load-unload cycles:]]/표1[[#This Row],[Specified load-unload count over device lifetime:]]</f>
        <v>0.93041333333333331</v>
      </c>
      <c r="N13" s="1" t="str">
        <f>IF(표1[[#This Row],[사용량]]&lt;=60%, "양호", IF(표1[[#This Row],[사용량]]&lt;=70%, "교체 권고", IF(표1[[#This Row],[사용량]]&lt;=80%, "교체", "긴급 교체")))</f>
        <v>긴급 교체</v>
      </c>
    </row>
    <row r="14" spans="1:14" ht="20" customHeight="1">
      <c r="A14" s="11" t="s">
        <v>72</v>
      </c>
      <c r="B14" s="5" t="s">
        <v>75</v>
      </c>
      <c r="C14" s="6" t="s">
        <v>21</v>
      </c>
      <c r="D14" s="6" t="s">
        <v>70</v>
      </c>
      <c r="E14" s="6" t="s">
        <v>23</v>
      </c>
      <c r="F14" s="6" t="s">
        <v>16</v>
      </c>
      <c r="G14" s="6" t="s">
        <v>17</v>
      </c>
      <c r="H14" s="6" t="s">
        <v>24</v>
      </c>
      <c r="I14" s="8">
        <v>300000</v>
      </c>
      <c r="J14" s="8">
        <v>275386</v>
      </c>
      <c r="K14" s="9">
        <v>49169.55</v>
      </c>
      <c r="L14" s="13"/>
      <c r="M14" s="63">
        <f>표1[[#This Row],[Accumulated load-unload cycles:]]/표1[[#This Row],[Specified load-unload count over device lifetime:]]</f>
        <v>0.91795333333333329</v>
      </c>
      <c r="N14" s="1" t="str">
        <f>IF(표1[[#This Row],[사용량]]&lt;=60%, "양호", IF(표1[[#This Row],[사용량]]&lt;=70%, "교체 권고", IF(표1[[#This Row],[사용량]]&lt;=80%, "교체", "긴급 교체")))</f>
        <v>긴급 교체</v>
      </c>
    </row>
    <row r="15" spans="1:14" ht="20" customHeight="1">
      <c r="A15" s="11" t="s">
        <v>72</v>
      </c>
      <c r="B15" s="5" t="s">
        <v>77</v>
      </c>
      <c r="C15" s="6" t="s">
        <v>21</v>
      </c>
      <c r="D15" s="6" t="s">
        <v>70</v>
      </c>
      <c r="E15" s="6" t="s">
        <v>23</v>
      </c>
      <c r="F15" s="6" t="s">
        <v>16</v>
      </c>
      <c r="G15" s="6" t="s">
        <v>17</v>
      </c>
      <c r="H15" s="6" t="s">
        <v>24</v>
      </c>
      <c r="I15" s="8">
        <v>300000</v>
      </c>
      <c r="J15" s="8">
        <v>265342</v>
      </c>
      <c r="K15" s="9">
        <v>49168.67</v>
      </c>
      <c r="L15" s="13"/>
      <c r="M15" s="63">
        <f>표1[[#This Row],[Accumulated load-unload cycles:]]/표1[[#This Row],[Specified load-unload count over device lifetime:]]</f>
        <v>0.88447333333333333</v>
      </c>
      <c r="N15" s="1" t="str">
        <f>IF(표1[[#This Row],[사용량]]&lt;=60%, "양호", IF(표1[[#This Row],[사용량]]&lt;=70%, "교체 권고", IF(표1[[#This Row],[사용량]]&lt;=80%, "교체", "긴급 교체")))</f>
        <v>긴급 교체</v>
      </c>
    </row>
    <row r="16" spans="1:14" ht="20" customHeight="1">
      <c r="A16" s="11" t="s">
        <v>72</v>
      </c>
      <c r="B16" s="5" t="s">
        <v>13</v>
      </c>
      <c r="C16" s="6" t="s">
        <v>21</v>
      </c>
      <c r="D16" s="6" t="s">
        <v>79</v>
      </c>
      <c r="E16" s="6" t="s">
        <v>23</v>
      </c>
      <c r="F16" s="6" t="s">
        <v>16</v>
      </c>
      <c r="G16" s="6" t="s">
        <v>17</v>
      </c>
      <c r="H16" s="6" t="s">
        <v>24</v>
      </c>
      <c r="I16" s="8">
        <v>600000</v>
      </c>
      <c r="J16" s="8">
        <v>200290</v>
      </c>
      <c r="K16" s="9">
        <v>33422.25</v>
      </c>
      <c r="L16" s="13"/>
      <c r="M16" s="63">
        <f>표1[[#This Row],[Accumulated load-unload cycles:]]/표1[[#This Row],[Specified load-unload count over device lifetime:]]</f>
        <v>0.33381666666666665</v>
      </c>
      <c r="N16" s="1" t="str">
        <f>IF(표1[[#This Row],[사용량]]&lt;=60%, "양호", IF(표1[[#This Row],[사용량]]&lt;=70%, "교체 권고", IF(표1[[#This Row],[사용량]]&lt;=80%, "교체", "긴급 교체")))</f>
        <v>양호</v>
      </c>
    </row>
    <row r="17" spans="1:14" ht="20" customHeight="1">
      <c r="A17" s="11" t="s">
        <v>72</v>
      </c>
      <c r="B17" s="5" t="s">
        <v>71</v>
      </c>
      <c r="C17" s="6" t="s">
        <v>21</v>
      </c>
      <c r="D17" s="6" t="s">
        <v>68</v>
      </c>
      <c r="E17" s="6" t="s">
        <v>23</v>
      </c>
      <c r="F17" s="6" t="s">
        <v>16</v>
      </c>
      <c r="G17" s="6" t="s">
        <v>17</v>
      </c>
      <c r="H17" s="6" t="s">
        <v>24</v>
      </c>
      <c r="I17" s="8">
        <v>600000</v>
      </c>
      <c r="J17" s="8">
        <v>33133</v>
      </c>
      <c r="K17" s="9">
        <v>12026.32</v>
      </c>
      <c r="L17" s="13"/>
      <c r="M17" s="63">
        <f>표1[[#This Row],[Accumulated load-unload cycles:]]/표1[[#This Row],[Specified load-unload count over device lifetime:]]</f>
        <v>5.5221666666666669E-2</v>
      </c>
      <c r="N17" s="1" t="str">
        <f>IF(표1[[#This Row],[사용량]]&lt;=60%, "양호", IF(표1[[#This Row],[사용량]]&lt;=70%, "교체 권고", IF(표1[[#This Row],[사용량]]&lt;=80%, "교체", "긴급 교체")))</f>
        <v>양호</v>
      </c>
    </row>
    <row r="18" spans="1:14" ht="20" customHeight="1">
      <c r="A18" s="11" t="s">
        <v>12</v>
      </c>
      <c r="B18" s="5" t="s">
        <v>13</v>
      </c>
      <c r="C18" s="8"/>
      <c r="D18" s="6" t="s">
        <v>14</v>
      </c>
      <c r="E18" s="6" t="s">
        <v>15</v>
      </c>
      <c r="F18" s="6" t="s">
        <v>16</v>
      </c>
      <c r="G18" s="6" t="s">
        <v>17</v>
      </c>
      <c r="H18" s="7"/>
      <c r="I18" s="7"/>
      <c r="J18" s="7"/>
      <c r="K18" s="7"/>
      <c r="L18" s="13"/>
      <c r="M18" s="63" t="e">
        <f>표1[[#This Row],[Accumulated load-unload cycles:]]/표1[[#This Row],[Specified load-unload count over device lifetime:]]</f>
        <v>#DIV/0!</v>
      </c>
      <c r="N18" s="1" t="e">
        <f>IF(표1[[#This Row],[사용량]]&lt;=60%, "양호", IF(표1[[#This Row],[사용량]]&lt;=70%, "교체 권고", IF(표1[[#This Row],[사용량]]&lt;=80%, "교체", "긴급 교체")))</f>
        <v>#DIV/0!</v>
      </c>
    </row>
    <row r="19" spans="1:14" ht="20" customHeight="1">
      <c r="A19" s="11" t="s">
        <v>12</v>
      </c>
      <c r="B19" s="5" t="s">
        <v>18</v>
      </c>
      <c r="C19" s="8"/>
      <c r="D19" s="6" t="s">
        <v>14</v>
      </c>
      <c r="E19" s="6" t="s">
        <v>15</v>
      </c>
      <c r="F19" s="6" t="s">
        <v>16</v>
      </c>
      <c r="G19" s="6" t="s">
        <v>17</v>
      </c>
      <c r="H19" s="7"/>
      <c r="I19" s="7"/>
      <c r="J19" s="7"/>
      <c r="K19" s="7"/>
      <c r="L19" s="13"/>
      <c r="M19" s="63" t="e">
        <f>표1[[#This Row],[Accumulated load-unload cycles:]]/표1[[#This Row],[Specified load-unload count over device lifetime:]]</f>
        <v>#DIV/0!</v>
      </c>
      <c r="N19" s="1" t="e">
        <f>IF(표1[[#This Row],[사용량]]&lt;=60%, "양호", IF(표1[[#This Row],[사용량]]&lt;=70%, "교체 권고", IF(표1[[#This Row],[사용량]]&lt;=80%, "교체", "긴급 교체")))</f>
        <v>#DIV/0!</v>
      </c>
    </row>
    <row r="20" spans="1:14" ht="20" customHeight="1">
      <c r="A20" s="11" t="s">
        <v>85</v>
      </c>
      <c r="B20" s="5" t="s">
        <v>77</v>
      </c>
      <c r="C20" s="8"/>
      <c r="D20" s="6" t="s">
        <v>87</v>
      </c>
      <c r="E20" s="6" t="s">
        <v>88</v>
      </c>
      <c r="F20" s="6" t="s">
        <v>89</v>
      </c>
      <c r="G20" s="6" t="s">
        <v>90</v>
      </c>
      <c r="H20" s="7"/>
      <c r="I20" s="7"/>
      <c r="J20" s="7"/>
      <c r="K20" s="7"/>
      <c r="L20" s="13"/>
      <c r="M20" s="63" t="e">
        <f>표1[[#This Row],[Accumulated load-unload cycles:]]/표1[[#This Row],[Specified load-unload count over device lifetime:]]</f>
        <v>#DIV/0!</v>
      </c>
      <c r="N20" s="1" t="e">
        <f>IF(표1[[#This Row],[사용량]]&lt;=60%, "양호", IF(표1[[#This Row],[사용량]]&lt;=70%, "교체 권고", IF(표1[[#This Row],[사용량]]&lt;=80%, "교체", "긴급 교체")))</f>
        <v>#DIV/0!</v>
      </c>
    </row>
    <row r="21" spans="1:14" ht="20" customHeight="1">
      <c r="A21" s="11" t="s">
        <v>85</v>
      </c>
      <c r="B21" s="5" t="s">
        <v>78</v>
      </c>
      <c r="C21" s="8"/>
      <c r="D21" s="6" t="s">
        <v>87</v>
      </c>
      <c r="E21" s="6" t="s">
        <v>88</v>
      </c>
      <c r="F21" s="6" t="s">
        <v>89</v>
      </c>
      <c r="G21" s="6" t="s">
        <v>90</v>
      </c>
      <c r="H21" s="7"/>
      <c r="I21" s="7"/>
      <c r="J21" s="7"/>
      <c r="K21" s="7"/>
      <c r="L21" s="13"/>
      <c r="M21" s="63" t="e">
        <f>표1[[#This Row],[Accumulated load-unload cycles:]]/표1[[#This Row],[Specified load-unload count over device lifetime:]]</f>
        <v>#DIV/0!</v>
      </c>
      <c r="N21" s="1" t="e">
        <f>IF(표1[[#This Row],[사용량]]&lt;=60%, "양호", IF(표1[[#This Row],[사용량]]&lt;=70%, "교체 권고", IF(표1[[#This Row],[사용량]]&lt;=80%, "교체", "긴급 교체")))</f>
        <v>#DIV/0!</v>
      </c>
    </row>
    <row r="22" spans="1:14" ht="20" customHeight="1">
      <c r="A22" s="11" t="s">
        <v>85</v>
      </c>
      <c r="B22" s="5" t="s">
        <v>71</v>
      </c>
      <c r="C22" s="6" t="s">
        <v>21</v>
      </c>
      <c r="D22" s="6" t="s">
        <v>86</v>
      </c>
      <c r="E22" s="6" t="s">
        <v>82</v>
      </c>
      <c r="F22" s="6" t="s">
        <v>16</v>
      </c>
      <c r="G22" s="6" t="s">
        <v>17</v>
      </c>
      <c r="H22" s="6" t="s">
        <v>24</v>
      </c>
      <c r="I22" s="8">
        <v>300000</v>
      </c>
      <c r="J22" s="8">
        <v>527641</v>
      </c>
      <c r="K22" s="9">
        <v>52123.08</v>
      </c>
      <c r="L22" s="13"/>
      <c r="M22" s="63">
        <f>표1[[#This Row],[Accumulated load-unload cycles:]]/표1[[#This Row],[Specified load-unload count over device lifetime:]]</f>
        <v>1.7588033333333333</v>
      </c>
      <c r="N22" s="1" t="str">
        <f>IF(표1[[#This Row],[사용량]]&lt;=60%, "양호", IF(표1[[#This Row],[사용량]]&lt;=70%, "교체 권고", IF(표1[[#This Row],[사용량]]&lt;=80%, "교체", "긴급 교체")))</f>
        <v>긴급 교체</v>
      </c>
    </row>
    <row r="23" spans="1:14" ht="20" customHeight="1">
      <c r="A23" s="11" t="s">
        <v>85</v>
      </c>
      <c r="B23" s="5" t="s">
        <v>76</v>
      </c>
      <c r="C23" s="6" t="s">
        <v>21</v>
      </c>
      <c r="D23" s="6" t="s">
        <v>86</v>
      </c>
      <c r="E23" s="6" t="s">
        <v>82</v>
      </c>
      <c r="F23" s="6" t="s">
        <v>16</v>
      </c>
      <c r="G23" s="6" t="s">
        <v>17</v>
      </c>
      <c r="H23" s="6" t="s">
        <v>24</v>
      </c>
      <c r="I23" s="8">
        <v>300000</v>
      </c>
      <c r="J23" s="8">
        <v>523483</v>
      </c>
      <c r="K23" s="9">
        <v>52122.77</v>
      </c>
      <c r="L23" s="13"/>
      <c r="M23" s="63">
        <f>표1[[#This Row],[Accumulated load-unload cycles:]]/표1[[#This Row],[Specified load-unload count over device lifetime:]]</f>
        <v>1.7449433333333333</v>
      </c>
      <c r="N23" s="1" t="str">
        <f>IF(표1[[#This Row],[사용량]]&lt;=60%, "양호", IF(표1[[#This Row],[사용량]]&lt;=70%, "교체 권고", IF(표1[[#This Row],[사용량]]&lt;=80%, "교체", "긴급 교체")))</f>
        <v>긴급 교체</v>
      </c>
    </row>
    <row r="24" spans="1:14" ht="20" customHeight="1">
      <c r="A24" s="11" t="s">
        <v>85</v>
      </c>
      <c r="B24" s="5" t="s">
        <v>74</v>
      </c>
      <c r="C24" s="6" t="s">
        <v>21</v>
      </c>
      <c r="D24" s="6" t="s">
        <v>86</v>
      </c>
      <c r="E24" s="6" t="s">
        <v>82</v>
      </c>
      <c r="F24" s="6" t="s">
        <v>16</v>
      </c>
      <c r="G24" s="6" t="s">
        <v>17</v>
      </c>
      <c r="H24" s="6" t="s">
        <v>24</v>
      </c>
      <c r="I24" s="8">
        <v>300000</v>
      </c>
      <c r="J24" s="8">
        <v>521087</v>
      </c>
      <c r="K24" s="9">
        <v>52123.199999999997</v>
      </c>
      <c r="L24" s="13"/>
      <c r="M24" s="63">
        <f>표1[[#This Row],[Accumulated load-unload cycles:]]/표1[[#This Row],[Specified load-unload count over device lifetime:]]</f>
        <v>1.7369566666666667</v>
      </c>
      <c r="N24" s="1" t="str">
        <f>IF(표1[[#This Row],[사용량]]&lt;=60%, "양호", IF(표1[[#This Row],[사용량]]&lt;=70%, "교체 권고", IF(표1[[#This Row],[사용량]]&lt;=80%, "교체", "긴급 교체")))</f>
        <v>긴급 교체</v>
      </c>
    </row>
    <row r="25" spans="1:14" ht="20" customHeight="1">
      <c r="A25" s="11" t="s">
        <v>85</v>
      </c>
      <c r="B25" s="5" t="s">
        <v>13</v>
      </c>
      <c r="C25" s="6" t="s">
        <v>21</v>
      </c>
      <c r="D25" s="6" t="s">
        <v>86</v>
      </c>
      <c r="E25" s="6" t="s">
        <v>82</v>
      </c>
      <c r="F25" s="6" t="s">
        <v>16</v>
      </c>
      <c r="G25" s="6" t="s">
        <v>17</v>
      </c>
      <c r="H25" s="6" t="s">
        <v>24</v>
      </c>
      <c r="I25" s="8">
        <v>300000</v>
      </c>
      <c r="J25" s="8">
        <v>517785</v>
      </c>
      <c r="K25" s="9">
        <v>52123</v>
      </c>
      <c r="L25" s="13"/>
      <c r="M25" s="63">
        <f>표1[[#This Row],[Accumulated load-unload cycles:]]/표1[[#This Row],[Specified load-unload count over device lifetime:]]</f>
        <v>1.7259500000000001</v>
      </c>
      <c r="N25" s="1" t="str">
        <f>IF(표1[[#This Row],[사용량]]&lt;=60%, "양호", IF(표1[[#This Row],[사용량]]&lt;=70%, "교체 권고", IF(표1[[#This Row],[사용량]]&lt;=80%, "교체", "긴급 교체")))</f>
        <v>긴급 교체</v>
      </c>
    </row>
    <row r="26" spans="1:14" ht="20" customHeight="1">
      <c r="A26" s="11" t="s">
        <v>85</v>
      </c>
      <c r="B26" s="5" t="s">
        <v>73</v>
      </c>
      <c r="C26" s="6" t="s">
        <v>21</v>
      </c>
      <c r="D26" s="6" t="s">
        <v>86</v>
      </c>
      <c r="E26" s="6" t="s">
        <v>82</v>
      </c>
      <c r="F26" s="6" t="s">
        <v>16</v>
      </c>
      <c r="G26" s="6" t="s">
        <v>17</v>
      </c>
      <c r="H26" s="6" t="s">
        <v>24</v>
      </c>
      <c r="I26" s="8">
        <v>300000</v>
      </c>
      <c r="J26" s="8">
        <v>516635</v>
      </c>
      <c r="K26" s="9">
        <v>52122.67</v>
      </c>
      <c r="L26" s="13"/>
      <c r="M26" s="63">
        <f>표1[[#This Row],[Accumulated load-unload cycles:]]/표1[[#This Row],[Specified load-unload count over device lifetime:]]</f>
        <v>1.7221166666666667</v>
      </c>
      <c r="N26" s="1" t="str">
        <f>IF(표1[[#This Row],[사용량]]&lt;=60%, "양호", IF(표1[[#This Row],[사용량]]&lt;=70%, "교체 권고", IF(표1[[#This Row],[사용량]]&lt;=80%, "교체", "긴급 교체")))</f>
        <v>긴급 교체</v>
      </c>
    </row>
    <row r="27" spans="1:14" ht="20" customHeight="1">
      <c r="A27" s="11" t="s">
        <v>85</v>
      </c>
      <c r="B27" s="5" t="s">
        <v>18</v>
      </c>
      <c r="C27" s="6" t="s">
        <v>21</v>
      </c>
      <c r="D27" s="6" t="s">
        <v>86</v>
      </c>
      <c r="E27" s="6" t="s">
        <v>82</v>
      </c>
      <c r="F27" s="6" t="s">
        <v>16</v>
      </c>
      <c r="G27" s="6" t="s">
        <v>17</v>
      </c>
      <c r="H27" s="6" t="s">
        <v>24</v>
      </c>
      <c r="I27" s="8">
        <v>300000</v>
      </c>
      <c r="J27" s="8">
        <v>514738</v>
      </c>
      <c r="K27" s="9">
        <v>52122.65</v>
      </c>
      <c r="L27" s="13"/>
      <c r="M27" s="63">
        <f>표1[[#This Row],[Accumulated load-unload cycles:]]/표1[[#This Row],[Specified load-unload count over device lifetime:]]</f>
        <v>1.7157933333333333</v>
      </c>
      <c r="N27" s="1" t="str">
        <f>IF(표1[[#This Row],[사용량]]&lt;=60%, "양호", IF(표1[[#This Row],[사용량]]&lt;=70%, "교체 권고", IF(표1[[#This Row],[사용량]]&lt;=80%, "교체", "긴급 교체")))</f>
        <v>긴급 교체</v>
      </c>
    </row>
    <row r="28" spans="1:14" ht="20" customHeight="1">
      <c r="A28" s="11" t="s">
        <v>85</v>
      </c>
      <c r="B28" s="5" t="s">
        <v>75</v>
      </c>
      <c r="C28" s="6" t="s">
        <v>21</v>
      </c>
      <c r="D28" s="6" t="s">
        <v>86</v>
      </c>
      <c r="E28" s="6" t="s">
        <v>82</v>
      </c>
      <c r="F28" s="6" t="s">
        <v>16</v>
      </c>
      <c r="G28" s="6" t="s">
        <v>17</v>
      </c>
      <c r="H28" s="6" t="s">
        <v>24</v>
      </c>
      <c r="I28" s="8">
        <v>300000</v>
      </c>
      <c r="J28" s="8">
        <v>514214</v>
      </c>
      <c r="K28" s="9">
        <v>52122.97</v>
      </c>
      <c r="L28" s="13"/>
      <c r="M28" s="63">
        <f>표1[[#This Row],[Accumulated load-unload cycles:]]/표1[[#This Row],[Specified load-unload count over device lifetime:]]</f>
        <v>1.7140466666666667</v>
      </c>
      <c r="N28" s="1" t="str">
        <f>IF(표1[[#This Row],[사용량]]&lt;=60%, "양호", IF(표1[[#This Row],[사용량]]&lt;=70%, "교체 권고", IF(표1[[#This Row],[사용량]]&lt;=80%, "교체", "긴급 교체")))</f>
        <v>긴급 교체</v>
      </c>
    </row>
    <row r="29" spans="1:14" ht="20" customHeight="1">
      <c r="A29" s="11" t="s">
        <v>85</v>
      </c>
      <c r="B29" s="5" t="s">
        <v>20</v>
      </c>
      <c r="C29" s="6" t="s">
        <v>21</v>
      </c>
      <c r="D29" s="6" t="s">
        <v>91</v>
      </c>
      <c r="E29" s="6" t="s">
        <v>82</v>
      </c>
      <c r="F29" s="6" t="s">
        <v>16</v>
      </c>
      <c r="G29" s="6" t="s">
        <v>17</v>
      </c>
      <c r="H29" s="6" t="s">
        <v>24</v>
      </c>
      <c r="I29" s="8">
        <v>600000</v>
      </c>
      <c r="J29" s="8">
        <v>11304</v>
      </c>
      <c r="K29" s="9">
        <v>1831.2</v>
      </c>
      <c r="L29" s="13"/>
      <c r="M29" s="63">
        <f>표1[[#This Row],[Accumulated load-unload cycles:]]/표1[[#This Row],[Specified load-unload count over device lifetime:]]</f>
        <v>1.8839999999999999E-2</v>
      </c>
      <c r="N29" s="1" t="str">
        <f>IF(표1[[#This Row],[사용량]]&lt;=60%, "양호", IF(표1[[#This Row],[사용량]]&lt;=70%, "교체 권고", IF(표1[[#This Row],[사용량]]&lt;=80%, "교체", "긴급 교체")))</f>
        <v>양호</v>
      </c>
    </row>
    <row r="30" spans="1:14" ht="20" customHeight="1">
      <c r="A30" s="11" t="s">
        <v>101</v>
      </c>
      <c r="B30" s="5" t="s">
        <v>102</v>
      </c>
      <c r="C30" s="8"/>
      <c r="D30" s="6" t="s">
        <v>87</v>
      </c>
      <c r="E30" s="6" t="s">
        <v>88</v>
      </c>
      <c r="F30" s="6" t="s">
        <v>89</v>
      </c>
      <c r="G30" s="6" t="s">
        <v>90</v>
      </c>
      <c r="H30" s="7"/>
      <c r="I30" s="7"/>
      <c r="J30" s="7"/>
      <c r="K30" s="7"/>
      <c r="L30" s="13"/>
      <c r="M30" s="63" t="e">
        <f>표1[[#This Row],[Accumulated load-unload cycles:]]/표1[[#This Row],[Specified load-unload count over device lifetime:]]</f>
        <v>#DIV/0!</v>
      </c>
      <c r="N30" s="1" t="e">
        <f>IF(표1[[#This Row],[사용량]]&lt;=60%, "양호", IF(표1[[#This Row],[사용량]]&lt;=70%, "교체 권고", IF(표1[[#This Row],[사용량]]&lt;=80%, "교체", "긴급 교체")))</f>
        <v>#DIV/0!</v>
      </c>
    </row>
    <row r="31" spans="1:14" ht="20" customHeight="1">
      <c r="A31" s="11" t="s">
        <v>101</v>
      </c>
      <c r="B31" s="5" t="s">
        <v>73</v>
      </c>
      <c r="C31" s="8"/>
      <c r="D31" s="6" t="s">
        <v>87</v>
      </c>
      <c r="E31" s="6" t="s">
        <v>88</v>
      </c>
      <c r="F31" s="6" t="s">
        <v>89</v>
      </c>
      <c r="G31" s="6" t="s">
        <v>90</v>
      </c>
      <c r="H31" s="7"/>
      <c r="I31" s="7"/>
      <c r="J31" s="7"/>
      <c r="K31" s="7"/>
      <c r="L31" s="13"/>
      <c r="M31" s="63" t="e">
        <f>표1[[#This Row],[Accumulated load-unload cycles:]]/표1[[#This Row],[Specified load-unload count over device lifetime:]]</f>
        <v>#DIV/0!</v>
      </c>
      <c r="N31" s="1" t="e">
        <f>IF(표1[[#This Row],[사용량]]&lt;=60%, "양호", IF(표1[[#This Row],[사용량]]&lt;=70%, "교체 권고", IF(표1[[#This Row],[사용량]]&lt;=80%, "교체", "긴급 교체")))</f>
        <v>#DIV/0!</v>
      </c>
    </row>
    <row r="32" spans="1:14" ht="20" customHeight="1">
      <c r="A32" s="11" t="s">
        <v>101</v>
      </c>
      <c r="B32" s="5" t="s">
        <v>78</v>
      </c>
      <c r="C32" s="6" t="s">
        <v>21</v>
      </c>
      <c r="D32" s="6" t="s">
        <v>86</v>
      </c>
      <c r="E32" s="6" t="s">
        <v>82</v>
      </c>
      <c r="F32" s="6" t="s">
        <v>16</v>
      </c>
      <c r="G32" s="6" t="s">
        <v>17</v>
      </c>
      <c r="H32" s="6" t="s">
        <v>24</v>
      </c>
      <c r="I32" s="8">
        <v>300000</v>
      </c>
      <c r="J32" s="8">
        <v>548620</v>
      </c>
      <c r="K32" s="9">
        <v>52098.720000000001</v>
      </c>
      <c r="L32" s="13"/>
      <c r="M32" s="63">
        <f>표1[[#This Row],[Accumulated load-unload cycles:]]/표1[[#This Row],[Specified load-unload count over device lifetime:]]</f>
        <v>1.8287333333333333</v>
      </c>
      <c r="N32" s="1" t="str">
        <f>IF(표1[[#This Row],[사용량]]&lt;=60%, "양호", IF(표1[[#This Row],[사용량]]&lt;=70%, "교체 권고", IF(표1[[#This Row],[사용량]]&lt;=80%, "교체", "긴급 교체")))</f>
        <v>긴급 교체</v>
      </c>
    </row>
    <row r="33" spans="1:14" ht="20" customHeight="1">
      <c r="A33" s="11" t="s">
        <v>101</v>
      </c>
      <c r="B33" s="5" t="s">
        <v>18</v>
      </c>
      <c r="C33" s="6" t="s">
        <v>21</v>
      </c>
      <c r="D33" s="6" t="s">
        <v>86</v>
      </c>
      <c r="E33" s="6" t="s">
        <v>82</v>
      </c>
      <c r="F33" s="6" t="s">
        <v>16</v>
      </c>
      <c r="G33" s="6" t="s">
        <v>17</v>
      </c>
      <c r="H33" s="6" t="s">
        <v>24</v>
      </c>
      <c r="I33" s="8">
        <v>300000</v>
      </c>
      <c r="J33" s="8">
        <v>547197</v>
      </c>
      <c r="K33" s="9">
        <v>52098.58</v>
      </c>
      <c r="L33" s="13"/>
      <c r="M33" s="63">
        <f>표1[[#This Row],[Accumulated load-unload cycles:]]/표1[[#This Row],[Specified load-unload count over device lifetime:]]</f>
        <v>1.82399</v>
      </c>
      <c r="N33" s="1" t="str">
        <f>IF(표1[[#This Row],[사용량]]&lt;=60%, "양호", IF(표1[[#This Row],[사용량]]&lt;=70%, "교체 권고", IF(표1[[#This Row],[사용량]]&lt;=80%, "교체", "긴급 교체")))</f>
        <v>긴급 교체</v>
      </c>
    </row>
    <row r="34" spans="1:14" ht="20" customHeight="1">
      <c r="A34" s="11" t="s">
        <v>101</v>
      </c>
      <c r="B34" s="5" t="s">
        <v>75</v>
      </c>
      <c r="C34" s="6" t="s">
        <v>21</v>
      </c>
      <c r="D34" s="6" t="s">
        <v>86</v>
      </c>
      <c r="E34" s="6" t="s">
        <v>82</v>
      </c>
      <c r="F34" s="6" t="s">
        <v>16</v>
      </c>
      <c r="G34" s="6" t="s">
        <v>17</v>
      </c>
      <c r="H34" s="6" t="s">
        <v>24</v>
      </c>
      <c r="I34" s="8">
        <v>300000</v>
      </c>
      <c r="J34" s="8">
        <v>542514</v>
      </c>
      <c r="K34" s="9">
        <v>52099.53</v>
      </c>
      <c r="L34" s="13"/>
      <c r="M34" s="63">
        <f>표1[[#This Row],[Accumulated load-unload cycles:]]/표1[[#This Row],[Specified load-unload count over device lifetime:]]</f>
        <v>1.8083800000000001</v>
      </c>
      <c r="N34" s="1" t="str">
        <f>IF(표1[[#This Row],[사용량]]&lt;=60%, "양호", IF(표1[[#This Row],[사용량]]&lt;=70%, "교체 권고", IF(표1[[#This Row],[사용량]]&lt;=80%, "교체", "긴급 교체")))</f>
        <v>긴급 교체</v>
      </c>
    </row>
    <row r="35" spans="1:14" ht="20" customHeight="1">
      <c r="A35" s="11" t="s">
        <v>101</v>
      </c>
      <c r="B35" s="5" t="s">
        <v>71</v>
      </c>
      <c r="C35" s="6" t="s">
        <v>21</v>
      </c>
      <c r="D35" s="6" t="s">
        <v>86</v>
      </c>
      <c r="E35" s="6" t="s">
        <v>82</v>
      </c>
      <c r="F35" s="6" t="s">
        <v>16</v>
      </c>
      <c r="G35" s="6" t="s">
        <v>17</v>
      </c>
      <c r="H35" s="6" t="s">
        <v>24</v>
      </c>
      <c r="I35" s="8">
        <v>300000</v>
      </c>
      <c r="J35" s="8">
        <v>541544</v>
      </c>
      <c r="K35" s="9">
        <v>52099.15</v>
      </c>
      <c r="L35" s="13"/>
      <c r="M35" s="63">
        <f>표1[[#This Row],[Accumulated load-unload cycles:]]/표1[[#This Row],[Specified load-unload count over device lifetime:]]</f>
        <v>1.8051466666666667</v>
      </c>
      <c r="N35" s="1" t="str">
        <f>IF(표1[[#This Row],[사용량]]&lt;=60%, "양호", IF(표1[[#This Row],[사용량]]&lt;=70%, "교체 권고", IF(표1[[#This Row],[사용량]]&lt;=80%, "교체", "긴급 교체")))</f>
        <v>긴급 교체</v>
      </c>
    </row>
    <row r="36" spans="1:14" ht="20" customHeight="1">
      <c r="A36" s="11" t="s">
        <v>101</v>
      </c>
      <c r="B36" s="5" t="s">
        <v>13</v>
      </c>
      <c r="C36" s="6" t="s">
        <v>21</v>
      </c>
      <c r="D36" s="6" t="s">
        <v>86</v>
      </c>
      <c r="E36" s="6" t="s">
        <v>82</v>
      </c>
      <c r="F36" s="6" t="s">
        <v>16</v>
      </c>
      <c r="G36" s="6" t="s">
        <v>17</v>
      </c>
      <c r="H36" s="6" t="s">
        <v>24</v>
      </c>
      <c r="I36" s="8">
        <v>300000</v>
      </c>
      <c r="J36" s="8">
        <v>540128</v>
      </c>
      <c r="K36" s="9">
        <v>52098.77</v>
      </c>
      <c r="L36" s="13"/>
      <c r="M36" s="63">
        <f>표1[[#This Row],[Accumulated load-unload cycles:]]/표1[[#This Row],[Specified load-unload count over device lifetime:]]</f>
        <v>1.8004266666666666</v>
      </c>
      <c r="N36" s="1" t="str">
        <f>IF(표1[[#This Row],[사용량]]&lt;=60%, "양호", IF(표1[[#This Row],[사용량]]&lt;=70%, "교체 권고", IF(표1[[#This Row],[사용량]]&lt;=80%, "교체", "긴급 교체")))</f>
        <v>긴급 교체</v>
      </c>
    </row>
    <row r="37" spans="1:14" ht="20" customHeight="1">
      <c r="A37" s="11" t="s">
        <v>101</v>
      </c>
      <c r="B37" s="5" t="s">
        <v>77</v>
      </c>
      <c r="C37" s="6" t="s">
        <v>21</v>
      </c>
      <c r="D37" s="6" t="s">
        <v>86</v>
      </c>
      <c r="E37" s="6" t="s">
        <v>82</v>
      </c>
      <c r="F37" s="6" t="s">
        <v>16</v>
      </c>
      <c r="G37" s="6" t="s">
        <v>17</v>
      </c>
      <c r="H37" s="6" t="s">
        <v>24</v>
      </c>
      <c r="I37" s="8">
        <v>300000</v>
      </c>
      <c r="J37" s="8">
        <v>539010</v>
      </c>
      <c r="K37" s="9">
        <v>52099.57</v>
      </c>
      <c r="L37" s="13"/>
      <c r="M37" s="63">
        <f>표1[[#This Row],[Accumulated load-unload cycles:]]/표1[[#This Row],[Specified load-unload count over device lifetime:]]</f>
        <v>1.7967</v>
      </c>
      <c r="N37" s="1" t="str">
        <f>IF(표1[[#This Row],[사용량]]&lt;=60%, "양호", IF(표1[[#This Row],[사용량]]&lt;=70%, "교체 권고", IF(표1[[#This Row],[사용량]]&lt;=80%, "교체", "긴급 교체")))</f>
        <v>긴급 교체</v>
      </c>
    </row>
    <row r="38" spans="1:14" ht="20" customHeight="1">
      <c r="A38" s="11" t="s">
        <v>101</v>
      </c>
      <c r="B38" s="5" t="s">
        <v>93</v>
      </c>
      <c r="C38" s="6" t="s">
        <v>21</v>
      </c>
      <c r="D38" s="6" t="s">
        <v>86</v>
      </c>
      <c r="E38" s="6" t="s">
        <v>82</v>
      </c>
      <c r="F38" s="6" t="s">
        <v>16</v>
      </c>
      <c r="G38" s="6" t="s">
        <v>17</v>
      </c>
      <c r="H38" s="6" t="s">
        <v>24</v>
      </c>
      <c r="I38" s="8">
        <v>300000</v>
      </c>
      <c r="J38" s="8">
        <v>534432</v>
      </c>
      <c r="K38" s="9">
        <v>52099.83</v>
      </c>
      <c r="L38" s="13"/>
      <c r="M38" s="63">
        <f>표1[[#This Row],[Accumulated load-unload cycles:]]/표1[[#This Row],[Specified load-unload count over device lifetime:]]</f>
        <v>1.7814399999999999</v>
      </c>
      <c r="N38" s="1" t="str">
        <f>IF(표1[[#This Row],[사용량]]&lt;=60%, "양호", IF(표1[[#This Row],[사용량]]&lt;=70%, "교체 권고", IF(표1[[#This Row],[사용량]]&lt;=80%, "교체", "긴급 교체")))</f>
        <v>긴급 교체</v>
      </c>
    </row>
    <row r="39" spans="1:14" ht="20" customHeight="1">
      <c r="A39" s="11" t="s">
        <v>101</v>
      </c>
      <c r="B39" s="5" t="s">
        <v>76</v>
      </c>
      <c r="C39" s="6" t="s">
        <v>21</v>
      </c>
      <c r="D39" s="6" t="s">
        <v>86</v>
      </c>
      <c r="E39" s="6" t="s">
        <v>82</v>
      </c>
      <c r="F39" s="6" t="s">
        <v>16</v>
      </c>
      <c r="G39" s="6" t="s">
        <v>17</v>
      </c>
      <c r="H39" s="6" t="s">
        <v>24</v>
      </c>
      <c r="I39" s="8">
        <v>300000</v>
      </c>
      <c r="J39" s="8">
        <v>534179</v>
      </c>
      <c r="K39" s="9">
        <v>52098.57</v>
      </c>
      <c r="L39" s="13"/>
      <c r="M39" s="63">
        <f>표1[[#This Row],[Accumulated load-unload cycles:]]/표1[[#This Row],[Specified load-unload count over device lifetime:]]</f>
        <v>1.7805966666666666</v>
      </c>
      <c r="N39" s="1" t="str">
        <f>IF(표1[[#This Row],[사용량]]&lt;=60%, "양호", IF(표1[[#This Row],[사용량]]&lt;=70%, "교체 권고", IF(표1[[#This Row],[사용량]]&lt;=80%, "교체", "긴급 교체")))</f>
        <v>긴급 교체</v>
      </c>
    </row>
    <row r="40" spans="1:14" ht="20" customHeight="1">
      <c r="A40" s="11" t="s">
        <v>103</v>
      </c>
      <c r="B40" s="5" t="s">
        <v>73</v>
      </c>
      <c r="C40" s="8"/>
      <c r="D40" s="6" t="s">
        <v>87</v>
      </c>
      <c r="E40" s="6" t="s">
        <v>88</v>
      </c>
      <c r="F40" s="6" t="s">
        <v>89</v>
      </c>
      <c r="G40" s="6" t="s">
        <v>90</v>
      </c>
      <c r="H40" s="7"/>
      <c r="I40" s="7"/>
      <c r="J40" s="7"/>
      <c r="K40" s="7"/>
      <c r="L40" s="13"/>
      <c r="M40" s="63" t="e">
        <f>표1[[#This Row],[Accumulated load-unload cycles:]]/표1[[#This Row],[Specified load-unload count over device lifetime:]]</f>
        <v>#DIV/0!</v>
      </c>
      <c r="N40" s="1" t="e">
        <f>IF(표1[[#This Row],[사용량]]&lt;=60%, "양호", IF(표1[[#This Row],[사용량]]&lt;=70%, "교체 권고", IF(표1[[#This Row],[사용량]]&lt;=80%, "교체", "긴급 교체")))</f>
        <v>#DIV/0!</v>
      </c>
    </row>
    <row r="41" spans="1:14" ht="20" customHeight="1">
      <c r="A41" s="11" t="s">
        <v>103</v>
      </c>
      <c r="B41" s="5" t="s">
        <v>74</v>
      </c>
      <c r="C41" s="8"/>
      <c r="D41" s="6" t="s">
        <v>87</v>
      </c>
      <c r="E41" s="6" t="s">
        <v>88</v>
      </c>
      <c r="F41" s="6" t="s">
        <v>89</v>
      </c>
      <c r="G41" s="6" t="s">
        <v>90</v>
      </c>
      <c r="H41" s="7"/>
      <c r="I41" s="7"/>
      <c r="J41" s="7"/>
      <c r="K41" s="7"/>
      <c r="L41" s="13"/>
      <c r="M41" s="63" t="e">
        <f>표1[[#This Row],[Accumulated load-unload cycles:]]/표1[[#This Row],[Specified load-unload count over device lifetime:]]</f>
        <v>#DIV/0!</v>
      </c>
      <c r="N41" s="1" t="e">
        <f>IF(표1[[#This Row],[사용량]]&lt;=60%, "양호", IF(표1[[#This Row],[사용량]]&lt;=70%, "교체 권고", IF(표1[[#This Row],[사용량]]&lt;=80%, "교체", "긴급 교체")))</f>
        <v>#DIV/0!</v>
      </c>
    </row>
    <row r="42" spans="1:14" ht="20" customHeight="1">
      <c r="A42" s="11" t="s">
        <v>103</v>
      </c>
      <c r="B42" s="5" t="s">
        <v>13</v>
      </c>
      <c r="C42" s="6" t="s">
        <v>21</v>
      </c>
      <c r="D42" s="6" t="s">
        <v>86</v>
      </c>
      <c r="E42" s="6" t="s">
        <v>82</v>
      </c>
      <c r="F42" s="6" t="s">
        <v>16</v>
      </c>
      <c r="G42" s="6" t="s">
        <v>17</v>
      </c>
      <c r="H42" s="6" t="s">
        <v>24</v>
      </c>
      <c r="I42" s="8">
        <v>300000</v>
      </c>
      <c r="J42" s="8">
        <v>322471</v>
      </c>
      <c r="K42" s="9">
        <v>52159.28</v>
      </c>
      <c r="L42" s="13"/>
      <c r="M42" s="63">
        <f>표1[[#This Row],[Accumulated load-unload cycles:]]/표1[[#This Row],[Specified load-unload count over device lifetime:]]</f>
        <v>1.0749033333333333</v>
      </c>
      <c r="N42" s="1" t="str">
        <f>IF(표1[[#This Row],[사용량]]&lt;=60%, "양호", IF(표1[[#This Row],[사용량]]&lt;=70%, "교체 권고", IF(표1[[#This Row],[사용량]]&lt;=80%, "교체", "긴급 교체")))</f>
        <v>긴급 교체</v>
      </c>
    </row>
    <row r="43" spans="1:14" ht="20" customHeight="1">
      <c r="A43" s="11" t="s">
        <v>103</v>
      </c>
      <c r="B43" s="5" t="s">
        <v>76</v>
      </c>
      <c r="C43" s="6" t="s">
        <v>21</v>
      </c>
      <c r="D43" s="6" t="s">
        <v>86</v>
      </c>
      <c r="E43" s="6" t="s">
        <v>82</v>
      </c>
      <c r="F43" s="6" t="s">
        <v>16</v>
      </c>
      <c r="G43" s="6" t="s">
        <v>17</v>
      </c>
      <c r="H43" s="6" t="s">
        <v>24</v>
      </c>
      <c r="I43" s="8">
        <v>300000</v>
      </c>
      <c r="J43" s="8">
        <v>313978</v>
      </c>
      <c r="K43" s="9">
        <v>52159.42</v>
      </c>
      <c r="L43" s="13"/>
      <c r="M43" s="63">
        <f>표1[[#This Row],[Accumulated load-unload cycles:]]/표1[[#This Row],[Specified load-unload count over device lifetime:]]</f>
        <v>1.0465933333333333</v>
      </c>
      <c r="N43" s="1" t="str">
        <f>IF(표1[[#This Row],[사용량]]&lt;=60%, "양호", IF(표1[[#This Row],[사용량]]&lt;=70%, "교체 권고", IF(표1[[#This Row],[사용량]]&lt;=80%, "교체", "긴급 교체")))</f>
        <v>긴급 교체</v>
      </c>
    </row>
    <row r="44" spans="1:14" ht="20" customHeight="1">
      <c r="A44" s="11" t="s">
        <v>103</v>
      </c>
      <c r="B44" s="5" t="s">
        <v>75</v>
      </c>
      <c r="C44" s="6" t="s">
        <v>21</v>
      </c>
      <c r="D44" s="6" t="s">
        <v>86</v>
      </c>
      <c r="E44" s="6" t="s">
        <v>82</v>
      </c>
      <c r="F44" s="6" t="s">
        <v>16</v>
      </c>
      <c r="G44" s="6" t="s">
        <v>17</v>
      </c>
      <c r="H44" s="6" t="s">
        <v>24</v>
      </c>
      <c r="I44" s="8">
        <v>300000</v>
      </c>
      <c r="J44" s="8">
        <v>307459</v>
      </c>
      <c r="K44" s="9">
        <v>52159.18</v>
      </c>
      <c r="L44" s="13"/>
      <c r="M44" s="63">
        <f>표1[[#This Row],[Accumulated load-unload cycles:]]/표1[[#This Row],[Specified load-unload count over device lifetime:]]</f>
        <v>1.0248633333333332</v>
      </c>
      <c r="N44" s="1" t="str">
        <f>IF(표1[[#This Row],[사용량]]&lt;=60%, "양호", IF(표1[[#This Row],[사용량]]&lt;=70%, "교체 권고", IF(표1[[#This Row],[사용량]]&lt;=80%, "교체", "긴급 교체")))</f>
        <v>긴급 교체</v>
      </c>
    </row>
    <row r="45" spans="1:14" ht="20" customHeight="1">
      <c r="A45" s="11" t="s">
        <v>103</v>
      </c>
      <c r="B45" s="5" t="s">
        <v>18</v>
      </c>
      <c r="C45" s="6" t="s">
        <v>21</v>
      </c>
      <c r="D45" s="6" t="s">
        <v>86</v>
      </c>
      <c r="E45" s="6" t="s">
        <v>82</v>
      </c>
      <c r="F45" s="6" t="s">
        <v>16</v>
      </c>
      <c r="G45" s="6" t="s">
        <v>17</v>
      </c>
      <c r="H45" s="6" t="s">
        <v>24</v>
      </c>
      <c r="I45" s="8">
        <v>300000</v>
      </c>
      <c r="J45" s="8">
        <v>305222</v>
      </c>
      <c r="K45" s="9">
        <v>52159.43</v>
      </c>
      <c r="L45" s="13"/>
      <c r="M45" s="63">
        <f>표1[[#This Row],[Accumulated load-unload cycles:]]/표1[[#This Row],[Specified load-unload count over device lifetime:]]</f>
        <v>1.0174066666666666</v>
      </c>
      <c r="N45" s="1" t="str">
        <f>IF(표1[[#This Row],[사용량]]&lt;=60%, "양호", IF(표1[[#This Row],[사용량]]&lt;=70%, "교체 권고", IF(표1[[#This Row],[사용량]]&lt;=80%, "교체", "긴급 교체")))</f>
        <v>긴급 교체</v>
      </c>
    </row>
    <row r="46" spans="1:14" ht="20" customHeight="1">
      <c r="A46" s="11" t="s">
        <v>103</v>
      </c>
      <c r="B46" s="5" t="s">
        <v>93</v>
      </c>
      <c r="C46" s="6" t="s">
        <v>21</v>
      </c>
      <c r="D46" s="6" t="s">
        <v>86</v>
      </c>
      <c r="E46" s="6" t="s">
        <v>82</v>
      </c>
      <c r="F46" s="6" t="s">
        <v>16</v>
      </c>
      <c r="G46" s="6" t="s">
        <v>17</v>
      </c>
      <c r="H46" s="6" t="s">
        <v>24</v>
      </c>
      <c r="I46" s="8">
        <v>300000</v>
      </c>
      <c r="J46" s="8">
        <v>292025</v>
      </c>
      <c r="K46" s="9">
        <v>52159.53</v>
      </c>
      <c r="L46" s="13"/>
      <c r="M46" s="63">
        <f>표1[[#This Row],[Accumulated load-unload cycles:]]/표1[[#This Row],[Specified load-unload count over device lifetime:]]</f>
        <v>0.97341666666666671</v>
      </c>
      <c r="N46" s="1" t="str">
        <f>IF(표1[[#This Row],[사용량]]&lt;=60%, "양호", IF(표1[[#This Row],[사용량]]&lt;=70%, "교체 권고", IF(표1[[#This Row],[사용량]]&lt;=80%, "교체", "긴급 교체")))</f>
        <v>긴급 교체</v>
      </c>
    </row>
    <row r="47" spans="1:14" ht="20" customHeight="1">
      <c r="A47" s="11" t="s">
        <v>103</v>
      </c>
      <c r="B47" s="5" t="s">
        <v>77</v>
      </c>
      <c r="C47" s="6" t="s">
        <v>21</v>
      </c>
      <c r="D47" s="6" t="s">
        <v>86</v>
      </c>
      <c r="E47" s="6" t="s">
        <v>82</v>
      </c>
      <c r="F47" s="6" t="s">
        <v>16</v>
      </c>
      <c r="G47" s="6" t="s">
        <v>17</v>
      </c>
      <c r="H47" s="6" t="s">
        <v>24</v>
      </c>
      <c r="I47" s="8">
        <v>300000</v>
      </c>
      <c r="J47" s="8">
        <v>265293</v>
      </c>
      <c r="K47" s="9">
        <v>52159.53</v>
      </c>
      <c r="L47" s="13"/>
      <c r="M47" s="63">
        <f>표1[[#This Row],[Accumulated load-unload cycles:]]/표1[[#This Row],[Specified load-unload count over device lifetime:]]</f>
        <v>0.88431000000000004</v>
      </c>
      <c r="N47" s="1" t="str">
        <f>IF(표1[[#This Row],[사용량]]&lt;=60%, "양호", IF(표1[[#This Row],[사용량]]&lt;=70%, "교체 권고", IF(표1[[#This Row],[사용량]]&lt;=80%, "교체", "긴급 교체")))</f>
        <v>긴급 교체</v>
      </c>
    </row>
    <row r="48" spans="1:14" ht="20" customHeight="1">
      <c r="A48" s="11" t="s">
        <v>103</v>
      </c>
      <c r="B48" s="5" t="s">
        <v>78</v>
      </c>
      <c r="C48" s="6" t="s">
        <v>21</v>
      </c>
      <c r="D48" s="6" t="s">
        <v>86</v>
      </c>
      <c r="E48" s="6" t="s">
        <v>82</v>
      </c>
      <c r="F48" s="6" t="s">
        <v>16</v>
      </c>
      <c r="G48" s="6" t="s">
        <v>17</v>
      </c>
      <c r="H48" s="6" t="s">
        <v>24</v>
      </c>
      <c r="I48" s="8">
        <v>300000</v>
      </c>
      <c r="J48" s="8">
        <v>263945</v>
      </c>
      <c r="K48" s="9">
        <v>52159.37</v>
      </c>
      <c r="L48" s="13"/>
      <c r="M48" s="63">
        <f>표1[[#This Row],[Accumulated load-unload cycles:]]/표1[[#This Row],[Specified load-unload count over device lifetime:]]</f>
        <v>0.87981666666666669</v>
      </c>
      <c r="N48" s="1" t="str">
        <f>IF(표1[[#This Row],[사용량]]&lt;=60%, "양호", IF(표1[[#This Row],[사용량]]&lt;=70%, "교체 권고", IF(표1[[#This Row],[사용량]]&lt;=80%, "교체", "긴급 교체")))</f>
        <v>긴급 교체</v>
      </c>
    </row>
    <row r="49" spans="1:14" ht="20" customHeight="1">
      <c r="A49" s="11" t="s">
        <v>103</v>
      </c>
      <c r="B49" s="5" t="s">
        <v>71</v>
      </c>
      <c r="C49" s="6" t="s">
        <v>21</v>
      </c>
      <c r="D49" s="6" t="s">
        <v>86</v>
      </c>
      <c r="E49" s="6" t="s">
        <v>82</v>
      </c>
      <c r="F49" s="6" t="s">
        <v>16</v>
      </c>
      <c r="G49" s="6" t="s">
        <v>17</v>
      </c>
      <c r="H49" s="6" t="s">
        <v>24</v>
      </c>
      <c r="I49" s="8">
        <v>300000</v>
      </c>
      <c r="J49" s="8">
        <v>248315</v>
      </c>
      <c r="K49" s="9">
        <v>52159.25</v>
      </c>
      <c r="L49" s="13"/>
      <c r="M49" s="63">
        <f>표1[[#This Row],[Accumulated load-unload cycles:]]/표1[[#This Row],[Specified load-unload count over device lifetime:]]</f>
        <v>0.82771666666666666</v>
      </c>
      <c r="N49" s="1" t="str">
        <f>IF(표1[[#This Row],[사용량]]&lt;=60%, "양호", IF(표1[[#This Row],[사용량]]&lt;=70%, "교체 권고", IF(표1[[#This Row],[사용량]]&lt;=80%, "교체", "긴급 교체")))</f>
        <v>긴급 교체</v>
      </c>
    </row>
    <row r="50" spans="1:14" ht="20" customHeight="1">
      <c r="A50" s="11" t="s">
        <v>104</v>
      </c>
      <c r="B50" s="5" t="s">
        <v>102</v>
      </c>
      <c r="C50" s="8"/>
      <c r="D50" s="6" t="s">
        <v>87</v>
      </c>
      <c r="E50" s="6" t="s">
        <v>88</v>
      </c>
      <c r="F50" s="6" t="s">
        <v>89</v>
      </c>
      <c r="G50" s="6" t="s">
        <v>90</v>
      </c>
      <c r="H50" s="7"/>
      <c r="I50" s="7"/>
      <c r="J50" s="7"/>
      <c r="K50" s="7"/>
      <c r="L50" s="13"/>
      <c r="M50" s="63" t="e">
        <f>표1[[#This Row],[Accumulated load-unload cycles:]]/표1[[#This Row],[Specified load-unload count over device lifetime:]]</f>
        <v>#DIV/0!</v>
      </c>
      <c r="N50" s="1" t="e">
        <f>IF(표1[[#This Row],[사용량]]&lt;=60%, "양호", IF(표1[[#This Row],[사용량]]&lt;=70%, "교체 권고", IF(표1[[#This Row],[사용량]]&lt;=80%, "교체", "긴급 교체")))</f>
        <v>#DIV/0!</v>
      </c>
    </row>
    <row r="51" spans="1:14" ht="20" customHeight="1">
      <c r="A51" s="11" t="s">
        <v>104</v>
      </c>
      <c r="B51" s="5" t="s">
        <v>73</v>
      </c>
      <c r="C51" s="8"/>
      <c r="D51" s="6" t="s">
        <v>87</v>
      </c>
      <c r="E51" s="6" t="s">
        <v>88</v>
      </c>
      <c r="F51" s="6" t="s">
        <v>89</v>
      </c>
      <c r="G51" s="6" t="s">
        <v>90</v>
      </c>
      <c r="H51" s="7"/>
      <c r="I51" s="7"/>
      <c r="J51" s="7"/>
      <c r="K51" s="7"/>
      <c r="L51" s="13"/>
      <c r="M51" s="63" t="e">
        <f>표1[[#This Row],[Accumulated load-unload cycles:]]/표1[[#This Row],[Specified load-unload count over device lifetime:]]</f>
        <v>#DIV/0!</v>
      </c>
      <c r="N51" s="1" t="e">
        <f>IF(표1[[#This Row],[사용량]]&lt;=60%, "양호", IF(표1[[#This Row],[사용량]]&lt;=70%, "교체 권고", IF(표1[[#This Row],[사용량]]&lt;=80%, "교체", "긴급 교체")))</f>
        <v>#DIV/0!</v>
      </c>
    </row>
    <row r="52" spans="1:14" ht="20" customHeight="1">
      <c r="A52" s="11" t="s">
        <v>104</v>
      </c>
      <c r="B52" s="5" t="s">
        <v>93</v>
      </c>
      <c r="C52" s="6" t="s">
        <v>21</v>
      </c>
      <c r="D52" s="6" t="s">
        <v>86</v>
      </c>
      <c r="E52" s="6" t="s">
        <v>82</v>
      </c>
      <c r="F52" s="6" t="s">
        <v>16</v>
      </c>
      <c r="G52" s="6" t="s">
        <v>17</v>
      </c>
      <c r="H52" s="6" t="s">
        <v>24</v>
      </c>
      <c r="I52" s="8">
        <v>300000</v>
      </c>
      <c r="J52" s="8">
        <v>519909</v>
      </c>
      <c r="K52" s="9">
        <v>52101.77</v>
      </c>
      <c r="L52" s="13"/>
      <c r="M52" s="63">
        <f>표1[[#This Row],[Accumulated load-unload cycles:]]/표1[[#This Row],[Specified load-unload count over device lifetime:]]</f>
        <v>1.7330300000000001</v>
      </c>
      <c r="N52" s="1" t="str">
        <f>IF(표1[[#This Row],[사용량]]&lt;=60%, "양호", IF(표1[[#This Row],[사용량]]&lt;=70%, "교체 권고", IF(표1[[#This Row],[사용량]]&lt;=80%, "교체", "긴급 교체")))</f>
        <v>긴급 교체</v>
      </c>
    </row>
    <row r="53" spans="1:14" ht="20" customHeight="1">
      <c r="A53" s="11" t="s">
        <v>104</v>
      </c>
      <c r="B53" s="5" t="s">
        <v>76</v>
      </c>
      <c r="C53" s="6" t="s">
        <v>21</v>
      </c>
      <c r="D53" s="6" t="s">
        <v>86</v>
      </c>
      <c r="E53" s="6" t="s">
        <v>82</v>
      </c>
      <c r="F53" s="6" t="s">
        <v>16</v>
      </c>
      <c r="G53" s="6" t="s">
        <v>17</v>
      </c>
      <c r="H53" s="6" t="s">
        <v>24</v>
      </c>
      <c r="I53" s="8">
        <v>300000</v>
      </c>
      <c r="J53" s="8">
        <v>513268</v>
      </c>
      <c r="K53" s="9">
        <v>52102.22</v>
      </c>
      <c r="L53" s="13"/>
      <c r="M53" s="63">
        <f>표1[[#This Row],[Accumulated load-unload cycles:]]/표1[[#This Row],[Specified load-unload count over device lifetime:]]</f>
        <v>1.7108933333333334</v>
      </c>
      <c r="N53" s="1" t="str">
        <f>IF(표1[[#This Row],[사용량]]&lt;=60%, "양호", IF(표1[[#This Row],[사용량]]&lt;=70%, "교체 권고", IF(표1[[#This Row],[사용량]]&lt;=80%, "교체", "긴급 교체")))</f>
        <v>긴급 교체</v>
      </c>
    </row>
    <row r="54" spans="1:14" ht="20" customHeight="1">
      <c r="A54" s="11" t="s">
        <v>104</v>
      </c>
      <c r="B54" s="5" t="s">
        <v>77</v>
      </c>
      <c r="C54" s="6" t="s">
        <v>21</v>
      </c>
      <c r="D54" s="6" t="s">
        <v>86</v>
      </c>
      <c r="E54" s="6" t="s">
        <v>82</v>
      </c>
      <c r="F54" s="6" t="s">
        <v>16</v>
      </c>
      <c r="G54" s="6" t="s">
        <v>17</v>
      </c>
      <c r="H54" s="6" t="s">
        <v>24</v>
      </c>
      <c r="I54" s="8">
        <v>300000</v>
      </c>
      <c r="J54" s="8">
        <v>510527</v>
      </c>
      <c r="K54" s="9">
        <v>52102.400000000001</v>
      </c>
      <c r="L54" s="13"/>
      <c r="M54" s="63">
        <f>표1[[#This Row],[Accumulated load-unload cycles:]]/표1[[#This Row],[Specified load-unload count over device lifetime:]]</f>
        <v>1.7017566666666666</v>
      </c>
      <c r="N54" s="1" t="str">
        <f>IF(표1[[#This Row],[사용량]]&lt;=60%, "양호", IF(표1[[#This Row],[사용량]]&lt;=70%, "교체 권고", IF(표1[[#This Row],[사용량]]&lt;=80%, "교체", "긴급 교체")))</f>
        <v>긴급 교체</v>
      </c>
    </row>
    <row r="55" spans="1:14" ht="20" customHeight="1">
      <c r="A55" s="11" t="s">
        <v>104</v>
      </c>
      <c r="B55" s="5" t="s">
        <v>18</v>
      </c>
      <c r="C55" s="6" t="s">
        <v>21</v>
      </c>
      <c r="D55" s="6" t="s">
        <v>86</v>
      </c>
      <c r="E55" s="6" t="s">
        <v>82</v>
      </c>
      <c r="F55" s="6" t="s">
        <v>16</v>
      </c>
      <c r="G55" s="6" t="s">
        <v>17</v>
      </c>
      <c r="H55" s="6" t="s">
        <v>24</v>
      </c>
      <c r="I55" s="8">
        <v>300000</v>
      </c>
      <c r="J55" s="8">
        <v>510527</v>
      </c>
      <c r="K55" s="9">
        <v>52101.77</v>
      </c>
      <c r="L55" s="13"/>
      <c r="M55" s="63">
        <f>표1[[#This Row],[Accumulated load-unload cycles:]]/표1[[#This Row],[Specified load-unload count over device lifetime:]]</f>
        <v>1.7017566666666666</v>
      </c>
      <c r="N55" s="1" t="str">
        <f>IF(표1[[#This Row],[사용량]]&lt;=60%, "양호", IF(표1[[#This Row],[사용량]]&lt;=70%, "교체 권고", IF(표1[[#This Row],[사용량]]&lt;=80%, "교체", "긴급 교체")))</f>
        <v>긴급 교체</v>
      </c>
    </row>
    <row r="56" spans="1:14" ht="20" customHeight="1">
      <c r="A56" s="11" t="s">
        <v>104</v>
      </c>
      <c r="B56" s="5" t="s">
        <v>71</v>
      </c>
      <c r="C56" s="6" t="s">
        <v>21</v>
      </c>
      <c r="D56" s="6" t="s">
        <v>86</v>
      </c>
      <c r="E56" s="6" t="s">
        <v>82</v>
      </c>
      <c r="F56" s="6" t="s">
        <v>16</v>
      </c>
      <c r="G56" s="6" t="s">
        <v>17</v>
      </c>
      <c r="H56" s="6" t="s">
        <v>24</v>
      </c>
      <c r="I56" s="8">
        <v>300000</v>
      </c>
      <c r="J56" s="8">
        <v>509239</v>
      </c>
      <c r="K56" s="9">
        <v>52102.28</v>
      </c>
      <c r="L56" s="13"/>
      <c r="M56" s="63">
        <f>표1[[#This Row],[Accumulated load-unload cycles:]]/표1[[#This Row],[Specified load-unload count over device lifetime:]]</f>
        <v>1.6974633333333333</v>
      </c>
      <c r="N56" s="1" t="str">
        <f>IF(표1[[#This Row],[사용량]]&lt;=60%, "양호", IF(표1[[#This Row],[사용량]]&lt;=70%, "교체 권고", IF(표1[[#This Row],[사용량]]&lt;=80%, "교체", "긴급 교체")))</f>
        <v>긴급 교체</v>
      </c>
    </row>
    <row r="57" spans="1:14" ht="20" customHeight="1">
      <c r="A57" s="11" t="s">
        <v>104</v>
      </c>
      <c r="B57" s="5" t="s">
        <v>75</v>
      </c>
      <c r="C57" s="6" t="s">
        <v>21</v>
      </c>
      <c r="D57" s="6" t="s">
        <v>86</v>
      </c>
      <c r="E57" s="6" t="s">
        <v>82</v>
      </c>
      <c r="F57" s="6" t="s">
        <v>16</v>
      </c>
      <c r="G57" s="6" t="s">
        <v>17</v>
      </c>
      <c r="H57" s="6" t="s">
        <v>24</v>
      </c>
      <c r="I57" s="8">
        <v>300000</v>
      </c>
      <c r="J57" s="8">
        <v>509094</v>
      </c>
      <c r="K57" s="9">
        <v>52102.35</v>
      </c>
      <c r="L57" s="13"/>
      <c r="M57" s="63">
        <f>표1[[#This Row],[Accumulated load-unload cycles:]]/표1[[#This Row],[Specified load-unload count over device lifetime:]]</f>
        <v>1.6969799999999999</v>
      </c>
      <c r="N57" s="1" t="str">
        <f>IF(표1[[#This Row],[사용량]]&lt;=60%, "양호", IF(표1[[#This Row],[사용량]]&lt;=70%, "교체 권고", IF(표1[[#This Row],[사용량]]&lt;=80%, "교체", "긴급 교체")))</f>
        <v>긴급 교체</v>
      </c>
    </row>
    <row r="58" spans="1:14" ht="20" customHeight="1">
      <c r="A58" s="11" t="s">
        <v>104</v>
      </c>
      <c r="B58" s="5" t="s">
        <v>13</v>
      </c>
      <c r="C58" s="6" t="s">
        <v>21</v>
      </c>
      <c r="D58" s="6" t="s">
        <v>86</v>
      </c>
      <c r="E58" s="6" t="s">
        <v>82</v>
      </c>
      <c r="F58" s="6" t="s">
        <v>16</v>
      </c>
      <c r="G58" s="6" t="s">
        <v>17</v>
      </c>
      <c r="H58" s="6" t="s">
        <v>24</v>
      </c>
      <c r="I58" s="8">
        <v>300000</v>
      </c>
      <c r="J58" s="8">
        <v>506605</v>
      </c>
      <c r="K58" s="9">
        <v>52102.03</v>
      </c>
      <c r="L58" s="13"/>
      <c r="M58" s="63">
        <f>표1[[#This Row],[Accumulated load-unload cycles:]]/표1[[#This Row],[Specified load-unload count over device lifetime:]]</f>
        <v>1.6886833333333333</v>
      </c>
      <c r="N58" s="1" t="str">
        <f>IF(표1[[#This Row],[사용량]]&lt;=60%, "양호", IF(표1[[#This Row],[사용량]]&lt;=70%, "교체 권고", IF(표1[[#This Row],[사용량]]&lt;=80%, "교체", "긴급 교체")))</f>
        <v>긴급 교체</v>
      </c>
    </row>
    <row r="59" spans="1:14" ht="20" customHeight="1">
      <c r="A59" s="11" t="s">
        <v>104</v>
      </c>
      <c r="B59" s="5" t="s">
        <v>78</v>
      </c>
      <c r="C59" s="6" t="s">
        <v>21</v>
      </c>
      <c r="D59" s="6" t="s">
        <v>86</v>
      </c>
      <c r="E59" s="6" t="s">
        <v>82</v>
      </c>
      <c r="F59" s="6" t="s">
        <v>16</v>
      </c>
      <c r="G59" s="6" t="s">
        <v>17</v>
      </c>
      <c r="H59" s="6" t="s">
        <v>24</v>
      </c>
      <c r="I59" s="8">
        <v>300000</v>
      </c>
      <c r="J59" s="8">
        <v>505794</v>
      </c>
      <c r="K59" s="9">
        <v>52101.95</v>
      </c>
      <c r="L59" s="13"/>
      <c r="M59" s="63">
        <f>표1[[#This Row],[Accumulated load-unload cycles:]]/표1[[#This Row],[Specified load-unload count over device lifetime:]]</f>
        <v>1.68598</v>
      </c>
      <c r="N59" s="1" t="str">
        <f>IF(표1[[#This Row],[사용량]]&lt;=60%, "양호", IF(표1[[#This Row],[사용량]]&lt;=70%, "교체 권고", IF(표1[[#This Row],[사용량]]&lt;=80%, "교체", "긴급 교체")))</f>
        <v>긴급 교체</v>
      </c>
    </row>
    <row r="60" spans="1:14" ht="20" customHeight="1">
      <c r="A60" s="11" t="s">
        <v>92</v>
      </c>
      <c r="B60" s="5" t="s">
        <v>18</v>
      </c>
      <c r="C60" s="6"/>
      <c r="D60" s="6" t="s">
        <v>87</v>
      </c>
      <c r="E60" s="6" t="s">
        <v>88</v>
      </c>
      <c r="F60" s="6" t="s">
        <v>89</v>
      </c>
      <c r="G60" s="6" t="s">
        <v>90</v>
      </c>
      <c r="H60" s="7"/>
      <c r="I60" s="7"/>
      <c r="J60" s="7"/>
      <c r="K60" s="7"/>
      <c r="L60" s="13"/>
      <c r="M60" s="63" t="e">
        <f>표1[[#This Row],[Accumulated load-unload cycles:]]/표1[[#This Row],[Specified load-unload count over device lifetime:]]</f>
        <v>#DIV/0!</v>
      </c>
      <c r="N60" s="1" t="e">
        <f>IF(표1[[#This Row],[사용량]]&lt;=60%, "양호", IF(표1[[#This Row],[사용량]]&lt;=70%, "교체 권고", IF(표1[[#This Row],[사용량]]&lt;=80%, "교체", "긴급 교체")))</f>
        <v>#DIV/0!</v>
      </c>
    </row>
    <row r="61" spans="1:14" ht="20" customHeight="1">
      <c r="A61" s="11" t="s">
        <v>92</v>
      </c>
      <c r="B61" s="5" t="s">
        <v>71</v>
      </c>
      <c r="C61" s="6"/>
      <c r="D61" s="6" t="s">
        <v>87</v>
      </c>
      <c r="E61" s="6" t="s">
        <v>88</v>
      </c>
      <c r="F61" s="6" t="s">
        <v>89</v>
      </c>
      <c r="G61" s="6" t="s">
        <v>90</v>
      </c>
      <c r="H61" s="7"/>
      <c r="I61" s="7"/>
      <c r="J61" s="7"/>
      <c r="K61" s="7"/>
      <c r="L61" s="13"/>
      <c r="M61" s="63" t="e">
        <f>표1[[#This Row],[Accumulated load-unload cycles:]]/표1[[#This Row],[Specified load-unload count over device lifetime:]]</f>
        <v>#DIV/0!</v>
      </c>
      <c r="N61" s="1" t="e">
        <f>IF(표1[[#This Row],[사용량]]&lt;=60%, "양호", IF(표1[[#This Row],[사용량]]&lt;=70%, "교체 권고", IF(표1[[#This Row],[사용량]]&lt;=80%, "교체", "긴급 교체")))</f>
        <v>#DIV/0!</v>
      </c>
    </row>
    <row r="62" spans="1:14" ht="20" customHeight="1">
      <c r="A62" s="11" t="s">
        <v>92</v>
      </c>
      <c r="B62" s="5" t="s">
        <v>76</v>
      </c>
      <c r="C62" s="6" t="s">
        <v>21</v>
      </c>
      <c r="D62" s="6" t="s">
        <v>86</v>
      </c>
      <c r="E62" s="6" t="s">
        <v>82</v>
      </c>
      <c r="F62" s="6" t="s">
        <v>16</v>
      </c>
      <c r="G62" s="6" t="s">
        <v>17</v>
      </c>
      <c r="H62" s="6" t="s">
        <v>24</v>
      </c>
      <c r="I62" s="8">
        <v>300000</v>
      </c>
      <c r="J62" s="8">
        <v>254018</v>
      </c>
      <c r="K62" s="9">
        <v>52120</v>
      </c>
      <c r="L62" s="13"/>
      <c r="M62" s="63">
        <f>표1[[#This Row],[Accumulated load-unload cycles:]]/표1[[#This Row],[Specified load-unload count over device lifetime:]]</f>
        <v>0.84672666666666663</v>
      </c>
      <c r="N62" s="1" t="str">
        <f>IF(표1[[#This Row],[사용량]]&lt;=60%, "양호", IF(표1[[#This Row],[사용량]]&lt;=70%, "교체 권고", IF(표1[[#This Row],[사용량]]&lt;=80%, "교체", "긴급 교체")))</f>
        <v>긴급 교체</v>
      </c>
    </row>
    <row r="63" spans="1:14" ht="20" customHeight="1">
      <c r="A63" s="11" t="s">
        <v>92</v>
      </c>
      <c r="B63" s="5" t="s">
        <v>77</v>
      </c>
      <c r="C63" s="6" t="s">
        <v>21</v>
      </c>
      <c r="D63" s="6" t="s">
        <v>86</v>
      </c>
      <c r="E63" s="6" t="s">
        <v>82</v>
      </c>
      <c r="F63" s="6" t="s">
        <v>16</v>
      </c>
      <c r="G63" s="6" t="s">
        <v>17</v>
      </c>
      <c r="H63" s="6" t="s">
        <v>24</v>
      </c>
      <c r="I63" s="8">
        <v>300000</v>
      </c>
      <c r="J63" s="8">
        <v>250982</v>
      </c>
      <c r="K63" s="9">
        <v>52119.92</v>
      </c>
      <c r="L63" s="13"/>
      <c r="M63" s="63">
        <f>표1[[#This Row],[Accumulated load-unload cycles:]]/표1[[#This Row],[Specified load-unload count over device lifetime:]]</f>
        <v>0.83660666666666672</v>
      </c>
      <c r="N63" s="1" t="str">
        <f>IF(표1[[#This Row],[사용량]]&lt;=60%, "양호", IF(표1[[#This Row],[사용량]]&lt;=70%, "교체 권고", IF(표1[[#This Row],[사용량]]&lt;=80%, "교체", "긴급 교체")))</f>
        <v>긴급 교체</v>
      </c>
    </row>
    <row r="64" spans="1:14" ht="20" customHeight="1">
      <c r="A64" s="11" t="s">
        <v>92</v>
      </c>
      <c r="B64" s="5" t="s">
        <v>73</v>
      </c>
      <c r="C64" s="6" t="s">
        <v>21</v>
      </c>
      <c r="D64" s="6" t="s">
        <v>86</v>
      </c>
      <c r="E64" s="6" t="s">
        <v>82</v>
      </c>
      <c r="F64" s="6" t="s">
        <v>16</v>
      </c>
      <c r="G64" s="6" t="s">
        <v>17</v>
      </c>
      <c r="H64" s="6" t="s">
        <v>24</v>
      </c>
      <c r="I64" s="8">
        <v>300000</v>
      </c>
      <c r="J64" s="8">
        <v>237039</v>
      </c>
      <c r="K64" s="9">
        <v>52119.47</v>
      </c>
      <c r="L64" s="13"/>
      <c r="M64" s="63">
        <f>표1[[#This Row],[Accumulated load-unload cycles:]]/표1[[#This Row],[Specified load-unload count over device lifetime:]]</f>
        <v>0.79013</v>
      </c>
      <c r="N64" s="1" t="str">
        <f>IF(표1[[#This Row],[사용량]]&lt;=60%, "양호", IF(표1[[#This Row],[사용량]]&lt;=70%, "교체 권고", IF(표1[[#This Row],[사용량]]&lt;=80%, "교체", "긴급 교체")))</f>
        <v>교체</v>
      </c>
    </row>
    <row r="65" spans="1:14" ht="20" customHeight="1">
      <c r="A65" s="11" t="s">
        <v>92</v>
      </c>
      <c r="B65" s="5" t="s">
        <v>78</v>
      </c>
      <c r="C65" s="6" t="s">
        <v>21</v>
      </c>
      <c r="D65" s="6" t="s">
        <v>86</v>
      </c>
      <c r="E65" s="6" t="s">
        <v>82</v>
      </c>
      <c r="F65" s="6" t="s">
        <v>16</v>
      </c>
      <c r="G65" s="6" t="s">
        <v>17</v>
      </c>
      <c r="H65" s="6" t="s">
        <v>24</v>
      </c>
      <c r="I65" s="8">
        <v>300000</v>
      </c>
      <c r="J65" s="8">
        <v>234805</v>
      </c>
      <c r="K65" s="9">
        <v>52119.88</v>
      </c>
      <c r="L65" s="13"/>
      <c r="M65" s="63">
        <f>표1[[#This Row],[Accumulated load-unload cycles:]]/표1[[#This Row],[Specified load-unload count over device lifetime:]]</f>
        <v>0.78268333333333329</v>
      </c>
      <c r="N65" s="1" t="str">
        <f>IF(표1[[#This Row],[사용량]]&lt;=60%, "양호", IF(표1[[#This Row],[사용량]]&lt;=70%, "교체 권고", IF(표1[[#This Row],[사용량]]&lt;=80%, "교체", "긴급 교체")))</f>
        <v>교체</v>
      </c>
    </row>
    <row r="66" spans="1:14" ht="20" customHeight="1">
      <c r="A66" s="11" t="s">
        <v>92</v>
      </c>
      <c r="B66" s="5" t="s">
        <v>13</v>
      </c>
      <c r="C66" s="6" t="s">
        <v>21</v>
      </c>
      <c r="D66" s="6" t="s">
        <v>86</v>
      </c>
      <c r="E66" s="6" t="s">
        <v>82</v>
      </c>
      <c r="F66" s="6" t="s">
        <v>16</v>
      </c>
      <c r="G66" s="6" t="s">
        <v>17</v>
      </c>
      <c r="H66" s="6" t="s">
        <v>24</v>
      </c>
      <c r="I66" s="8">
        <v>300000</v>
      </c>
      <c r="J66" s="8">
        <v>233835</v>
      </c>
      <c r="K66" s="9">
        <v>52119.88</v>
      </c>
      <c r="L66" s="13"/>
      <c r="M66" s="63">
        <f>표1[[#This Row],[Accumulated load-unload cycles:]]/표1[[#This Row],[Specified load-unload count over device lifetime:]]</f>
        <v>0.77944999999999998</v>
      </c>
      <c r="N66" s="1" t="str">
        <f>IF(표1[[#This Row],[사용량]]&lt;=60%, "양호", IF(표1[[#This Row],[사용량]]&lt;=70%, "교체 권고", IF(표1[[#This Row],[사용량]]&lt;=80%, "교체", "긴급 교체")))</f>
        <v>교체</v>
      </c>
    </row>
    <row r="67" spans="1:14" ht="20" customHeight="1">
      <c r="A67" s="11" t="s">
        <v>92</v>
      </c>
      <c r="B67" s="5" t="s">
        <v>75</v>
      </c>
      <c r="C67" s="6" t="s">
        <v>21</v>
      </c>
      <c r="D67" s="6" t="s">
        <v>86</v>
      </c>
      <c r="E67" s="6" t="s">
        <v>82</v>
      </c>
      <c r="F67" s="6" t="s">
        <v>16</v>
      </c>
      <c r="G67" s="6" t="s">
        <v>17</v>
      </c>
      <c r="H67" s="6" t="s">
        <v>24</v>
      </c>
      <c r="I67" s="8">
        <v>300000</v>
      </c>
      <c r="J67" s="8">
        <v>227222</v>
      </c>
      <c r="K67" s="9">
        <v>52120.13</v>
      </c>
      <c r="L67" s="13"/>
      <c r="M67" s="63">
        <f>표1[[#This Row],[Accumulated load-unload cycles:]]/표1[[#This Row],[Specified load-unload count over device lifetime:]]</f>
        <v>0.75740666666666667</v>
      </c>
      <c r="N67" s="1" t="str">
        <f>IF(표1[[#This Row],[사용량]]&lt;=60%, "양호", IF(표1[[#This Row],[사용량]]&lt;=70%, "교체 권고", IF(표1[[#This Row],[사용량]]&lt;=80%, "교체", "긴급 교체")))</f>
        <v>교체</v>
      </c>
    </row>
    <row r="68" spans="1:14" ht="20" customHeight="1">
      <c r="A68" s="11" t="s">
        <v>92</v>
      </c>
      <c r="B68" s="5" t="s">
        <v>93</v>
      </c>
      <c r="C68" s="6" t="s">
        <v>21</v>
      </c>
      <c r="D68" s="6" t="s">
        <v>86</v>
      </c>
      <c r="E68" s="6" t="s">
        <v>82</v>
      </c>
      <c r="F68" s="6" t="s">
        <v>16</v>
      </c>
      <c r="G68" s="6" t="s">
        <v>17</v>
      </c>
      <c r="H68" s="6" t="s">
        <v>24</v>
      </c>
      <c r="I68" s="8">
        <v>300000</v>
      </c>
      <c r="J68" s="8">
        <v>224600</v>
      </c>
      <c r="K68" s="9">
        <v>52119.78</v>
      </c>
      <c r="L68" s="13"/>
      <c r="M68" s="63">
        <f>표1[[#This Row],[Accumulated load-unload cycles:]]/표1[[#This Row],[Specified load-unload count over device lifetime:]]</f>
        <v>0.7486666666666667</v>
      </c>
      <c r="N68" s="1" t="str">
        <f>IF(표1[[#This Row],[사용량]]&lt;=60%, "양호", IF(표1[[#This Row],[사용량]]&lt;=70%, "교체 권고", IF(표1[[#This Row],[사용량]]&lt;=80%, "교체", "긴급 교체")))</f>
        <v>교체</v>
      </c>
    </row>
    <row r="69" spans="1:14" ht="20" customHeight="1">
      <c r="A69" s="11" t="s">
        <v>92</v>
      </c>
      <c r="B69" s="5" t="s">
        <v>74</v>
      </c>
      <c r="C69" s="6" t="s">
        <v>21</v>
      </c>
      <c r="D69" s="6" t="s">
        <v>86</v>
      </c>
      <c r="E69" s="6" t="s">
        <v>82</v>
      </c>
      <c r="F69" s="6" t="s">
        <v>16</v>
      </c>
      <c r="G69" s="6" t="s">
        <v>17</v>
      </c>
      <c r="H69" s="6" t="s">
        <v>24</v>
      </c>
      <c r="I69" s="8">
        <v>300000</v>
      </c>
      <c r="J69" s="8">
        <v>212244</v>
      </c>
      <c r="K69" s="9">
        <v>52119.73</v>
      </c>
      <c r="L69" s="13"/>
      <c r="M69" s="63">
        <f>표1[[#This Row],[Accumulated load-unload cycles:]]/표1[[#This Row],[Specified load-unload count over device lifetime:]]</f>
        <v>0.70748</v>
      </c>
      <c r="N69" s="1" t="str">
        <f>IF(표1[[#This Row],[사용량]]&lt;=60%, "양호", IF(표1[[#This Row],[사용량]]&lt;=70%, "교체 권고", IF(표1[[#This Row],[사용량]]&lt;=80%, "교체", "긴급 교체")))</f>
        <v>교체</v>
      </c>
    </row>
    <row r="70" spans="1:14" ht="20" customHeight="1">
      <c r="A70" s="11" t="s">
        <v>94</v>
      </c>
      <c r="B70" s="5" t="s">
        <v>73</v>
      </c>
      <c r="C70" s="6"/>
      <c r="D70" s="6" t="s">
        <v>87</v>
      </c>
      <c r="E70" s="6" t="s">
        <v>88</v>
      </c>
      <c r="F70" s="6" t="s">
        <v>89</v>
      </c>
      <c r="G70" s="6" t="s">
        <v>90</v>
      </c>
      <c r="H70" s="7"/>
      <c r="I70" s="7"/>
      <c r="J70" s="7"/>
      <c r="K70" s="7"/>
      <c r="L70" s="13"/>
      <c r="M70" s="63" t="e">
        <f>표1[[#This Row],[Accumulated load-unload cycles:]]/표1[[#This Row],[Specified load-unload count over device lifetime:]]</f>
        <v>#DIV/0!</v>
      </c>
      <c r="N70" s="1" t="e">
        <f>IF(표1[[#This Row],[사용량]]&lt;=60%, "양호", IF(표1[[#This Row],[사용량]]&lt;=70%, "교체 권고", IF(표1[[#This Row],[사용량]]&lt;=80%, "교체", "긴급 교체")))</f>
        <v>#DIV/0!</v>
      </c>
    </row>
    <row r="71" spans="1:14" ht="20" customHeight="1">
      <c r="A71" s="11" t="s">
        <v>94</v>
      </c>
      <c r="B71" s="5" t="s">
        <v>74</v>
      </c>
      <c r="C71" s="6"/>
      <c r="D71" s="6" t="s">
        <v>87</v>
      </c>
      <c r="E71" s="6" t="s">
        <v>88</v>
      </c>
      <c r="F71" s="6" t="s">
        <v>89</v>
      </c>
      <c r="G71" s="6" t="s">
        <v>90</v>
      </c>
      <c r="H71" s="7"/>
      <c r="I71" s="7"/>
      <c r="J71" s="7"/>
      <c r="K71" s="7"/>
      <c r="L71" s="13"/>
      <c r="M71" s="63" t="e">
        <f>표1[[#This Row],[Accumulated load-unload cycles:]]/표1[[#This Row],[Specified load-unload count over device lifetime:]]</f>
        <v>#DIV/0!</v>
      </c>
      <c r="N71" s="1" t="e">
        <f>IF(표1[[#This Row],[사용량]]&lt;=60%, "양호", IF(표1[[#This Row],[사용량]]&lt;=70%, "교체 권고", IF(표1[[#This Row],[사용량]]&lt;=80%, "교체", "긴급 교체")))</f>
        <v>#DIV/0!</v>
      </c>
    </row>
    <row r="72" spans="1:14" ht="20" customHeight="1">
      <c r="A72" s="11" t="s">
        <v>94</v>
      </c>
      <c r="B72" s="5" t="s">
        <v>76</v>
      </c>
      <c r="C72" s="6" t="s">
        <v>21</v>
      </c>
      <c r="D72" s="6" t="s">
        <v>86</v>
      </c>
      <c r="E72" s="6" t="s">
        <v>82</v>
      </c>
      <c r="F72" s="6" t="s">
        <v>16</v>
      </c>
      <c r="G72" s="6" t="s">
        <v>17</v>
      </c>
      <c r="H72" s="6" t="s">
        <v>24</v>
      </c>
      <c r="I72" s="8">
        <v>300000</v>
      </c>
      <c r="J72" s="8">
        <v>548723</v>
      </c>
      <c r="K72" s="9">
        <v>52123.02</v>
      </c>
      <c r="L72" s="13"/>
      <c r="M72" s="63">
        <f>표1[[#This Row],[Accumulated load-unload cycles:]]/표1[[#This Row],[Specified load-unload count over device lifetime:]]</f>
        <v>1.8290766666666667</v>
      </c>
      <c r="N72" s="1" t="str">
        <f>IF(표1[[#This Row],[사용량]]&lt;=60%, "양호", IF(표1[[#This Row],[사용량]]&lt;=70%, "교체 권고", IF(표1[[#This Row],[사용량]]&lt;=80%, "교체", "긴급 교체")))</f>
        <v>긴급 교체</v>
      </c>
    </row>
    <row r="73" spans="1:14" ht="20" customHeight="1">
      <c r="A73" s="11" t="s">
        <v>94</v>
      </c>
      <c r="B73" s="5" t="s">
        <v>77</v>
      </c>
      <c r="C73" s="6" t="s">
        <v>21</v>
      </c>
      <c r="D73" s="6" t="s">
        <v>86</v>
      </c>
      <c r="E73" s="6" t="s">
        <v>82</v>
      </c>
      <c r="F73" s="6" t="s">
        <v>16</v>
      </c>
      <c r="G73" s="6" t="s">
        <v>17</v>
      </c>
      <c r="H73" s="6" t="s">
        <v>24</v>
      </c>
      <c r="I73" s="8">
        <v>300000</v>
      </c>
      <c r="J73" s="8">
        <v>548425</v>
      </c>
      <c r="K73" s="9">
        <v>52122.95</v>
      </c>
      <c r="L73" s="13"/>
      <c r="M73" s="63">
        <f>표1[[#This Row],[Accumulated load-unload cycles:]]/표1[[#This Row],[Specified load-unload count over device lifetime:]]</f>
        <v>1.8280833333333333</v>
      </c>
      <c r="N73" s="1" t="str">
        <f>IF(표1[[#This Row],[사용량]]&lt;=60%, "양호", IF(표1[[#This Row],[사용량]]&lt;=70%, "교체 권고", IF(표1[[#This Row],[사용량]]&lt;=80%, "교체", "긴급 교체")))</f>
        <v>긴급 교체</v>
      </c>
    </row>
    <row r="74" spans="1:14" ht="20" customHeight="1">
      <c r="A74" s="11" t="s">
        <v>94</v>
      </c>
      <c r="B74" s="5" t="s">
        <v>75</v>
      </c>
      <c r="C74" s="6" t="s">
        <v>21</v>
      </c>
      <c r="D74" s="6" t="s">
        <v>86</v>
      </c>
      <c r="E74" s="6" t="s">
        <v>82</v>
      </c>
      <c r="F74" s="6" t="s">
        <v>16</v>
      </c>
      <c r="G74" s="6" t="s">
        <v>17</v>
      </c>
      <c r="H74" s="6" t="s">
        <v>24</v>
      </c>
      <c r="I74" s="8">
        <v>300000</v>
      </c>
      <c r="J74" s="8">
        <v>548262</v>
      </c>
      <c r="K74" s="9">
        <v>52122.68</v>
      </c>
      <c r="L74" s="13"/>
      <c r="M74" s="63">
        <f>표1[[#This Row],[Accumulated load-unload cycles:]]/표1[[#This Row],[Specified load-unload count over device lifetime:]]</f>
        <v>1.8275399999999999</v>
      </c>
      <c r="N74" s="1" t="str">
        <f>IF(표1[[#This Row],[사용량]]&lt;=60%, "양호", IF(표1[[#This Row],[사용량]]&lt;=70%, "교체 권고", IF(표1[[#This Row],[사용량]]&lt;=80%, "교체", "긴급 교체")))</f>
        <v>긴급 교체</v>
      </c>
    </row>
    <row r="75" spans="1:14" ht="20" customHeight="1">
      <c r="A75" s="11" t="s">
        <v>94</v>
      </c>
      <c r="B75" s="5" t="s">
        <v>13</v>
      </c>
      <c r="C75" s="6" t="s">
        <v>21</v>
      </c>
      <c r="D75" s="6" t="s">
        <v>86</v>
      </c>
      <c r="E75" s="6" t="s">
        <v>82</v>
      </c>
      <c r="F75" s="6" t="s">
        <v>16</v>
      </c>
      <c r="G75" s="6" t="s">
        <v>17</v>
      </c>
      <c r="H75" s="6" t="s">
        <v>24</v>
      </c>
      <c r="I75" s="8">
        <v>300000</v>
      </c>
      <c r="J75" s="8">
        <v>546581</v>
      </c>
      <c r="K75" s="9">
        <v>52122.82</v>
      </c>
      <c r="L75" s="13"/>
      <c r="M75" s="63">
        <f>표1[[#This Row],[Accumulated load-unload cycles:]]/표1[[#This Row],[Specified load-unload count over device lifetime:]]</f>
        <v>1.8219366666666668</v>
      </c>
      <c r="N75" s="1" t="str">
        <f>IF(표1[[#This Row],[사용량]]&lt;=60%, "양호", IF(표1[[#This Row],[사용량]]&lt;=70%, "교체 권고", IF(표1[[#This Row],[사용량]]&lt;=80%, "교체", "긴급 교체")))</f>
        <v>긴급 교체</v>
      </c>
    </row>
    <row r="76" spans="1:14" ht="20" customHeight="1">
      <c r="A76" s="11" t="s">
        <v>94</v>
      </c>
      <c r="B76" s="5" t="s">
        <v>93</v>
      </c>
      <c r="C76" s="6" t="s">
        <v>21</v>
      </c>
      <c r="D76" s="6" t="s">
        <v>86</v>
      </c>
      <c r="E76" s="6" t="s">
        <v>82</v>
      </c>
      <c r="F76" s="6" t="s">
        <v>16</v>
      </c>
      <c r="G76" s="6" t="s">
        <v>17</v>
      </c>
      <c r="H76" s="6" t="s">
        <v>24</v>
      </c>
      <c r="I76" s="8">
        <v>300000</v>
      </c>
      <c r="J76" s="8">
        <v>544236</v>
      </c>
      <c r="K76" s="9">
        <v>52122.9</v>
      </c>
      <c r="L76" s="13"/>
      <c r="M76" s="63">
        <f>표1[[#This Row],[Accumulated load-unload cycles:]]/표1[[#This Row],[Specified load-unload count over device lifetime:]]</f>
        <v>1.81412</v>
      </c>
      <c r="N76" s="1" t="str">
        <f>IF(표1[[#This Row],[사용량]]&lt;=60%, "양호", IF(표1[[#This Row],[사용량]]&lt;=70%, "교체 권고", IF(표1[[#This Row],[사용량]]&lt;=80%, "교체", "긴급 교체")))</f>
        <v>긴급 교체</v>
      </c>
    </row>
    <row r="77" spans="1:14" ht="20" customHeight="1">
      <c r="A77" s="11" t="s">
        <v>94</v>
      </c>
      <c r="B77" s="5" t="s">
        <v>18</v>
      </c>
      <c r="C77" s="6" t="s">
        <v>21</v>
      </c>
      <c r="D77" s="6" t="s">
        <v>86</v>
      </c>
      <c r="E77" s="6" t="s">
        <v>82</v>
      </c>
      <c r="F77" s="6" t="s">
        <v>16</v>
      </c>
      <c r="G77" s="6" t="s">
        <v>17</v>
      </c>
      <c r="H77" s="6" t="s">
        <v>24</v>
      </c>
      <c r="I77" s="8">
        <v>300000</v>
      </c>
      <c r="J77" s="8">
        <v>544224</v>
      </c>
      <c r="K77" s="9">
        <v>52122.47</v>
      </c>
      <c r="L77" s="13"/>
      <c r="M77" s="63">
        <f>표1[[#This Row],[Accumulated load-unload cycles:]]/표1[[#This Row],[Specified load-unload count over device lifetime:]]</f>
        <v>1.8140799999999999</v>
      </c>
      <c r="N77" s="1" t="str">
        <f>IF(표1[[#This Row],[사용량]]&lt;=60%, "양호", IF(표1[[#This Row],[사용량]]&lt;=70%, "교체 권고", IF(표1[[#This Row],[사용량]]&lt;=80%, "교체", "긴급 교체")))</f>
        <v>긴급 교체</v>
      </c>
    </row>
    <row r="78" spans="1:14" ht="20" customHeight="1">
      <c r="A78" s="11" t="s">
        <v>94</v>
      </c>
      <c r="B78" s="5" t="s">
        <v>78</v>
      </c>
      <c r="C78" s="6" t="s">
        <v>21</v>
      </c>
      <c r="D78" s="6" t="s">
        <v>86</v>
      </c>
      <c r="E78" s="6" t="s">
        <v>82</v>
      </c>
      <c r="F78" s="6" t="s">
        <v>16</v>
      </c>
      <c r="G78" s="6" t="s">
        <v>17</v>
      </c>
      <c r="H78" s="6" t="s">
        <v>24</v>
      </c>
      <c r="I78" s="8">
        <v>300000</v>
      </c>
      <c r="J78" s="8">
        <v>543641</v>
      </c>
      <c r="K78" s="9">
        <v>52122.8</v>
      </c>
      <c r="L78" s="13"/>
      <c r="M78" s="63">
        <f>표1[[#This Row],[Accumulated load-unload cycles:]]/표1[[#This Row],[Specified load-unload count over device lifetime:]]</f>
        <v>1.8121366666666667</v>
      </c>
      <c r="N78" s="1" t="str">
        <f>IF(표1[[#This Row],[사용량]]&lt;=60%, "양호", IF(표1[[#This Row],[사용량]]&lt;=70%, "교체 권고", IF(표1[[#This Row],[사용량]]&lt;=80%, "교체", "긴급 교체")))</f>
        <v>긴급 교체</v>
      </c>
    </row>
    <row r="79" spans="1:14" ht="20" customHeight="1">
      <c r="A79" s="11" t="s">
        <v>94</v>
      </c>
      <c r="B79" s="5" t="s">
        <v>71</v>
      </c>
      <c r="C79" s="6" t="s">
        <v>21</v>
      </c>
      <c r="D79" s="6" t="s">
        <v>86</v>
      </c>
      <c r="E79" s="6" t="s">
        <v>82</v>
      </c>
      <c r="F79" s="6" t="s">
        <v>16</v>
      </c>
      <c r="G79" s="6" t="s">
        <v>17</v>
      </c>
      <c r="H79" s="6" t="s">
        <v>24</v>
      </c>
      <c r="I79" s="8">
        <v>300000</v>
      </c>
      <c r="J79" s="8">
        <v>540394</v>
      </c>
      <c r="K79" s="9">
        <v>52122.87</v>
      </c>
      <c r="L79" s="13"/>
      <c r="M79" s="63">
        <f>표1[[#This Row],[Accumulated load-unload cycles:]]/표1[[#This Row],[Specified load-unload count over device lifetime:]]</f>
        <v>1.8013133333333333</v>
      </c>
      <c r="N79" s="1" t="str">
        <f>IF(표1[[#This Row],[사용량]]&lt;=60%, "양호", IF(표1[[#This Row],[사용량]]&lt;=70%, "교체 권고", IF(표1[[#This Row],[사용량]]&lt;=80%, "교체", "긴급 교체")))</f>
        <v>긴급 교체</v>
      </c>
    </row>
    <row r="80" spans="1:14" ht="20" customHeight="1">
      <c r="A80" s="11" t="s">
        <v>95</v>
      </c>
      <c r="B80" s="5" t="s">
        <v>18</v>
      </c>
      <c r="C80" s="8"/>
      <c r="D80" s="6" t="s">
        <v>87</v>
      </c>
      <c r="E80" s="6" t="s">
        <v>88</v>
      </c>
      <c r="F80" s="6" t="s">
        <v>89</v>
      </c>
      <c r="G80" s="6" t="s">
        <v>90</v>
      </c>
      <c r="H80" s="7"/>
      <c r="I80" s="7"/>
      <c r="J80" s="7"/>
      <c r="K80" s="7"/>
      <c r="L80" s="13"/>
      <c r="M80" s="63" t="e">
        <f>표1[[#This Row],[Accumulated load-unload cycles:]]/표1[[#This Row],[Specified load-unload count over device lifetime:]]</f>
        <v>#DIV/0!</v>
      </c>
      <c r="N80" s="1" t="e">
        <f>IF(표1[[#This Row],[사용량]]&lt;=60%, "양호", IF(표1[[#This Row],[사용량]]&lt;=70%, "교체 권고", IF(표1[[#This Row],[사용량]]&lt;=80%, "교체", "긴급 교체")))</f>
        <v>#DIV/0!</v>
      </c>
    </row>
    <row r="81" spans="1:14" ht="20" customHeight="1">
      <c r="A81" s="11" t="s">
        <v>95</v>
      </c>
      <c r="B81" s="5" t="s">
        <v>71</v>
      </c>
      <c r="C81" s="8"/>
      <c r="D81" s="6" t="s">
        <v>87</v>
      </c>
      <c r="E81" s="6" t="s">
        <v>88</v>
      </c>
      <c r="F81" s="6" t="s">
        <v>89</v>
      </c>
      <c r="G81" s="6" t="s">
        <v>90</v>
      </c>
      <c r="H81" s="7"/>
      <c r="I81" s="7"/>
      <c r="J81" s="7"/>
      <c r="K81" s="7"/>
      <c r="L81" s="13"/>
      <c r="M81" s="63" t="e">
        <f>표1[[#This Row],[Accumulated load-unload cycles:]]/표1[[#This Row],[Specified load-unload count over device lifetime:]]</f>
        <v>#DIV/0!</v>
      </c>
      <c r="N81" s="1" t="e">
        <f>IF(표1[[#This Row],[사용량]]&lt;=60%, "양호", IF(표1[[#This Row],[사용량]]&lt;=70%, "교체 권고", IF(표1[[#This Row],[사용량]]&lt;=80%, "교체", "긴급 교체")))</f>
        <v>#DIV/0!</v>
      </c>
    </row>
    <row r="82" spans="1:14" ht="20" customHeight="1">
      <c r="A82" s="11" t="s">
        <v>95</v>
      </c>
      <c r="B82" s="5" t="s">
        <v>74</v>
      </c>
      <c r="C82" s="6" t="s">
        <v>21</v>
      </c>
      <c r="D82" s="6" t="s">
        <v>86</v>
      </c>
      <c r="E82" s="6" t="s">
        <v>82</v>
      </c>
      <c r="F82" s="6" t="s">
        <v>16</v>
      </c>
      <c r="G82" s="6" t="s">
        <v>17</v>
      </c>
      <c r="H82" s="6" t="s">
        <v>24</v>
      </c>
      <c r="I82" s="8">
        <v>300000</v>
      </c>
      <c r="J82" s="8">
        <v>531673</v>
      </c>
      <c r="K82" s="9">
        <v>52119.83</v>
      </c>
      <c r="L82" s="13"/>
      <c r="M82" s="63">
        <f>표1[[#This Row],[Accumulated load-unload cycles:]]/표1[[#This Row],[Specified load-unload count over device lifetime:]]</f>
        <v>1.7722433333333334</v>
      </c>
      <c r="N82" s="1" t="str">
        <f>IF(표1[[#This Row],[사용량]]&lt;=60%, "양호", IF(표1[[#This Row],[사용량]]&lt;=70%, "교체 권고", IF(표1[[#This Row],[사용량]]&lt;=80%, "교체", "긴급 교체")))</f>
        <v>긴급 교체</v>
      </c>
    </row>
    <row r="83" spans="1:14" ht="20" customHeight="1">
      <c r="A83" s="11" t="s">
        <v>95</v>
      </c>
      <c r="B83" s="5" t="s">
        <v>76</v>
      </c>
      <c r="C83" s="6" t="s">
        <v>21</v>
      </c>
      <c r="D83" s="6" t="s">
        <v>86</v>
      </c>
      <c r="E83" s="6" t="s">
        <v>82</v>
      </c>
      <c r="F83" s="6" t="s">
        <v>16</v>
      </c>
      <c r="G83" s="6" t="s">
        <v>17</v>
      </c>
      <c r="H83" s="6" t="s">
        <v>24</v>
      </c>
      <c r="I83" s="8">
        <v>300000</v>
      </c>
      <c r="J83" s="8">
        <v>530073</v>
      </c>
      <c r="K83" s="9">
        <v>52120.18</v>
      </c>
      <c r="L83" s="13"/>
      <c r="M83" s="63">
        <f>표1[[#This Row],[Accumulated load-unload cycles:]]/표1[[#This Row],[Specified load-unload count over device lifetime:]]</f>
        <v>1.76691</v>
      </c>
      <c r="N83" s="1" t="str">
        <f>IF(표1[[#This Row],[사용량]]&lt;=60%, "양호", IF(표1[[#This Row],[사용량]]&lt;=70%, "교체 권고", IF(표1[[#This Row],[사용량]]&lt;=80%, "교체", "긴급 교체")))</f>
        <v>긴급 교체</v>
      </c>
    </row>
    <row r="84" spans="1:14" ht="20" customHeight="1">
      <c r="A84" s="11" t="s">
        <v>95</v>
      </c>
      <c r="B84" s="5" t="s">
        <v>93</v>
      </c>
      <c r="C84" s="6" t="s">
        <v>21</v>
      </c>
      <c r="D84" s="6" t="s">
        <v>86</v>
      </c>
      <c r="E84" s="6" t="s">
        <v>82</v>
      </c>
      <c r="F84" s="6" t="s">
        <v>16</v>
      </c>
      <c r="G84" s="6" t="s">
        <v>17</v>
      </c>
      <c r="H84" s="6" t="s">
        <v>24</v>
      </c>
      <c r="I84" s="8">
        <v>300000</v>
      </c>
      <c r="J84" s="8">
        <v>528320</v>
      </c>
      <c r="K84" s="9">
        <v>52119.78</v>
      </c>
      <c r="L84" s="13"/>
      <c r="M84" s="63">
        <f>표1[[#This Row],[Accumulated load-unload cycles:]]/표1[[#This Row],[Specified load-unload count over device lifetime:]]</f>
        <v>1.7610666666666666</v>
      </c>
      <c r="N84" s="1" t="str">
        <f>IF(표1[[#This Row],[사용량]]&lt;=60%, "양호", IF(표1[[#This Row],[사용량]]&lt;=70%, "교체 권고", IF(표1[[#This Row],[사용량]]&lt;=80%, "교체", "긴급 교체")))</f>
        <v>긴급 교체</v>
      </c>
    </row>
    <row r="85" spans="1:14" ht="20" customHeight="1">
      <c r="A85" s="11" t="s">
        <v>95</v>
      </c>
      <c r="B85" s="5" t="s">
        <v>75</v>
      </c>
      <c r="C85" s="6" t="s">
        <v>21</v>
      </c>
      <c r="D85" s="6" t="s">
        <v>86</v>
      </c>
      <c r="E85" s="6" t="s">
        <v>82</v>
      </c>
      <c r="F85" s="6" t="s">
        <v>16</v>
      </c>
      <c r="G85" s="6" t="s">
        <v>17</v>
      </c>
      <c r="H85" s="6" t="s">
        <v>24</v>
      </c>
      <c r="I85" s="8">
        <v>300000</v>
      </c>
      <c r="J85" s="8">
        <v>527460</v>
      </c>
      <c r="K85" s="9">
        <v>52119.7</v>
      </c>
      <c r="L85" s="13"/>
      <c r="M85" s="63">
        <f>표1[[#This Row],[Accumulated load-unload cycles:]]/표1[[#This Row],[Specified load-unload count over device lifetime:]]</f>
        <v>1.7582</v>
      </c>
      <c r="N85" s="1" t="str">
        <f>IF(표1[[#This Row],[사용량]]&lt;=60%, "양호", IF(표1[[#This Row],[사용량]]&lt;=70%, "교체 권고", IF(표1[[#This Row],[사용량]]&lt;=80%, "교체", "긴급 교체")))</f>
        <v>긴급 교체</v>
      </c>
    </row>
    <row r="86" spans="1:14" ht="20" customHeight="1">
      <c r="A86" s="11" t="s">
        <v>95</v>
      </c>
      <c r="B86" s="5" t="s">
        <v>77</v>
      </c>
      <c r="C86" s="6" t="s">
        <v>21</v>
      </c>
      <c r="D86" s="6" t="s">
        <v>86</v>
      </c>
      <c r="E86" s="6" t="s">
        <v>82</v>
      </c>
      <c r="F86" s="6" t="s">
        <v>16</v>
      </c>
      <c r="G86" s="6" t="s">
        <v>17</v>
      </c>
      <c r="H86" s="6" t="s">
        <v>24</v>
      </c>
      <c r="I86" s="8">
        <v>300000</v>
      </c>
      <c r="J86" s="8">
        <v>524783</v>
      </c>
      <c r="K86" s="9">
        <v>52119.83</v>
      </c>
      <c r="L86" s="13"/>
      <c r="M86" s="63">
        <f>표1[[#This Row],[Accumulated load-unload cycles:]]/표1[[#This Row],[Specified load-unload count over device lifetime:]]</f>
        <v>1.7492766666666666</v>
      </c>
      <c r="N86" s="1" t="str">
        <f>IF(표1[[#This Row],[사용량]]&lt;=60%, "양호", IF(표1[[#This Row],[사용량]]&lt;=70%, "교체 권고", IF(표1[[#This Row],[사용량]]&lt;=80%, "교체", "긴급 교체")))</f>
        <v>긴급 교체</v>
      </c>
    </row>
    <row r="87" spans="1:14" ht="20" customHeight="1">
      <c r="A87" s="11" t="s">
        <v>95</v>
      </c>
      <c r="B87" s="5" t="s">
        <v>78</v>
      </c>
      <c r="C87" s="6" t="s">
        <v>21</v>
      </c>
      <c r="D87" s="6" t="s">
        <v>86</v>
      </c>
      <c r="E87" s="6" t="s">
        <v>82</v>
      </c>
      <c r="F87" s="6" t="s">
        <v>16</v>
      </c>
      <c r="G87" s="6" t="s">
        <v>17</v>
      </c>
      <c r="H87" s="6" t="s">
        <v>24</v>
      </c>
      <c r="I87" s="8">
        <v>300000</v>
      </c>
      <c r="J87" s="8">
        <v>524480</v>
      </c>
      <c r="K87" s="9">
        <v>52119.73</v>
      </c>
      <c r="L87" s="13"/>
      <c r="M87" s="63">
        <f>표1[[#This Row],[Accumulated load-unload cycles:]]/표1[[#This Row],[Specified load-unload count over device lifetime:]]</f>
        <v>1.7482666666666666</v>
      </c>
      <c r="N87" s="1" t="str">
        <f>IF(표1[[#This Row],[사용량]]&lt;=60%, "양호", IF(표1[[#This Row],[사용량]]&lt;=70%, "교체 권고", IF(표1[[#This Row],[사용량]]&lt;=80%, "교체", "긴급 교체")))</f>
        <v>긴급 교체</v>
      </c>
    </row>
    <row r="88" spans="1:14" ht="20" customHeight="1">
      <c r="A88" s="11" t="s">
        <v>95</v>
      </c>
      <c r="B88" s="5" t="s">
        <v>73</v>
      </c>
      <c r="C88" s="6" t="s">
        <v>21</v>
      </c>
      <c r="D88" s="6" t="s">
        <v>86</v>
      </c>
      <c r="E88" s="6" t="s">
        <v>82</v>
      </c>
      <c r="F88" s="6" t="s">
        <v>16</v>
      </c>
      <c r="G88" s="6" t="s">
        <v>17</v>
      </c>
      <c r="H88" s="6" t="s">
        <v>24</v>
      </c>
      <c r="I88" s="8">
        <v>300000</v>
      </c>
      <c r="J88" s="8">
        <v>522809</v>
      </c>
      <c r="K88" s="9">
        <v>52120</v>
      </c>
      <c r="L88" s="13"/>
      <c r="M88" s="63">
        <f>표1[[#This Row],[Accumulated load-unload cycles:]]/표1[[#This Row],[Specified load-unload count over device lifetime:]]</f>
        <v>1.7426966666666666</v>
      </c>
      <c r="N88" s="1" t="str">
        <f>IF(표1[[#This Row],[사용량]]&lt;=60%, "양호", IF(표1[[#This Row],[사용량]]&lt;=70%, "교체 권고", IF(표1[[#This Row],[사용량]]&lt;=80%, "교체", "긴급 교체")))</f>
        <v>긴급 교체</v>
      </c>
    </row>
    <row r="89" spans="1:14" ht="20" customHeight="1">
      <c r="A89" s="11" t="s">
        <v>95</v>
      </c>
      <c r="B89" s="5" t="s">
        <v>13</v>
      </c>
      <c r="C89" s="6" t="s">
        <v>21</v>
      </c>
      <c r="D89" s="6" t="s">
        <v>86</v>
      </c>
      <c r="E89" s="6" t="s">
        <v>82</v>
      </c>
      <c r="F89" s="6" t="s">
        <v>16</v>
      </c>
      <c r="G89" s="6" t="s">
        <v>17</v>
      </c>
      <c r="H89" s="6" t="s">
        <v>24</v>
      </c>
      <c r="I89" s="8">
        <v>300000</v>
      </c>
      <c r="J89" s="8">
        <v>521347</v>
      </c>
      <c r="K89" s="9">
        <v>52119.73</v>
      </c>
      <c r="L89" s="13"/>
      <c r="M89" s="63">
        <f>표1[[#This Row],[Accumulated load-unload cycles:]]/표1[[#This Row],[Specified load-unload count over device lifetime:]]</f>
        <v>1.7378233333333333</v>
      </c>
      <c r="N89" s="1" t="str">
        <f>IF(표1[[#This Row],[사용량]]&lt;=60%, "양호", IF(표1[[#This Row],[사용량]]&lt;=70%, "교체 권고", IF(표1[[#This Row],[사용량]]&lt;=80%, "교체", "긴급 교체")))</f>
        <v>긴급 교체</v>
      </c>
    </row>
    <row r="90" spans="1:14" ht="20" customHeight="1">
      <c r="A90" s="11" t="s">
        <v>96</v>
      </c>
      <c r="B90" s="5" t="s">
        <v>75</v>
      </c>
      <c r="C90" s="8"/>
      <c r="D90" s="6" t="s">
        <v>87</v>
      </c>
      <c r="E90" s="6" t="s">
        <v>88</v>
      </c>
      <c r="F90" s="6" t="s">
        <v>89</v>
      </c>
      <c r="G90" s="6" t="s">
        <v>90</v>
      </c>
      <c r="H90" s="7"/>
      <c r="I90" s="7"/>
      <c r="J90" s="7"/>
      <c r="K90" s="7"/>
      <c r="L90" s="13"/>
      <c r="M90" s="63" t="e">
        <f>표1[[#This Row],[Accumulated load-unload cycles:]]/표1[[#This Row],[Specified load-unload count over device lifetime:]]</f>
        <v>#DIV/0!</v>
      </c>
      <c r="N90" s="1" t="e">
        <f>IF(표1[[#This Row],[사용량]]&lt;=60%, "양호", IF(표1[[#This Row],[사용량]]&lt;=70%, "교체 권고", IF(표1[[#This Row],[사용량]]&lt;=80%, "교체", "긴급 교체")))</f>
        <v>#DIV/0!</v>
      </c>
    </row>
    <row r="91" spans="1:14" ht="20" customHeight="1">
      <c r="A91" s="11" t="s">
        <v>96</v>
      </c>
      <c r="B91" s="5" t="s">
        <v>76</v>
      </c>
      <c r="C91" s="8"/>
      <c r="D91" s="6" t="s">
        <v>87</v>
      </c>
      <c r="E91" s="6" t="s">
        <v>88</v>
      </c>
      <c r="F91" s="6" t="s">
        <v>89</v>
      </c>
      <c r="G91" s="6" t="s">
        <v>90</v>
      </c>
      <c r="H91" s="7"/>
      <c r="I91" s="7"/>
      <c r="J91" s="7"/>
      <c r="K91" s="7"/>
      <c r="L91" s="13"/>
      <c r="M91" s="63" t="e">
        <f>표1[[#This Row],[Accumulated load-unload cycles:]]/표1[[#This Row],[Specified load-unload count over device lifetime:]]</f>
        <v>#DIV/0!</v>
      </c>
      <c r="N91" s="1" t="e">
        <f>IF(표1[[#This Row],[사용량]]&lt;=60%, "양호", IF(표1[[#This Row],[사용량]]&lt;=70%, "교체 권고", IF(표1[[#This Row],[사용량]]&lt;=80%, "교체", "긴급 교체")))</f>
        <v>#DIV/0!</v>
      </c>
    </row>
    <row r="92" spans="1:14" ht="20" customHeight="1">
      <c r="A92" s="11" t="s">
        <v>96</v>
      </c>
      <c r="B92" s="5" t="s">
        <v>13</v>
      </c>
      <c r="C92" s="6" t="s">
        <v>21</v>
      </c>
      <c r="D92" s="6" t="s">
        <v>86</v>
      </c>
      <c r="E92" s="6" t="s">
        <v>82</v>
      </c>
      <c r="F92" s="6" t="s">
        <v>16</v>
      </c>
      <c r="G92" s="6" t="s">
        <v>17</v>
      </c>
      <c r="H92" s="6" t="s">
        <v>24</v>
      </c>
      <c r="I92" s="8">
        <v>300000</v>
      </c>
      <c r="J92" s="8">
        <v>551827</v>
      </c>
      <c r="K92" s="9">
        <v>52122.58</v>
      </c>
      <c r="L92" s="13"/>
      <c r="M92" s="63">
        <f>표1[[#This Row],[Accumulated load-unload cycles:]]/표1[[#This Row],[Specified load-unload count over device lifetime:]]</f>
        <v>1.8394233333333334</v>
      </c>
      <c r="N92" s="1" t="str">
        <f>IF(표1[[#This Row],[사용량]]&lt;=60%, "양호", IF(표1[[#This Row],[사용량]]&lt;=70%, "교체 권고", IF(표1[[#This Row],[사용량]]&lt;=80%, "교체", "긴급 교체")))</f>
        <v>긴급 교체</v>
      </c>
    </row>
    <row r="93" spans="1:14" ht="20" customHeight="1">
      <c r="A93" s="11" t="s">
        <v>96</v>
      </c>
      <c r="B93" s="5" t="s">
        <v>71</v>
      </c>
      <c r="C93" s="6" t="s">
        <v>21</v>
      </c>
      <c r="D93" s="6" t="s">
        <v>86</v>
      </c>
      <c r="E93" s="6" t="s">
        <v>82</v>
      </c>
      <c r="F93" s="6" t="s">
        <v>16</v>
      </c>
      <c r="G93" s="6" t="s">
        <v>17</v>
      </c>
      <c r="H93" s="6" t="s">
        <v>24</v>
      </c>
      <c r="I93" s="8">
        <v>300000</v>
      </c>
      <c r="J93" s="8">
        <v>550553</v>
      </c>
      <c r="K93" s="9">
        <v>52122.720000000001</v>
      </c>
      <c r="L93" s="13"/>
      <c r="M93" s="63">
        <f>표1[[#This Row],[Accumulated load-unload cycles:]]/표1[[#This Row],[Specified load-unload count over device lifetime:]]</f>
        <v>1.8351766666666667</v>
      </c>
      <c r="N93" s="1" t="str">
        <f>IF(표1[[#This Row],[사용량]]&lt;=60%, "양호", IF(표1[[#This Row],[사용량]]&lt;=70%, "교체 권고", IF(표1[[#This Row],[사용량]]&lt;=80%, "교체", "긴급 교체")))</f>
        <v>긴급 교체</v>
      </c>
    </row>
    <row r="94" spans="1:14" ht="20" customHeight="1">
      <c r="A94" s="11" t="s">
        <v>96</v>
      </c>
      <c r="B94" s="5" t="s">
        <v>78</v>
      </c>
      <c r="C94" s="6" t="s">
        <v>21</v>
      </c>
      <c r="D94" s="6" t="s">
        <v>86</v>
      </c>
      <c r="E94" s="6" t="s">
        <v>82</v>
      </c>
      <c r="F94" s="6" t="s">
        <v>16</v>
      </c>
      <c r="G94" s="6" t="s">
        <v>17</v>
      </c>
      <c r="H94" s="6" t="s">
        <v>24</v>
      </c>
      <c r="I94" s="8">
        <v>300000</v>
      </c>
      <c r="J94" s="8">
        <v>550030</v>
      </c>
      <c r="K94" s="9">
        <v>52122.95</v>
      </c>
      <c r="L94" s="13"/>
      <c r="M94" s="63">
        <f>표1[[#This Row],[Accumulated load-unload cycles:]]/표1[[#This Row],[Specified load-unload count over device lifetime:]]</f>
        <v>1.8334333333333332</v>
      </c>
      <c r="N94" s="1" t="str">
        <f>IF(표1[[#This Row],[사용량]]&lt;=60%, "양호", IF(표1[[#This Row],[사용량]]&lt;=70%, "교체 권고", IF(표1[[#This Row],[사용량]]&lt;=80%, "교체", "긴급 교체")))</f>
        <v>긴급 교체</v>
      </c>
    </row>
    <row r="95" spans="1:14" ht="20" customHeight="1">
      <c r="A95" s="11" t="s">
        <v>96</v>
      </c>
      <c r="B95" s="5" t="s">
        <v>74</v>
      </c>
      <c r="C95" s="6" t="s">
        <v>21</v>
      </c>
      <c r="D95" s="6" t="s">
        <v>86</v>
      </c>
      <c r="E95" s="6" t="s">
        <v>82</v>
      </c>
      <c r="F95" s="6" t="s">
        <v>16</v>
      </c>
      <c r="G95" s="6" t="s">
        <v>17</v>
      </c>
      <c r="H95" s="6" t="s">
        <v>24</v>
      </c>
      <c r="I95" s="8">
        <v>300000</v>
      </c>
      <c r="J95" s="8">
        <v>548274</v>
      </c>
      <c r="K95" s="9">
        <v>52123.4</v>
      </c>
      <c r="L95" s="13"/>
      <c r="M95" s="63">
        <f>표1[[#This Row],[Accumulated load-unload cycles:]]/표1[[#This Row],[Specified load-unload count over device lifetime:]]</f>
        <v>1.82758</v>
      </c>
      <c r="N95" s="1" t="str">
        <f>IF(표1[[#This Row],[사용량]]&lt;=60%, "양호", IF(표1[[#This Row],[사용량]]&lt;=70%, "교체 권고", IF(표1[[#This Row],[사용량]]&lt;=80%, "교체", "긴급 교체")))</f>
        <v>긴급 교체</v>
      </c>
    </row>
    <row r="96" spans="1:14" ht="20" customHeight="1">
      <c r="A96" s="11" t="s">
        <v>96</v>
      </c>
      <c r="B96" s="5" t="s">
        <v>77</v>
      </c>
      <c r="C96" s="6" t="s">
        <v>21</v>
      </c>
      <c r="D96" s="6" t="s">
        <v>86</v>
      </c>
      <c r="E96" s="6" t="s">
        <v>82</v>
      </c>
      <c r="F96" s="6" t="s">
        <v>16</v>
      </c>
      <c r="G96" s="6" t="s">
        <v>17</v>
      </c>
      <c r="H96" s="6" t="s">
        <v>24</v>
      </c>
      <c r="I96" s="8">
        <v>300000</v>
      </c>
      <c r="J96" s="8">
        <v>546451</v>
      </c>
      <c r="K96" s="9">
        <v>52122.43</v>
      </c>
      <c r="L96" s="13"/>
      <c r="M96" s="63">
        <f>표1[[#This Row],[Accumulated load-unload cycles:]]/표1[[#This Row],[Specified load-unload count over device lifetime:]]</f>
        <v>1.8215033333333333</v>
      </c>
      <c r="N96" s="1" t="str">
        <f>IF(표1[[#This Row],[사용량]]&lt;=60%, "양호", IF(표1[[#This Row],[사용량]]&lt;=70%, "교체 권고", IF(표1[[#This Row],[사용량]]&lt;=80%, "교체", "긴급 교체")))</f>
        <v>긴급 교체</v>
      </c>
    </row>
    <row r="97" spans="1:14" ht="20" customHeight="1">
      <c r="A97" s="11" t="s">
        <v>96</v>
      </c>
      <c r="B97" s="5" t="s">
        <v>18</v>
      </c>
      <c r="C97" s="6" t="s">
        <v>21</v>
      </c>
      <c r="D97" s="6" t="s">
        <v>86</v>
      </c>
      <c r="E97" s="6" t="s">
        <v>82</v>
      </c>
      <c r="F97" s="6" t="s">
        <v>16</v>
      </c>
      <c r="G97" s="6" t="s">
        <v>17</v>
      </c>
      <c r="H97" s="6" t="s">
        <v>24</v>
      </c>
      <c r="I97" s="8">
        <v>300000</v>
      </c>
      <c r="J97" s="8">
        <v>545753</v>
      </c>
      <c r="K97" s="9">
        <v>52122.67</v>
      </c>
      <c r="L97" s="13"/>
      <c r="M97" s="63">
        <f>표1[[#This Row],[Accumulated load-unload cycles:]]/표1[[#This Row],[Specified load-unload count over device lifetime:]]</f>
        <v>1.8191766666666667</v>
      </c>
      <c r="N97" s="1" t="str">
        <f>IF(표1[[#This Row],[사용량]]&lt;=60%, "양호", IF(표1[[#This Row],[사용량]]&lt;=70%, "교체 권고", IF(표1[[#This Row],[사용량]]&lt;=80%, "교체", "긴급 교체")))</f>
        <v>긴급 교체</v>
      </c>
    </row>
    <row r="98" spans="1:14" ht="20" customHeight="1">
      <c r="A98" s="11" t="s">
        <v>96</v>
      </c>
      <c r="B98" s="5" t="s">
        <v>93</v>
      </c>
      <c r="C98" s="6" t="s">
        <v>21</v>
      </c>
      <c r="D98" s="6" t="s">
        <v>86</v>
      </c>
      <c r="E98" s="6" t="s">
        <v>82</v>
      </c>
      <c r="F98" s="6" t="s">
        <v>16</v>
      </c>
      <c r="G98" s="6" t="s">
        <v>17</v>
      </c>
      <c r="H98" s="6" t="s">
        <v>24</v>
      </c>
      <c r="I98" s="8">
        <v>300000</v>
      </c>
      <c r="J98" s="8">
        <v>543619</v>
      </c>
      <c r="K98" s="9">
        <v>52122.720000000001</v>
      </c>
      <c r="L98" s="13"/>
      <c r="M98" s="63">
        <f>표1[[#This Row],[Accumulated load-unload cycles:]]/표1[[#This Row],[Specified load-unload count over device lifetime:]]</f>
        <v>1.8120633333333334</v>
      </c>
      <c r="N98" s="1" t="str">
        <f>IF(표1[[#This Row],[사용량]]&lt;=60%, "양호", IF(표1[[#This Row],[사용량]]&lt;=70%, "교체 권고", IF(표1[[#This Row],[사용량]]&lt;=80%, "교체", "긴급 교체")))</f>
        <v>긴급 교체</v>
      </c>
    </row>
    <row r="99" spans="1:14" ht="20" customHeight="1">
      <c r="A99" s="11" t="s">
        <v>96</v>
      </c>
      <c r="B99" s="5" t="s">
        <v>73</v>
      </c>
      <c r="C99" s="6" t="s">
        <v>21</v>
      </c>
      <c r="D99" s="6" t="s">
        <v>86</v>
      </c>
      <c r="E99" s="6" t="s">
        <v>82</v>
      </c>
      <c r="F99" s="6" t="s">
        <v>16</v>
      </c>
      <c r="G99" s="6" t="s">
        <v>17</v>
      </c>
      <c r="H99" s="6" t="s">
        <v>24</v>
      </c>
      <c r="I99" s="8">
        <v>300000</v>
      </c>
      <c r="J99" s="8">
        <v>542498</v>
      </c>
      <c r="K99" s="9">
        <v>52122.62</v>
      </c>
      <c r="L99" s="13"/>
      <c r="M99" s="63">
        <f>표1[[#This Row],[Accumulated load-unload cycles:]]/표1[[#This Row],[Specified load-unload count over device lifetime:]]</f>
        <v>1.8083266666666666</v>
      </c>
      <c r="N99" s="1" t="str">
        <f>IF(표1[[#This Row],[사용량]]&lt;=60%, "양호", IF(표1[[#This Row],[사용량]]&lt;=70%, "교체 권고", IF(표1[[#This Row],[사용량]]&lt;=80%, "교체", "긴급 교체")))</f>
        <v>긴급 교체</v>
      </c>
    </row>
    <row r="100" spans="1:14" ht="20" customHeight="1">
      <c r="A100" s="11" t="s">
        <v>97</v>
      </c>
      <c r="B100" s="5" t="s">
        <v>18</v>
      </c>
      <c r="C100" s="8"/>
      <c r="D100" s="6" t="s">
        <v>87</v>
      </c>
      <c r="E100" s="6" t="s">
        <v>88</v>
      </c>
      <c r="F100" s="6" t="s">
        <v>89</v>
      </c>
      <c r="G100" s="6" t="s">
        <v>90</v>
      </c>
      <c r="H100" s="7"/>
      <c r="I100" s="7"/>
      <c r="J100" s="7"/>
      <c r="K100" s="7"/>
      <c r="L100" s="13"/>
      <c r="M100" s="63" t="e">
        <f>표1[[#This Row],[Accumulated load-unload cycles:]]/표1[[#This Row],[Specified load-unload count over device lifetime:]]</f>
        <v>#DIV/0!</v>
      </c>
      <c r="N100" s="1" t="e">
        <f>IF(표1[[#This Row],[사용량]]&lt;=60%, "양호", IF(표1[[#This Row],[사용량]]&lt;=70%, "교체 권고", IF(표1[[#This Row],[사용량]]&lt;=80%, "교체", "긴급 교체")))</f>
        <v>#DIV/0!</v>
      </c>
    </row>
    <row r="101" spans="1:14" ht="20" customHeight="1">
      <c r="A101" s="11" t="s">
        <v>97</v>
      </c>
      <c r="B101" s="5" t="s">
        <v>71</v>
      </c>
      <c r="C101" s="8"/>
      <c r="D101" s="6" t="s">
        <v>87</v>
      </c>
      <c r="E101" s="6" t="s">
        <v>88</v>
      </c>
      <c r="F101" s="6" t="s">
        <v>89</v>
      </c>
      <c r="G101" s="6" t="s">
        <v>90</v>
      </c>
      <c r="H101" s="7"/>
      <c r="I101" s="7"/>
      <c r="J101" s="7"/>
      <c r="K101" s="7"/>
      <c r="L101" s="13"/>
      <c r="M101" s="63" t="e">
        <f>표1[[#This Row],[Accumulated load-unload cycles:]]/표1[[#This Row],[Specified load-unload count over device lifetime:]]</f>
        <v>#DIV/0!</v>
      </c>
      <c r="N101" s="1" t="e">
        <f>IF(표1[[#This Row],[사용량]]&lt;=60%, "양호", IF(표1[[#This Row],[사용량]]&lt;=70%, "교체 권고", IF(표1[[#This Row],[사용량]]&lt;=80%, "교체", "긴급 교체")))</f>
        <v>#DIV/0!</v>
      </c>
    </row>
    <row r="102" spans="1:14" ht="20" customHeight="1">
      <c r="A102" s="11" t="s">
        <v>97</v>
      </c>
      <c r="B102" s="5" t="s">
        <v>74</v>
      </c>
      <c r="C102" s="6" t="s">
        <v>21</v>
      </c>
      <c r="D102" s="6" t="s">
        <v>86</v>
      </c>
      <c r="E102" s="6" t="s">
        <v>82</v>
      </c>
      <c r="F102" s="6" t="s">
        <v>16</v>
      </c>
      <c r="G102" s="6" t="s">
        <v>17</v>
      </c>
      <c r="H102" s="6" t="s">
        <v>24</v>
      </c>
      <c r="I102" s="8">
        <v>300000</v>
      </c>
      <c r="J102" s="8">
        <v>578157</v>
      </c>
      <c r="K102" s="9">
        <v>52119.63</v>
      </c>
      <c r="L102" s="13"/>
      <c r="M102" s="63">
        <f>표1[[#This Row],[Accumulated load-unload cycles:]]/표1[[#This Row],[Specified load-unload count over device lifetime:]]</f>
        <v>1.92719</v>
      </c>
      <c r="N102" s="1" t="str">
        <f>IF(표1[[#This Row],[사용량]]&lt;=60%, "양호", IF(표1[[#This Row],[사용량]]&lt;=70%, "교체 권고", IF(표1[[#This Row],[사용량]]&lt;=80%, "교체", "긴급 교체")))</f>
        <v>긴급 교체</v>
      </c>
    </row>
    <row r="103" spans="1:14" ht="20" customHeight="1">
      <c r="A103" s="11" t="s">
        <v>97</v>
      </c>
      <c r="B103" s="5" t="s">
        <v>76</v>
      </c>
      <c r="C103" s="6" t="s">
        <v>21</v>
      </c>
      <c r="D103" s="6" t="s">
        <v>86</v>
      </c>
      <c r="E103" s="6" t="s">
        <v>82</v>
      </c>
      <c r="F103" s="6" t="s">
        <v>16</v>
      </c>
      <c r="G103" s="6" t="s">
        <v>17</v>
      </c>
      <c r="H103" s="6" t="s">
        <v>24</v>
      </c>
      <c r="I103" s="8">
        <v>300000</v>
      </c>
      <c r="J103" s="8">
        <v>576981</v>
      </c>
      <c r="K103" s="9">
        <v>52119.7</v>
      </c>
      <c r="L103" s="13"/>
      <c r="M103" s="63">
        <f>표1[[#This Row],[Accumulated load-unload cycles:]]/표1[[#This Row],[Specified load-unload count over device lifetime:]]</f>
        <v>1.92327</v>
      </c>
      <c r="N103" s="1" t="str">
        <f>IF(표1[[#This Row],[사용량]]&lt;=60%, "양호", IF(표1[[#This Row],[사용량]]&lt;=70%, "교체 권고", IF(표1[[#This Row],[사용량]]&lt;=80%, "교체", "긴급 교체")))</f>
        <v>긴급 교체</v>
      </c>
    </row>
    <row r="104" spans="1:14" ht="20" customHeight="1">
      <c r="A104" s="11" t="s">
        <v>97</v>
      </c>
      <c r="B104" s="5" t="s">
        <v>13</v>
      </c>
      <c r="C104" s="6" t="s">
        <v>21</v>
      </c>
      <c r="D104" s="6" t="s">
        <v>86</v>
      </c>
      <c r="E104" s="6" t="s">
        <v>82</v>
      </c>
      <c r="F104" s="6" t="s">
        <v>16</v>
      </c>
      <c r="G104" s="6" t="s">
        <v>17</v>
      </c>
      <c r="H104" s="6" t="s">
        <v>24</v>
      </c>
      <c r="I104" s="8">
        <v>300000</v>
      </c>
      <c r="J104" s="8">
        <v>575946</v>
      </c>
      <c r="K104" s="9">
        <v>52119.5</v>
      </c>
      <c r="L104" s="13"/>
      <c r="M104" s="63">
        <f>표1[[#This Row],[Accumulated load-unload cycles:]]/표1[[#This Row],[Specified load-unload count over device lifetime:]]</f>
        <v>1.9198200000000001</v>
      </c>
      <c r="N104" s="1" t="str">
        <f>IF(표1[[#This Row],[사용량]]&lt;=60%, "양호", IF(표1[[#This Row],[사용량]]&lt;=70%, "교체 권고", IF(표1[[#This Row],[사용량]]&lt;=80%, "교체", "긴급 교체")))</f>
        <v>긴급 교체</v>
      </c>
    </row>
    <row r="105" spans="1:14" ht="20" customHeight="1">
      <c r="A105" s="11" t="s">
        <v>97</v>
      </c>
      <c r="B105" s="5" t="s">
        <v>75</v>
      </c>
      <c r="C105" s="6" t="s">
        <v>21</v>
      </c>
      <c r="D105" s="6" t="s">
        <v>86</v>
      </c>
      <c r="E105" s="6" t="s">
        <v>82</v>
      </c>
      <c r="F105" s="6" t="s">
        <v>16</v>
      </c>
      <c r="G105" s="6" t="s">
        <v>17</v>
      </c>
      <c r="H105" s="6" t="s">
        <v>24</v>
      </c>
      <c r="I105" s="8">
        <v>300000</v>
      </c>
      <c r="J105" s="8">
        <v>572471</v>
      </c>
      <c r="K105" s="9">
        <v>52119.55</v>
      </c>
      <c r="L105" s="13"/>
      <c r="M105" s="63">
        <f>표1[[#This Row],[Accumulated load-unload cycles:]]/표1[[#This Row],[Specified load-unload count over device lifetime:]]</f>
        <v>1.9082366666666666</v>
      </c>
      <c r="N105" s="1" t="str">
        <f>IF(표1[[#This Row],[사용량]]&lt;=60%, "양호", IF(표1[[#This Row],[사용량]]&lt;=70%, "교체 권고", IF(표1[[#This Row],[사용량]]&lt;=80%, "교체", "긴급 교체")))</f>
        <v>긴급 교체</v>
      </c>
    </row>
    <row r="106" spans="1:14" ht="20" customHeight="1">
      <c r="A106" s="11" t="s">
        <v>97</v>
      </c>
      <c r="B106" s="5" t="s">
        <v>77</v>
      </c>
      <c r="C106" s="6" t="s">
        <v>21</v>
      </c>
      <c r="D106" s="6" t="s">
        <v>86</v>
      </c>
      <c r="E106" s="6" t="s">
        <v>82</v>
      </c>
      <c r="F106" s="6" t="s">
        <v>16</v>
      </c>
      <c r="G106" s="6" t="s">
        <v>17</v>
      </c>
      <c r="H106" s="6" t="s">
        <v>24</v>
      </c>
      <c r="I106" s="8">
        <v>300000</v>
      </c>
      <c r="J106" s="8">
        <v>569016</v>
      </c>
      <c r="K106" s="9">
        <v>52119.67</v>
      </c>
      <c r="L106" s="13"/>
      <c r="M106" s="63">
        <f>표1[[#This Row],[Accumulated load-unload cycles:]]/표1[[#This Row],[Specified load-unload count over device lifetime:]]</f>
        <v>1.89672</v>
      </c>
      <c r="N106" s="1" t="str">
        <f>IF(표1[[#This Row],[사용량]]&lt;=60%, "양호", IF(표1[[#This Row],[사용량]]&lt;=70%, "교체 권고", IF(표1[[#This Row],[사용량]]&lt;=80%, "교체", "긴급 교체")))</f>
        <v>긴급 교체</v>
      </c>
    </row>
    <row r="107" spans="1:14" ht="20" customHeight="1">
      <c r="A107" s="11" t="s">
        <v>97</v>
      </c>
      <c r="B107" s="5" t="s">
        <v>73</v>
      </c>
      <c r="C107" s="6" t="s">
        <v>21</v>
      </c>
      <c r="D107" s="6" t="s">
        <v>86</v>
      </c>
      <c r="E107" s="6" t="s">
        <v>82</v>
      </c>
      <c r="F107" s="6" t="s">
        <v>16</v>
      </c>
      <c r="G107" s="6" t="s">
        <v>17</v>
      </c>
      <c r="H107" s="6" t="s">
        <v>24</v>
      </c>
      <c r="I107" s="8">
        <v>300000</v>
      </c>
      <c r="J107" s="8">
        <v>567055</v>
      </c>
      <c r="K107" s="9">
        <v>52119.519999999997</v>
      </c>
      <c r="L107" s="13"/>
      <c r="M107" s="63">
        <f>표1[[#This Row],[Accumulated load-unload cycles:]]/표1[[#This Row],[Specified load-unload count over device lifetime:]]</f>
        <v>1.8901833333333333</v>
      </c>
      <c r="N107" s="1" t="str">
        <f>IF(표1[[#This Row],[사용량]]&lt;=60%, "양호", IF(표1[[#This Row],[사용량]]&lt;=70%, "교체 권고", IF(표1[[#This Row],[사용량]]&lt;=80%, "교체", "긴급 교체")))</f>
        <v>긴급 교체</v>
      </c>
    </row>
    <row r="108" spans="1:14" ht="20" customHeight="1">
      <c r="A108" s="11" t="s">
        <v>97</v>
      </c>
      <c r="B108" s="5" t="s">
        <v>93</v>
      </c>
      <c r="C108" s="6" t="s">
        <v>21</v>
      </c>
      <c r="D108" s="6" t="s">
        <v>86</v>
      </c>
      <c r="E108" s="6" t="s">
        <v>82</v>
      </c>
      <c r="F108" s="6" t="s">
        <v>16</v>
      </c>
      <c r="G108" s="6" t="s">
        <v>17</v>
      </c>
      <c r="H108" s="6" t="s">
        <v>24</v>
      </c>
      <c r="I108" s="8">
        <v>300000</v>
      </c>
      <c r="J108" s="8">
        <v>566124</v>
      </c>
      <c r="K108" s="9">
        <v>52119.48</v>
      </c>
      <c r="L108" s="13"/>
      <c r="M108" s="63">
        <f>표1[[#This Row],[Accumulated load-unload cycles:]]/표1[[#This Row],[Specified load-unload count over device lifetime:]]</f>
        <v>1.8870800000000001</v>
      </c>
      <c r="N108" s="1" t="str">
        <f>IF(표1[[#This Row],[사용량]]&lt;=60%, "양호", IF(표1[[#This Row],[사용량]]&lt;=70%, "교체 권고", IF(표1[[#This Row],[사용량]]&lt;=80%, "교체", "긴급 교체")))</f>
        <v>긴급 교체</v>
      </c>
    </row>
    <row r="109" spans="1:14" ht="20" customHeight="1">
      <c r="A109" s="11" t="s">
        <v>97</v>
      </c>
      <c r="B109" s="5" t="s">
        <v>78</v>
      </c>
      <c r="C109" s="6" t="s">
        <v>21</v>
      </c>
      <c r="D109" s="6" t="s">
        <v>86</v>
      </c>
      <c r="E109" s="6" t="s">
        <v>82</v>
      </c>
      <c r="F109" s="6" t="s">
        <v>16</v>
      </c>
      <c r="G109" s="6" t="s">
        <v>17</v>
      </c>
      <c r="H109" s="6" t="s">
        <v>24</v>
      </c>
      <c r="I109" s="8">
        <v>300000</v>
      </c>
      <c r="J109" s="8">
        <v>566084</v>
      </c>
      <c r="K109" s="9">
        <v>52119.6</v>
      </c>
      <c r="L109" s="13"/>
      <c r="M109" s="63">
        <f>표1[[#This Row],[Accumulated load-unload cycles:]]/표1[[#This Row],[Specified load-unload count over device lifetime:]]</f>
        <v>1.8869466666666668</v>
      </c>
      <c r="N109" s="1" t="str">
        <f>IF(표1[[#This Row],[사용량]]&lt;=60%, "양호", IF(표1[[#This Row],[사용량]]&lt;=70%, "교체 권고", IF(표1[[#This Row],[사용량]]&lt;=80%, "교체", "긴급 교체")))</f>
        <v>긴급 교체</v>
      </c>
    </row>
    <row r="110" spans="1:14" ht="20" customHeight="1">
      <c r="A110" s="11" t="s">
        <v>98</v>
      </c>
      <c r="B110" s="5" t="s">
        <v>73</v>
      </c>
      <c r="C110" s="8"/>
      <c r="D110" s="6" t="s">
        <v>87</v>
      </c>
      <c r="E110" s="6" t="s">
        <v>88</v>
      </c>
      <c r="F110" s="6" t="s">
        <v>89</v>
      </c>
      <c r="G110" s="6" t="s">
        <v>90</v>
      </c>
      <c r="H110" s="7"/>
      <c r="I110" s="7"/>
      <c r="J110" s="7"/>
      <c r="K110" s="7"/>
      <c r="L110" s="13"/>
      <c r="M110" s="63" t="e">
        <f>표1[[#This Row],[Accumulated load-unload cycles:]]/표1[[#This Row],[Specified load-unload count over device lifetime:]]</f>
        <v>#DIV/0!</v>
      </c>
      <c r="N110" s="1" t="e">
        <f>IF(표1[[#This Row],[사용량]]&lt;=60%, "양호", IF(표1[[#This Row],[사용량]]&lt;=70%, "교체 권고", IF(표1[[#This Row],[사용량]]&lt;=80%, "교체", "긴급 교체")))</f>
        <v>#DIV/0!</v>
      </c>
    </row>
    <row r="111" spans="1:14" ht="20" customHeight="1">
      <c r="A111" s="11" t="s">
        <v>98</v>
      </c>
      <c r="B111" s="5" t="s">
        <v>74</v>
      </c>
      <c r="C111" s="8"/>
      <c r="D111" s="6" t="s">
        <v>87</v>
      </c>
      <c r="E111" s="6" t="s">
        <v>88</v>
      </c>
      <c r="F111" s="6" t="s">
        <v>89</v>
      </c>
      <c r="G111" s="6" t="s">
        <v>90</v>
      </c>
      <c r="H111" s="7"/>
      <c r="I111" s="7"/>
      <c r="J111" s="7"/>
      <c r="K111" s="7"/>
      <c r="L111" s="13"/>
      <c r="M111" s="63" t="e">
        <f>표1[[#This Row],[Accumulated load-unload cycles:]]/표1[[#This Row],[Specified load-unload count over device lifetime:]]</f>
        <v>#DIV/0!</v>
      </c>
      <c r="N111" s="1" t="e">
        <f>IF(표1[[#This Row],[사용량]]&lt;=60%, "양호", IF(표1[[#This Row],[사용량]]&lt;=70%, "교체 권고", IF(표1[[#This Row],[사용량]]&lt;=80%, "교체", "긴급 교체")))</f>
        <v>#DIV/0!</v>
      </c>
    </row>
    <row r="112" spans="1:14" ht="20" customHeight="1">
      <c r="A112" s="11" t="s">
        <v>98</v>
      </c>
      <c r="B112" s="5" t="s">
        <v>71</v>
      </c>
      <c r="C112" s="6" t="s">
        <v>21</v>
      </c>
      <c r="D112" s="6" t="s">
        <v>86</v>
      </c>
      <c r="E112" s="6" t="s">
        <v>82</v>
      </c>
      <c r="F112" s="6" t="s">
        <v>16</v>
      </c>
      <c r="G112" s="6" t="s">
        <v>17</v>
      </c>
      <c r="H112" s="6" t="s">
        <v>24</v>
      </c>
      <c r="I112" s="8">
        <v>300000</v>
      </c>
      <c r="J112" s="8">
        <v>577897</v>
      </c>
      <c r="K112" s="9">
        <v>52123.57</v>
      </c>
      <c r="L112" s="13"/>
      <c r="M112" s="63">
        <f>표1[[#This Row],[Accumulated load-unload cycles:]]/표1[[#This Row],[Specified load-unload count over device lifetime:]]</f>
        <v>1.9263233333333334</v>
      </c>
      <c r="N112" s="1" t="str">
        <f>IF(표1[[#This Row],[사용량]]&lt;=60%, "양호", IF(표1[[#This Row],[사용량]]&lt;=70%, "교체 권고", IF(표1[[#This Row],[사용량]]&lt;=80%, "교체", "긴급 교체")))</f>
        <v>긴급 교체</v>
      </c>
    </row>
    <row r="113" spans="1:14" ht="20" customHeight="1">
      <c r="A113" s="11" t="s">
        <v>98</v>
      </c>
      <c r="B113" s="5" t="s">
        <v>77</v>
      </c>
      <c r="C113" s="6" t="s">
        <v>21</v>
      </c>
      <c r="D113" s="6" t="s">
        <v>86</v>
      </c>
      <c r="E113" s="6" t="s">
        <v>82</v>
      </c>
      <c r="F113" s="6" t="s">
        <v>16</v>
      </c>
      <c r="G113" s="6" t="s">
        <v>17</v>
      </c>
      <c r="H113" s="6" t="s">
        <v>24</v>
      </c>
      <c r="I113" s="8">
        <v>300000</v>
      </c>
      <c r="J113" s="8">
        <v>576878</v>
      </c>
      <c r="K113" s="9">
        <v>52122.63</v>
      </c>
      <c r="L113" s="13"/>
      <c r="M113" s="63">
        <f>표1[[#This Row],[Accumulated load-unload cycles:]]/표1[[#This Row],[Specified load-unload count over device lifetime:]]</f>
        <v>1.9229266666666667</v>
      </c>
      <c r="N113" s="1" t="str">
        <f>IF(표1[[#This Row],[사용량]]&lt;=60%, "양호", IF(표1[[#This Row],[사용량]]&lt;=70%, "교체 권고", IF(표1[[#This Row],[사용량]]&lt;=80%, "교체", "긴급 교체")))</f>
        <v>긴급 교체</v>
      </c>
    </row>
    <row r="114" spans="1:14" ht="20" customHeight="1">
      <c r="A114" s="11" t="s">
        <v>98</v>
      </c>
      <c r="B114" s="5" t="s">
        <v>78</v>
      </c>
      <c r="C114" s="6" t="s">
        <v>21</v>
      </c>
      <c r="D114" s="6" t="s">
        <v>86</v>
      </c>
      <c r="E114" s="6" t="s">
        <v>82</v>
      </c>
      <c r="F114" s="6" t="s">
        <v>16</v>
      </c>
      <c r="G114" s="6" t="s">
        <v>17</v>
      </c>
      <c r="H114" s="6" t="s">
        <v>24</v>
      </c>
      <c r="I114" s="8">
        <v>300000</v>
      </c>
      <c r="J114" s="8">
        <v>573403</v>
      </c>
      <c r="K114" s="9">
        <v>52123.07</v>
      </c>
      <c r="L114" s="13"/>
      <c r="M114" s="63">
        <f>표1[[#This Row],[Accumulated load-unload cycles:]]/표1[[#This Row],[Specified load-unload count over device lifetime:]]</f>
        <v>1.9113433333333334</v>
      </c>
      <c r="N114" s="1" t="str">
        <f>IF(표1[[#This Row],[사용량]]&lt;=60%, "양호", IF(표1[[#This Row],[사용량]]&lt;=70%, "교체 권고", IF(표1[[#This Row],[사용량]]&lt;=80%, "교체", "긴급 교체")))</f>
        <v>긴급 교체</v>
      </c>
    </row>
    <row r="115" spans="1:14" ht="20" customHeight="1">
      <c r="A115" s="11" t="s">
        <v>98</v>
      </c>
      <c r="B115" s="5" t="s">
        <v>93</v>
      </c>
      <c r="C115" s="6" t="s">
        <v>21</v>
      </c>
      <c r="D115" s="6" t="s">
        <v>86</v>
      </c>
      <c r="E115" s="6" t="s">
        <v>82</v>
      </c>
      <c r="F115" s="6" t="s">
        <v>16</v>
      </c>
      <c r="G115" s="6" t="s">
        <v>17</v>
      </c>
      <c r="H115" s="6" t="s">
        <v>24</v>
      </c>
      <c r="I115" s="8">
        <v>300000</v>
      </c>
      <c r="J115" s="8">
        <v>571331</v>
      </c>
      <c r="K115" s="9">
        <v>52122.9</v>
      </c>
      <c r="L115" s="13"/>
      <c r="M115" s="63">
        <f>표1[[#This Row],[Accumulated load-unload cycles:]]/표1[[#This Row],[Specified load-unload count over device lifetime:]]</f>
        <v>1.9044366666666668</v>
      </c>
      <c r="N115" s="1" t="str">
        <f>IF(표1[[#This Row],[사용량]]&lt;=60%, "양호", IF(표1[[#This Row],[사용량]]&lt;=70%, "교체 권고", IF(표1[[#This Row],[사용량]]&lt;=80%, "교체", "긴급 교체")))</f>
        <v>긴급 교체</v>
      </c>
    </row>
    <row r="116" spans="1:14" ht="20" customHeight="1">
      <c r="A116" s="11" t="s">
        <v>98</v>
      </c>
      <c r="B116" s="5" t="s">
        <v>18</v>
      </c>
      <c r="C116" s="64" t="s">
        <v>21</v>
      </c>
      <c r="D116" s="6" t="s">
        <v>86</v>
      </c>
      <c r="E116" s="6" t="s">
        <v>82</v>
      </c>
      <c r="F116" s="6" t="s">
        <v>16</v>
      </c>
      <c r="G116" s="6" t="s">
        <v>17</v>
      </c>
      <c r="H116" s="6" t="s">
        <v>24</v>
      </c>
      <c r="I116" s="8">
        <v>300000</v>
      </c>
      <c r="J116" s="8">
        <v>569601</v>
      </c>
      <c r="K116" s="9">
        <v>51999.15</v>
      </c>
      <c r="L116" s="13"/>
      <c r="M116" s="63">
        <f>표1[[#This Row],[Accumulated load-unload cycles:]]/표1[[#This Row],[Specified load-unload count over device lifetime:]]</f>
        <v>1.8986700000000001</v>
      </c>
      <c r="N116" s="1" t="str">
        <f>IF(표1[[#This Row],[사용량]]&lt;=60%, "양호", IF(표1[[#This Row],[사용량]]&lt;=70%, "교체 권고", IF(표1[[#This Row],[사용량]]&lt;=80%, "교체", "긴급 교체")))</f>
        <v>긴급 교체</v>
      </c>
    </row>
    <row r="117" spans="1:14" ht="20" customHeight="1">
      <c r="A117" s="11" t="s">
        <v>98</v>
      </c>
      <c r="B117" s="5" t="s">
        <v>75</v>
      </c>
      <c r="C117" s="64" t="s">
        <v>21</v>
      </c>
      <c r="D117" s="6" t="s">
        <v>86</v>
      </c>
      <c r="E117" s="6" t="s">
        <v>82</v>
      </c>
      <c r="F117" s="6" t="s">
        <v>16</v>
      </c>
      <c r="G117" s="6" t="s">
        <v>17</v>
      </c>
      <c r="H117" s="6" t="s">
        <v>24</v>
      </c>
      <c r="I117" s="8">
        <v>300000</v>
      </c>
      <c r="J117" s="8">
        <v>569176</v>
      </c>
      <c r="K117" s="9">
        <v>52125.03</v>
      </c>
      <c r="L117" s="13"/>
      <c r="M117" s="63">
        <f>표1[[#This Row],[Accumulated load-unload cycles:]]/표1[[#This Row],[Specified load-unload count over device lifetime:]]</f>
        <v>1.8972533333333332</v>
      </c>
      <c r="N117" s="1" t="str">
        <f>IF(표1[[#This Row],[사용량]]&lt;=60%, "양호", IF(표1[[#This Row],[사용량]]&lt;=70%, "교체 권고", IF(표1[[#This Row],[사용량]]&lt;=80%, "교체", "긴급 교체")))</f>
        <v>긴급 교체</v>
      </c>
    </row>
    <row r="118" spans="1:14" ht="20" customHeight="1">
      <c r="A118" s="11" t="s">
        <v>98</v>
      </c>
      <c r="B118" s="5" t="s">
        <v>76</v>
      </c>
      <c r="C118" s="6" t="s">
        <v>21</v>
      </c>
      <c r="D118" s="6" t="s">
        <v>86</v>
      </c>
      <c r="E118" s="6" t="s">
        <v>82</v>
      </c>
      <c r="F118" s="6" t="s">
        <v>16</v>
      </c>
      <c r="G118" s="6" t="s">
        <v>17</v>
      </c>
      <c r="H118" s="6" t="s">
        <v>24</v>
      </c>
      <c r="I118" s="8">
        <v>300000</v>
      </c>
      <c r="J118" s="8">
        <v>566949</v>
      </c>
      <c r="K118" s="9">
        <v>52122.63</v>
      </c>
      <c r="L118" s="13"/>
      <c r="M118" s="63">
        <f>표1[[#This Row],[Accumulated load-unload cycles:]]/표1[[#This Row],[Specified load-unload count over device lifetime:]]</f>
        <v>1.8898299999999999</v>
      </c>
      <c r="N118" s="1" t="str">
        <f>IF(표1[[#This Row],[사용량]]&lt;=60%, "양호", IF(표1[[#This Row],[사용량]]&lt;=70%, "교체 권고", IF(표1[[#This Row],[사용량]]&lt;=80%, "교체", "긴급 교체")))</f>
        <v>긴급 교체</v>
      </c>
    </row>
    <row r="119" spans="1:14" ht="20" customHeight="1">
      <c r="A119" s="11" t="s">
        <v>98</v>
      </c>
      <c r="B119" s="5" t="s">
        <v>13</v>
      </c>
      <c r="C119" s="6" t="s">
        <v>21</v>
      </c>
      <c r="D119" s="6" t="s">
        <v>86</v>
      </c>
      <c r="E119" s="6" t="s">
        <v>82</v>
      </c>
      <c r="F119" s="6" t="s">
        <v>16</v>
      </c>
      <c r="G119" s="6" t="s">
        <v>17</v>
      </c>
      <c r="H119" s="6" t="s">
        <v>24</v>
      </c>
      <c r="I119" s="8">
        <v>300000</v>
      </c>
      <c r="J119" s="8">
        <v>565089</v>
      </c>
      <c r="K119" s="9">
        <v>52122.8</v>
      </c>
      <c r="L119" s="13"/>
      <c r="M119" s="63">
        <f>표1[[#This Row],[Accumulated load-unload cycles:]]/표1[[#This Row],[Specified load-unload count over device lifetime:]]</f>
        <v>1.8836299999999999</v>
      </c>
      <c r="N119" s="1" t="str">
        <f>IF(표1[[#This Row],[사용량]]&lt;=60%, "양호", IF(표1[[#This Row],[사용량]]&lt;=70%, "교체 권고", IF(표1[[#This Row],[사용량]]&lt;=80%, "교체", "긴급 교체")))</f>
        <v>긴급 교체</v>
      </c>
    </row>
    <row r="120" spans="1:14" ht="20" customHeight="1">
      <c r="A120" s="11" t="s">
        <v>99</v>
      </c>
      <c r="B120" s="5" t="s">
        <v>18</v>
      </c>
      <c r="C120" s="8"/>
      <c r="D120" s="6" t="s">
        <v>87</v>
      </c>
      <c r="E120" s="6" t="s">
        <v>88</v>
      </c>
      <c r="F120" s="6" t="s">
        <v>89</v>
      </c>
      <c r="G120" s="6" t="s">
        <v>90</v>
      </c>
      <c r="H120" s="7"/>
      <c r="I120" s="7"/>
      <c r="J120" s="7"/>
      <c r="K120" s="7"/>
      <c r="L120" s="13"/>
      <c r="M120" s="63" t="e">
        <f>표1[[#This Row],[Accumulated load-unload cycles:]]/표1[[#This Row],[Specified load-unload count over device lifetime:]]</f>
        <v>#DIV/0!</v>
      </c>
      <c r="N120" s="1" t="e">
        <f>IF(표1[[#This Row],[사용량]]&lt;=60%, "양호", IF(표1[[#This Row],[사용량]]&lt;=70%, "교체 권고", IF(표1[[#This Row],[사용량]]&lt;=80%, "교체", "긴급 교체")))</f>
        <v>#DIV/0!</v>
      </c>
    </row>
    <row r="121" spans="1:14" ht="20" customHeight="1">
      <c r="A121" s="11" t="s">
        <v>99</v>
      </c>
      <c r="B121" s="5" t="s">
        <v>71</v>
      </c>
      <c r="C121" s="8"/>
      <c r="D121" s="6" t="s">
        <v>87</v>
      </c>
      <c r="E121" s="6" t="s">
        <v>88</v>
      </c>
      <c r="F121" s="6" t="s">
        <v>89</v>
      </c>
      <c r="G121" s="6" t="s">
        <v>90</v>
      </c>
      <c r="H121" s="7"/>
      <c r="I121" s="7"/>
      <c r="J121" s="7"/>
      <c r="K121" s="7"/>
      <c r="L121" s="13"/>
      <c r="M121" s="63" t="e">
        <f>표1[[#This Row],[Accumulated load-unload cycles:]]/표1[[#This Row],[Specified load-unload count over device lifetime:]]</f>
        <v>#DIV/0!</v>
      </c>
      <c r="N121" s="1" t="e">
        <f>IF(표1[[#This Row],[사용량]]&lt;=60%, "양호", IF(표1[[#This Row],[사용량]]&lt;=70%, "교체 권고", IF(표1[[#This Row],[사용량]]&lt;=80%, "교체", "긴급 교체")))</f>
        <v>#DIV/0!</v>
      </c>
    </row>
    <row r="122" spans="1:14" ht="20" customHeight="1">
      <c r="A122" s="11" t="s">
        <v>99</v>
      </c>
      <c r="B122" s="5" t="s">
        <v>78</v>
      </c>
      <c r="C122" s="6" t="s">
        <v>21</v>
      </c>
      <c r="D122" s="6" t="s">
        <v>86</v>
      </c>
      <c r="E122" s="6" t="s">
        <v>82</v>
      </c>
      <c r="F122" s="6" t="s">
        <v>16</v>
      </c>
      <c r="G122" s="6" t="s">
        <v>17</v>
      </c>
      <c r="H122" s="6" t="s">
        <v>24</v>
      </c>
      <c r="I122" s="8">
        <v>300000</v>
      </c>
      <c r="J122" s="8">
        <v>374216</v>
      </c>
      <c r="K122" s="9">
        <v>52156.75</v>
      </c>
      <c r="L122" s="13"/>
      <c r="M122" s="63">
        <f>표1[[#This Row],[Accumulated load-unload cycles:]]/표1[[#This Row],[Specified load-unload count over device lifetime:]]</f>
        <v>1.2473866666666666</v>
      </c>
      <c r="N122" s="1" t="str">
        <f>IF(표1[[#This Row],[사용량]]&lt;=60%, "양호", IF(표1[[#This Row],[사용량]]&lt;=70%, "교체 권고", IF(표1[[#This Row],[사용량]]&lt;=80%, "교체", "긴급 교체")))</f>
        <v>긴급 교체</v>
      </c>
    </row>
    <row r="123" spans="1:14" ht="20" customHeight="1">
      <c r="A123" s="11" t="s">
        <v>99</v>
      </c>
      <c r="B123" s="5" t="s">
        <v>13</v>
      </c>
      <c r="C123" s="6" t="s">
        <v>21</v>
      </c>
      <c r="D123" s="6" t="s">
        <v>86</v>
      </c>
      <c r="E123" s="6" t="s">
        <v>82</v>
      </c>
      <c r="F123" s="6" t="s">
        <v>16</v>
      </c>
      <c r="G123" s="6" t="s">
        <v>17</v>
      </c>
      <c r="H123" s="6" t="s">
        <v>24</v>
      </c>
      <c r="I123" s="8">
        <v>300000</v>
      </c>
      <c r="J123" s="8">
        <v>372022</v>
      </c>
      <c r="K123" s="9">
        <v>52156.92</v>
      </c>
      <c r="L123" s="13"/>
      <c r="M123" s="63">
        <f>표1[[#This Row],[Accumulated load-unload cycles:]]/표1[[#This Row],[Specified load-unload count over device lifetime:]]</f>
        <v>1.2400733333333334</v>
      </c>
      <c r="N123" s="1" t="str">
        <f>IF(표1[[#This Row],[사용량]]&lt;=60%, "양호", IF(표1[[#This Row],[사용량]]&lt;=70%, "교체 권고", IF(표1[[#This Row],[사용량]]&lt;=80%, "교체", "긴급 교체")))</f>
        <v>긴급 교체</v>
      </c>
    </row>
    <row r="124" spans="1:14" ht="20" customHeight="1">
      <c r="A124" s="11" t="s">
        <v>99</v>
      </c>
      <c r="B124" s="5" t="s">
        <v>93</v>
      </c>
      <c r="C124" s="6" t="s">
        <v>21</v>
      </c>
      <c r="D124" s="6" t="s">
        <v>86</v>
      </c>
      <c r="E124" s="6" t="s">
        <v>82</v>
      </c>
      <c r="F124" s="6" t="s">
        <v>16</v>
      </c>
      <c r="G124" s="6" t="s">
        <v>17</v>
      </c>
      <c r="H124" s="6" t="s">
        <v>24</v>
      </c>
      <c r="I124" s="8">
        <v>300000</v>
      </c>
      <c r="J124" s="8">
        <v>371966</v>
      </c>
      <c r="K124" s="9">
        <v>52156.480000000003</v>
      </c>
      <c r="L124" s="13"/>
      <c r="M124" s="63">
        <f>표1[[#This Row],[Accumulated load-unload cycles:]]/표1[[#This Row],[Specified load-unload count over device lifetime:]]</f>
        <v>1.2398866666666666</v>
      </c>
      <c r="N124" s="1" t="str">
        <f>IF(표1[[#This Row],[사용량]]&lt;=60%, "양호", IF(표1[[#This Row],[사용량]]&lt;=70%, "교체 권고", IF(표1[[#This Row],[사용량]]&lt;=80%, "교체", "긴급 교체")))</f>
        <v>긴급 교체</v>
      </c>
    </row>
    <row r="125" spans="1:14" ht="20" customHeight="1">
      <c r="A125" s="11" t="s">
        <v>99</v>
      </c>
      <c r="B125" s="5" t="s">
        <v>74</v>
      </c>
      <c r="C125" s="6" t="s">
        <v>21</v>
      </c>
      <c r="D125" s="6" t="s">
        <v>86</v>
      </c>
      <c r="E125" s="6" t="s">
        <v>82</v>
      </c>
      <c r="F125" s="6" t="s">
        <v>16</v>
      </c>
      <c r="G125" s="6" t="s">
        <v>17</v>
      </c>
      <c r="H125" s="6" t="s">
        <v>24</v>
      </c>
      <c r="I125" s="8">
        <v>300000</v>
      </c>
      <c r="J125" s="8">
        <v>369109</v>
      </c>
      <c r="K125" s="9">
        <v>52156.77</v>
      </c>
      <c r="L125" s="13"/>
      <c r="M125" s="63">
        <f>표1[[#This Row],[Accumulated load-unload cycles:]]/표1[[#This Row],[Specified load-unload count over device lifetime:]]</f>
        <v>1.2303633333333333</v>
      </c>
      <c r="N125" s="1" t="str">
        <f>IF(표1[[#This Row],[사용량]]&lt;=60%, "양호", IF(표1[[#This Row],[사용량]]&lt;=70%, "교체 권고", IF(표1[[#This Row],[사용량]]&lt;=80%, "교체", "긴급 교체")))</f>
        <v>긴급 교체</v>
      </c>
    </row>
    <row r="126" spans="1:14" ht="20" customHeight="1">
      <c r="A126" s="11" t="s">
        <v>99</v>
      </c>
      <c r="B126" s="5" t="s">
        <v>73</v>
      </c>
      <c r="C126" s="6" t="s">
        <v>21</v>
      </c>
      <c r="D126" s="6" t="s">
        <v>86</v>
      </c>
      <c r="E126" s="6" t="s">
        <v>82</v>
      </c>
      <c r="F126" s="6" t="s">
        <v>16</v>
      </c>
      <c r="G126" s="6" t="s">
        <v>17</v>
      </c>
      <c r="H126" s="6" t="s">
        <v>24</v>
      </c>
      <c r="I126" s="8">
        <v>300000</v>
      </c>
      <c r="J126" s="8">
        <v>368872</v>
      </c>
      <c r="K126" s="9">
        <v>52156.88</v>
      </c>
      <c r="L126" s="13"/>
      <c r="M126" s="63">
        <f>표1[[#This Row],[Accumulated load-unload cycles:]]/표1[[#This Row],[Specified load-unload count over device lifetime:]]</f>
        <v>1.2295733333333334</v>
      </c>
      <c r="N126" s="1" t="str">
        <f>IF(표1[[#This Row],[사용량]]&lt;=60%, "양호", IF(표1[[#This Row],[사용량]]&lt;=70%, "교체 권고", IF(표1[[#This Row],[사용량]]&lt;=80%, "교체", "긴급 교체")))</f>
        <v>긴급 교체</v>
      </c>
    </row>
    <row r="127" spans="1:14" ht="20" customHeight="1">
      <c r="A127" s="11" t="s">
        <v>99</v>
      </c>
      <c r="B127" s="5" t="s">
        <v>76</v>
      </c>
      <c r="C127" s="6" t="s">
        <v>21</v>
      </c>
      <c r="D127" s="6" t="s">
        <v>86</v>
      </c>
      <c r="E127" s="6" t="s">
        <v>82</v>
      </c>
      <c r="F127" s="6" t="s">
        <v>16</v>
      </c>
      <c r="G127" s="6" t="s">
        <v>17</v>
      </c>
      <c r="H127" s="6" t="s">
        <v>24</v>
      </c>
      <c r="I127" s="8">
        <v>300000</v>
      </c>
      <c r="J127" s="8">
        <v>367980</v>
      </c>
      <c r="K127" s="9">
        <v>52156.58</v>
      </c>
      <c r="L127" s="13"/>
      <c r="M127" s="63">
        <f>표1[[#This Row],[Accumulated load-unload cycles:]]/표1[[#This Row],[Specified load-unload count over device lifetime:]]</f>
        <v>1.2265999999999999</v>
      </c>
      <c r="N127" s="1" t="str">
        <f>IF(표1[[#This Row],[사용량]]&lt;=60%, "양호", IF(표1[[#This Row],[사용량]]&lt;=70%, "교체 권고", IF(표1[[#This Row],[사용량]]&lt;=80%, "교체", "긴급 교체")))</f>
        <v>긴급 교체</v>
      </c>
    </row>
    <row r="128" spans="1:14" ht="20" customHeight="1">
      <c r="A128" s="11" t="s">
        <v>99</v>
      </c>
      <c r="B128" s="5" t="s">
        <v>75</v>
      </c>
      <c r="C128" s="6" t="s">
        <v>21</v>
      </c>
      <c r="D128" s="6" t="s">
        <v>86</v>
      </c>
      <c r="E128" s="6" t="s">
        <v>82</v>
      </c>
      <c r="F128" s="6" t="s">
        <v>16</v>
      </c>
      <c r="G128" s="6" t="s">
        <v>17</v>
      </c>
      <c r="H128" s="6" t="s">
        <v>24</v>
      </c>
      <c r="I128" s="8">
        <v>300000</v>
      </c>
      <c r="J128" s="8">
        <v>364512</v>
      </c>
      <c r="K128" s="9">
        <v>52156.57</v>
      </c>
      <c r="L128" s="13"/>
      <c r="M128" s="63">
        <f>표1[[#This Row],[Accumulated load-unload cycles:]]/표1[[#This Row],[Specified load-unload count over device lifetime:]]</f>
        <v>1.2150399999999999</v>
      </c>
      <c r="N128" s="1" t="str">
        <f>IF(표1[[#This Row],[사용량]]&lt;=60%, "양호", IF(표1[[#This Row],[사용량]]&lt;=70%, "교체 권고", IF(표1[[#This Row],[사용량]]&lt;=80%, "교체", "긴급 교체")))</f>
        <v>긴급 교체</v>
      </c>
    </row>
    <row r="129" spans="1:14" ht="20" customHeight="1">
      <c r="A129" s="11" t="s">
        <v>99</v>
      </c>
      <c r="B129" s="5" t="s">
        <v>20</v>
      </c>
      <c r="C129" s="6" t="s">
        <v>21</v>
      </c>
      <c r="D129" s="6" t="s">
        <v>86</v>
      </c>
      <c r="E129" s="6" t="s">
        <v>82</v>
      </c>
      <c r="F129" s="6" t="s">
        <v>16</v>
      </c>
      <c r="G129" s="6" t="s">
        <v>17</v>
      </c>
      <c r="H129" s="6" t="s">
        <v>24</v>
      </c>
      <c r="I129" s="8">
        <v>300000</v>
      </c>
      <c r="J129" s="8">
        <v>358721</v>
      </c>
      <c r="K129" s="9">
        <v>51303.98</v>
      </c>
      <c r="L129" s="13"/>
      <c r="M129" s="63">
        <f>표1[[#This Row],[Accumulated load-unload cycles:]]/표1[[#This Row],[Specified load-unload count over device lifetime:]]</f>
        <v>1.1957366666666667</v>
      </c>
      <c r="N129" s="1" t="str">
        <f>IF(표1[[#This Row],[사용량]]&lt;=60%, "양호", IF(표1[[#This Row],[사용량]]&lt;=70%, "교체 권고", IF(표1[[#This Row],[사용량]]&lt;=80%, "교체", "긴급 교체")))</f>
        <v>긴급 교체</v>
      </c>
    </row>
    <row r="130" spans="1:14" ht="20" customHeight="1">
      <c r="A130" s="11" t="s">
        <v>100</v>
      </c>
      <c r="B130" s="5" t="s">
        <v>73</v>
      </c>
      <c r="C130" s="8"/>
      <c r="D130" s="6" t="s">
        <v>87</v>
      </c>
      <c r="E130" s="6" t="s">
        <v>88</v>
      </c>
      <c r="F130" s="6" t="s">
        <v>89</v>
      </c>
      <c r="G130" s="6" t="s">
        <v>90</v>
      </c>
      <c r="H130" s="7"/>
      <c r="I130" s="7"/>
      <c r="J130" s="7"/>
      <c r="K130" s="7"/>
      <c r="L130" s="13"/>
      <c r="M130" s="63" t="e">
        <f>표1[[#This Row],[Accumulated load-unload cycles:]]/표1[[#This Row],[Specified load-unload count over device lifetime:]]</f>
        <v>#DIV/0!</v>
      </c>
      <c r="N130" s="1" t="e">
        <f>IF(표1[[#This Row],[사용량]]&lt;=60%, "양호", IF(표1[[#This Row],[사용량]]&lt;=70%, "교체 권고", IF(표1[[#This Row],[사용량]]&lt;=80%, "교체", "긴급 교체")))</f>
        <v>#DIV/0!</v>
      </c>
    </row>
    <row r="131" spans="1:14" ht="20" customHeight="1">
      <c r="A131" s="11" t="s">
        <v>100</v>
      </c>
      <c r="B131" s="5" t="s">
        <v>74</v>
      </c>
      <c r="C131" s="8"/>
      <c r="D131" s="6" t="s">
        <v>87</v>
      </c>
      <c r="E131" s="6" t="s">
        <v>88</v>
      </c>
      <c r="F131" s="6" t="s">
        <v>89</v>
      </c>
      <c r="G131" s="6" t="s">
        <v>90</v>
      </c>
      <c r="H131" s="7"/>
      <c r="I131" s="7"/>
      <c r="J131" s="7"/>
      <c r="K131" s="7"/>
      <c r="L131" s="13"/>
      <c r="M131" s="63" t="e">
        <f>표1[[#This Row],[Accumulated load-unload cycles:]]/표1[[#This Row],[Specified load-unload count over device lifetime:]]</f>
        <v>#DIV/0!</v>
      </c>
      <c r="N131" s="1" t="e">
        <f>IF(표1[[#This Row],[사용량]]&lt;=60%, "양호", IF(표1[[#This Row],[사용량]]&lt;=70%, "교체 권고", IF(표1[[#This Row],[사용량]]&lt;=80%, "교체", "긴급 교체")))</f>
        <v>#DIV/0!</v>
      </c>
    </row>
    <row r="132" spans="1:14" ht="20" customHeight="1">
      <c r="A132" s="11" t="s">
        <v>100</v>
      </c>
      <c r="B132" s="5" t="s">
        <v>13</v>
      </c>
      <c r="C132" s="6" t="s">
        <v>21</v>
      </c>
      <c r="D132" s="6" t="s">
        <v>86</v>
      </c>
      <c r="E132" s="6" t="s">
        <v>82</v>
      </c>
      <c r="F132" s="6" t="s">
        <v>16</v>
      </c>
      <c r="G132" s="6" t="s">
        <v>17</v>
      </c>
      <c r="H132" s="6" t="s">
        <v>24</v>
      </c>
      <c r="I132" s="8">
        <v>300000</v>
      </c>
      <c r="J132" s="8">
        <v>417029</v>
      </c>
      <c r="K132" s="9">
        <v>52122.400000000001</v>
      </c>
      <c r="L132" s="13"/>
      <c r="M132" s="63">
        <f>표1[[#This Row],[Accumulated load-unload cycles:]]/표1[[#This Row],[Specified load-unload count over device lifetime:]]</f>
        <v>1.3900966666666668</v>
      </c>
      <c r="N132" s="1" t="str">
        <f>IF(표1[[#This Row],[사용량]]&lt;=60%, "양호", IF(표1[[#This Row],[사용량]]&lt;=70%, "교체 권고", IF(표1[[#This Row],[사용량]]&lt;=80%, "교체", "긴급 교체")))</f>
        <v>긴급 교체</v>
      </c>
    </row>
    <row r="133" spans="1:14" ht="20" customHeight="1">
      <c r="A133" s="11" t="s">
        <v>100</v>
      </c>
      <c r="B133" s="5" t="s">
        <v>76</v>
      </c>
      <c r="C133" s="6" t="s">
        <v>21</v>
      </c>
      <c r="D133" s="6" t="s">
        <v>86</v>
      </c>
      <c r="E133" s="6" t="s">
        <v>82</v>
      </c>
      <c r="F133" s="6" t="s">
        <v>16</v>
      </c>
      <c r="G133" s="6" t="s">
        <v>17</v>
      </c>
      <c r="H133" s="6" t="s">
        <v>24</v>
      </c>
      <c r="I133" s="8">
        <v>300000</v>
      </c>
      <c r="J133" s="8">
        <v>415118</v>
      </c>
      <c r="K133" s="9">
        <v>52122.78</v>
      </c>
      <c r="L133" s="13"/>
      <c r="M133" s="63">
        <f>표1[[#This Row],[Accumulated load-unload cycles:]]/표1[[#This Row],[Specified load-unload count over device lifetime:]]</f>
        <v>1.3837266666666668</v>
      </c>
      <c r="N133" s="1" t="str">
        <f>IF(표1[[#This Row],[사용량]]&lt;=60%, "양호", IF(표1[[#This Row],[사용량]]&lt;=70%, "교체 권고", IF(표1[[#This Row],[사용량]]&lt;=80%, "교체", "긴급 교체")))</f>
        <v>긴급 교체</v>
      </c>
    </row>
    <row r="134" spans="1:14" ht="20" customHeight="1">
      <c r="A134" s="11" t="s">
        <v>100</v>
      </c>
      <c r="B134" s="5" t="s">
        <v>18</v>
      </c>
      <c r="C134" s="6" t="s">
        <v>21</v>
      </c>
      <c r="D134" s="6" t="s">
        <v>86</v>
      </c>
      <c r="E134" s="6" t="s">
        <v>82</v>
      </c>
      <c r="F134" s="6" t="s">
        <v>16</v>
      </c>
      <c r="G134" s="6" t="s">
        <v>17</v>
      </c>
      <c r="H134" s="6" t="s">
        <v>24</v>
      </c>
      <c r="I134" s="8">
        <v>300000</v>
      </c>
      <c r="J134" s="8">
        <v>412809</v>
      </c>
      <c r="K134" s="9">
        <v>52124.45</v>
      </c>
      <c r="L134" s="13"/>
      <c r="M134" s="63">
        <f>표1[[#This Row],[Accumulated load-unload cycles:]]/표1[[#This Row],[Specified load-unload count over device lifetime:]]</f>
        <v>1.3760300000000001</v>
      </c>
      <c r="N134" s="1" t="str">
        <f>IF(표1[[#This Row],[사용량]]&lt;=60%, "양호", IF(표1[[#This Row],[사용량]]&lt;=70%, "교체 권고", IF(표1[[#This Row],[사용량]]&lt;=80%, "교체", "긴급 교체")))</f>
        <v>긴급 교체</v>
      </c>
    </row>
    <row r="135" spans="1:14" ht="20" customHeight="1">
      <c r="A135" s="11" t="s">
        <v>100</v>
      </c>
      <c r="B135" s="5" t="s">
        <v>93</v>
      </c>
      <c r="C135" s="6" t="s">
        <v>21</v>
      </c>
      <c r="D135" s="6" t="s">
        <v>86</v>
      </c>
      <c r="E135" s="6" t="s">
        <v>82</v>
      </c>
      <c r="F135" s="6" t="s">
        <v>16</v>
      </c>
      <c r="G135" s="6" t="s">
        <v>17</v>
      </c>
      <c r="H135" s="6" t="s">
        <v>24</v>
      </c>
      <c r="I135" s="8">
        <v>300000</v>
      </c>
      <c r="J135" s="8">
        <v>411747</v>
      </c>
      <c r="K135" s="9">
        <v>52123.05</v>
      </c>
      <c r="L135" s="13"/>
      <c r="M135" s="63">
        <f>표1[[#This Row],[Accumulated load-unload cycles:]]/표1[[#This Row],[Specified load-unload count over device lifetime:]]</f>
        <v>1.37249</v>
      </c>
      <c r="N135" s="1" t="str">
        <f>IF(표1[[#This Row],[사용량]]&lt;=60%, "양호", IF(표1[[#This Row],[사용량]]&lt;=70%, "교체 권고", IF(표1[[#This Row],[사용량]]&lt;=80%, "교체", "긴급 교체")))</f>
        <v>긴급 교체</v>
      </c>
    </row>
    <row r="136" spans="1:14" ht="20" customHeight="1">
      <c r="A136" s="11" t="s">
        <v>100</v>
      </c>
      <c r="B136" s="5" t="s">
        <v>71</v>
      </c>
      <c r="C136" s="6" t="s">
        <v>21</v>
      </c>
      <c r="D136" s="6" t="s">
        <v>86</v>
      </c>
      <c r="E136" s="6" t="s">
        <v>82</v>
      </c>
      <c r="F136" s="6" t="s">
        <v>16</v>
      </c>
      <c r="G136" s="6" t="s">
        <v>17</v>
      </c>
      <c r="H136" s="6" t="s">
        <v>24</v>
      </c>
      <c r="I136" s="8">
        <v>300000</v>
      </c>
      <c r="J136" s="8">
        <v>410907</v>
      </c>
      <c r="K136" s="9">
        <v>52123.28</v>
      </c>
      <c r="L136" s="13"/>
      <c r="M136" s="63">
        <f>표1[[#This Row],[Accumulated load-unload cycles:]]/표1[[#This Row],[Specified load-unload count over device lifetime:]]</f>
        <v>1.3696900000000001</v>
      </c>
      <c r="N136" s="1" t="str">
        <f>IF(표1[[#This Row],[사용량]]&lt;=60%, "양호", IF(표1[[#This Row],[사용량]]&lt;=70%, "교체 권고", IF(표1[[#This Row],[사용량]]&lt;=80%, "교체", "긴급 교체")))</f>
        <v>긴급 교체</v>
      </c>
    </row>
    <row r="137" spans="1:14" ht="20" customHeight="1">
      <c r="A137" s="11" t="s">
        <v>100</v>
      </c>
      <c r="B137" s="5" t="s">
        <v>77</v>
      </c>
      <c r="C137" s="6" t="s">
        <v>21</v>
      </c>
      <c r="D137" s="6" t="s">
        <v>86</v>
      </c>
      <c r="E137" s="6" t="s">
        <v>82</v>
      </c>
      <c r="F137" s="6" t="s">
        <v>16</v>
      </c>
      <c r="G137" s="6" t="s">
        <v>17</v>
      </c>
      <c r="H137" s="6" t="s">
        <v>24</v>
      </c>
      <c r="I137" s="8">
        <v>300000</v>
      </c>
      <c r="J137" s="8">
        <v>409768</v>
      </c>
      <c r="K137" s="9">
        <v>52121.47</v>
      </c>
      <c r="L137" s="13"/>
      <c r="M137" s="63">
        <f>표1[[#This Row],[Accumulated load-unload cycles:]]/표1[[#This Row],[Specified load-unload count over device lifetime:]]</f>
        <v>1.3658933333333334</v>
      </c>
      <c r="N137" s="1" t="str">
        <f>IF(표1[[#This Row],[사용량]]&lt;=60%, "양호", IF(표1[[#This Row],[사용량]]&lt;=70%, "교체 권고", IF(표1[[#This Row],[사용량]]&lt;=80%, "교체", "긴급 교체")))</f>
        <v>긴급 교체</v>
      </c>
    </row>
    <row r="138" spans="1:14" ht="20" customHeight="1">
      <c r="A138" s="11" t="s">
        <v>100</v>
      </c>
      <c r="B138" s="5" t="s">
        <v>75</v>
      </c>
      <c r="C138" s="6" t="s">
        <v>21</v>
      </c>
      <c r="D138" s="6" t="s">
        <v>86</v>
      </c>
      <c r="E138" s="6" t="s">
        <v>82</v>
      </c>
      <c r="F138" s="6" t="s">
        <v>16</v>
      </c>
      <c r="G138" s="6" t="s">
        <v>17</v>
      </c>
      <c r="H138" s="6" t="s">
        <v>24</v>
      </c>
      <c r="I138" s="8">
        <v>300000</v>
      </c>
      <c r="J138" s="8">
        <v>406368</v>
      </c>
      <c r="K138" s="9">
        <v>52122.32</v>
      </c>
      <c r="L138" s="13"/>
      <c r="M138" s="63">
        <f>표1[[#This Row],[Accumulated load-unload cycles:]]/표1[[#This Row],[Specified load-unload count over device lifetime:]]</f>
        <v>1.35456</v>
      </c>
      <c r="N138" s="1" t="str">
        <f>IF(표1[[#This Row],[사용량]]&lt;=60%, "양호", IF(표1[[#This Row],[사용량]]&lt;=70%, "교체 권고", IF(표1[[#This Row],[사용량]]&lt;=80%, "교체", "긴급 교체")))</f>
        <v>긴급 교체</v>
      </c>
    </row>
    <row r="139" spans="1:14" ht="20" customHeight="1">
      <c r="A139" s="11" t="s">
        <v>100</v>
      </c>
      <c r="B139" s="5" t="s">
        <v>78</v>
      </c>
      <c r="C139" s="6" t="s">
        <v>21</v>
      </c>
      <c r="D139" s="6" t="s">
        <v>86</v>
      </c>
      <c r="E139" s="6" t="s">
        <v>82</v>
      </c>
      <c r="F139" s="6" t="s">
        <v>16</v>
      </c>
      <c r="G139" s="6" t="s">
        <v>17</v>
      </c>
      <c r="H139" s="6" t="s">
        <v>24</v>
      </c>
      <c r="I139" s="8">
        <v>300000</v>
      </c>
      <c r="J139" s="8">
        <v>405338</v>
      </c>
      <c r="K139" s="9">
        <v>52122.95</v>
      </c>
      <c r="L139" s="13"/>
      <c r="M139" s="63">
        <f>표1[[#This Row],[Accumulated load-unload cycles:]]/표1[[#This Row],[Specified load-unload count over device lifetime:]]</f>
        <v>1.3511266666666666</v>
      </c>
      <c r="N139" s="1" t="str">
        <f>IF(표1[[#This Row],[사용량]]&lt;=60%, "양호", IF(표1[[#This Row],[사용량]]&lt;=70%, "교체 권고", IF(표1[[#This Row],[사용량]]&lt;=80%, "교체", "긴급 교체")))</f>
        <v>긴급 교체</v>
      </c>
    </row>
    <row r="140" spans="1:14" ht="20" customHeight="1">
      <c r="A140" s="11" t="s">
        <v>19</v>
      </c>
      <c r="B140" s="5" t="s">
        <v>54</v>
      </c>
      <c r="C140" s="6" t="s">
        <v>21</v>
      </c>
      <c r="D140" s="6" t="s">
        <v>22</v>
      </c>
      <c r="E140" s="6" t="s">
        <v>23</v>
      </c>
      <c r="F140" s="6" t="s">
        <v>16</v>
      </c>
      <c r="G140" s="6" t="s">
        <v>17</v>
      </c>
      <c r="H140" s="6" t="s">
        <v>24</v>
      </c>
      <c r="I140" s="8">
        <v>300000</v>
      </c>
      <c r="J140" s="8">
        <v>410652</v>
      </c>
      <c r="K140" s="9">
        <v>52178.42</v>
      </c>
      <c r="L140" s="13"/>
      <c r="M140" s="63">
        <f>표1[[#This Row],[Accumulated load-unload cycles:]]/표1[[#This Row],[Specified load-unload count over device lifetime:]]</f>
        <v>1.3688400000000001</v>
      </c>
      <c r="N140" s="1" t="str">
        <f>IF(표1[[#This Row],[사용량]]&lt;=60%, "양호", IF(표1[[#This Row],[사용량]]&lt;=70%, "교체 권고", IF(표1[[#This Row],[사용량]]&lt;=80%, "교체", "긴급 교체")))</f>
        <v>긴급 교체</v>
      </c>
    </row>
    <row r="141" spans="1:14" ht="20" customHeight="1">
      <c r="A141" s="11" t="s">
        <v>19</v>
      </c>
      <c r="B141" s="5" t="s">
        <v>52</v>
      </c>
      <c r="C141" s="6" t="s">
        <v>21</v>
      </c>
      <c r="D141" s="6" t="s">
        <v>22</v>
      </c>
      <c r="E141" s="6" t="s">
        <v>23</v>
      </c>
      <c r="F141" s="6" t="s">
        <v>16</v>
      </c>
      <c r="G141" s="6" t="s">
        <v>17</v>
      </c>
      <c r="H141" s="6" t="s">
        <v>24</v>
      </c>
      <c r="I141" s="8">
        <v>300000</v>
      </c>
      <c r="J141" s="8">
        <v>410575</v>
      </c>
      <c r="K141" s="9">
        <v>52179.68</v>
      </c>
      <c r="L141" s="13"/>
      <c r="M141" s="63">
        <f>표1[[#This Row],[Accumulated load-unload cycles:]]/표1[[#This Row],[Specified load-unload count over device lifetime:]]</f>
        <v>1.3685833333333333</v>
      </c>
      <c r="N141" s="1" t="str">
        <f>IF(표1[[#This Row],[사용량]]&lt;=60%, "양호", IF(표1[[#This Row],[사용량]]&lt;=70%, "교체 권고", IF(표1[[#This Row],[사용량]]&lt;=80%, "교체", "긴급 교체")))</f>
        <v>긴급 교체</v>
      </c>
    </row>
    <row r="142" spans="1:14" ht="20" customHeight="1">
      <c r="A142" s="11" t="s">
        <v>19</v>
      </c>
      <c r="B142" s="5" t="s">
        <v>65</v>
      </c>
      <c r="C142" s="6" t="s">
        <v>21</v>
      </c>
      <c r="D142" s="6" t="s">
        <v>22</v>
      </c>
      <c r="E142" s="6" t="s">
        <v>23</v>
      </c>
      <c r="F142" s="6" t="s">
        <v>16</v>
      </c>
      <c r="G142" s="6" t="s">
        <v>17</v>
      </c>
      <c r="H142" s="6" t="s">
        <v>24</v>
      </c>
      <c r="I142" s="8">
        <v>300000</v>
      </c>
      <c r="J142" s="8">
        <v>408928</v>
      </c>
      <c r="K142" s="9">
        <v>52178.58</v>
      </c>
      <c r="L142" s="13"/>
      <c r="M142" s="63">
        <f>표1[[#This Row],[Accumulated load-unload cycles:]]/표1[[#This Row],[Specified load-unload count over device lifetime:]]</f>
        <v>1.3630933333333333</v>
      </c>
      <c r="N142" s="1" t="str">
        <f>IF(표1[[#This Row],[사용량]]&lt;=60%, "양호", IF(표1[[#This Row],[사용량]]&lt;=70%, "교체 권고", IF(표1[[#This Row],[사용량]]&lt;=80%, "교체", "긴급 교체")))</f>
        <v>긴급 교체</v>
      </c>
    </row>
    <row r="143" spans="1:14" ht="20" customHeight="1">
      <c r="A143" s="11" t="s">
        <v>19</v>
      </c>
      <c r="B143" s="5" t="s">
        <v>60</v>
      </c>
      <c r="C143" s="6" t="s">
        <v>21</v>
      </c>
      <c r="D143" s="6" t="s">
        <v>22</v>
      </c>
      <c r="E143" s="6" t="s">
        <v>23</v>
      </c>
      <c r="F143" s="6" t="s">
        <v>16</v>
      </c>
      <c r="G143" s="6" t="s">
        <v>17</v>
      </c>
      <c r="H143" s="6" t="s">
        <v>24</v>
      </c>
      <c r="I143" s="8">
        <v>300000</v>
      </c>
      <c r="J143" s="8">
        <v>407206</v>
      </c>
      <c r="K143" s="9">
        <v>52178.33</v>
      </c>
      <c r="L143" s="13"/>
      <c r="M143" s="63">
        <f>표1[[#This Row],[Accumulated load-unload cycles:]]/표1[[#This Row],[Specified load-unload count over device lifetime:]]</f>
        <v>1.3573533333333334</v>
      </c>
      <c r="N143" s="1" t="str">
        <f>IF(표1[[#This Row],[사용량]]&lt;=60%, "양호", IF(표1[[#This Row],[사용량]]&lt;=70%, "교체 권고", IF(표1[[#This Row],[사용량]]&lt;=80%, "교체", "긴급 교체")))</f>
        <v>긴급 교체</v>
      </c>
    </row>
    <row r="144" spans="1:14" ht="20" customHeight="1">
      <c r="A144" s="11" t="s">
        <v>19</v>
      </c>
      <c r="B144" s="5" t="s">
        <v>51</v>
      </c>
      <c r="C144" s="6" t="s">
        <v>21</v>
      </c>
      <c r="D144" s="6" t="s">
        <v>22</v>
      </c>
      <c r="E144" s="6" t="s">
        <v>23</v>
      </c>
      <c r="F144" s="6" t="s">
        <v>16</v>
      </c>
      <c r="G144" s="6" t="s">
        <v>17</v>
      </c>
      <c r="H144" s="6" t="s">
        <v>24</v>
      </c>
      <c r="I144" s="8">
        <v>300000</v>
      </c>
      <c r="J144" s="8">
        <v>407105</v>
      </c>
      <c r="K144" s="9">
        <v>52179.37</v>
      </c>
      <c r="L144" s="13"/>
      <c r="M144" s="63">
        <f>표1[[#This Row],[Accumulated load-unload cycles:]]/표1[[#This Row],[Specified load-unload count over device lifetime:]]</f>
        <v>1.3570166666666668</v>
      </c>
      <c r="N144" s="1" t="str">
        <f>IF(표1[[#This Row],[사용량]]&lt;=60%, "양호", IF(표1[[#This Row],[사용량]]&lt;=70%, "교체 권고", IF(표1[[#This Row],[사용량]]&lt;=80%, "교체", "긴급 교체")))</f>
        <v>긴급 교체</v>
      </c>
    </row>
    <row r="145" spans="1:14" ht="20" customHeight="1">
      <c r="A145" s="11" t="s">
        <v>19</v>
      </c>
      <c r="B145" s="5" t="s">
        <v>37</v>
      </c>
      <c r="C145" s="6" t="s">
        <v>21</v>
      </c>
      <c r="D145" s="6" t="s">
        <v>22</v>
      </c>
      <c r="E145" s="6" t="s">
        <v>23</v>
      </c>
      <c r="F145" s="6" t="s">
        <v>16</v>
      </c>
      <c r="G145" s="6" t="s">
        <v>17</v>
      </c>
      <c r="H145" s="6" t="s">
        <v>24</v>
      </c>
      <c r="I145" s="8">
        <v>300000</v>
      </c>
      <c r="J145" s="8">
        <v>405205</v>
      </c>
      <c r="K145" s="9">
        <v>52178.63</v>
      </c>
      <c r="L145" s="13"/>
      <c r="M145" s="63">
        <f>표1[[#This Row],[Accumulated load-unload cycles:]]/표1[[#This Row],[Specified load-unload count over device lifetime:]]</f>
        <v>1.3506833333333332</v>
      </c>
      <c r="N145" s="1" t="str">
        <f>IF(표1[[#This Row],[사용량]]&lt;=60%, "양호", IF(표1[[#This Row],[사용량]]&lt;=70%, "교체 권고", IF(표1[[#This Row],[사용량]]&lt;=80%, "교체", "긴급 교체")))</f>
        <v>긴급 교체</v>
      </c>
    </row>
    <row r="146" spans="1:14" ht="20" customHeight="1">
      <c r="A146" s="11" t="s">
        <v>19</v>
      </c>
      <c r="B146" s="5" t="s">
        <v>35</v>
      </c>
      <c r="C146" s="6" t="s">
        <v>21</v>
      </c>
      <c r="D146" s="6" t="s">
        <v>22</v>
      </c>
      <c r="E146" s="6" t="s">
        <v>23</v>
      </c>
      <c r="F146" s="6" t="s">
        <v>16</v>
      </c>
      <c r="G146" s="6" t="s">
        <v>17</v>
      </c>
      <c r="H146" s="6" t="s">
        <v>24</v>
      </c>
      <c r="I146" s="8">
        <v>300000</v>
      </c>
      <c r="J146" s="8">
        <v>404739</v>
      </c>
      <c r="K146" s="9">
        <v>52178.27</v>
      </c>
      <c r="L146" s="13"/>
      <c r="M146" s="63">
        <f>표1[[#This Row],[Accumulated load-unload cycles:]]/표1[[#This Row],[Specified load-unload count over device lifetime:]]</f>
        <v>1.3491299999999999</v>
      </c>
      <c r="N146" s="1" t="str">
        <f>IF(표1[[#This Row],[사용량]]&lt;=60%, "양호", IF(표1[[#This Row],[사용량]]&lt;=70%, "교체 권고", IF(표1[[#This Row],[사용량]]&lt;=80%, "교체", "긴급 교체")))</f>
        <v>긴급 교체</v>
      </c>
    </row>
    <row r="147" spans="1:14" ht="20" customHeight="1">
      <c r="A147" s="11" t="s">
        <v>19</v>
      </c>
      <c r="B147" s="5" t="s">
        <v>62</v>
      </c>
      <c r="C147" s="6" t="s">
        <v>21</v>
      </c>
      <c r="D147" s="6" t="s">
        <v>22</v>
      </c>
      <c r="E147" s="6" t="s">
        <v>23</v>
      </c>
      <c r="F147" s="6" t="s">
        <v>16</v>
      </c>
      <c r="G147" s="6" t="s">
        <v>17</v>
      </c>
      <c r="H147" s="6" t="s">
        <v>24</v>
      </c>
      <c r="I147" s="8">
        <v>300000</v>
      </c>
      <c r="J147" s="8">
        <v>404460</v>
      </c>
      <c r="K147" s="9">
        <v>52178.43</v>
      </c>
      <c r="L147" s="13"/>
      <c r="M147" s="63">
        <f>표1[[#This Row],[Accumulated load-unload cycles:]]/표1[[#This Row],[Specified load-unload count over device lifetime:]]</f>
        <v>1.3482000000000001</v>
      </c>
      <c r="N147" s="1" t="str">
        <f>IF(표1[[#This Row],[사용량]]&lt;=60%, "양호", IF(표1[[#This Row],[사용량]]&lt;=70%, "교체 권고", IF(표1[[#This Row],[사용량]]&lt;=80%, "교체", "긴급 교체")))</f>
        <v>긴급 교체</v>
      </c>
    </row>
    <row r="148" spans="1:14" ht="20" customHeight="1">
      <c r="A148" s="11" t="s">
        <v>19</v>
      </c>
      <c r="B148" s="5" t="s">
        <v>41</v>
      </c>
      <c r="C148" s="6" t="s">
        <v>21</v>
      </c>
      <c r="D148" s="6" t="s">
        <v>22</v>
      </c>
      <c r="E148" s="6" t="s">
        <v>23</v>
      </c>
      <c r="F148" s="6" t="s">
        <v>16</v>
      </c>
      <c r="G148" s="6" t="s">
        <v>17</v>
      </c>
      <c r="H148" s="6" t="s">
        <v>24</v>
      </c>
      <c r="I148" s="8">
        <v>300000</v>
      </c>
      <c r="J148" s="8">
        <v>401157</v>
      </c>
      <c r="K148" s="9">
        <v>52179.55</v>
      </c>
      <c r="L148" s="13"/>
      <c r="M148" s="63">
        <f>표1[[#This Row],[Accumulated load-unload cycles:]]/표1[[#This Row],[Specified load-unload count over device lifetime:]]</f>
        <v>1.3371900000000001</v>
      </c>
      <c r="N148" s="1" t="str">
        <f>IF(표1[[#This Row],[사용량]]&lt;=60%, "양호", IF(표1[[#This Row],[사용량]]&lt;=70%, "교체 권고", IF(표1[[#This Row],[사용량]]&lt;=80%, "교체", "긴급 교체")))</f>
        <v>긴급 교체</v>
      </c>
    </row>
    <row r="149" spans="1:14" ht="20" customHeight="1">
      <c r="A149" s="11" t="s">
        <v>19</v>
      </c>
      <c r="B149" s="5" t="s">
        <v>43</v>
      </c>
      <c r="C149" s="6" t="s">
        <v>21</v>
      </c>
      <c r="D149" s="6" t="s">
        <v>22</v>
      </c>
      <c r="E149" s="6" t="s">
        <v>23</v>
      </c>
      <c r="F149" s="6" t="s">
        <v>16</v>
      </c>
      <c r="G149" s="6" t="s">
        <v>17</v>
      </c>
      <c r="H149" s="6" t="s">
        <v>24</v>
      </c>
      <c r="I149" s="8">
        <v>300000</v>
      </c>
      <c r="J149" s="8">
        <v>400307</v>
      </c>
      <c r="K149" s="9">
        <v>52179.45</v>
      </c>
      <c r="L149" s="13"/>
      <c r="M149" s="63">
        <f>표1[[#This Row],[Accumulated load-unload cycles:]]/표1[[#This Row],[Specified load-unload count over device lifetime:]]</f>
        <v>1.3343566666666666</v>
      </c>
      <c r="N149" s="1" t="str">
        <f>IF(표1[[#This Row],[사용량]]&lt;=60%, "양호", IF(표1[[#This Row],[사용량]]&lt;=70%, "교체 권고", IF(표1[[#This Row],[사용량]]&lt;=80%, "교체", "긴급 교체")))</f>
        <v>긴급 교체</v>
      </c>
    </row>
    <row r="150" spans="1:14" ht="20" customHeight="1">
      <c r="A150" s="11" t="s">
        <v>19</v>
      </c>
      <c r="B150" s="5" t="s">
        <v>64</v>
      </c>
      <c r="C150" s="64" t="s">
        <v>21</v>
      </c>
      <c r="D150" s="6" t="s">
        <v>22</v>
      </c>
      <c r="E150" s="6" t="s">
        <v>23</v>
      </c>
      <c r="F150" s="6" t="s">
        <v>16</v>
      </c>
      <c r="G150" s="6" t="s">
        <v>17</v>
      </c>
      <c r="H150" s="6" t="s">
        <v>24</v>
      </c>
      <c r="I150" s="8">
        <v>300000</v>
      </c>
      <c r="J150" s="8">
        <v>400011</v>
      </c>
      <c r="K150" s="9">
        <v>52178.85</v>
      </c>
      <c r="L150" s="13"/>
      <c r="M150" s="63">
        <f>표1[[#This Row],[Accumulated load-unload cycles:]]/표1[[#This Row],[Specified load-unload count over device lifetime:]]</f>
        <v>1.3333699999999999</v>
      </c>
      <c r="N150" s="1" t="str">
        <f>IF(표1[[#This Row],[사용량]]&lt;=60%, "양호", IF(표1[[#This Row],[사용량]]&lt;=70%, "교체 권고", IF(표1[[#This Row],[사용량]]&lt;=80%, "교체", "긴급 교체")))</f>
        <v>긴급 교체</v>
      </c>
    </row>
    <row r="151" spans="1:14" ht="20" customHeight="1">
      <c r="A151" s="11" t="s">
        <v>19</v>
      </c>
      <c r="B151" s="5" t="s">
        <v>31</v>
      </c>
      <c r="C151" s="64" t="s">
        <v>21</v>
      </c>
      <c r="D151" s="6" t="s">
        <v>22</v>
      </c>
      <c r="E151" s="6" t="s">
        <v>23</v>
      </c>
      <c r="F151" s="6" t="s">
        <v>16</v>
      </c>
      <c r="G151" s="6" t="s">
        <v>17</v>
      </c>
      <c r="H151" s="6" t="s">
        <v>24</v>
      </c>
      <c r="I151" s="8">
        <v>300000</v>
      </c>
      <c r="J151" s="8">
        <v>399047</v>
      </c>
      <c r="K151" s="9">
        <v>52178.58</v>
      </c>
      <c r="L151" s="13"/>
      <c r="M151" s="63">
        <f>표1[[#This Row],[Accumulated load-unload cycles:]]/표1[[#This Row],[Specified load-unload count over device lifetime:]]</f>
        <v>1.3301566666666667</v>
      </c>
      <c r="N151" s="1" t="str">
        <f>IF(표1[[#This Row],[사용량]]&lt;=60%, "양호", IF(표1[[#This Row],[사용량]]&lt;=70%, "교체 권고", IF(표1[[#This Row],[사용량]]&lt;=80%, "교체", "긴급 교체")))</f>
        <v>긴급 교체</v>
      </c>
    </row>
    <row r="152" spans="1:14" ht="20" customHeight="1">
      <c r="A152" s="11" t="s">
        <v>19</v>
      </c>
      <c r="B152" s="5" t="s">
        <v>33</v>
      </c>
      <c r="C152" s="6" t="s">
        <v>21</v>
      </c>
      <c r="D152" s="6" t="s">
        <v>22</v>
      </c>
      <c r="E152" s="6" t="s">
        <v>23</v>
      </c>
      <c r="F152" s="6" t="s">
        <v>16</v>
      </c>
      <c r="G152" s="6" t="s">
        <v>17</v>
      </c>
      <c r="H152" s="6" t="s">
        <v>24</v>
      </c>
      <c r="I152" s="8">
        <v>300000</v>
      </c>
      <c r="J152" s="8">
        <v>398972</v>
      </c>
      <c r="K152" s="9">
        <v>52178.58</v>
      </c>
      <c r="L152" s="13"/>
      <c r="M152" s="63">
        <f>표1[[#This Row],[Accumulated load-unload cycles:]]/표1[[#This Row],[Specified load-unload count over device lifetime:]]</f>
        <v>1.3299066666666666</v>
      </c>
      <c r="N152" s="1" t="str">
        <f>IF(표1[[#This Row],[사용량]]&lt;=60%, "양호", IF(표1[[#This Row],[사용량]]&lt;=70%, "교체 권고", IF(표1[[#This Row],[사용량]]&lt;=80%, "교체", "긴급 교체")))</f>
        <v>긴급 교체</v>
      </c>
    </row>
    <row r="153" spans="1:14" ht="20" customHeight="1">
      <c r="A153" s="11" t="s">
        <v>19</v>
      </c>
      <c r="B153" s="5" t="s">
        <v>38</v>
      </c>
      <c r="C153" s="6" t="s">
        <v>21</v>
      </c>
      <c r="D153" s="6" t="s">
        <v>22</v>
      </c>
      <c r="E153" s="6" t="s">
        <v>23</v>
      </c>
      <c r="F153" s="6" t="s">
        <v>16</v>
      </c>
      <c r="G153" s="6" t="s">
        <v>17</v>
      </c>
      <c r="H153" s="6" t="s">
        <v>24</v>
      </c>
      <c r="I153" s="8">
        <v>300000</v>
      </c>
      <c r="J153" s="8">
        <v>396471</v>
      </c>
      <c r="K153" s="9">
        <v>52179.4</v>
      </c>
      <c r="L153" s="13"/>
      <c r="M153" s="63">
        <f>표1[[#This Row],[Accumulated load-unload cycles:]]/표1[[#This Row],[Specified load-unload count over device lifetime:]]</f>
        <v>1.3215699999999999</v>
      </c>
      <c r="N153" s="1" t="str">
        <f>IF(표1[[#This Row],[사용량]]&lt;=60%, "양호", IF(표1[[#This Row],[사용량]]&lt;=70%, "교체 권고", IF(표1[[#This Row],[사용량]]&lt;=80%, "교체", "긴급 교체")))</f>
        <v>긴급 교체</v>
      </c>
    </row>
    <row r="154" spans="1:14" ht="20" customHeight="1">
      <c r="A154" s="11" t="s">
        <v>19</v>
      </c>
      <c r="B154" s="5" t="s">
        <v>47</v>
      </c>
      <c r="C154" s="64" t="s">
        <v>21</v>
      </c>
      <c r="D154" s="6" t="s">
        <v>22</v>
      </c>
      <c r="E154" s="6" t="s">
        <v>23</v>
      </c>
      <c r="F154" s="6" t="s">
        <v>16</v>
      </c>
      <c r="G154" s="6" t="s">
        <v>17</v>
      </c>
      <c r="H154" s="6" t="s">
        <v>24</v>
      </c>
      <c r="I154" s="8">
        <v>300000</v>
      </c>
      <c r="J154" s="8">
        <v>390355</v>
      </c>
      <c r="K154" s="9">
        <v>52179.32</v>
      </c>
      <c r="L154" s="13"/>
      <c r="M154" s="63">
        <f>표1[[#This Row],[Accumulated load-unload cycles:]]/표1[[#This Row],[Specified load-unload count over device lifetime:]]</f>
        <v>1.3011833333333334</v>
      </c>
      <c r="N154" s="1" t="str">
        <f>IF(표1[[#This Row],[사용량]]&lt;=60%, "양호", IF(표1[[#This Row],[사용량]]&lt;=70%, "교체 권고", IF(표1[[#This Row],[사용량]]&lt;=80%, "교체", "긴급 교체")))</f>
        <v>긴급 교체</v>
      </c>
    </row>
    <row r="155" spans="1:14" ht="20" customHeight="1">
      <c r="A155" s="11" t="s">
        <v>19</v>
      </c>
      <c r="B155" s="5" t="s">
        <v>26</v>
      </c>
      <c r="C155" s="64" t="s">
        <v>21</v>
      </c>
      <c r="D155" s="6" t="s">
        <v>22</v>
      </c>
      <c r="E155" s="6" t="s">
        <v>23</v>
      </c>
      <c r="F155" s="6" t="s">
        <v>16</v>
      </c>
      <c r="G155" s="6" t="s">
        <v>17</v>
      </c>
      <c r="H155" s="6" t="s">
        <v>24</v>
      </c>
      <c r="I155" s="8">
        <v>300000</v>
      </c>
      <c r="J155" s="8">
        <v>389564</v>
      </c>
      <c r="K155" s="9">
        <v>52178.55</v>
      </c>
      <c r="L155" s="13"/>
      <c r="M155" s="63">
        <f>표1[[#This Row],[Accumulated load-unload cycles:]]/표1[[#This Row],[Specified load-unload count over device lifetime:]]</f>
        <v>1.2985466666666667</v>
      </c>
      <c r="N155" s="1" t="str">
        <f>IF(표1[[#This Row],[사용량]]&lt;=60%, "양호", IF(표1[[#This Row],[사용량]]&lt;=70%, "교체 권고", IF(표1[[#This Row],[사용량]]&lt;=80%, "교체", "긴급 교체")))</f>
        <v>긴급 교체</v>
      </c>
    </row>
    <row r="156" spans="1:14" ht="20" customHeight="1">
      <c r="A156" s="11" t="s">
        <v>19</v>
      </c>
      <c r="B156" s="5" t="s">
        <v>42</v>
      </c>
      <c r="C156" s="6" t="s">
        <v>21</v>
      </c>
      <c r="D156" s="6" t="s">
        <v>22</v>
      </c>
      <c r="E156" s="6" t="s">
        <v>23</v>
      </c>
      <c r="F156" s="6" t="s">
        <v>16</v>
      </c>
      <c r="G156" s="6" t="s">
        <v>17</v>
      </c>
      <c r="H156" s="6" t="s">
        <v>24</v>
      </c>
      <c r="I156" s="8">
        <v>300000</v>
      </c>
      <c r="J156" s="8">
        <v>384167</v>
      </c>
      <c r="K156" s="9">
        <v>52178.47</v>
      </c>
      <c r="L156" s="13"/>
      <c r="M156" s="63">
        <f>표1[[#This Row],[Accumulated load-unload cycles:]]/표1[[#This Row],[Specified load-unload count over device lifetime:]]</f>
        <v>1.2805566666666666</v>
      </c>
      <c r="N156" s="1" t="str">
        <f>IF(표1[[#This Row],[사용량]]&lt;=60%, "양호", IF(표1[[#This Row],[사용량]]&lt;=70%, "교체 권고", IF(표1[[#This Row],[사용량]]&lt;=80%, "교체", "긴급 교체")))</f>
        <v>긴급 교체</v>
      </c>
    </row>
    <row r="157" spans="1:14" ht="20" customHeight="1">
      <c r="A157" s="11" t="s">
        <v>19</v>
      </c>
      <c r="B157" s="5" t="s">
        <v>25</v>
      </c>
      <c r="C157" s="6" t="s">
        <v>21</v>
      </c>
      <c r="D157" s="6" t="s">
        <v>22</v>
      </c>
      <c r="E157" s="6" t="s">
        <v>23</v>
      </c>
      <c r="F157" s="6" t="s">
        <v>16</v>
      </c>
      <c r="G157" s="6" t="s">
        <v>17</v>
      </c>
      <c r="H157" s="6" t="s">
        <v>24</v>
      </c>
      <c r="I157" s="8">
        <v>300000</v>
      </c>
      <c r="J157" s="8">
        <v>379701</v>
      </c>
      <c r="K157" s="9">
        <v>52179.33</v>
      </c>
      <c r="L157" s="13"/>
      <c r="M157" s="63">
        <f>표1[[#This Row],[Accumulated load-unload cycles:]]/표1[[#This Row],[Specified load-unload count over device lifetime:]]</f>
        <v>1.2656700000000001</v>
      </c>
      <c r="N157" s="1" t="str">
        <f>IF(표1[[#This Row],[사용량]]&lt;=60%, "양호", IF(표1[[#This Row],[사용량]]&lt;=70%, "교체 권고", IF(표1[[#This Row],[사용량]]&lt;=80%, "교체", "긴급 교체")))</f>
        <v>긴급 교체</v>
      </c>
    </row>
    <row r="158" spans="1:14" ht="20" customHeight="1">
      <c r="A158" s="11" t="s">
        <v>19</v>
      </c>
      <c r="B158" s="5" t="s">
        <v>32</v>
      </c>
      <c r="C158" s="6" t="s">
        <v>21</v>
      </c>
      <c r="D158" s="6" t="s">
        <v>22</v>
      </c>
      <c r="E158" s="6" t="s">
        <v>23</v>
      </c>
      <c r="F158" s="6" t="s">
        <v>16</v>
      </c>
      <c r="G158" s="6" t="s">
        <v>17</v>
      </c>
      <c r="H158" s="6" t="s">
        <v>24</v>
      </c>
      <c r="I158" s="8">
        <v>300000</v>
      </c>
      <c r="J158" s="8">
        <v>335559</v>
      </c>
      <c r="K158" s="9">
        <v>52179.45</v>
      </c>
      <c r="L158" s="13"/>
      <c r="M158" s="63">
        <f>표1[[#This Row],[Accumulated load-unload cycles:]]/표1[[#This Row],[Specified load-unload count over device lifetime:]]</f>
        <v>1.11853</v>
      </c>
      <c r="N158" s="1" t="str">
        <f>IF(표1[[#This Row],[사용량]]&lt;=60%, "양호", IF(표1[[#This Row],[사용량]]&lt;=70%, "교체 권고", IF(표1[[#This Row],[사용량]]&lt;=80%, "교체", "긴급 교체")))</f>
        <v>긴급 교체</v>
      </c>
    </row>
    <row r="159" spans="1:14" ht="20" customHeight="1">
      <c r="A159" s="11" t="s">
        <v>19</v>
      </c>
      <c r="B159" s="5" t="s">
        <v>39</v>
      </c>
      <c r="C159" s="6" t="s">
        <v>21</v>
      </c>
      <c r="D159" s="6" t="s">
        <v>22</v>
      </c>
      <c r="E159" s="6" t="s">
        <v>23</v>
      </c>
      <c r="F159" s="6" t="s">
        <v>16</v>
      </c>
      <c r="G159" s="6" t="s">
        <v>17</v>
      </c>
      <c r="H159" s="6" t="s">
        <v>24</v>
      </c>
      <c r="I159" s="8">
        <v>300000</v>
      </c>
      <c r="J159" s="8">
        <v>334210</v>
      </c>
      <c r="K159" s="9">
        <v>52179.4</v>
      </c>
      <c r="L159" s="13"/>
      <c r="M159" s="63">
        <f>표1[[#This Row],[Accumulated load-unload cycles:]]/표1[[#This Row],[Specified load-unload count over device lifetime:]]</f>
        <v>1.1140333333333334</v>
      </c>
      <c r="N159" s="1" t="str">
        <f>IF(표1[[#This Row],[사용량]]&lt;=60%, "양호", IF(표1[[#This Row],[사용량]]&lt;=70%, "교체 권고", IF(표1[[#This Row],[사용량]]&lt;=80%, "교체", "긴급 교체")))</f>
        <v>긴급 교체</v>
      </c>
    </row>
    <row r="160" spans="1:14" ht="20" customHeight="1">
      <c r="A160" s="11" t="s">
        <v>19</v>
      </c>
      <c r="B160" s="5" t="s">
        <v>34</v>
      </c>
      <c r="C160" s="6" t="s">
        <v>21</v>
      </c>
      <c r="D160" s="6" t="s">
        <v>22</v>
      </c>
      <c r="E160" s="6" t="s">
        <v>23</v>
      </c>
      <c r="F160" s="6" t="s">
        <v>16</v>
      </c>
      <c r="G160" s="6" t="s">
        <v>17</v>
      </c>
      <c r="H160" s="6" t="s">
        <v>24</v>
      </c>
      <c r="I160" s="8">
        <v>300000</v>
      </c>
      <c r="J160" s="8">
        <v>333120</v>
      </c>
      <c r="K160" s="9">
        <v>52179.38</v>
      </c>
      <c r="L160" s="13"/>
      <c r="M160" s="63">
        <f>표1[[#This Row],[Accumulated load-unload cycles:]]/표1[[#This Row],[Specified load-unload count over device lifetime:]]</f>
        <v>1.1104000000000001</v>
      </c>
      <c r="N160" s="1" t="str">
        <f>IF(표1[[#This Row],[사용량]]&lt;=60%, "양호", IF(표1[[#This Row],[사용량]]&lt;=70%, "교체 권고", IF(표1[[#This Row],[사용량]]&lt;=80%, "교체", "긴급 교체")))</f>
        <v>긴급 교체</v>
      </c>
    </row>
    <row r="161" spans="1:14" ht="20" customHeight="1">
      <c r="A161" s="11" t="s">
        <v>19</v>
      </c>
      <c r="B161" s="5" t="s">
        <v>29</v>
      </c>
      <c r="C161" s="6" t="s">
        <v>21</v>
      </c>
      <c r="D161" s="6" t="s">
        <v>22</v>
      </c>
      <c r="E161" s="6" t="s">
        <v>23</v>
      </c>
      <c r="F161" s="6" t="s">
        <v>16</v>
      </c>
      <c r="G161" s="6" t="s">
        <v>17</v>
      </c>
      <c r="H161" s="6" t="s">
        <v>24</v>
      </c>
      <c r="I161" s="8">
        <v>300000</v>
      </c>
      <c r="J161" s="8">
        <v>333076</v>
      </c>
      <c r="K161" s="9">
        <v>52179.55</v>
      </c>
      <c r="L161" s="13"/>
      <c r="M161" s="63">
        <f>표1[[#This Row],[Accumulated load-unload cycles:]]/표1[[#This Row],[Specified load-unload count over device lifetime:]]</f>
        <v>1.1102533333333333</v>
      </c>
      <c r="N161" s="1" t="str">
        <f>IF(표1[[#This Row],[사용량]]&lt;=60%, "양호", IF(표1[[#This Row],[사용량]]&lt;=70%, "교체 권고", IF(표1[[#This Row],[사용량]]&lt;=80%, "교체", "긴급 교체")))</f>
        <v>긴급 교체</v>
      </c>
    </row>
    <row r="162" spans="1:14" ht="20" customHeight="1">
      <c r="A162" s="11" t="s">
        <v>19</v>
      </c>
      <c r="B162" s="5" t="s">
        <v>40</v>
      </c>
      <c r="C162" s="6" t="s">
        <v>21</v>
      </c>
      <c r="D162" s="6" t="s">
        <v>22</v>
      </c>
      <c r="E162" s="6" t="s">
        <v>23</v>
      </c>
      <c r="F162" s="6" t="s">
        <v>16</v>
      </c>
      <c r="G162" s="6" t="s">
        <v>17</v>
      </c>
      <c r="H162" s="6" t="s">
        <v>24</v>
      </c>
      <c r="I162" s="8">
        <v>300000</v>
      </c>
      <c r="J162" s="8">
        <v>333000</v>
      </c>
      <c r="K162" s="9">
        <v>52178.47</v>
      </c>
      <c r="L162" s="13"/>
      <c r="M162" s="63">
        <f>표1[[#This Row],[Accumulated load-unload cycles:]]/표1[[#This Row],[Specified load-unload count over device lifetime:]]</f>
        <v>1.1100000000000001</v>
      </c>
      <c r="N162" s="1" t="str">
        <f>IF(표1[[#This Row],[사용량]]&lt;=60%, "양호", IF(표1[[#This Row],[사용량]]&lt;=70%, "교체 권고", IF(표1[[#This Row],[사용량]]&lt;=80%, "교체", "긴급 교체")))</f>
        <v>긴급 교체</v>
      </c>
    </row>
    <row r="163" spans="1:14" ht="20" customHeight="1">
      <c r="A163" s="11" t="s">
        <v>19</v>
      </c>
      <c r="B163" s="5" t="s">
        <v>36</v>
      </c>
      <c r="C163" s="6" t="s">
        <v>21</v>
      </c>
      <c r="D163" s="6" t="s">
        <v>22</v>
      </c>
      <c r="E163" s="6" t="s">
        <v>23</v>
      </c>
      <c r="F163" s="6" t="s">
        <v>16</v>
      </c>
      <c r="G163" s="6" t="s">
        <v>17</v>
      </c>
      <c r="H163" s="6" t="s">
        <v>24</v>
      </c>
      <c r="I163" s="8">
        <v>300000</v>
      </c>
      <c r="J163" s="8">
        <v>331393</v>
      </c>
      <c r="K163" s="9">
        <v>52178.27</v>
      </c>
      <c r="L163" s="13"/>
      <c r="M163" s="63">
        <f>표1[[#This Row],[Accumulated load-unload cycles:]]/표1[[#This Row],[Specified load-unload count over device lifetime:]]</f>
        <v>1.1046433333333334</v>
      </c>
      <c r="N163" s="1" t="str">
        <f>IF(표1[[#This Row],[사용량]]&lt;=60%, "양호", IF(표1[[#This Row],[사용량]]&lt;=70%, "교체 권고", IF(표1[[#This Row],[사용량]]&lt;=80%, "교체", "긴급 교체")))</f>
        <v>긴급 교체</v>
      </c>
    </row>
    <row r="164" spans="1:14" ht="20" customHeight="1">
      <c r="A164" s="11" t="s">
        <v>19</v>
      </c>
      <c r="B164" s="5" t="s">
        <v>20</v>
      </c>
      <c r="C164" s="6" t="s">
        <v>21</v>
      </c>
      <c r="D164" s="6" t="s">
        <v>22</v>
      </c>
      <c r="E164" s="6" t="s">
        <v>23</v>
      </c>
      <c r="F164" s="6" t="s">
        <v>16</v>
      </c>
      <c r="G164" s="6" t="s">
        <v>17</v>
      </c>
      <c r="H164" s="6" t="s">
        <v>24</v>
      </c>
      <c r="I164" s="8">
        <v>300000</v>
      </c>
      <c r="J164" s="8">
        <v>330970</v>
      </c>
      <c r="K164" s="9">
        <v>52179.23</v>
      </c>
      <c r="L164" s="13"/>
      <c r="M164" s="63">
        <f>표1[[#This Row],[Accumulated load-unload cycles:]]/표1[[#This Row],[Specified load-unload count over device lifetime:]]</f>
        <v>1.1032333333333333</v>
      </c>
      <c r="N164" s="1" t="str">
        <f>IF(표1[[#This Row],[사용량]]&lt;=60%, "양호", IF(표1[[#This Row],[사용량]]&lt;=70%, "교체 권고", IF(표1[[#This Row],[사용량]]&lt;=80%, "교체", "긴급 교체")))</f>
        <v>긴급 교체</v>
      </c>
    </row>
    <row r="165" spans="1:14" ht="20" customHeight="1">
      <c r="A165" s="11" t="s">
        <v>19</v>
      </c>
      <c r="B165" s="5" t="s">
        <v>48</v>
      </c>
      <c r="C165" s="6" t="s">
        <v>21</v>
      </c>
      <c r="D165" s="6" t="s">
        <v>22</v>
      </c>
      <c r="E165" s="6" t="s">
        <v>23</v>
      </c>
      <c r="F165" s="6" t="s">
        <v>16</v>
      </c>
      <c r="G165" s="6" t="s">
        <v>17</v>
      </c>
      <c r="H165" s="6" t="s">
        <v>24</v>
      </c>
      <c r="I165" s="8">
        <v>300000</v>
      </c>
      <c r="J165" s="8">
        <v>330239</v>
      </c>
      <c r="K165" s="9">
        <v>52178.45</v>
      </c>
      <c r="L165" s="13"/>
      <c r="M165" s="63">
        <f>표1[[#This Row],[Accumulated load-unload cycles:]]/표1[[#This Row],[Specified load-unload count over device lifetime:]]</f>
        <v>1.1007966666666666</v>
      </c>
      <c r="N165" s="1" t="str">
        <f>IF(표1[[#This Row],[사용량]]&lt;=60%, "양호", IF(표1[[#This Row],[사용량]]&lt;=70%, "교체 권고", IF(표1[[#This Row],[사용량]]&lt;=80%, "교체", "긴급 교체")))</f>
        <v>긴급 교체</v>
      </c>
    </row>
    <row r="166" spans="1:14" ht="20" customHeight="1">
      <c r="A166" s="11" t="s">
        <v>19</v>
      </c>
      <c r="B166" s="5" t="s">
        <v>28</v>
      </c>
      <c r="C166" s="6" t="s">
        <v>21</v>
      </c>
      <c r="D166" s="6" t="s">
        <v>22</v>
      </c>
      <c r="E166" s="6" t="s">
        <v>23</v>
      </c>
      <c r="F166" s="6" t="s">
        <v>16</v>
      </c>
      <c r="G166" s="6" t="s">
        <v>17</v>
      </c>
      <c r="H166" s="6" t="s">
        <v>24</v>
      </c>
      <c r="I166" s="8">
        <v>300000</v>
      </c>
      <c r="J166" s="8">
        <v>327688</v>
      </c>
      <c r="K166" s="9">
        <v>52179.43</v>
      </c>
      <c r="L166" s="13"/>
      <c r="M166" s="63">
        <f>표1[[#This Row],[Accumulated load-unload cycles:]]/표1[[#This Row],[Specified load-unload count over device lifetime:]]</f>
        <v>1.0922933333333333</v>
      </c>
      <c r="N166" s="1" t="str">
        <f>IF(표1[[#This Row],[사용량]]&lt;=60%, "양호", IF(표1[[#This Row],[사용량]]&lt;=70%, "교체 권고", IF(표1[[#This Row],[사용량]]&lt;=80%, "교체", "긴급 교체")))</f>
        <v>긴급 교체</v>
      </c>
    </row>
    <row r="167" spans="1:14" ht="20" customHeight="1">
      <c r="A167" s="11" t="s">
        <v>19</v>
      </c>
      <c r="B167" s="5" t="s">
        <v>30</v>
      </c>
      <c r="C167" s="6" t="s">
        <v>21</v>
      </c>
      <c r="D167" s="6" t="s">
        <v>22</v>
      </c>
      <c r="E167" s="6" t="s">
        <v>23</v>
      </c>
      <c r="F167" s="6" t="s">
        <v>16</v>
      </c>
      <c r="G167" s="6" t="s">
        <v>17</v>
      </c>
      <c r="H167" s="6" t="s">
        <v>24</v>
      </c>
      <c r="I167" s="8">
        <v>300000</v>
      </c>
      <c r="J167" s="8">
        <v>326961</v>
      </c>
      <c r="K167" s="9">
        <v>52179.27</v>
      </c>
      <c r="L167" s="13"/>
      <c r="M167" s="63">
        <f>표1[[#This Row],[Accumulated load-unload cycles:]]/표1[[#This Row],[Specified load-unload count over device lifetime:]]</f>
        <v>1.0898699999999999</v>
      </c>
      <c r="N167" s="1" t="str">
        <f>IF(표1[[#This Row],[사용량]]&lt;=60%, "양호", IF(표1[[#This Row],[사용량]]&lt;=70%, "교체 권고", IF(표1[[#This Row],[사용량]]&lt;=80%, "교체", "긴급 교체")))</f>
        <v>긴급 교체</v>
      </c>
    </row>
    <row r="168" spans="1:14" ht="20" customHeight="1">
      <c r="A168" s="11" t="s">
        <v>19</v>
      </c>
      <c r="B168" s="5" t="s">
        <v>55</v>
      </c>
      <c r="C168" s="6" t="s">
        <v>21</v>
      </c>
      <c r="D168" s="6" t="s">
        <v>22</v>
      </c>
      <c r="E168" s="6" t="s">
        <v>23</v>
      </c>
      <c r="F168" s="6" t="s">
        <v>16</v>
      </c>
      <c r="G168" s="6" t="s">
        <v>17</v>
      </c>
      <c r="H168" s="6" t="s">
        <v>24</v>
      </c>
      <c r="I168" s="8">
        <v>300000</v>
      </c>
      <c r="J168" s="8">
        <v>326920</v>
      </c>
      <c r="K168" s="9">
        <v>52178.77</v>
      </c>
      <c r="L168" s="13"/>
      <c r="M168" s="63">
        <f>표1[[#This Row],[Accumulated load-unload cycles:]]/표1[[#This Row],[Specified load-unload count over device lifetime:]]</f>
        <v>1.0897333333333334</v>
      </c>
      <c r="N168" s="1" t="str">
        <f>IF(표1[[#This Row],[사용량]]&lt;=60%, "양호", IF(표1[[#This Row],[사용량]]&lt;=70%, "교체 권고", IF(표1[[#This Row],[사용량]]&lt;=80%, "교체", "긴급 교체")))</f>
        <v>긴급 교체</v>
      </c>
    </row>
    <row r="169" spans="1:14" ht="20" customHeight="1">
      <c r="A169" s="11" t="s">
        <v>19</v>
      </c>
      <c r="B169" s="5" t="s">
        <v>45</v>
      </c>
      <c r="C169" s="6" t="s">
        <v>21</v>
      </c>
      <c r="D169" s="6" t="s">
        <v>22</v>
      </c>
      <c r="E169" s="6" t="s">
        <v>23</v>
      </c>
      <c r="F169" s="6" t="s">
        <v>16</v>
      </c>
      <c r="G169" s="6" t="s">
        <v>17</v>
      </c>
      <c r="H169" s="6" t="s">
        <v>24</v>
      </c>
      <c r="I169" s="8">
        <v>300000</v>
      </c>
      <c r="J169" s="8">
        <v>326028</v>
      </c>
      <c r="K169" s="9">
        <v>52178.27</v>
      </c>
      <c r="L169" s="13"/>
      <c r="M169" s="63">
        <f>표1[[#This Row],[Accumulated load-unload cycles:]]/표1[[#This Row],[Specified load-unload count over device lifetime:]]</f>
        <v>1.0867599999999999</v>
      </c>
      <c r="N169" s="1" t="str">
        <f>IF(표1[[#This Row],[사용량]]&lt;=60%, "양호", IF(표1[[#This Row],[사용량]]&lt;=70%, "교체 권고", IF(표1[[#This Row],[사용량]]&lt;=80%, "교체", "긴급 교체")))</f>
        <v>긴급 교체</v>
      </c>
    </row>
    <row r="170" spans="1:14" ht="20" customHeight="1">
      <c r="A170" s="11" t="s">
        <v>19</v>
      </c>
      <c r="B170" s="5" t="s">
        <v>46</v>
      </c>
      <c r="C170" s="64" t="s">
        <v>21</v>
      </c>
      <c r="D170" s="6" t="s">
        <v>22</v>
      </c>
      <c r="E170" s="6" t="s">
        <v>23</v>
      </c>
      <c r="F170" s="6" t="s">
        <v>16</v>
      </c>
      <c r="G170" s="6" t="s">
        <v>17</v>
      </c>
      <c r="H170" s="6" t="s">
        <v>24</v>
      </c>
      <c r="I170" s="8">
        <v>300000</v>
      </c>
      <c r="J170" s="8">
        <v>323491</v>
      </c>
      <c r="K170" s="9">
        <v>52177.97</v>
      </c>
      <c r="L170" s="13"/>
      <c r="M170" s="63">
        <f>표1[[#This Row],[Accumulated load-unload cycles:]]/표1[[#This Row],[Specified load-unload count over device lifetime:]]</f>
        <v>1.0783033333333334</v>
      </c>
      <c r="N170" s="1" t="str">
        <f>IF(표1[[#This Row],[사용량]]&lt;=60%, "양호", IF(표1[[#This Row],[사용량]]&lt;=70%, "교체 권고", IF(표1[[#This Row],[사용량]]&lt;=80%, "교체", "긴급 교체")))</f>
        <v>긴급 교체</v>
      </c>
    </row>
    <row r="171" spans="1:14" ht="20" customHeight="1">
      <c r="A171" s="11" t="s">
        <v>19</v>
      </c>
      <c r="B171" s="5" t="s">
        <v>27</v>
      </c>
      <c r="C171" s="64" t="s">
        <v>21</v>
      </c>
      <c r="D171" s="6" t="s">
        <v>22</v>
      </c>
      <c r="E171" s="6" t="s">
        <v>23</v>
      </c>
      <c r="F171" s="6" t="s">
        <v>16</v>
      </c>
      <c r="G171" s="6" t="s">
        <v>17</v>
      </c>
      <c r="H171" s="6" t="s">
        <v>24</v>
      </c>
      <c r="I171" s="8">
        <v>300000</v>
      </c>
      <c r="J171" s="8">
        <v>322917</v>
      </c>
      <c r="K171" s="9">
        <v>52179.97</v>
      </c>
      <c r="L171" s="13"/>
      <c r="M171" s="63">
        <f>표1[[#This Row],[Accumulated load-unload cycles:]]/표1[[#This Row],[Specified load-unload count over device lifetime:]]</f>
        <v>1.07639</v>
      </c>
      <c r="N171" s="1" t="str">
        <f>IF(표1[[#This Row],[사용량]]&lt;=60%, "양호", IF(표1[[#This Row],[사용량]]&lt;=70%, "교체 권고", IF(표1[[#This Row],[사용량]]&lt;=80%, "교체", "긴급 교체")))</f>
        <v>긴급 교체</v>
      </c>
    </row>
    <row r="172" spans="1:14" ht="20" customHeight="1">
      <c r="A172" s="11" t="s">
        <v>19</v>
      </c>
      <c r="B172" s="5" t="s">
        <v>49</v>
      </c>
      <c r="C172" s="64" t="s">
        <v>21</v>
      </c>
      <c r="D172" s="6" t="s">
        <v>22</v>
      </c>
      <c r="E172" s="6" t="s">
        <v>23</v>
      </c>
      <c r="F172" s="6" t="s">
        <v>16</v>
      </c>
      <c r="G172" s="6" t="s">
        <v>17</v>
      </c>
      <c r="H172" s="6" t="s">
        <v>24</v>
      </c>
      <c r="I172" s="8">
        <v>300000</v>
      </c>
      <c r="J172" s="8">
        <v>322370</v>
      </c>
      <c r="K172" s="9">
        <v>52178.37</v>
      </c>
      <c r="L172" s="13"/>
      <c r="M172" s="63">
        <f>표1[[#This Row],[Accumulated load-unload cycles:]]/표1[[#This Row],[Specified load-unload count over device lifetime:]]</f>
        <v>1.0745666666666667</v>
      </c>
      <c r="N172" s="1" t="str">
        <f>IF(표1[[#This Row],[사용량]]&lt;=60%, "양호", IF(표1[[#This Row],[사용량]]&lt;=70%, "교체 권고", IF(표1[[#This Row],[사용량]]&lt;=80%, "교체", "긴급 교체")))</f>
        <v>긴급 교체</v>
      </c>
    </row>
    <row r="173" spans="1:14" ht="20" customHeight="1">
      <c r="A173" s="11" t="s">
        <v>19</v>
      </c>
      <c r="B173" s="5" t="s">
        <v>57</v>
      </c>
      <c r="C173" s="64" t="s">
        <v>21</v>
      </c>
      <c r="D173" s="6" t="s">
        <v>22</v>
      </c>
      <c r="E173" s="6" t="s">
        <v>23</v>
      </c>
      <c r="F173" s="6" t="s">
        <v>16</v>
      </c>
      <c r="G173" s="6" t="s">
        <v>17</v>
      </c>
      <c r="H173" s="6" t="s">
        <v>24</v>
      </c>
      <c r="I173" s="8">
        <v>300000</v>
      </c>
      <c r="J173" s="8">
        <v>321457</v>
      </c>
      <c r="K173" s="9">
        <v>52178.05</v>
      </c>
      <c r="L173" s="13"/>
      <c r="M173" s="63">
        <f>표1[[#This Row],[Accumulated load-unload cycles:]]/표1[[#This Row],[Specified load-unload count over device lifetime:]]</f>
        <v>1.0715233333333334</v>
      </c>
      <c r="N173" s="1" t="str">
        <f>IF(표1[[#This Row],[사용량]]&lt;=60%, "양호", IF(표1[[#This Row],[사용량]]&lt;=70%, "교체 권고", IF(표1[[#This Row],[사용량]]&lt;=80%, "교체", "긴급 교체")))</f>
        <v>긴급 교체</v>
      </c>
    </row>
    <row r="174" spans="1:14" ht="20" customHeight="1">
      <c r="A174" s="11" t="s">
        <v>19</v>
      </c>
      <c r="B174" s="5" t="s">
        <v>53</v>
      </c>
      <c r="C174" s="6" t="s">
        <v>21</v>
      </c>
      <c r="D174" s="6" t="s">
        <v>22</v>
      </c>
      <c r="E174" s="6" t="s">
        <v>23</v>
      </c>
      <c r="F174" s="6" t="s">
        <v>16</v>
      </c>
      <c r="G174" s="6" t="s">
        <v>17</v>
      </c>
      <c r="H174" s="6" t="s">
        <v>24</v>
      </c>
      <c r="I174" s="8">
        <v>300000</v>
      </c>
      <c r="J174" s="8">
        <v>321038</v>
      </c>
      <c r="K174" s="9">
        <v>52178.53</v>
      </c>
      <c r="L174" s="13"/>
      <c r="M174" s="63">
        <f>표1[[#This Row],[Accumulated load-unload cycles:]]/표1[[#This Row],[Specified load-unload count over device lifetime:]]</f>
        <v>1.0701266666666667</v>
      </c>
      <c r="N174" s="1" t="str">
        <f>IF(표1[[#This Row],[사용량]]&lt;=60%, "양호", IF(표1[[#This Row],[사용량]]&lt;=70%, "교체 권고", IF(표1[[#This Row],[사용량]]&lt;=80%, "교체", "긴급 교체")))</f>
        <v>긴급 교체</v>
      </c>
    </row>
    <row r="175" spans="1:14" ht="20" customHeight="1">
      <c r="A175" s="11" t="s">
        <v>19</v>
      </c>
      <c r="B175" s="5" t="s">
        <v>50</v>
      </c>
      <c r="C175" s="6" t="s">
        <v>21</v>
      </c>
      <c r="D175" s="6" t="s">
        <v>22</v>
      </c>
      <c r="E175" s="6" t="s">
        <v>23</v>
      </c>
      <c r="F175" s="6" t="s">
        <v>16</v>
      </c>
      <c r="G175" s="6" t="s">
        <v>17</v>
      </c>
      <c r="H175" s="6" t="s">
        <v>24</v>
      </c>
      <c r="I175" s="8">
        <v>300000</v>
      </c>
      <c r="J175" s="8">
        <v>319540</v>
      </c>
      <c r="K175" s="9">
        <v>52179.3</v>
      </c>
      <c r="L175" s="13"/>
      <c r="M175" s="63">
        <f>표1[[#This Row],[Accumulated load-unload cycles:]]/표1[[#This Row],[Specified load-unload count over device lifetime:]]</f>
        <v>1.0651333333333333</v>
      </c>
      <c r="N175" s="1" t="str">
        <f>IF(표1[[#This Row],[사용량]]&lt;=60%, "양호", IF(표1[[#This Row],[사용량]]&lt;=70%, "교체 권고", IF(표1[[#This Row],[사용량]]&lt;=80%, "교체", "긴급 교체")))</f>
        <v>긴급 교체</v>
      </c>
    </row>
    <row r="176" spans="1:14" ht="20" customHeight="1">
      <c r="A176" s="11" t="s">
        <v>19</v>
      </c>
      <c r="B176" s="5" t="s">
        <v>56</v>
      </c>
      <c r="C176" s="6" t="s">
        <v>21</v>
      </c>
      <c r="D176" s="6" t="s">
        <v>22</v>
      </c>
      <c r="E176" s="6" t="s">
        <v>23</v>
      </c>
      <c r="F176" s="6" t="s">
        <v>16</v>
      </c>
      <c r="G176" s="6" t="s">
        <v>17</v>
      </c>
      <c r="H176" s="6" t="s">
        <v>24</v>
      </c>
      <c r="I176" s="8">
        <v>300000</v>
      </c>
      <c r="J176" s="8">
        <v>319373</v>
      </c>
      <c r="K176" s="9">
        <v>52178.48</v>
      </c>
      <c r="L176" s="13"/>
      <c r="M176" s="63">
        <f>표1[[#This Row],[Accumulated load-unload cycles:]]/표1[[#This Row],[Specified load-unload count over device lifetime:]]</f>
        <v>1.0645766666666667</v>
      </c>
      <c r="N176" s="1" t="str">
        <f>IF(표1[[#This Row],[사용량]]&lt;=60%, "양호", IF(표1[[#This Row],[사용량]]&lt;=70%, "교체 권고", IF(표1[[#This Row],[사용량]]&lt;=80%, "교체", "긴급 교체")))</f>
        <v>긴급 교체</v>
      </c>
    </row>
    <row r="177" spans="1:14" ht="20" customHeight="1">
      <c r="A177" s="11" t="s">
        <v>19</v>
      </c>
      <c r="B177" s="5" t="s">
        <v>44</v>
      </c>
      <c r="C177" s="6" t="s">
        <v>21</v>
      </c>
      <c r="D177" s="6" t="s">
        <v>22</v>
      </c>
      <c r="E177" s="6" t="s">
        <v>23</v>
      </c>
      <c r="F177" s="6" t="s">
        <v>16</v>
      </c>
      <c r="G177" s="6" t="s">
        <v>17</v>
      </c>
      <c r="H177" s="6" t="s">
        <v>24</v>
      </c>
      <c r="I177" s="8">
        <v>300000</v>
      </c>
      <c r="J177" s="8">
        <v>314796</v>
      </c>
      <c r="K177" s="9">
        <v>52178.95</v>
      </c>
      <c r="L177" s="13"/>
      <c r="M177" s="63">
        <f>표1[[#This Row],[Accumulated load-unload cycles:]]/표1[[#This Row],[Specified load-unload count over device lifetime:]]</f>
        <v>1.04932</v>
      </c>
      <c r="N177" s="1" t="str">
        <f>IF(표1[[#This Row],[사용량]]&lt;=60%, "양호", IF(표1[[#This Row],[사용량]]&lt;=70%, "교체 권고", IF(표1[[#This Row],[사용량]]&lt;=80%, "교체", "긴급 교체")))</f>
        <v>긴급 교체</v>
      </c>
    </row>
    <row r="178" spans="1:14" ht="20" customHeight="1">
      <c r="A178" s="11" t="s">
        <v>19</v>
      </c>
      <c r="B178" s="5" t="s">
        <v>63</v>
      </c>
      <c r="C178" s="6" t="s">
        <v>21</v>
      </c>
      <c r="D178" s="6" t="s">
        <v>22</v>
      </c>
      <c r="E178" s="6" t="s">
        <v>23</v>
      </c>
      <c r="F178" s="6" t="s">
        <v>16</v>
      </c>
      <c r="G178" s="6" t="s">
        <v>17</v>
      </c>
      <c r="H178" s="6" t="s">
        <v>24</v>
      </c>
      <c r="I178" s="8">
        <v>300000</v>
      </c>
      <c r="J178" s="8">
        <v>234324</v>
      </c>
      <c r="K178" s="9">
        <v>51781.72</v>
      </c>
      <c r="L178" s="13"/>
      <c r="M178" s="63">
        <f>표1[[#This Row],[Accumulated load-unload cycles:]]/표1[[#This Row],[Specified load-unload count over device lifetime:]]</f>
        <v>0.78108</v>
      </c>
      <c r="N178" s="1" t="str">
        <f>IF(표1[[#This Row],[사용량]]&lt;=60%, "양호", IF(표1[[#This Row],[사용량]]&lt;=70%, "교체 권고", IF(표1[[#This Row],[사용량]]&lt;=80%, "교체", "긴급 교체")))</f>
        <v>교체</v>
      </c>
    </row>
    <row r="179" spans="1:14" ht="20" customHeight="1">
      <c r="A179" s="11" t="s">
        <v>19</v>
      </c>
      <c r="B179" s="5" t="s">
        <v>59</v>
      </c>
      <c r="C179" s="6" t="s">
        <v>21</v>
      </c>
      <c r="D179" s="6" t="s">
        <v>22</v>
      </c>
      <c r="E179" s="6" t="s">
        <v>23</v>
      </c>
      <c r="F179" s="6" t="s">
        <v>16</v>
      </c>
      <c r="G179" s="6" t="s">
        <v>17</v>
      </c>
      <c r="H179" s="6" t="s">
        <v>24</v>
      </c>
      <c r="I179" s="8">
        <v>300000</v>
      </c>
      <c r="J179" s="8">
        <v>233223</v>
      </c>
      <c r="K179" s="9">
        <v>51782.75</v>
      </c>
      <c r="L179" s="13"/>
      <c r="M179" s="63">
        <f>표1[[#This Row],[Accumulated load-unload cycles:]]/표1[[#This Row],[Specified load-unload count over device lifetime:]]</f>
        <v>0.77741000000000005</v>
      </c>
      <c r="N179" s="1" t="str">
        <f>IF(표1[[#This Row],[사용량]]&lt;=60%, "양호", IF(표1[[#This Row],[사용량]]&lt;=70%, "교체 권고", IF(표1[[#This Row],[사용량]]&lt;=80%, "교체", "긴급 교체")))</f>
        <v>교체</v>
      </c>
    </row>
    <row r="180" spans="1:14" ht="20" customHeight="1">
      <c r="A180" s="11" t="s">
        <v>19</v>
      </c>
      <c r="B180" s="5" t="s">
        <v>61</v>
      </c>
      <c r="C180" s="6" t="s">
        <v>21</v>
      </c>
      <c r="D180" s="6" t="s">
        <v>22</v>
      </c>
      <c r="E180" s="6" t="s">
        <v>23</v>
      </c>
      <c r="F180" s="6" t="s">
        <v>16</v>
      </c>
      <c r="G180" s="6" t="s">
        <v>17</v>
      </c>
      <c r="H180" s="6" t="s">
        <v>24</v>
      </c>
      <c r="I180" s="8">
        <v>300000</v>
      </c>
      <c r="J180" s="8">
        <v>232404</v>
      </c>
      <c r="K180" s="9">
        <v>51781.8</v>
      </c>
      <c r="L180" s="13"/>
      <c r="M180" s="63">
        <f>표1[[#This Row],[Accumulated load-unload cycles:]]/표1[[#This Row],[Specified load-unload count over device lifetime:]]</f>
        <v>0.77468000000000004</v>
      </c>
      <c r="N180" s="1" t="str">
        <f>IF(표1[[#This Row],[사용량]]&lt;=60%, "양호", IF(표1[[#This Row],[사용량]]&lt;=70%, "교체 권고", IF(표1[[#This Row],[사용량]]&lt;=80%, "교체", "긴급 교체")))</f>
        <v>교체</v>
      </c>
    </row>
    <row r="181" spans="1:14" ht="20" customHeight="1">
      <c r="A181" s="11" t="s">
        <v>19</v>
      </c>
      <c r="B181" s="5" t="s">
        <v>58</v>
      </c>
      <c r="C181" s="6" t="s">
        <v>21</v>
      </c>
      <c r="D181" s="6" t="s">
        <v>22</v>
      </c>
      <c r="E181" s="6" t="s">
        <v>23</v>
      </c>
      <c r="F181" s="6" t="s">
        <v>16</v>
      </c>
      <c r="G181" s="6" t="s">
        <v>17</v>
      </c>
      <c r="H181" s="6" t="s">
        <v>24</v>
      </c>
      <c r="I181" s="8">
        <v>300000</v>
      </c>
      <c r="J181" s="8">
        <v>227062</v>
      </c>
      <c r="K181" s="9">
        <v>51783.03</v>
      </c>
      <c r="L181" s="13"/>
      <c r="M181" s="63">
        <f>표1[[#This Row],[Accumulated load-unload cycles:]]/표1[[#This Row],[Specified load-unload count over device lifetime:]]</f>
        <v>0.75687333333333329</v>
      </c>
      <c r="N181" s="1" t="str">
        <f>IF(표1[[#This Row],[사용량]]&lt;=60%, "양호", IF(표1[[#This Row],[사용량]]&lt;=70%, "교체 권고", IF(표1[[#This Row],[사용량]]&lt;=80%, "교체", "긴급 교체")))</f>
        <v>교체</v>
      </c>
    </row>
    <row r="182" spans="1:14" ht="20" customHeight="1">
      <c r="A182" s="11" t="s">
        <v>19</v>
      </c>
      <c r="B182" s="5" t="s">
        <v>66</v>
      </c>
      <c r="C182" s="6" t="s">
        <v>21</v>
      </c>
      <c r="D182" s="6" t="s">
        <v>22</v>
      </c>
      <c r="E182" s="6" t="s">
        <v>23</v>
      </c>
      <c r="F182" s="6" t="s">
        <v>16</v>
      </c>
      <c r="G182" s="6" t="s">
        <v>17</v>
      </c>
      <c r="H182" s="6" t="s">
        <v>24</v>
      </c>
      <c r="I182" s="8">
        <v>300000</v>
      </c>
      <c r="J182" s="8">
        <v>142458</v>
      </c>
      <c r="K182" s="9">
        <v>29753.119999999999</v>
      </c>
      <c r="L182" s="13"/>
      <c r="M182" s="63">
        <f>표1[[#This Row],[Accumulated load-unload cycles:]]/표1[[#This Row],[Specified load-unload count over device lifetime:]]</f>
        <v>0.47486</v>
      </c>
      <c r="N182" s="1" t="str">
        <f>IF(표1[[#This Row],[사용량]]&lt;=60%, "양호", IF(표1[[#This Row],[사용량]]&lt;=70%, "교체 권고", IF(표1[[#This Row],[사용량]]&lt;=80%, "교체", "긴급 교체")))</f>
        <v>양호</v>
      </c>
    </row>
    <row r="183" spans="1:14" ht="20" customHeight="1">
      <c r="A183" s="11" t="s">
        <v>19</v>
      </c>
      <c r="B183" s="5" t="s">
        <v>67</v>
      </c>
      <c r="C183" s="6" t="s">
        <v>21</v>
      </c>
      <c r="D183" s="6" t="s">
        <v>68</v>
      </c>
      <c r="E183" s="6" t="s">
        <v>23</v>
      </c>
      <c r="F183" s="6" t="s">
        <v>16</v>
      </c>
      <c r="G183" s="6" t="s">
        <v>17</v>
      </c>
      <c r="H183" s="6" t="s">
        <v>24</v>
      </c>
      <c r="I183" s="8">
        <v>600000</v>
      </c>
      <c r="J183" s="8">
        <v>4881</v>
      </c>
      <c r="K183" s="9">
        <v>1831.1</v>
      </c>
      <c r="L183" s="13"/>
      <c r="M183" s="63">
        <f>표1[[#This Row],[Accumulated load-unload cycles:]]/표1[[#This Row],[Specified load-unload count over device lifetime:]]</f>
        <v>8.1349999999999999E-3</v>
      </c>
      <c r="N183" s="1" t="str">
        <f>IF(표1[[#This Row],[사용량]]&lt;=60%, "양호", IF(표1[[#This Row],[사용량]]&lt;=70%, "교체 권고", IF(표1[[#This Row],[사용량]]&lt;=80%, "교체", "긴급 교체")))</f>
        <v>양호</v>
      </c>
    </row>
    <row r="184" spans="1:14" ht="20" customHeight="1">
      <c r="A184" s="11" t="s">
        <v>80</v>
      </c>
      <c r="B184" s="5" t="s">
        <v>49</v>
      </c>
      <c r="C184" s="6" t="s">
        <v>21</v>
      </c>
      <c r="D184" s="6" t="s">
        <v>81</v>
      </c>
      <c r="E184" s="6" t="s">
        <v>82</v>
      </c>
      <c r="F184" s="6" t="s">
        <v>16</v>
      </c>
      <c r="G184" s="6" t="s">
        <v>17</v>
      </c>
      <c r="H184" s="6" t="s">
        <v>24</v>
      </c>
      <c r="I184" s="7"/>
      <c r="J184" s="7"/>
      <c r="K184" s="7"/>
      <c r="L184" s="13"/>
      <c r="M184" s="63" t="e">
        <f>표1[[#This Row],[Accumulated load-unload cycles:]]/표1[[#This Row],[Specified load-unload count over device lifetime:]]</f>
        <v>#DIV/0!</v>
      </c>
      <c r="N184" s="1" t="e">
        <f>IF(표1[[#This Row],[사용량]]&lt;=60%, "양호", IF(표1[[#This Row],[사용량]]&lt;=70%, "교체 권고", IF(표1[[#This Row],[사용량]]&lt;=80%, "교체", "긴급 교체")))</f>
        <v>#DIV/0!</v>
      </c>
    </row>
    <row r="185" spans="1:14" ht="20" customHeight="1">
      <c r="A185" s="11" t="s">
        <v>80</v>
      </c>
      <c r="B185" s="5" t="s">
        <v>83</v>
      </c>
      <c r="C185" s="6" t="s">
        <v>21</v>
      </c>
      <c r="D185" s="6" t="s">
        <v>81</v>
      </c>
      <c r="E185" s="6" t="s">
        <v>82</v>
      </c>
      <c r="F185" s="6" t="s">
        <v>16</v>
      </c>
      <c r="G185" s="6" t="s">
        <v>17</v>
      </c>
      <c r="H185" s="6" t="s">
        <v>24</v>
      </c>
      <c r="I185" s="7"/>
      <c r="J185" s="7"/>
      <c r="K185" s="7"/>
      <c r="L185" s="13"/>
      <c r="M185" s="63" t="e">
        <f>표1[[#This Row],[Accumulated load-unload cycles:]]/표1[[#This Row],[Specified load-unload count over device lifetime:]]</f>
        <v>#DIV/0!</v>
      </c>
      <c r="N185" s="1" t="e">
        <f>IF(표1[[#This Row],[사용량]]&lt;=60%, "양호", IF(표1[[#This Row],[사용량]]&lt;=70%, "교체 권고", IF(표1[[#This Row],[사용량]]&lt;=80%, "교체", "긴급 교체")))</f>
        <v>#DIV/0!</v>
      </c>
    </row>
    <row r="186" spans="1:14" ht="20" customHeight="1">
      <c r="A186" s="11" t="s">
        <v>80</v>
      </c>
      <c r="B186" s="5" t="s">
        <v>60</v>
      </c>
      <c r="C186" s="6" t="s">
        <v>21</v>
      </c>
      <c r="D186" s="6" t="s">
        <v>81</v>
      </c>
      <c r="E186" s="6" t="s">
        <v>82</v>
      </c>
      <c r="F186" s="6" t="s">
        <v>16</v>
      </c>
      <c r="G186" s="6" t="s">
        <v>17</v>
      </c>
      <c r="H186" s="6" t="s">
        <v>24</v>
      </c>
      <c r="I186" s="7"/>
      <c r="J186" s="7"/>
      <c r="K186" s="7"/>
      <c r="L186" s="13"/>
      <c r="M186" s="63" t="e">
        <f>표1[[#This Row],[Accumulated load-unload cycles:]]/표1[[#This Row],[Specified load-unload count over device lifetime:]]</f>
        <v>#DIV/0!</v>
      </c>
      <c r="N186" s="1" t="e">
        <f>IF(표1[[#This Row],[사용량]]&lt;=60%, "양호", IF(표1[[#This Row],[사용량]]&lt;=70%, "교체 권고", IF(표1[[#This Row],[사용량]]&lt;=80%, "교체", "긴급 교체")))</f>
        <v>#DIV/0!</v>
      </c>
    </row>
    <row r="187" spans="1:14" ht="20" customHeight="1">
      <c r="A187" s="11" t="s">
        <v>80</v>
      </c>
      <c r="B187" s="5" t="s">
        <v>55</v>
      </c>
      <c r="C187" s="6" t="s">
        <v>21</v>
      </c>
      <c r="D187" s="6" t="s">
        <v>81</v>
      </c>
      <c r="E187" s="6" t="s">
        <v>82</v>
      </c>
      <c r="F187" s="6" t="s">
        <v>16</v>
      </c>
      <c r="G187" s="6" t="s">
        <v>17</v>
      </c>
      <c r="H187" s="6" t="s">
        <v>24</v>
      </c>
      <c r="I187" s="8">
        <v>600000</v>
      </c>
      <c r="J187" s="8">
        <v>140451</v>
      </c>
      <c r="K187" s="9">
        <v>33547.83</v>
      </c>
      <c r="L187" s="13"/>
      <c r="M187" s="63">
        <f>표1[[#This Row],[Accumulated load-unload cycles:]]/표1[[#This Row],[Specified load-unload count over device lifetime:]]</f>
        <v>0.23408499999999999</v>
      </c>
      <c r="N187" s="1" t="str">
        <f>IF(표1[[#This Row],[사용량]]&lt;=60%, "양호", IF(표1[[#This Row],[사용량]]&lt;=70%, "교체 권고", IF(표1[[#This Row],[사용량]]&lt;=80%, "교체", "긴급 교체")))</f>
        <v>양호</v>
      </c>
    </row>
    <row r="188" spans="1:14" ht="20" customHeight="1">
      <c r="A188" s="11" t="s">
        <v>80</v>
      </c>
      <c r="B188" s="5" t="s">
        <v>43</v>
      </c>
      <c r="C188" s="6" t="s">
        <v>21</v>
      </c>
      <c r="D188" s="6" t="s">
        <v>81</v>
      </c>
      <c r="E188" s="6" t="s">
        <v>82</v>
      </c>
      <c r="F188" s="6" t="s">
        <v>16</v>
      </c>
      <c r="G188" s="6" t="s">
        <v>17</v>
      </c>
      <c r="H188" s="6" t="s">
        <v>24</v>
      </c>
      <c r="I188" s="8">
        <v>600000</v>
      </c>
      <c r="J188" s="8">
        <v>139740</v>
      </c>
      <c r="K188" s="9">
        <v>33546.75</v>
      </c>
      <c r="L188" s="13"/>
      <c r="M188" s="63">
        <f>표1[[#This Row],[Accumulated load-unload cycles:]]/표1[[#This Row],[Specified load-unload count over device lifetime:]]</f>
        <v>0.2329</v>
      </c>
      <c r="N188" s="1" t="str">
        <f>IF(표1[[#This Row],[사용량]]&lt;=60%, "양호", IF(표1[[#This Row],[사용량]]&lt;=70%, "교체 권고", IF(표1[[#This Row],[사용량]]&lt;=80%, "교체", "긴급 교체")))</f>
        <v>양호</v>
      </c>
    </row>
    <row r="189" spans="1:14" ht="20" customHeight="1">
      <c r="A189" s="11" t="s">
        <v>80</v>
      </c>
      <c r="B189" s="5" t="s">
        <v>47</v>
      </c>
      <c r="C189" s="64" t="s">
        <v>21</v>
      </c>
      <c r="D189" s="6" t="s">
        <v>81</v>
      </c>
      <c r="E189" s="6" t="s">
        <v>82</v>
      </c>
      <c r="F189" s="6" t="s">
        <v>16</v>
      </c>
      <c r="G189" s="6" t="s">
        <v>17</v>
      </c>
      <c r="H189" s="6" t="s">
        <v>24</v>
      </c>
      <c r="I189" s="8">
        <v>600000</v>
      </c>
      <c r="J189" s="8">
        <v>139182</v>
      </c>
      <c r="K189" s="9">
        <v>33547.449999999997</v>
      </c>
      <c r="L189" s="13"/>
      <c r="M189" s="63">
        <f>표1[[#This Row],[Accumulated load-unload cycles:]]/표1[[#This Row],[Specified load-unload count over device lifetime:]]</f>
        <v>0.23197000000000001</v>
      </c>
      <c r="N189" s="1" t="str">
        <f>IF(표1[[#This Row],[사용량]]&lt;=60%, "양호", IF(표1[[#This Row],[사용량]]&lt;=70%, "교체 권고", IF(표1[[#This Row],[사용량]]&lt;=80%, "교체", "긴급 교체")))</f>
        <v>양호</v>
      </c>
    </row>
    <row r="190" spans="1:14" ht="20" customHeight="1">
      <c r="A190" s="11" t="s">
        <v>80</v>
      </c>
      <c r="B190" s="5" t="s">
        <v>42</v>
      </c>
      <c r="C190" s="64" t="s">
        <v>21</v>
      </c>
      <c r="D190" s="6" t="s">
        <v>81</v>
      </c>
      <c r="E190" s="6" t="s">
        <v>82</v>
      </c>
      <c r="F190" s="6" t="s">
        <v>16</v>
      </c>
      <c r="G190" s="6" t="s">
        <v>17</v>
      </c>
      <c r="H190" s="6" t="s">
        <v>24</v>
      </c>
      <c r="I190" s="8">
        <v>600000</v>
      </c>
      <c r="J190" s="8">
        <v>133334</v>
      </c>
      <c r="K190" s="9">
        <v>33546.949999999997</v>
      </c>
      <c r="L190" s="13"/>
      <c r="M190" s="63">
        <f>표1[[#This Row],[Accumulated load-unload cycles:]]/표1[[#This Row],[Specified load-unload count over device lifetime:]]</f>
        <v>0.22222333333333333</v>
      </c>
      <c r="N190" s="1" t="str">
        <f>IF(표1[[#This Row],[사용량]]&lt;=60%, "양호", IF(표1[[#This Row],[사용량]]&lt;=70%, "교체 권고", IF(표1[[#This Row],[사용량]]&lt;=80%, "교체", "긴급 교체")))</f>
        <v>양호</v>
      </c>
    </row>
    <row r="191" spans="1:14" ht="20" customHeight="1">
      <c r="A191" s="11" t="s">
        <v>80</v>
      </c>
      <c r="B191" s="5" t="s">
        <v>51</v>
      </c>
      <c r="C191" s="6" t="s">
        <v>21</v>
      </c>
      <c r="D191" s="6" t="s">
        <v>81</v>
      </c>
      <c r="E191" s="6" t="s">
        <v>82</v>
      </c>
      <c r="F191" s="6" t="s">
        <v>16</v>
      </c>
      <c r="G191" s="6" t="s">
        <v>17</v>
      </c>
      <c r="H191" s="6" t="s">
        <v>24</v>
      </c>
      <c r="I191" s="8">
        <v>600000</v>
      </c>
      <c r="J191" s="8">
        <v>125418</v>
      </c>
      <c r="K191" s="9">
        <v>33547.480000000003</v>
      </c>
      <c r="L191" s="13"/>
      <c r="M191" s="63">
        <f>표1[[#This Row],[Accumulated load-unload cycles:]]/표1[[#This Row],[Specified load-unload count over device lifetime:]]</f>
        <v>0.20902999999999999</v>
      </c>
      <c r="N191" s="1" t="str">
        <f>IF(표1[[#This Row],[사용량]]&lt;=60%, "양호", IF(표1[[#This Row],[사용량]]&lt;=70%, "교체 권고", IF(표1[[#This Row],[사용량]]&lt;=80%, "교체", "긴급 교체")))</f>
        <v>양호</v>
      </c>
    </row>
    <row r="192" spans="1:14" ht="20" customHeight="1">
      <c r="A192" s="11" t="s">
        <v>80</v>
      </c>
      <c r="B192" s="5" t="s">
        <v>41</v>
      </c>
      <c r="C192" s="64" t="s">
        <v>21</v>
      </c>
      <c r="D192" s="6" t="s">
        <v>81</v>
      </c>
      <c r="E192" s="6" t="s">
        <v>82</v>
      </c>
      <c r="F192" s="6" t="s">
        <v>16</v>
      </c>
      <c r="G192" s="6" t="s">
        <v>17</v>
      </c>
      <c r="H192" s="6" t="s">
        <v>24</v>
      </c>
      <c r="I192" s="8">
        <v>600000</v>
      </c>
      <c r="J192" s="8">
        <v>116321</v>
      </c>
      <c r="K192" s="9">
        <v>33547.379999999997</v>
      </c>
      <c r="L192" s="13"/>
      <c r="M192" s="63">
        <f>표1[[#This Row],[Accumulated load-unload cycles:]]/표1[[#This Row],[Specified load-unload count over device lifetime:]]</f>
        <v>0.19386833333333334</v>
      </c>
      <c r="N192" s="1" t="str">
        <f>IF(표1[[#This Row],[사용량]]&lt;=60%, "양호", IF(표1[[#This Row],[사용량]]&lt;=70%, "교체 권고", IF(표1[[#This Row],[사용량]]&lt;=80%, "교체", "긴급 교체")))</f>
        <v>양호</v>
      </c>
    </row>
    <row r="193" spans="1:14" ht="20" customHeight="1">
      <c r="A193" s="11" t="s">
        <v>80</v>
      </c>
      <c r="B193" s="5" t="s">
        <v>59</v>
      </c>
      <c r="C193" s="64" t="s">
        <v>21</v>
      </c>
      <c r="D193" s="6" t="s">
        <v>81</v>
      </c>
      <c r="E193" s="6" t="s">
        <v>82</v>
      </c>
      <c r="F193" s="6" t="s">
        <v>16</v>
      </c>
      <c r="G193" s="6" t="s">
        <v>17</v>
      </c>
      <c r="H193" s="6" t="s">
        <v>24</v>
      </c>
      <c r="I193" s="8">
        <v>600000</v>
      </c>
      <c r="J193" s="8">
        <v>103108</v>
      </c>
      <c r="K193" s="9">
        <v>33546.769999999997</v>
      </c>
      <c r="L193" s="13"/>
      <c r="M193" s="63">
        <f>표1[[#This Row],[Accumulated load-unload cycles:]]/표1[[#This Row],[Specified load-unload count over device lifetime:]]</f>
        <v>0.17184666666666668</v>
      </c>
      <c r="N193" s="1" t="str">
        <f>IF(표1[[#This Row],[사용량]]&lt;=60%, "양호", IF(표1[[#This Row],[사용량]]&lt;=70%, "교체 권고", IF(표1[[#This Row],[사용량]]&lt;=80%, "교체", "긴급 교체")))</f>
        <v>양호</v>
      </c>
    </row>
    <row r="194" spans="1:14" ht="20" customHeight="1">
      <c r="A194" s="11" t="s">
        <v>80</v>
      </c>
      <c r="B194" s="5" t="s">
        <v>44</v>
      </c>
      <c r="C194" s="6" t="s">
        <v>21</v>
      </c>
      <c r="D194" s="6" t="s">
        <v>81</v>
      </c>
      <c r="E194" s="6" t="s">
        <v>82</v>
      </c>
      <c r="F194" s="6" t="s">
        <v>16</v>
      </c>
      <c r="G194" s="6" t="s">
        <v>17</v>
      </c>
      <c r="H194" s="6" t="s">
        <v>24</v>
      </c>
      <c r="I194" s="8">
        <v>600000</v>
      </c>
      <c r="J194" s="8">
        <v>101602</v>
      </c>
      <c r="K194" s="9">
        <v>33547.800000000003</v>
      </c>
      <c r="L194" s="13"/>
      <c r="M194" s="63">
        <f>표1[[#This Row],[Accumulated load-unload cycles:]]/표1[[#This Row],[Specified load-unload count over device lifetime:]]</f>
        <v>0.16933666666666666</v>
      </c>
      <c r="N194" s="1" t="str">
        <f>IF(표1[[#This Row],[사용량]]&lt;=60%, "양호", IF(표1[[#This Row],[사용량]]&lt;=70%, "교체 권고", IF(표1[[#This Row],[사용량]]&lt;=80%, "교체", "긴급 교체")))</f>
        <v>양호</v>
      </c>
    </row>
    <row r="195" spans="1:14" ht="20" customHeight="1">
      <c r="A195" s="11" t="s">
        <v>80</v>
      </c>
      <c r="B195" s="5" t="s">
        <v>52</v>
      </c>
      <c r="C195" s="6" t="s">
        <v>21</v>
      </c>
      <c r="D195" s="6" t="s">
        <v>81</v>
      </c>
      <c r="E195" s="6" t="s">
        <v>82</v>
      </c>
      <c r="F195" s="6" t="s">
        <v>16</v>
      </c>
      <c r="G195" s="6" t="s">
        <v>17</v>
      </c>
      <c r="H195" s="6" t="s">
        <v>24</v>
      </c>
      <c r="I195" s="8">
        <v>600000</v>
      </c>
      <c r="J195" s="8">
        <v>99713</v>
      </c>
      <c r="K195" s="9">
        <v>33547.199999999997</v>
      </c>
      <c r="L195" s="13"/>
      <c r="M195" s="63">
        <f>표1[[#This Row],[Accumulated load-unload cycles:]]/표1[[#This Row],[Specified load-unload count over device lifetime:]]</f>
        <v>0.16618833333333333</v>
      </c>
      <c r="N195" s="1" t="str">
        <f>IF(표1[[#This Row],[사용량]]&lt;=60%, "양호", IF(표1[[#This Row],[사용량]]&lt;=70%, "교체 권고", IF(표1[[#This Row],[사용량]]&lt;=80%, "교체", "긴급 교체")))</f>
        <v>양호</v>
      </c>
    </row>
    <row r="196" spans="1:14" ht="20" customHeight="1">
      <c r="A196" s="11" t="s">
        <v>80</v>
      </c>
      <c r="B196" s="5" t="s">
        <v>46</v>
      </c>
      <c r="C196" s="6" t="s">
        <v>21</v>
      </c>
      <c r="D196" s="6" t="s">
        <v>81</v>
      </c>
      <c r="E196" s="6" t="s">
        <v>82</v>
      </c>
      <c r="F196" s="6" t="s">
        <v>16</v>
      </c>
      <c r="G196" s="6" t="s">
        <v>17</v>
      </c>
      <c r="H196" s="6" t="s">
        <v>24</v>
      </c>
      <c r="I196" s="8">
        <v>600000</v>
      </c>
      <c r="J196" s="8">
        <v>99228</v>
      </c>
      <c r="K196" s="9">
        <v>33547.480000000003</v>
      </c>
      <c r="L196" s="13"/>
      <c r="M196" s="63">
        <f>표1[[#This Row],[Accumulated load-unload cycles:]]/표1[[#This Row],[Specified load-unload count over device lifetime:]]</f>
        <v>0.16538</v>
      </c>
      <c r="N196" s="1" t="str">
        <f>IF(표1[[#This Row],[사용량]]&lt;=60%, "양호", IF(표1[[#This Row],[사용량]]&lt;=70%, "교체 권고", IF(표1[[#This Row],[사용량]]&lt;=80%, "교체", "긴급 교체")))</f>
        <v>양호</v>
      </c>
    </row>
    <row r="197" spans="1:14" ht="20" customHeight="1">
      <c r="A197" s="11" t="s">
        <v>80</v>
      </c>
      <c r="B197" s="5" t="s">
        <v>45</v>
      </c>
      <c r="C197" s="6" t="s">
        <v>21</v>
      </c>
      <c r="D197" s="6" t="s">
        <v>81</v>
      </c>
      <c r="E197" s="6" t="s">
        <v>82</v>
      </c>
      <c r="F197" s="6" t="s">
        <v>16</v>
      </c>
      <c r="G197" s="6" t="s">
        <v>17</v>
      </c>
      <c r="H197" s="6" t="s">
        <v>24</v>
      </c>
      <c r="I197" s="8">
        <v>600000</v>
      </c>
      <c r="J197" s="8">
        <v>98105</v>
      </c>
      <c r="K197" s="9">
        <v>33547.300000000003</v>
      </c>
      <c r="L197" s="13"/>
      <c r="M197" s="63">
        <f>표1[[#This Row],[Accumulated load-unload cycles:]]/표1[[#This Row],[Specified load-unload count over device lifetime:]]</f>
        <v>0.16350833333333334</v>
      </c>
      <c r="N197" s="1" t="str">
        <f>IF(표1[[#This Row],[사용량]]&lt;=60%, "양호", IF(표1[[#This Row],[사용량]]&lt;=70%, "교체 권고", IF(표1[[#This Row],[사용량]]&lt;=80%, "교체", "긴급 교체")))</f>
        <v>양호</v>
      </c>
    </row>
    <row r="198" spans="1:14" ht="20" customHeight="1">
      <c r="A198" s="11" t="s">
        <v>80</v>
      </c>
      <c r="B198" s="5" t="s">
        <v>54</v>
      </c>
      <c r="C198" s="6" t="s">
        <v>21</v>
      </c>
      <c r="D198" s="6" t="s">
        <v>81</v>
      </c>
      <c r="E198" s="6" t="s">
        <v>82</v>
      </c>
      <c r="F198" s="6" t="s">
        <v>16</v>
      </c>
      <c r="G198" s="6" t="s">
        <v>17</v>
      </c>
      <c r="H198" s="6" t="s">
        <v>24</v>
      </c>
      <c r="I198" s="8">
        <v>600000</v>
      </c>
      <c r="J198" s="8">
        <v>97876</v>
      </c>
      <c r="K198" s="9">
        <v>33547.22</v>
      </c>
      <c r="L198" s="13"/>
      <c r="M198" s="63">
        <f>표1[[#This Row],[Accumulated load-unload cycles:]]/표1[[#This Row],[Specified load-unload count over device lifetime:]]</f>
        <v>0.16312666666666667</v>
      </c>
      <c r="N198" s="1" t="str">
        <f>IF(표1[[#This Row],[사용량]]&lt;=60%, "양호", IF(표1[[#This Row],[사용량]]&lt;=70%, "교체 권고", IF(표1[[#This Row],[사용량]]&lt;=80%, "교체", "긴급 교체")))</f>
        <v>양호</v>
      </c>
    </row>
    <row r="199" spans="1:14" ht="20" customHeight="1">
      <c r="A199" s="11" t="s">
        <v>80</v>
      </c>
      <c r="B199" s="5" t="s">
        <v>57</v>
      </c>
      <c r="C199" s="6" t="s">
        <v>21</v>
      </c>
      <c r="D199" s="6" t="s">
        <v>81</v>
      </c>
      <c r="E199" s="6" t="s">
        <v>82</v>
      </c>
      <c r="F199" s="6" t="s">
        <v>16</v>
      </c>
      <c r="G199" s="6" t="s">
        <v>17</v>
      </c>
      <c r="H199" s="6" t="s">
        <v>24</v>
      </c>
      <c r="I199" s="8">
        <v>600000</v>
      </c>
      <c r="J199" s="8">
        <v>97717</v>
      </c>
      <c r="K199" s="9">
        <v>33547.550000000003</v>
      </c>
      <c r="L199" s="13"/>
      <c r="M199" s="63">
        <f>표1[[#This Row],[Accumulated load-unload cycles:]]/표1[[#This Row],[Specified load-unload count over device lifetime:]]</f>
        <v>0.16286166666666665</v>
      </c>
      <c r="N199" s="1" t="str">
        <f>IF(표1[[#This Row],[사용량]]&lt;=60%, "양호", IF(표1[[#This Row],[사용량]]&lt;=70%, "교체 권고", IF(표1[[#This Row],[사용량]]&lt;=80%, "교체", "긴급 교체")))</f>
        <v>양호</v>
      </c>
    </row>
    <row r="200" spans="1:14" ht="20" customHeight="1">
      <c r="A200" s="11" t="s">
        <v>80</v>
      </c>
      <c r="B200" s="5" t="s">
        <v>58</v>
      </c>
      <c r="C200" s="6" t="s">
        <v>21</v>
      </c>
      <c r="D200" s="6" t="s">
        <v>81</v>
      </c>
      <c r="E200" s="6" t="s">
        <v>82</v>
      </c>
      <c r="F200" s="6" t="s">
        <v>16</v>
      </c>
      <c r="G200" s="6" t="s">
        <v>17</v>
      </c>
      <c r="H200" s="6" t="s">
        <v>24</v>
      </c>
      <c r="I200" s="8">
        <v>600000</v>
      </c>
      <c r="J200" s="8">
        <v>97396</v>
      </c>
      <c r="K200" s="9">
        <v>33547.35</v>
      </c>
      <c r="L200" s="13"/>
      <c r="M200" s="63">
        <f>표1[[#This Row],[Accumulated load-unload cycles:]]/표1[[#This Row],[Specified load-unload count over device lifetime:]]</f>
        <v>0.16232666666666667</v>
      </c>
      <c r="N200" s="1" t="str">
        <f>IF(표1[[#This Row],[사용량]]&lt;=60%, "양호", IF(표1[[#This Row],[사용량]]&lt;=70%, "교체 권고", IF(표1[[#This Row],[사용량]]&lt;=80%, "교체", "긴급 교체")))</f>
        <v>양호</v>
      </c>
    </row>
    <row r="201" spans="1:14" ht="20" customHeight="1">
      <c r="A201" s="11" t="s">
        <v>80</v>
      </c>
      <c r="B201" s="5" t="s">
        <v>39</v>
      </c>
      <c r="C201" s="6" t="s">
        <v>21</v>
      </c>
      <c r="D201" s="6" t="s">
        <v>81</v>
      </c>
      <c r="E201" s="6" t="s">
        <v>82</v>
      </c>
      <c r="F201" s="6" t="s">
        <v>16</v>
      </c>
      <c r="G201" s="6" t="s">
        <v>17</v>
      </c>
      <c r="H201" s="6" t="s">
        <v>24</v>
      </c>
      <c r="I201" s="8">
        <v>600000</v>
      </c>
      <c r="J201" s="8">
        <v>94828</v>
      </c>
      <c r="K201" s="9">
        <v>33547.4</v>
      </c>
      <c r="L201" s="13"/>
      <c r="M201" s="63">
        <f>표1[[#This Row],[Accumulated load-unload cycles:]]/표1[[#This Row],[Specified load-unload count over device lifetime:]]</f>
        <v>0.15804666666666667</v>
      </c>
      <c r="N201" s="1" t="str">
        <f>IF(표1[[#This Row],[사용량]]&lt;=60%, "양호", IF(표1[[#This Row],[사용량]]&lt;=70%, "교체 권고", IF(표1[[#This Row],[사용량]]&lt;=80%, "교체", "긴급 교체")))</f>
        <v>양호</v>
      </c>
    </row>
    <row r="202" spans="1:14" ht="20" customHeight="1">
      <c r="A202" s="11" t="s">
        <v>80</v>
      </c>
      <c r="B202" s="5" t="s">
        <v>53</v>
      </c>
      <c r="C202" s="64" t="s">
        <v>21</v>
      </c>
      <c r="D202" s="6" t="s">
        <v>81</v>
      </c>
      <c r="E202" s="6" t="s">
        <v>82</v>
      </c>
      <c r="F202" s="6" t="s">
        <v>16</v>
      </c>
      <c r="G202" s="6" t="s">
        <v>17</v>
      </c>
      <c r="H202" s="6" t="s">
        <v>24</v>
      </c>
      <c r="I202" s="8">
        <v>600000</v>
      </c>
      <c r="J202" s="8">
        <v>92234</v>
      </c>
      <c r="K202" s="9">
        <v>33547.78</v>
      </c>
      <c r="L202" s="13"/>
      <c r="M202" s="63">
        <f>표1[[#This Row],[Accumulated load-unload cycles:]]/표1[[#This Row],[Specified load-unload count over device lifetime:]]</f>
        <v>0.15372333333333332</v>
      </c>
      <c r="N202" s="1" t="str">
        <f>IF(표1[[#This Row],[사용량]]&lt;=60%, "양호", IF(표1[[#This Row],[사용량]]&lt;=70%, "교체 권고", IF(표1[[#This Row],[사용량]]&lt;=80%, "교체", "긴급 교체")))</f>
        <v>양호</v>
      </c>
    </row>
    <row r="203" spans="1:14" ht="20" customHeight="1">
      <c r="A203" s="11" t="s">
        <v>80</v>
      </c>
      <c r="B203" s="5" t="s">
        <v>40</v>
      </c>
      <c r="C203" s="64" t="s">
        <v>21</v>
      </c>
      <c r="D203" s="6" t="s">
        <v>81</v>
      </c>
      <c r="E203" s="6" t="s">
        <v>82</v>
      </c>
      <c r="F203" s="6" t="s">
        <v>16</v>
      </c>
      <c r="G203" s="6" t="s">
        <v>17</v>
      </c>
      <c r="H203" s="6" t="s">
        <v>24</v>
      </c>
      <c r="I203" s="8">
        <v>600000</v>
      </c>
      <c r="J203" s="8">
        <v>90939</v>
      </c>
      <c r="K203" s="9">
        <v>33547.35</v>
      </c>
      <c r="L203" s="13"/>
      <c r="M203" s="63">
        <f>표1[[#This Row],[Accumulated load-unload cycles:]]/표1[[#This Row],[Specified load-unload count over device lifetime:]]</f>
        <v>0.15156500000000001</v>
      </c>
      <c r="N203" s="1" t="str">
        <f>IF(표1[[#This Row],[사용량]]&lt;=60%, "양호", IF(표1[[#This Row],[사용량]]&lt;=70%, "교체 권고", IF(표1[[#This Row],[사용량]]&lt;=80%, "교체", "긴급 교체")))</f>
        <v>양호</v>
      </c>
    </row>
    <row r="204" spans="1:14" ht="20" customHeight="1">
      <c r="A204" s="11" t="s">
        <v>80</v>
      </c>
      <c r="B204" s="5" t="s">
        <v>48</v>
      </c>
      <c r="C204" s="6" t="s">
        <v>21</v>
      </c>
      <c r="D204" s="6" t="s">
        <v>81</v>
      </c>
      <c r="E204" s="6" t="s">
        <v>82</v>
      </c>
      <c r="F204" s="6" t="s">
        <v>16</v>
      </c>
      <c r="G204" s="6" t="s">
        <v>17</v>
      </c>
      <c r="H204" s="6" t="s">
        <v>24</v>
      </c>
      <c r="I204" s="8">
        <v>600000</v>
      </c>
      <c r="J204" s="8">
        <v>89164</v>
      </c>
      <c r="K204" s="9">
        <v>33546.82</v>
      </c>
      <c r="L204" s="13"/>
      <c r="M204" s="63">
        <f>표1[[#This Row],[Accumulated load-unload cycles:]]/표1[[#This Row],[Specified load-unload count over device lifetime:]]</f>
        <v>0.14860666666666666</v>
      </c>
      <c r="N204" s="1" t="str">
        <f>IF(표1[[#This Row],[사용량]]&lt;=60%, "양호", IF(표1[[#This Row],[사용량]]&lt;=70%, "교체 권고", IF(표1[[#This Row],[사용량]]&lt;=80%, "교체", "긴급 교체")))</f>
        <v>양호</v>
      </c>
    </row>
    <row r="205" spans="1:14" ht="20" customHeight="1">
      <c r="A205" s="11" t="s">
        <v>80</v>
      </c>
      <c r="B205" s="5" t="s">
        <v>38</v>
      </c>
      <c r="C205" s="6" t="s">
        <v>21</v>
      </c>
      <c r="D205" s="6" t="s">
        <v>81</v>
      </c>
      <c r="E205" s="6" t="s">
        <v>82</v>
      </c>
      <c r="F205" s="6" t="s">
        <v>16</v>
      </c>
      <c r="G205" s="6" t="s">
        <v>17</v>
      </c>
      <c r="H205" s="6" t="s">
        <v>24</v>
      </c>
      <c r="I205" s="8">
        <v>600000</v>
      </c>
      <c r="J205" s="8">
        <v>85881</v>
      </c>
      <c r="K205" s="9">
        <v>33547.519999999997</v>
      </c>
      <c r="L205" s="13"/>
      <c r="M205" s="63">
        <f>표1[[#This Row],[Accumulated load-unload cycles:]]/표1[[#This Row],[Specified load-unload count over device lifetime:]]</f>
        <v>0.14313500000000001</v>
      </c>
      <c r="N205" s="1" t="str">
        <f>IF(표1[[#This Row],[사용량]]&lt;=60%, "양호", IF(표1[[#This Row],[사용량]]&lt;=70%, "교체 권고", IF(표1[[#This Row],[사용량]]&lt;=80%, "교체", "긴급 교체")))</f>
        <v>양호</v>
      </c>
    </row>
    <row r="206" spans="1:14" ht="20" customHeight="1">
      <c r="A206" s="11" t="s">
        <v>80</v>
      </c>
      <c r="B206" s="5" t="s">
        <v>50</v>
      </c>
      <c r="C206" s="6" t="s">
        <v>21</v>
      </c>
      <c r="D206" s="6" t="s">
        <v>81</v>
      </c>
      <c r="E206" s="6" t="s">
        <v>82</v>
      </c>
      <c r="F206" s="6" t="s">
        <v>16</v>
      </c>
      <c r="G206" s="6" t="s">
        <v>17</v>
      </c>
      <c r="H206" s="6" t="s">
        <v>24</v>
      </c>
      <c r="I206" s="8">
        <v>600000</v>
      </c>
      <c r="J206" s="8">
        <v>71946</v>
      </c>
      <c r="K206" s="9">
        <v>33547.42</v>
      </c>
      <c r="L206" s="13"/>
      <c r="M206" s="63">
        <f>표1[[#This Row],[Accumulated load-unload cycles:]]/표1[[#This Row],[Specified load-unload count over device lifetime:]]</f>
        <v>0.11991</v>
      </c>
      <c r="N206" s="1" t="str">
        <f>IF(표1[[#This Row],[사용량]]&lt;=60%, "양호", IF(표1[[#This Row],[사용량]]&lt;=70%, "교체 권고", IF(표1[[#This Row],[사용량]]&lt;=80%, "교체", "긴급 교체")))</f>
        <v>양호</v>
      </c>
    </row>
    <row r="207" spans="1:14" ht="20" customHeight="1">
      <c r="A207" s="11" t="s">
        <v>80</v>
      </c>
      <c r="B207" s="5" t="s">
        <v>56</v>
      </c>
      <c r="C207" s="6" t="s">
        <v>21</v>
      </c>
      <c r="D207" s="6" t="s">
        <v>81</v>
      </c>
      <c r="E207" s="6" t="s">
        <v>82</v>
      </c>
      <c r="F207" s="6" t="s">
        <v>16</v>
      </c>
      <c r="G207" s="6" t="s">
        <v>17</v>
      </c>
      <c r="H207" s="6" t="s">
        <v>24</v>
      </c>
      <c r="I207" s="8">
        <v>600000</v>
      </c>
      <c r="J207" s="8">
        <v>41513</v>
      </c>
      <c r="K207" s="9">
        <v>33547.599999999999</v>
      </c>
      <c r="L207" s="13"/>
      <c r="M207" s="63">
        <f>표1[[#This Row],[Accumulated load-unload cycles:]]/표1[[#This Row],[Specified load-unload count over device lifetime:]]</f>
        <v>6.9188333333333338E-2</v>
      </c>
      <c r="N207" s="1" t="str">
        <f>IF(표1[[#This Row],[사용량]]&lt;=60%, "양호", IF(표1[[#This Row],[사용량]]&lt;=70%, "교체 권고", IF(표1[[#This Row],[사용량]]&lt;=80%, "교체", "긴급 교체")))</f>
        <v>양호</v>
      </c>
    </row>
    <row r="208" spans="1:14" ht="20" customHeight="1">
      <c r="A208" s="11" t="s">
        <v>84</v>
      </c>
      <c r="B208" s="5" t="s">
        <v>47</v>
      </c>
      <c r="C208" s="6" t="s">
        <v>21</v>
      </c>
      <c r="D208" s="6" t="s">
        <v>81</v>
      </c>
      <c r="E208" s="6" t="s">
        <v>82</v>
      </c>
      <c r="F208" s="6" t="s">
        <v>16</v>
      </c>
      <c r="G208" s="6" t="s">
        <v>17</v>
      </c>
      <c r="H208" s="6" t="s">
        <v>24</v>
      </c>
      <c r="I208" s="7"/>
      <c r="J208" s="7"/>
      <c r="K208" s="7"/>
      <c r="L208" s="13"/>
      <c r="M208" s="63" t="e">
        <f>표1[[#This Row],[Accumulated load-unload cycles:]]/표1[[#This Row],[Specified load-unload count over device lifetime:]]</f>
        <v>#DIV/0!</v>
      </c>
      <c r="N208" s="1" t="e">
        <f>IF(표1[[#This Row],[사용량]]&lt;=60%, "양호", IF(표1[[#This Row],[사용량]]&lt;=70%, "교체 권고", IF(표1[[#This Row],[사용량]]&lt;=80%, "교체", "긴급 교체")))</f>
        <v>#DIV/0!</v>
      </c>
    </row>
    <row r="209" spans="1:14" ht="20" customHeight="1">
      <c r="A209" s="11" t="s">
        <v>84</v>
      </c>
      <c r="B209" s="5" t="s">
        <v>59</v>
      </c>
      <c r="C209" s="6" t="s">
        <v>21</v>
      </c>
      <c r="D209" s="6" t="s">
        <v>81</v>
      </c>
      <c r="E209" s="6" t="s">
        <v>82</v>
      </c>
      <c r="F209" s="6" t="s">
        <v>16</v>
      </c>
      <c r="G209" s="6" t="s">
        <v>17</v>
      </c>
      <c r="H209" s="6" t="s">
        <v>24</v>
      </c>
      <c r="I209" s="7"/>
      <c r="J209" s="7"/>
      <c r="K209" s="7"/>
      <c r="L209" s="13"/>
      <c r="M209" s="63" t="e">
        <f>표1[[#This Row],[Accumulated load-unload cycles:]]/표1[[#This Row],[Specified load-unload count over device lifetime:]]</f>
        <v>#DIV/0!</v>
      </c>
      <c r="N209" s="1" t="e">
        <f>IF(표1[[#This Row],[사용량]]&lt;=60%, "양호", IF(표1[[#This Row],[사용량]]&lt;=70%, "교체 권고", IF(표1[[#This Row],[사용량]]&lt;=80%, "교체", "긴급 교체")))</f>
        <v>#DIV/0!</v>
      </c>
    </row>
    <row r="210" spans="1:14" ht="20" customHeight="1">
      <c r="A210" s="11" t="s">
        <v>84</v>
      </c>
      <c r="B210" s="5" t="s">
        <v>60</v>
      </c>
      <c r="C210" s="6" t="s">
        <v>21</v>
      </c>
      <c r="D210" s="6" t="s">
        <v>81</v>
      </c>
      <c r="E210" s="6" t="s">
        <v>82</v>
      </c>
      <c r="F210" s="6" t="s">
        <v>16</v>
      </c>
      <c r="G210" s="6" t="s">
        <v>17</v>
      </c>
      <c r="H210" s="6" t="s">
        <v>24</v>
      </c>
      <c r="I210" s="7"/>
      <c r="J210" s="7"/>
      <c r="K210" s="7"/>
      <c r="L210" s="13"/>
      <c r="M210" s="63" t="e">
        <f>표1[[#This Row],[Accumulated load-unload cycles:]]/표1[[#This Row],[Specified load-unload count over device lifetime:]]</f>
        <v>#DIV/0!</v>
      </c>
      <c r="N210" s="1" t="e">
        <f>IF(표1[[#This Row],[사용량]]&lt;=60%, "양호", IF(표1[[#This Row],[사용량]]&lt;=70%, "교체 권고", IF(표1[[#This Row],[사용량]]&lt;=80%, "교체", "긴급 교체")))</f>
        <v>#DIV/0!</v>
      </c>
    </row>
    <row r="211" spans="1:14" ht="20" customHeight="1">
      <c r="A211" s="11" t="s">
        <v>84</v>
      </c>
      <c r="B211" s="5" t="s">
        <v>52</v>
      </c>
      <c r="C211" s="6" t="s">
        <v>21</v>
      </c>
      <c r="D211" s="6" t="s">
        <v>81</v>
      </c>
      <c r="E211" s="6" t="s">
        <v>82</v>
      </c>
      <c r="F211" s="6" t="s">
        <v>16</v>
      </c>
      <c r="G211" s="6" t="s">
        <v>17</v>
      </c>
      <c r="H211" s="6" t="s">
        <v>24</v>
      </c>
      <c r="I211" s="8">
        <v>600000</v>
      </c>
      <c r="J211" s="8">
        <v>342239</v>
      </c>
      <c r="K211" s="9">
        <v>33506.949999999997</v>
      </c>
      <c r="L211" s="13"/>
      <c r="M211" s="63">
        <f>표1[[#This Row],[Accumulated load-unload cycles:]]/표1[[#This Row],[Specified load-unload count over device lifetime:]]</f>
        <v>0.57039833333333334</v>
      </c>
      <c r="N211" s="1" t="str">
        <f>IF(표1[[#This Row],[사용량]]&lt;=60%, "양호", IF(표1[[#This Row],[사용량]]&lt;=70%, "교체 권고", IF(표1[[#This Row],[사용량]]&lt;=80%, "교체", "긴급 교체")))</f>
        <v>양호</v>
      </c>
    </row>
    <row r="212" spans="1:14" ht="20" customHeight="1">
      <c r="A212" s="11" t="s">
        <v>84</v>
      </c>
      <c r="B212" s="5" t="s">
        <v>49</v>
      </c>
      <c r="C212" s="64" t="s">
        <v>21</v>
      </c>
      <c r="D212" s="6" t="s">
        <v>81</v>
      </c>
      <c r="E212" s="6" t="s">
        <v>82</v>
      </c>
      <c r="F212" s="6" t="s">
        <v>16</v>
      </c>
      <c r="G212" s="6" t="s">
        <v>17</v>
      </c>
      <c r="H212" s="6" t="s">
        <v>24</v>
      </c>
      <c r="I212" s="8">
        <v>600000</v>
      </c>
      <c r="J212" s="8">
        <v>340063</v>
      </c>
      <c r="K212" s="9">
        <v>33507.300000000003</v>
      </c>
      <c r="L212" s="13"/>
      <c r="M212" s="63">
        <f>표1[[#This Row],[Accumulated load-unload cycles:]]/표1[[#This Row],[Specified load-unload count over device lifetime:]]</f>
        <v>0.56677166666666667</v>
      </c>
      <c r="N212" s="1" t="str">
        <f>IF(표1[[#This Row],[사용량]]&lt;=60%, "양호", IF(표1[[#This Row],[사용량]]&lt;=70%, "교체 권고", IF(표1[[#This Row],[사용량]]&lt;=80%, "교체", "긴급 교체")))</f>
        <v>양호</v>
      </c>
    </row>
    <row r="213" spans="1:14" ht="20" customHeight="1">
      <c r="A213" s="11" t="s">
        <v>84</v>
      </c>
      <c r="B213" s="5" t="s">
        <v>41</v>
      </c>
      <c r="C213" s="64" t="s">
        <v>21</v>
      </c>
      <c r="D213" s="6" t="s">
        <v>81</v>
      </c>
      <c r="E213" s="6" t="s">
        <v>82</v>
      </c>
      <c r="F213" s="6" t="s">
        <v>16</v>
      </c>
      <c r="G213" s="6" t="s">
        <v>17</v>
      </c>
      <c r="H213" s="6" t="s">
        <v>24</v>
      </c>
      <c r="I213" s="8">
        <v>600000</v>
      </c>
      <c r="J213" s="8">
        <v>337433</v>
      </c>
      <c r="K213" s="9">
        <v>33506.97</v>
      </c>
      <c r="L213" s="13"/>
      <c r="M213" s="63">
        <f>표1[[#This Row],[Accumulated load-unload cycles:]]/표1[[#This Row],[Specified load-unload count over device lifetime:]]</f>
        <v>0.56238833333333338</v>
      </c>
      <c r="N213" s="1" t="str">
        <f>IF(표1[[#This Row],[사용량]]&lt;=60%, "양호", IF(표1[[#This Row],[사용량]]&lt;=70%, "교체 권고", IF(표1[[#This Row],[사용량]]&lt;=80%, "교체", "긴급 교체")))</f>
        <v>양호</v>
      </c>
    </row>
    <row r="214" spans="1:14" ht="20" customHeight="1">
      <c r="A214" s="11" t="s">
        <v>84</v>
      </c>
      <c r="B214" s="5" t="s">
        <v>42</v>
      </c>
      <c r="C214" s="6" t="s">
        <v>21</v>
      </c>
      <c r="D214" s="6" t="s">
        <v>81</v>
      </c>
      <c r="E214" s="6" t="s">
        <v>82</v>
      </c>
      <c r="F214" s="6" t="s">
        <v>16</v>
      </c>
      <c r="G214" s="6" t="s">
        <v>17</v>
      </c>
      <c r="H214" s="6" t="s">
        <v>24</v>
      </c>
      <c r="I214" s="8">
        <v>600000</v>
      </c>
      <c r="J214" s="8">
        <v>335006</v>
      </c>
      <c r="K214" s="9">
        <v>33507.629999999997</v>
      </c>
      <c r="L214" s="13"/>
      <c r="M214" s="63">
        <f>표1[[#This Row],[Accumulated load-unload cycles:]]/표1[[#This Row],[Specified load-unload count over device lifetime:]]</f>
        <v>0.5583433333333333</v>
      </c>
      <c r="N214" s="1" t="str">
        <f>IF(표1[[#This Row],[사용량]]&lt;=60%, "양호", IF(표1[[#This Row],[사용량]]&lt;=70%, "교체 권고", IF(표1[[#This Row],[사용량]]&lt;=80%, "교체", "긴급 교체")))</f>
        <v>양호</v>
      </c>
    </row>
    <row r="215" spans="1:14" ht="20" customHeight="1">
      <c r="A215" s="11" t="s">
        <v>84</v>
      </c>
      <c r="B215" s="5" t="s">
        <v>46</v>
      </c>
      <c r="C215" s="6" t="s">
        <v>21</v>
      </c>
      <c r="D215" s="6" t="s">
        <v>81</v>
      </c>
      <c r="E215" s="6" t="s">
        <v>82</v>
      </c>
      <c r="F215" s="6" t="s">
        <v>16</v>
      </c>
      <c r="G215" s="6" t="s">
        <v>17</v>
      </c>
      <c r="H215" s="6" t="s">
        <v>24</v>
      </c>
      <c r="I215" s="8">
        <v>600000</v>
      </c>
      <c r="J215" s="8">
        <v>333436</v>
      </c>
      <c r="K215" s="9">
        <v>33507.4</v>
      </c>
      <c r="L215" s="13"/>
      <c r="M215" s="63">
        <f>표1[[#This Row],[Accumulated load-unload cycles:]]/표1[[#This Row],[Specified load-unload count over device lifetime:]]</f>
        <v>0.5557266666666667</v>
      </c>
      <c r="N215" s="1" t="str">
        <f>IF(표1[[#This Row],[사용량]]&lt;=60%, "양호", IF(표1[[#This Row],[사용량]]&lt;=70%, "교체 권고", IF(표1[[#This Row],[사용량]]&lt;=80%, "교체", "긴급 교체")))</f>
        <v>양호</v>
      </c>
    </row>
    <row r="216" spans="1:14" ht="20" customHeight="1">
      <c r="A216" s="11" t="s">
        <v>84</v>
      </c>
      <c r="B216" s="5" t="s">
        <v>43</v>
      </c>
      <c r="C216" s="6" t="s">
        <v>21</v>
      </c>
      <c r="D216" s="6" t="s">
        <v>81</v>
      </c>
      <c r="E216" s="6" t="s">
        <v>82</v>
      </c>
      <c r="F216" s="6" t="s">
        <v>16</v>
      </c>
      <c r="G216" s="6" t="s">
        <v>17</v>
      </c>
      <c r="H216" s="6" t="s">
        <v>24</v>
      </c>
      <c r="I216" s="8">
        <v>600000</v>
      </c>
      <c r="J216" s="8">
        <v>332746</v>
      </c>
      <c r="K216" s="9">
        <v>33507.33</v>
      </c>
      <c r="L216" s="13"/>
      <c r="M216" s="63">
        <f>표1[[#This Row],[Accumulated load-unload cycles:]]/표1[[#This Row],[Specified load-unload count over device lifetime:]]</f>
        <v>0.55457666666666672</v>
      </c>
      <c r="N216" s="1" t="str">
        <f>IF(표1[[#This Row],[사용량]]&lt;=60%, "양호", IF(표1[[#This Row],[사용량]]&lt;=70%, "교체 권고", IF(표1[[#This Row],[사용량]]&lt;=80%, "교체", "긴급 교체")))</f>
        <v>양호</v>
      </c>
    </row>
    <row r="217" spans="1:14" ht="20" customHeight="1">
      <c r="A217" s="11" t="s">
        <v>84</v>
      </c>
      <c r="B217" s="5" t="s">
        <v>50</v>
      </c>
      <c r="C217" s="6" t="s">
        <v>21</v>
      </c>
      <c r="D217" s="6" t="s">
        <v>81</v>
      </c>
      <c r="E217" s="6" t="s">
        <v>82</v>
      </c>
      <c r="F217" s="6" t="s">
        <v>16</v>
      </c>
      <c r="G217" s="6" t="s">
        <v>17</v>
      </c>
      <c r="H217" s="6" t="s">
        <v>24</v>
      </c>
      <c r="I217" s="8">
        <v>600000</v>
      </c>
      <c r="J217" s="8">
        <v>321901</v>
      </c>
      <c r="K217" s="9">
        <v>33507.599999999999</v>
      </c>
      <c r="L217" s="13"/>
      <c r="M217" s="63">
        <f>표1[[#This Row],[Accumulated load-unload cycles:]]/표1[[#This Row],[Specified load-unload count over device lifetime:]]</f>
        <v>0.53650166666666665</v>
      </c>
      <c r="N217" s="1" t="str">
        <f>IF(표1[[#This Row],[사용량]]&lt;=60%, "양호", IF(표1[[#This Row],[사용량]]&lt;=70%, "교체 권고", IF(표1[[#This Row],[사용량]]&lt;=80%, "교체", "긴급 교체")))</f>
        <v>양호</v>
      </c>
    </row>
    <row r="218" spans="1:14" ht="20" customHeight="1">
      <c r="A218" s="11" t="s">
        <v>84</v>
      </c>
      <c r="B218" s="5" t="s">
        <v>55</v>
      </c>
      <c r="C218" s="6" t="s">
        <v>21</v>
      </c>
      <c r="D218" s="6" t="s">
        <v>81</v>
      </c>
      <c r="E218" s="6" t="s">
        <v>82</v>
      </c>
      <c r="F218" s="6" t="s">
        <v>16</v>
      </c>
      <c r="G218" s="6" t="s">
        <v>17</v>
      </c>
      <c r="H218" s="6" t="s">
        <v>24</v>
      </c>
      <c r="I218" s="8">
        <v>600000</v>
      </c>
      <c r="J218" s="8">
        <v>315290</v>
      </c>
      <c r="K218" s="9">
        <v>33507.199999999997</v>
      </c>
      <c r="L218" s="13"/>
      <c r="M218" s="63">
        <f>표1[[#This Row],[Accumulated load-unload cycles:]]/표1[[#This Row],[Specified load-unload count over device lifetime:]]</f>
        <v>0.5254833333333333</v>
      </c>
      <c r="N218" s="1" t="str">
        <f>IF(표1[[#This Row],[사용량]]&lt;=60%, "양호", IF(표1[[#This Row],[사용량]]&lt;=70%, "교체 권고", IF(표1[[#This Row],[사용량]]&lt;=80%, "교체", "긴급 교체")))</f>
        <v>양호</v>
      </c>
    </row>
    <row r="219" spans="1:14" ht="20" customHeight="1">
      <c r="A219" s="11" t="s">
        <v>84</v>
      </c>
      <c r="B219" s="5" t="s">
        <v>57</v>
      </c>
      <c r="C219" s="6" t="s">
        <v>21</v>
      </c>
      <c r="D219" s="6" t="s">
        <v>81</v>
      </c>
      <c r="E219" s="6" t="s">
        <v>82</v>
      </c>
      <c r="F219" s="6" t="s">
        <v>16</v>
      </c>
      <c r="G219" s="6" t="s">
        <v>17</v>
      </c>
      <c r="H219" s="6" t="s">
        <v>24</v>
      </c>
      <c r="I219" s="8">
        <v>600000</v>
      </c>
      <c r="J219" s="8">
        <v>309283</v>
      </c>
      <c r="K219" s="9">
        <v>33507.18</v>
      </c>
      <c r="L219" s="13"/>
      <c r="M219" s="63">
        <f>표1[[#This Row],[Accumulated load-unload cycles:]]/표1[[#This Row],[Specified load-unload count over device lifetime:]]</f>
        <v>0.51547166666666666</v>
      </c>
      <c r="N219" s="1" t="str">
        <f>IF(표1[[#This Row],[사용량]]&lt;=60%, "양호", IF(표1[[#This Row],[사용량]]&lt;=70%, "교체 권고", IF(표1[[#This Row],[사용량]]&lt;=80%, "교체", "긴급 교체")))</f>
        <v>양호</v>
      </c>
    </row>
    <row r="220" spans="1:14" ht="20" customHeight="1">
      <c r="A220" s="11" t="s">
        <v>84</v>
      </c>
      <c r="B220" s="5" t="s">
        <v>44</v>
      </c>
      <c r="C220" s="6" t="s">
        <v>21</v>
      </c>
      <c r="D220" s="6" t="s">
        <v>81</v>
      </c>
      <c r="E220" s="6" t="s">
        <v>82</v>
      </c>
      <c r="F220" s="6" t="s">
        <v>16</v>
      </c>
      <c r="G220" s="6" t="s">
        <v>17</v>
      </c>
      <c r="H220" s="6" t="s">
        <v>24</v>
      </c>
      <c r="I220" s="8">
        <v>600000</v>
      </c>
      <c r="J220" s="8">
        <v>298671</v>
      </c>
      <c r="K220" s="9">
        <v>33507.4</v>
      </c>
      <c r="L220" s="13"/>
      <c r="M220" s="63">
        <f>표1[[#This Row],[Accumulated load-unload cycles:]]/표1[[#This Row],[Specified load-unload count over device lifetime:]]</f>
        <v>0.49778499999999998</v>
      </c>
      <c r="N220" s="1" t="str">
        <f>IF(표1[[#This Row],[사용량]]&lt;=60%, "양호", IF(표1[[#This Row],[사용량]]&lt;=70%, "교체 권고", IF(표1[[#This Row],[사용량]]&lt;=80%, "교체", "긴급 교체")))</f>
        <v>양호</v>
      </c>
    </row>
    <row r="221" spans="1:14" ht="20" customHeight="1">
      <c r="A221" s="11" t="s">
        <v>84</v>
      </c>
      <c r="B221" s="5" t="s">
        <v>40</v>
      </c>
      <c r="C221" s="6" t="s">
        <v>21</v>
      </c>
      <c r="D221" s="6" t="s">
        <v>81</v>
      </c>
      <c r="E221" s="6" t="s">
        <v>82</v>
      </c>
      <c r="F221" s="6" t="s">
        <v>16</v>
      </c>
      <c r="G221" s="6" t="s">
        <v>17</v>
      </c>
      <c r="H221" s="6" t="s">
        <v>24</v>
      </c>
      <c r="I221" s="8">
        <v>600000</v>
      </c>
      <c r="J221" s="8">
        <v>292846</v>
      </c>
      <c r="K221" s="9">
        <v>33507.42</v>
      </c>
      <c r="L221" s="13"/>
      <c r="M221" s="63">
        <f>표1[[#This Row],[Accumulated load-unload cycles:]]/표1[[#This Row],[Specified load-unload count over device lifetime:]]</f>
        <v>0.48807666666666666</v>
      </c>
      <c r="N221" s="1" t="str">
        <f>IF(표1[[#This Row],[사용량]]&lt;=60%, "양호", IF(표1[[#This Row],[사용량]]&lt;=70%, "교체 권고", IF(표1[[#This Row],[사용량]]&lt;=80%, "교체", "긴급 교체")))</f>
        <v>양호</v>
      </c>
    </row>
    <row r="222" spans="1:14" ht="20" customHeight="1">
      <c r="A222" s="11" t="s">
        <v>84</v>
      </c>
      <c r="B222" s="5" t="s">
        <v>51</v>
      </c>
      <c r="C222" s="64" t="s">
        <v>21</v>
      </c>
      <c r="D222" s="6" t="s">
        <v>81</v>
      </c>
      <c r="E222" s="6" t="s">
        <v>82</v>
      </c>
      <c r="F222" s="6" t="s">
        <v>16</v>
      </c>
      <c r="G222" s="6" t="s">
        <v>17</v>
      </c>
      <c r="H222" s="6" t="s">
        <v>24</v>
      </c>
      <c r="I222" s="8">
        <v>600000</v>
      </c>
      <c r="J222" s="8">
        <v>283907</v>
      </c>
      <c r="K222" s="9">
        <v>33507.019999999997</v>
      </c>
      <c r="L222" s="13"/>
      <c r="M222" s="63">
        <f>표1[[#This Row],[Accumulated load-unload cycles:]]/표1[[#This Row],[Specified load-unload count over device lifetime:]]</f>
        <v>0.47317833333333331</v>
      </c>
      <c r="N222" s="1" t="str">
        <f>IF(표1[[#This Row],[사용량]]&lt;=60%, "양호", IF(표1[[#This Row],[사용량]]&lt;=70%, "교체 권고", IF(표1[[#This Row],[사용량]]&lt;=80%, "교체", "긴급 교체")))</f>
        <v>양호</v>
      </c>
    </row>
    <row r="223" spans="1:14" ht="20" customHeight="1">
      <c r="A223" s="11" t="s">
        <v>84</v>
      </c>
      <c r="B223" s="5" t="s">
        <v>39</v>
      </c>
      <c r="C223" s="64" t="s">
        <v>21</v>
      </c>
      <c r="D223" s="6" t="s">
        <v>81</v>
      </c>
      <c r="E223" s="6" t="s">
        <v>82</v>
      </c>
      <c r="F223" s="6" t="s">
        <v>16</v>
      </c>
      <c r="G223" s="6" t="s">
        <v>17</v>
      </c>
      <c r="H223" s="6" t="s">
        <v>24</v>
      </c>
      <c r="I223" s="8">
        <v>600000</v>
      </c>
      <c r="J223" s="8">
        <v>256256</v>
      </c>
      <c r="K223" s="9">
        <v>33507.5</v>
      </c>
      <c r="L223" s="13"/>
      <c r="M223" s="63">
        <f>표1[[#This Row],[Accumulated load-unload cycles:]]/표1[[#This Row],[Specified load-unload count over device lifetime:]]</f>
        <v>0.42709333333333332</v>
      </c>
      <c r="N223" s="1" t="str">
        <f>IF(표1[[#This Row],[사용량]]&lt;=60%, "양호", IF(표1[[#This Row],[사용량]]&lt;=70%, "교체 권고", IF(표1[[#This Row],[사용량]]&lt;=80%, "교체", "긴급 교체")))</f>
        <v>양호</v>
      </c>
    </row>
    <row r="224" spans="1:14" ht="20" customHeight="1">
      <c r="A224" s="11" t="s">
        <v>84</v>
      </c>
      <c r="B224" s="5" t="s">
        <v>83</v>
      </c>
      <c r="C224" s="6" t="s">
        <v>21</v>
      </c>
      <c r="D224" s="6" t="s">
        <v>81</v>
      </c>
      <c r="E224" s="6" t="s">
        <v>82</v>
      </c>
      <c r="F224" s="6" t="s">
        <v>16</v>
      </c>
      <c r="G224" s="6" t="s">
        <v>17</v>
      </c>
      <c r="H224" s="6" t="s">
        <v>24</v>
      </c>
      <c r="I224" s="8">
        <v>600000</v>
      </c>
      <c r="J224" s="8">
        <v>243936</v>
      </c>
      <c r="K224" s="9">
        <v>33506.93</v>
      </c>
      <c r="L224" s="13"/>
      <c r="M224" s="63">
        <f>표1[[#This Row],[Accumulated load-unload cycles:]]/표1[[#This Row],[Specified load-unload count over device lifetime:]]</f>
        <v>0.40655999999999998</v>
      </c>
      <c r="N224" s="1" t="str">
        <f>IF(표1[[#This Row],[사용량]]&lt;=60%, "양호", IF(표1[[#This Row],[사용량]]&lt;=70%, "교체 권고", IF(표1[[#This Row],[사용량]]&lt;=80%, "교체", "긴급 교체")))</f>
        <v>양호</v>
      </c>
    </row>
    <row r="225" spans="1:14" ht="20" customHeight="1">
      <c r="A225" s="11" t="s">
        <v>84</v>
      </c>
      <c r="B225" s="5" t="s">
        <v>48</v>
      </c>
      <c r="C225" s="6" t="s">
        <v>21</v>
      </c>
      <c r="D225" s="6" t="s">
        <v>81</v>
      </c>
      <c r="E225" s="6" t="s">
        <v>82</v>
      </c>
      <c r="F225" s="6" t="s">
        <v>16</v>
      </c>
      <c r="G225" s="6" t="s">
        <v>17</v>
      </c>
      <c r="H225" s="6" t="s">
        <v>24</v>
      </c>
      <c r="I225" s="8">
        <v>600000</v>
      </c>
      <c r="J225" s="8">
        <v>239159</v>
      </c>
      <c r="K225" s="9">
        <v>33507.65</v>
      </c>
      <c r="L225" s="13"/>
      <c r="M225" s="63">
        <f>표1[[#This Row],[Accumulated load-unload cycles:]]/표1[[#This Row],[Specified load-unload count over device lifetime:]]</f>
        <v>0.39859833333333333</v>
      </c>
      <c r="N225" s="1" t="str">
        <f>IF(표1[[#This Row],[사용량]]&lt;=60%, "양호", IF(표1[[#This Row],[사용량]]&lt;=70%, "교체 권고", IF(표1[[#This Row],[사용량]]&lt;=80%, "교체", "긴급 교체")))</f>
        <v>양호</v>
      </c>
    </row>
    <row r="226" spans="1:14" ht="20" customHeight="1">
      <c r="A226" s="11" t="s">
        <v>84</v>
      </c>
      <c r="B226" s="5" t="s">
        <v>38</v>
      </c>
      <c r="C226" s="6" t="s">
        <v>21</v>
      </c>
      <c r="D226" s="6" t="s">
        <v>81</v>
      </c>
      <c r="E226" s="6" t="s">
        <v>82</v>
      </c>
      <c r="F226" s="6" t="s">
        <v>16</v>
      </c>
      <c r="G226" s="6" t="s">
        <v>17</v>
      </c>
      <c r="H226" s="6" t="s">
        <v>24</v>
      </c>
      <c r="I226" s="8">
        <v>600000</v>
      </c>
      <c r="J226" s="8">
        <v>237183</v>
      </c>
      <c r="K226" s="9">
        <v>33507.980000000003</v>
      </c>
      <c r="L226" s="13"/>
      <c r="M226" s="63">
        <f>표1[[#This Row],[Accumulated load-unload cycles:]]/표1[[#This Row],[Specified load-unload count over device lifetime:]]</f>
        <v>0.39530500000000002</v>
      </c>
      <c r="N226" s="1" t="str">
        <f>IF(표1[[#This Row],[사용량]]&lt;=60%, "양호", IF(표1[[#This Row],[사용량]]&lt;=70%, "교체 권고", IF(표1[[#This Row],[사용량]]&lt;=80%, "교체", "긴급 교체")))</f>
        <v>양호</v>
      </c>
    </row>
    <row r="227" spans="1:14" ht="20" customHeight="1">
      <c r="A227" s="11" t="s">
        <v>84</v>
      </c>
      <c r="B227" s="5" t="s">
        <v>53</v>
      </c>
      <c r="C227" s="6" t="s">
        <v>21</v>
      </c>
      <c r="D227" s="6" t="s">
        <v>81</v>
      </c>
      <c r="E227" s="6" t="s">
        <v>82</v>
      </c>
      <c r="F227" s="6" t="s">
        <v>16</v>
      </c>
      <c r="G227" s="6" t="s">
        <v>17</v>
      </c>
      <c r="H227" s="6" t="s">
        <v>24</v>
      </c>
      <c r="I227" s="8">
        <v>600000</v>
      </c>
      <c r="J227" s="8">
        <v>237113</v>
      </c>
      <c r="K227" s="9">
        <v>33507.730000000003</v>
      </c>
      <c r="L227" s="13"/>
      <c r="M227" s="63">
        <f>표1[[#This Row],[Accumulated load-unload cycles:]]/표1[[#This Row],[Specified load-unload count over device lifetime:]]</f>
        <v>0.39518833333333331</v>
      </c>
      <c r="N227" s="1" t="str">
        <f>IF(표1[[#This Row],[사용량]]&lt;=60%, "양호", IF(표1[[#This Row],[사용량]]&lt;=70%, "교체 권고", IF(표1[[#This Row],[사용량]]&lt;=80%, "교체", "긴급 교체")))</f>
        <v>양호</v>
      </c>
    </row>
    <row r="228" spans="1:14" ht="20" customHeight="1">
      <c r="A228" s="11" t="s">
        <v>84</v>
      </c>
      <c r="B228" s="5" t="s">
        <v>58</v>
      </c>
      <c r="C228" s="6" t="s">
        <v>21</v>
      </c>
      <c r="D228" s="6" t="s">
        <v>81</v>
      </c>
      <c r="E228" s="6" t="s">
        <v>82</v>
      </c>
      <c r="F228" s="6" t="s">
        <v>16</v>
      </c>
      <c r="G228" s="6" t="s">
        <v>17</v>
      </c>
      <c r="H228" s="6" t="s">
        <v>24</v>
      </c>
      <c r="I228" s="8">
        <v>600000</v>
      </c>
      <c r="J228" s="8">
        <v>236121</v>
      </c>
      <c r="K228" s="9">
        <v>33507</v>
      </c>
      <c r="L228" s="13"/>
      <c r="M228" s="63">
        <f>표1[[#This Row],[Accumulated load-unload cycles:]]/표1[[#This Row],[Specified load-unload count over device lifetime:]]</f>
        <v>0.39353500000000002</v>
      </c>
      <c r="N228" s="1" t="str">
        <f>IF(표1[[#This Row],[사용량]]&lt;=60%, "양호", IF(표1[[#This Row],[사용량]]&lt;=70%, "교체 권고", IF(표1[[#This Row],[사용량]]&lt;=80%, "교체", "긴급 교체")))</f>
        <v>양호</v>
      </c>
    </row>
    <row r="229" spans="1:14" ht="20" customHeight="1">
      <c r="A229" s="11" t="s">
        <v>84</v>
      </c>
      <c r="B229" s="5" t="s">
        <v>56</v>
      </c>
      <c r="C229" s="6" t="s">
        <v>21</v>
      </c>
      <c r="D229" s="6" t="s">
        <v>81</v>
      </c>
      <c r="E229" s="6" t="s">
        <v>82</v>
      </c>
      <c r="F229" s="6" t="s">
        <v>16</v>
      </c>
      <c r="G229" s="6" t="s">
        <v>17</v>
      </c>
      <c r="H229" s="6" t="s">
        <v>24</v>
      </c>
      <c r="I229" s="8">
        <v>600000</v>
      </c>
      <c r="J229" s="8">
        <v>233779</v>
      </c>
      <c r="K229" s="9">
        <v>33507.57</v>
      </c>
      <c r="L229" s="13"/>
      <c r="M229" s="63">
        <f>표1[[#This Row],[Accumulated load-unload cycles:]]/표1[[#This Row],[Specified load-unload count over device lifetime:]]</f>
        <v>0.38963166666666665</v>
      </c>
      <c r="N229" s="1" t="str">
        <f>IF(표1[[#This Row],[사용량]]&lt;=60%, "양호", IF(표1[[#This Row],[사용량]]&lt;=70%, "교체 권고", IF(표1[[#This Row],[사용량]]&lt;=80%, "교체", "긴급 교체")))</f>
        <v>양호</v>
      </c>
    </row>
    <row r="230" spans="1:14" ht="20" customHeight="1">
      <c r="A230" s="11" t="s">
        <v>84</v>
      </c>
      <c r="B230" s="5" t="s">
        <v>45</v>
      </c>
      <c r="C230" s="6" t="s">
        <v>21</v>
      </c>
      <c r="D230" s="6" t="s">
        <v>81</v>
      </c>
      <c r="E230" s="6" t="s">
        <v>82</v>
      </c>
      <c r="F230" s="6" t="s">
        <v>16</v>
      </c>
      <c r="G230" s="6" t="s">
        <v>17</v>
      </c>
      <c r="H230" s="6" t="s">
        <v>24</v>
      </c>
      <c r="I230" s="8">
        <v>600000</v>
      </c>
      <c r="J230" s="8">
        <v>224941</v>
      </c>
      <c r="K230" s="9">
        <v>33507.370000000003</v>
      </c>
      <c r="L230" s="13"/>
      <c r="M230" s="63">
        <f>표1[[#This Row],[Accumulated load-unload cycles:]]/표1[[#This Row],[Specified load-unload count over device lifetime:]]</f>
        <v>0.37490166666666669</v>
      </c>
      <c r="N230" s="1" t="str">
        <f>IF(표1[[#This Row],[사용량]]&lt;=60%, "양호", IF(표1[[#This Row],[사용량]]&lt;=70%, "교체 권고", IF(표1[[#This Row],[사용량]]&lt;=80%, "교체", "긴급 교체")))</f>
        <v>양호</v>
      </c>
    </row>
    <row r="231" spans="1:14" ht="20" customHeight="1">
      <c r="A231" s="17" t="s">
        <v>84</v>
      </c>
      <c r="B231" s="18" t="s">
        <v>54</v>
      </c>
      <c r="C231" s="19" t="s">
        <v>21</v>
      </c>
      <c r="D231" s="19" t="s">
        <v>81</v>
      </c>
      <c r="E231" s="19" t="s">
        <v>82</v>
      </c>
      <c r="F231" s="19" t="s">
        <v>16</v>
      </c>
      <c r="G231" s="19" t="s">
        <v>17</v>
      </c>
      <c r="H231" s="19" t="s">
        <v>24</v>
      </c>
      <c r="I231" s="20">
        <v>600000</v>
      </c>
      <c r="J231" s="20">
        <v>213063</v>
      </c>
      <c r="K231" s="21">
        <v>33507.07</v>
      </c>
      <c r="L231" s="22"/>
      <c r="M231" s="63">
        <f>표1[[#This Row],[Accumulated load-unload cycles:]]/표1[[#This Row],[Specified load-unload count over device lifetime:]]</f>
        <v>0.355105</v>
      </c>
      <c r="N231" s="1" t="str">
        <f>IF(표1[[#This Row],[사용량]]&lt;=60%, "양호", IF(표1[[#This Row],[사용량]]&lt;=70%, "교체 권고", IF(표1[[#This Row],[사용량]]&lt;=80%, "교체", "긴급 교체")))</f>
        <v>양호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1E89-9DA5-FF46-9080-6C28DC017F38}">
  <dimension ref="A1:AL24"/>
  <sheetViews>
    <sheetView workbookViewId="0">
      <selection activeCell="A8" sqref="A8:Y8"/>
    </sheetView>
  </sheetViews>
  <sheetFormatPr baseColWidth="10" defaultRowHeight="13"/>
  <cols>
    <col min="1" max="1" width="11.6640625" bestFit="1" customWidth="1"/>
    <col min="2" max="2" width="11.83203125" bestFit="1" customWidth="1"/>
    <col min="3" max="3" width="10.83203125" bestFit="1" customWidth="1"/>
    <col min="4" max="4" width="10" bestFit="1" customWidth="1"/>
    <col min="5" max="5" width="10.83203125" bestFit="1" customWidth="1"/>
    <col min="6" max="6" width="11.1640625" bestFit="1" customWidth="1"/>
    <col min="7" max="7" width="8.83203125" bestFit="1" customWidth="1"/>
    <col min="8" max="8" width="10.5" bestFit="1" customWidth="1"/>
    <col min="9" max="9" width="9" bestFit="1" customWidth="1"/>
    <col min="10" max="10" width="11.1640625" bestFit="1" customWidth="1"/>
    <col min="11" max="11" width="9.5" bestFit="1" customWidth="1"/>
    <col min="12" max="12" width="10.5" bestFit="1" customWidth="1"/>
    <col min="13" max="13" width="10.1640625" bestFit="1" customWidth="1"/>
    <col min="14" max="14" width="11.1640625" bestFit="1" customWidth="1"/>
    <col min="15" max="15" width="8.83203125" bestFit="1" customWidth="1"/>
    <col min="16" max="16" width="11.5" bestFit="1" customWidth="1"/>
    <col min="17" max="17" width="9" bestFit="1" customWidth="1"/>
    <col min="18" max="18" width="11.1640625" bestFit="1" customWidth="1"/>
    <col min="19" max="19" width="9.5" bestFit="1" customWidth="1"/>
    <col min="20" max="20" width="10.5" bestFit="1" customWidth="1"/>
    <col min="21" max="21" width="11.5" bestFit="1" customWidth="1"/>
    <col min="22" max="22" width="11.1640625" bestFit="1" customWidth="1"/>
    <col min="23" max="23" width="9.5" bestFit="1" customWidth="1"/>
    <col min="24" max="24" width="10.5" bestFit="1" customWidth="1"/>
    <col min="25" max="25" width="10.6640625" bestFit="1" customWidth="1"/>
    <col min="26" max="26" width="11.1640625" bestFit="1" customWidth="1"/>
    <col min="27" max="27" width="8.83203125" bestFit="1" customWidth="1"/>
    <col min="28" max="28" width="10.5" bestFit="1" customWidth="1"/>
    <col min="29" max="29" width="7.6640625" bestFit="1" customWidth="1"/>
    <col min="30" max="30" width="11.1640625" bestFit="1" customWidth="1"/>
    <col min="31" max="31" width="9.5" bestFit="1" customWidth="1"/>
    <col min="32" max="32" width="10.5" bestFit="1" customWidth="1"/>
    <col min="33" max="33" width="10.6640625" bestFit="1" customWidth="1"/>
    <col min="34" max="34" width="11.1640625" bestFit="1" customWidth="1"/>
    <col min="35" max="35" width="9.5" bestFit="1" customWidth="1"/>
    <col min="36" max="36" width="10.5" bestFit="1" customWidth="1"/>
    <col min="37" max="37" width="10.6640625" bestFit="1" customWidth="1"/>
    <col min="38" max="38" width="7" bestFit="1" customWidth="1"/>
  </cols>
  <sheetData>
    <row r="1" spans="1:38" ht="28">
      <c r="A1" s="29" t="s">
        <v>121</v>
      </c>
      <c r="B1" s="29" t="s">
        <v>107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5"/>
    </row>
    <row r="2" spans="1:38" ht="42">
      <c r="A2" s="26"/>
      <c r="B2" s="23" t="s">
        <v>87</v>
      </c>
      <c r="C2" s="24"/>
      <c r="D2" s="24"/>
      <c r="E2" s="23" t="s">
        <v>108</v>
      </c>
      <c r="F2" s="23" t="s">
        <v>86</v>
      </c>
      <c r="G2" s="24"/>
      <c r="H2" s="24"/>
      <c r="I2" s="23" t="s">
        <v>109</v>
      </c>
      <c r="J2" s="23" t="s">
        <v>91</v>
      </c>
      <c r="K2" s="24"/>
      <c r="L2" s="24"/>
      <c r="M2" s="23" t="s">
        <v>110</v>
      </c>
      <c r="N2" s="23" t="s">
        <v>81</v>
      </c>
      <c r="O2" s="24"/>
      <c r="P2" s="24"/>
      <c r="Q2" s="23" t="s">
        <v>111</v>
      </c>
      <c r="R2" s="23" t="s">
        <v>14</v>
      </c>
      <c r="S2" s="24"/>
      <c r="T2" s="24"/>
      <c r="U2" s="23" t="s">
        <v>112</v>
      </c>
      <c r="V2" s="23" t="s">
        <v>79</v>
      </c>
      <c r="W2" s="24"/>
      <c r="X2" s="24"/>
      <c r="Y2" s="23" t="s">
        <v>113</v>
      </c>
      <c r="Z2" s="23" t="s">
        <v>22</v>
      </c>
      <c r="AA2" s="24"/>
      <c r="AB2" s="24"/>
      <c r="AC2" s="23" t="s">
        <v>114</v>
      </c>
      <c r="AD2" s="23" t="s">
        <v>70</v>
      </c>
      <c r="AE2" s="24"/>
      <c r="AF2" s="24"/>
      <c r="AG2" s="23" t="s">
        <v>115</v>
      </c>
      <c r="AH2" s="23" t="s">
        <v>68</v>
      </c>
      <c r="AI2" s="24"/>
      <c r="AJ2" s="24"/>
      <c r="AK2" s="23" t="s">
        <v>116</v>
      </c>
      <c r="AL2" s="27" t="s">
        <v>106</v>
      </c>
    </row>
    <row r="3" spans="1:38" ht="56">
      <c r="A3" s="26"/>
      <c r="B3" s="23" t="s">
        <v>88</v>
      </c>
      <c r="C3" s="24"/>
      <c r="D3" s="23" t="s">
        <v>117</v>
      </c>
      <c r="E3" s="26"/>
      <c r="F3" s="23" t="s">
        <v>82</v>
      </c>
      <c r="G3" s="24"/>
      <c r="H3" s="23" t="s">
        <v>118</v>
      </c>
      <c r="I3" s="26"/>
      <c r="J3" s="23" t="s">
        <v>82</v>
      </c>
      <c r="K3" s="24"/>
      <c r="L3" s="23" t="s">
        <v>118</v>
      </c>
      <c r="M3" s="26"/>
      <c r="N3" s="23" t="s">
        <v>82</v>
      </c>
      <c r="O3" s="24"/>
      <c r="P3" s="23" t="s">
        <v>118</v>
      </c>
      <c r="Q3" s="26"/>
      <c r="R3" s="23" t="s">
        <v>15</v>
      </c>
      <c r="S3" s="24"/>
      <c r="T3" s="23" t="s">
        <v>119</v>
      </c>
      <c r="U3" s="26"/>
      <c r="V3" s="23" t="s">
        <v>23</v>
      </c>
      <c r="W3" s="24"/>
      <c r="X3" s="23" t="s">
        <v>120</v>
      </c>
      <c r="Y3" s="26"/>
      <c r="Z3" s="23" t="s">
        <v>23</v>
      </c>
      <c r="AA3" s="24"/>
      <c r="AB3" s="23" t="s">
        <v>120</v>
      </c>
      <c r="AC3" s="26"/>
      <c r="AD3" s="23" t="s">
        <v>23</v>
      </c>
      <c r="AE3" s="24"/>
      <c r="AF3" s="23" t="s">
        <v>120</v>
      </c>
      <c r="AG3" s="26"/>
      <c r="AH3" s="23" t="s">
        <v>23</v>
      </c>
      <c r="AI3" s="24"/>
      <c r="AJ3" s="23" t="s">
        <v>120</v>
      </c>
      <c r="AK3" s="26"/>
      <c r="AL3" s="38"/>
    </row>
    <row r="4" spans="1:38" ht="28">
      <c r="A4" s="26"/>
      <c r="B4" s="23" t="s">
        <v>89</v>
      </c>
      <c r="C4" s="23" t="s">
        <v>122</v>
      </c>
      <c r="D4" s="26"/>
      <c r="E4" s="26"/>
      <c r="F4" s="23" t="s">
        <v>16</v>
      </c>
      <c r="G4" s="23" t="s">
        <v>123</v>
      </c>
      <c r="H4" s="26"/>
      <c r="I4" s="26"/>
      <c r="J4" s="23" t="s">
        <v>16</v>
      </c>
      <c r="K4" s="23" t="s">
        <v>123</v>
      </c>
      <c r="L4" s="26"/>
      <c r="M4" s="26"/>
      <c r="N4" s="23" t="s">
        <v>16</v>
      </c>
      <c r="O4" s="23" t="s">
        <v>123</v>
      </c>
      <c r="P4" s="26"/>
      <c r="Q4" s="26"/>
      <c r="R4" s="23" t="s">
        <v>16</v>
      </c>
      <c r="S4" s="23" t="s">
        <v>123</v>
      </c>
      <c r="T4" s="26"/>
      <c r="U4" s="26"/>
      <c r="V4" s="23" t="s">
        <v>16</v>
      </c>
      <c r="W4" s="23" t="s">
        <v>123</v>
      </c>
      <c r="X4" s="26"/>
      <c r="Y4" s="26"/>
      <c r="Z4" s="23" t="s">
        <v>16</v>
      </c>
      <c r="AA4" s="23" t="s">
        <v>123</v>
      </c>
      <c r="AB4" s="26"/>
      <c r="AC4" s="26"/>
      <c r="AD4" s="23" t="s">
        <v>16</v>
      </c>
      <c r="AE4" s="23" t="s">
        <v>123</v>
      </c>
      <c r="AF4" s="26"/>
      <c r="AG4" s="26"/>
      <c r="AH4" s="23" t="s">
        <v>16</v>
      </c>
      <c r="AI4" s="23" t="s">
        <v>123</v>
      </c>
      <c r="AJ4" s="26"/>
      <c r="AK4" s="26"/>
      <c r="AL4" s="38"/>
    </row>
    <row r="5" spans="1:38" ht="14">
      <c r="A5" s="29" t="s">
        <v>105</v>
      </c>
      <c r="B5" s="23" t="s">
        <v>90</v>
      </c>
      <c r="C5" s="26"/>
      <c r="D5" s="26"/>
      <c r="E5" s="26"/>
      <c r="F5" s="23" t="s">
        <v>17</v>
      </c>
      <c r="G5" s="26"/>
      <c r="H5" s="26"/>
      <c r="I5" s="26"/>
      <c r="J5" s="23" t="s">
        <v>17</v>
      </c>
      <c r="K5" s="26"/>
      <c r="L5" s="26"/>
      <c r="M5" s="26"/>
      <c r="N5" s="23" t="s">
        <v>17</v>
      </c>
      <c r="O5" s="26"/>
      <c r="P5" s="26"/>
      <c r="Q5" s="26"/>
      <c r="R5" s="23" t="s">
        <v>17</v>
      </c>
      <c r="S5" s="26"/>
      <c r="T5" s="26"/>
      <c r="U5" s="26"/>
      <c r="V5" s="23" t="s">
        <v>17</v>
      </c>
      <c r="W5" s="26"/>
      <c r="X5" s="26"/>
      <c r="Y5" s="26"/>
      <c r="Z5" s="23" t="s">
        <v>17</v>
      </c>
      <c r="AA5" s="26"/>
      <c r="AB5" s="26"/>
      <c r="AC5" s="26"/>
      <c r="AD5" s="23" t="s">
        <v>17</v>
      </c>
      <c r="AE5" s="26"/>
      <c r="AF5" s="26"/>
      <c r="AG5" s="26"/>
      <c r="AH5" s="23" t="s">
        <v>17</v>
      </c>
      <c r="AI5" s="26"/>
      <c r="AJ5" s="26"/>
      <c r="AK5" s="26"/>
      <c r="AL5" s="38"/>
    </row>
    <row r="6" spans="1:38" ht="14">
      <c r="A6" s="30" t="s">
        <v>69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>
        <v>8</v>
      </c>
      <c r="AE6" s="35">
        <v>8</v>
      </c>
      <c r="AF6" s="35">
        <v>8</v>
      </c>
      <c r="AG6" s="35">
        <v>8</v>
      </c>
      <c r="AH6" s="35"/>
      <c r="AI6" s="35"/>
      <c r="AJ6" s="35"/>
      <c r="AK6" s="35"/>
      <c r="AL6" s="31">
        <v>8</v>
      </c>
    </row>
    <row r="7" spans="1:38" ht="14">
      <c r="A7" s="32" t="s">
        <v>72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>
        <v>1</v>
      </c>
      <c r="W7" s="36">
        <v>1</v>
      </c>
      <c r="X7" s="36">
        <v>1</v>
      </c>
      <c r="Y7" s="36">
        <v>1</v>
      </c>
      <c r="Z7" s="36"/>
      <c r="AA7" s="36"/>
      <c r="AB7" s="36"/>
      <c r="AC7" s="36"/>
      <c r="AD7" s="36">
        <v>6</v>
      </c>
      <c r="AE7" s="36">
        <v>6</v>
      </c>
      <c r="AF7" s="36">
        <v>6</v>
      </c>
      <c r="AG7" s="36">
        <v>6</v>
      </c>
      <c r="AH7" s="36">
        <v>1</v>
      </c>
      <c r="AI7" s="36">
        <v>1</v>
      </c>
      <c r="AJ7" s="36">
        <v>1</v>
      </c>
      <c r="AK7" s="36">
        <v>1</v>
      </c>
      <c r="AL7" s="33">
        <v>8</v>
      </c>
    </row>
    <row r="8" spans="1:38" ht="14">
      <c r="A8" s="32" t="s">
        <v>12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>
        <v>2</v>
      </c>
      <c r="S8" s="36">
        <v>2</v>
      </c>
      <c r="T8" s="36">
        <v>2</v>
      </c>
      <c r="U8" s="36">
        <v>2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3">
        <v>2</v>
      </c>
    </row>
    <row r="9" spans="1:38" ht="14">
      <c r="A9" s="32" t="s">
        <v>85</v>
      </c>
      <c r="B9" s="36">
        <v>2</v>
      </c>
      <c r="C9" s="36">
        <v>2</v>
      </c>
      <c r="D9" s="36">
        <v>2</v>
      </c>
      <c r="E9" s="36">
        <v>2</v>
      </c>
      <c r="F9" s="36">
        <v>7</v>
      </c>
      <c r="G9" s="36">
        <v>7</v>
      </c>
      <c r="H9" s="36">
        <v>7</v>
      </c>
      <c r="I9" s="36">
        <v>7</v>
      </c>
      <c r="J9" s="36">
        <v>1</v>
      </c>
      <c r="K9" s="36">
        <v>1</v>
      </c>
      <c r="L9" s="36">
        <v>1</v>
      </c>
      <c r="M9" s="36">
        <v>1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3">
        <v>10</v>
      </c>
    </row>
    <row r="10" spans="1:38" ht="14">
      <c r="A10" s="32" t="s">
        <v>101</v>
      </c>
      <c r="B10" s="36">
        <v>2</v>
      </c>
      <c r="C10" s="36">
        <v>2</v>
      </c>
      <c r="D10" s="36">
        <v>2</v>
      </c>
      <c r="E10" s="36">
        <v>2</v>
      </c>
      <c r="F10" s="36">
        <v>8</v>
      </c>
      <c r="G10" s="36">
        <v>8</v>
      </c>
      <c r="H10" s="36">
        <v>8</v>
      </c>
      <c r="I10" s="36">
        <v>8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3">
        <v>10</v>
      </c>
    </row>
    <row r="11" spans="1:38" ht="14">
      <c r="A11" s="32" t="s">
        <v>103</v>
      </c>
      <c r="B11" s="36">
        <v>2</v>
      </c>
      <c r="C11" s="36">
        <v>2</v>
      </c>
      <c r="D11" s="36">
        <v>2</v>
      </c>
      <c r="E11" s="36">
        <v>2</v>
      </c>
      <c r="F11" s="36">
        <v>8</v>
      </c>
      <c r="G11" s="36">
        <v>8</v>
      </c>
      <c r="H11" s="36">
        <v>8</v>
      </c>
      <c r="I11" s="36">
        <v>8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3">
        <v>10</v>
      </c>
    </row>
    <row r="12" spans="1:38" ht="14">
      <c r="A12" s="32" t="s">
        <v>104</v>
      </c>
      <c r="B12" s="36">
        <v>2</v>
      </c>
      <c r="C12" s="36">
        <v>2</v>
      </c>
      <c r="D12" s="36">
        <v>2</v>
      </c>
      <c r="E12" s="36">
        <v>2</v>
      </c>
      <c r="F12" s="36">
        <v>8</v>
      </c>
      <c r="G12" s="36">
        <v>8</v>
      </c>
      <c r="H12" s="36">
        <v>8</v>
      </c>
      <c r="I12" s="36">
        <v>8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3">
        <v>10</v>
      </c>
    </row>
    <row r="13" spans="1:38" ht="14">
      <c r="A13" s="32" t="s">
        <v>92</v>
      </c>
      <c r="B13" s="36">
        <v>2</v>
      </c>
      <c r="C13" s="36">
        <v>2</v>
      </c>
      <c r="D13" s="36">
        <v>2</v>
      </c>
      <c r="E13" s="36">
        <v>2</v>
      </c>
      <c r="F13" s="36">
        <v>8</v>
      </c>
      <c r="G13" s="36">
        <v>8</v>
      </c>
      <c r="H13" s="36">
        <v>8</v>
      </c>
      <c r="I13" s="36">
        <v>8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3">
        <v>10</v>
      </c>
    </row>
    <row r="14" spans="1:38" ht="14">
      <c r="A14" s="32" t="s">
        <v>94</v>
      </c>
      <c r="B14" s="36">
        <v>2</v>
      </c>
      <c r="C14" s="36">
        <v>2</v>
      </c>
      <c r="D14" s="36">
        <v>2</v>
      </c>
      <c r="E14" s="36">
        <v>2</v>
      </c>
      <c r="F14" s="36">
        <v>8</v>
      </c>
      <c r="G14" s="36">
        <v>8</v>
      </c>
      <c r="H14" s="36">
        <v>8</v>
      </c>
      <c r="I14" s="36">
        <v>8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3">
        <v>10</v>
      </c>
    </row>
    <row r="15" spans="1:38" ht="14">
      <c r="A15" s="32" t="s">
        <v>95</v>
      </c>
      <c r="B15" s="36">
        <v>2</v>
      </c>
      <c r="C15" s="36">
        <v>2</v>
      </c>
      <c r="D15" s="36">
        <v>2</v>
      </c>
      <c r="E15" s="36">
        <v>2</v>
      </c>
      <c r="F15" s="36">
        <v>8</v>
      </c>
      <c r="G15" s="36">
        <v>8</v>
      </c>
      <c r="H15" s="36">
        <v>8</v>
      </c>
      <c r="I15" s="36">
        <v>8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3">
        <v>10</v>
      </c>
    </row>
    <row r="16" spans="1:38" ht="14">
      <c r="A16" s="32" t="s">
        <v>96</v>
      </c>
      <c r="B16" s="36">
        <v>2</v>
      </c>
      <c r="C16" s="36">
        <v>2</v>
      </c>
      <c r="D16" s="36">
        <v>2</v>
      </c>
      <c r="E16" s="36">
        <v>2</v>
      </c>
      <c r="F16" s="36">
        <v>8</v>
      </c>
      <c r="G16" s="36">
        <v>8</v>
      </c>
      <c r="H16" s="36">
        <v>8</v>
      </c>
      <c r="I16" s="36">
        <v>8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3">
        <v>10</v>
      </c>
    </row>
    <row r="17" spans="1:38" ht="14">
      <c r="A17" s="32" t="s">
        <v>97</v>
      </c>
      <c r="B17" s="36">
        <v>2</v>
      </c>
      <c r="C17" s="36">
        <v>2</v>
      </c>
      <c r="D17" s="36">
        <v>2</v>
      </c>
      <c r="E17" s="36">
        <v>2</v>
      </c>
      <c r="F17" s="36">
        <v>8</v>
      </c>
      <c r="G17" s="36">
        <v>8</v>
      </c>
      <c r="H17" s="36">
        <v>8</v>
      </c>
      <c r="I17" s="36">
        <v>8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3">
        <v>10</v>
      </c>
    </row>
    <row r="18" spans="1:38" ht="14">
      <c r="A18" s="32" t="s">
        <v>98</v>
      </c>
      <c r="B18" s="36">
        <v>2</v>
      </c>
      <c r="C18" s="36">
        <v>2</v>
      </c>
      <c r="D18" s="36">
        <v>2</v>
      </c>
      <c r="E18" s="36">
        <v>2</v>
      </c>
      <c r="F18" s="36">
        <v>8</v>
      </c>
      <c r="G18" s="36">
        <v>8</v>
      </c>
      <c r="H18" s="36">
        <v>8</v>
      </c>
      <c r="I18" s="36">
        <v>8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3">
        <v>10</v>
      </c>
    </row>
    <row r="19" spans="1:38" ht="14">
      <c r="A19" s="32" t="s">
        <v>99</v>
      </c>
      <c r="B19" s="36">
        <v>2</v>
      </c>
      <c r="C19" s="36">
        <v>2</v>
      </c>
      <c r="D19" s="36">
        <v>2</v>
      </c>
      <c r="E19" s="36">
        <v>2</v>
      </c>
      <c r="F19" s="36">
        <v>8</v>
      </c>
      <c r="G19" s="36">
        <v>8</v>
      </c>
      <c r="H19" s="36">
        <v>8</v>
      </c>
      <c r="I19" s="36">
        <v>8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3">
        <v>10</v>
      </c>
    </row>
    <row r="20" spans="1:38" ht="14">
      <c r="A20" s="32" t="s">
        <v>100</v>
      </c>
      <c r="B20" s="36">
        <v>2</v>
      </c>
      <c r="C20" s="36">
        <v>2</v>
      </c>
      <c r="D20" s="36">
        <v>2</v>
      </c>
      <c r="E20" s="36">
        <v>2</v>
      </c>
      <c r="F20" s="36">
        <v>8</v>
      </c>
      <c r="G20" s="36">
        <v>8</v>
      </c>
      <c r="H20" s="36">
        <v>8</v>
      </c>
      <c r="I20" s="36">
        <v>8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3">
        <v>10</v>
      </c>
    </row>
    <row r="21" spans="1:38" ht="14">
      <c r="A21" s="47" t="s">
        <v>19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43</v>
      </c>
      <c r="AA21" s="36">
        <v>43</v>
      </c>
      <c r="AB21" s="36">
        <v>43</v>
      </c>
      <c r="AC21" s="36">
        <v>43</v>
      </c>
      <c r="AD21" s="36"/>
      <c r="AE21" s="36"/>
      <c r="AF21" s="36"/>
      <c r="AG21" s="36"/>
      <c r="AH21" s="36">
        <v>1</v>
      </c>
      <c r="AI21" s="36">
        <v>1</v>
      </c>
      <c r="AJ21" s="36">
        <v>1</v>
      </c>
      <c r="AK21" s="36">
        <v>1</v>
      </c>
      <c r="AL21" s="33">
        <v>44</v>
      </c>
    </row>
    <row r="22" spans="1:38" ht="14">
      <c r="A22" s="47" t="s">
        <v>80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>
        <v>24</v>
      </c>
      <c r="O22" s="36">
        <v>24</v>
      </c>
      <c r="P22" s="36">
        <v>24</v>
      </c>
      <c r="Q22" s="36">
        <v>24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3">
        <v>24</v>
      </c>
    </row>
    <row r="23" spans="1:38" ht="14">
      <c r="A23" s="47" t="s">
        <v>84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>
        <v>24</v>
      </c>
      <c r="O23" s="36">
        <v>24</v>
      </c>
      <c r="P23" s="36">
        <v>24</v>
      </c>
      <c r="Q23" s="36">
        <v>24</v>
      </c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3">
        <v>24</v>
      </c>
    </row>
    <row r="24" spans="1:38" ht="14">
      <c r="A24" s="34" t="s">
        <v>106</v>
      </c>
      <c r="B24" s="37">
        <v>24</v>
      </c>
      <c r="C24" s="37">
        <v>24</v>
      </c>
      <c r="D24" s="37">
        <v>24</v>
      </c>
      <c r="E24" s="37">
        <v>24</v>
      </c>
      <c r="F24" s="37">
        <v>95</v>
      </c>
      <c r="G24" s="37">
        <v>95</v>
      </c>
      <c r="H24" s="37">
        <v>95</v>
      </c>
      <c r="I24" s="37">
        <v>95</v>
      </c>
      <c r="J24" s="37">
        <v>1</v>
      </c>
      <c r="K24" s="37">
        <v>1</v>
      </c>
      <c r="L24" s="37">
        <v>1</v>
      </c>
      <c r="M24" s="37">
        <v>1</v>
      </c>
      <c r="N24" s="37">
        <v>48</v>
      </c>
      <c r="O24" s="37">
        <v>48</v>
      </c>
      <c r="P24" s="37">
        <v>48</v>
      </c>
      <c r="Q24" s="37">
        <v>48</v>
      </c>
      <c r="R24" s="37">
        <v>2</v>
      </c>
      <c r="S24" s="37">
        <v>2</v>
      </c>
      <c r="T24" s="37">
        <v>2</v>
      </c>
      <c r="U24" s="37">
        <v>2</v>
      </c>
      <c r="V24" s="37">
        <v>1</v>
      </c>
      <c r="W24" s="37">
        <v>1</v>
      </c>
      <c r="X24" s="37">
        <v>1</v>
      </c>
      <c r="Y24" s="37">
        <v>1</v>
      </c>
      <c r="Z24" s="37">
        <v>43</v>
      </c>
      <c r="AA24" s="37">
        <v>43</v>
      </c>
      <c r="AB24" s="37">
        <v>43</v>
      </c>
      <c r="AC24" s="37">
        <v>43</v>
      </c>
      <c r="AD24" s="37">
        <v>14</v>
      </c>
      <c r="AE24" s="37">
        <v>14</v>
      </c>
      <c r="AF24" s="37">
        <v>14</v>
      </c>
      <c r="AG24" s="37">
        <v>14</v>
      </c>
      <c r="AH24" s="37">
        <v>2</v>
      </c>
      <c r="AI24" s="37">
        <v>2</v>
      </c>
      <c r="AJ24" s="37">
        <v>2</v>
      </c>
      <c r="AK24" s="37">
        <v>2</v>
      </c>
      <c r="AL24" s="28">
        <v>230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1AA1-D0C0-9E45-B97F-74464DD0E26A}">
  <dimension ref="A1:K24"/>
  <sheetViews>
    <sheetView workbookViewId="0">
      <selection activeCell="E9" sqref="E9"/>
    </sheetView>
  </sheetViews>
  <sheetFormatPr baseColWidth="10" defaultRowHeight="13"/>
  <cols>
    <col min="1" max="1" width="31.33203125" bestFit="1" customWidth="1"/>
    <col min="2" max="2" width="20.6640625" bestFit="1" customWidth="1"/>
    <col min="3" max="5" width="15.83203125" bestFit="1" customWidth="1"/>
    <col min="6" max="6" width="22.1640625" bestFit="1" customWidth="1"/>
    <col min="7" max="7" width="14.83203125" bestFit="1" customWidth="1"/>
    <col min="8" max="10" width="14.6640625" bestFit="1" customWidth="1"/>
    <col min="11" max="11" width="7" bestFit="1" customWidth="1"/>
    <col min="12" max="12" width="31.1640625" bestFit="1" customWidth="1"/>
    <col min="13" max="13" width="18.6640625" bestFit="1" customWidth="1"/>
    <col min="14" max="14" width="31.1640625" bestFit="1" customWidth="1"/>
    <col min="15" max="15" width="18.5" bestFit="1" customWidth="1"/>
    <col min="16" max="16" width="31.1640625" bestFit="1" customWidth="1"/>
    <col min="17" max="17" width="18.5" bestFit="1" customWidth="1"/>
    <col min="18" max="18" width="31.1640625" bestFit="1" customWidth="1"/>
    <col min="19" max="19" width="18.83203125" bestFit="1" customWidth="1"/>
    <col min="20" max="20" width="7" bestFit="1" customWidth="1"/>
  </cols>
  <sheetData>
    <row r="1" spans="1:11" ht="25" customHeight="1"/>
    <row r="2" spans="1:11" ht="25" customHeight="1"/>
    <row r="3" spans="1:11" ht="25" customHeight="1">
      <c r="A3" s="40" t="s">
        <v>124</v>
      </c>
      <c r="B3" s="40" t="s">
        <v>107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ht="25" customHeight="1">
      <c r="A4" s="40" t="s">
        <v>105</v>
      </c>
      <c r="B4" s="41" t="s">
        <v>87</v>
      </c>
      <c r="C4" s="41" t="s">
        <v>86</v>
      </c>
      <c r="D4" s="41" t="s">
        <v>91</v>
      </c>
      <c r="E4" s="41" t="s">
        <v>81</v>
      </c>
      <c r="F4" s="41" t="s">
        <v>14</v>
      </c>
      <c r="G4" s="41" t="s">
        <v>79</v>
      </c>
      <c r="H4" s="41" t="s">
        <v>22</v>
      </c>
      <c r="I4" s="41" t="s">
        <v>70</v>
      </c>
      <c r="J4" s="41" t="s">
        <v>68</v>
      </c>
      <c r="K4" s="41" t="s">
        <v>106</v>
      </c>
    </row>
    <row r="5" spans="1:11" ht="25" customHeight="1">
      <c r="A5" s="41" t="s">
        <v>82</v>
      </c>
      <c r="B5" s="39"/>
      <c r="C5" s="39">
        <v>95</v>
      </c>
      <c r="D5" s="39">
        <v>1</v>
      </c>
      <c r="E5" s="39">
        <v>48</v>
      </c>
      <c r="F5" s="39"/>
      <c r="G5" s="39"/>
      <c r="H5" s="39"/>
      <c r="I5" s="39"/>
      <c r="J5" s="39"/>
      <c r="K5" s="39">
        <v>144</v>
      </c>
    </row>
    <row r="6" spans="1:11" ht="25" customHeight="1">
      <c r="A6" s="41" t="s">
        <v>88</v>
      </c>
      <c r="B6" s="39">
        <v>24</v>
      </c>
      <c r="C6" s="39"/>
      <c r="D6" s="39"/>
      <c r="E6" s="39"/>
      <c r="F6" s="39"/>
      <c r="G6" s="39"/>
      <c r="H6" s="39"/>
      <c r="I6" s="39"/>
      <c r="J6" s="39"/>
      <c r="K6" s="39">
        <v>24</v>
      </c>
    </row>
    <row r="7" spans="1:11" ht="25" customHeight="1">
      <c r="A7" s="41" t="s">
        <v>15</v>
      </c>
      <c r="B7" s="39"/>
      <c r="C7" s="39"/>
      <c r="D7" s="39"/>
      <c r="E7" s="39"/>
      <c r="F7" s="39">
        <v>2</v>
      </c>
      <c r="G7" s="39"/>
      <c r="H7" s="39"/>
      <c r="I7" s="39"/>
      <c r="J7" s="39"/>
      <c r="K7" s="39">
        <v>2</v>
      </c>
    </row>
    <row r="8" spans="1:11" ht="25" customHeight="1">
      <c r="A8" s="41" t="s">
        <v>23</v>
      </c>
      <c r="B8" s="39"/>
      <c r="C8" s="39"/>
      <c r="D8" s="39"/>
      <c r="E8" s="39"/>
      <c r="F8" s="39"/>
      <c r="G8" s="39">
        <v>1</v>
      </c>
      <c r="H8" s="39">
        <v>43</v>
      </c>
      <c r="I8" s="39">
        <v>14</v>
      </c>
      <c r="J8" s="39">
        <v>2</v>
      </c>
      <c r="K8" s="39">
        <v>60</v>
      </c>
    </row>
    <row r="9" spans="1:11" ht="25" customHeight="1">
      <c r="A9" s="41" t="s">
        <v>106</v>
      </c>
      <c r="B9" s="39">
        <v>24</v>
      </c>
      <c r="C9" s="39">
        <v>95</v>
      </c>
      <c r="D9" s="39">
        <v>1</v>
      </c>
      <c r="E9" s="39">
        <v>48</v>
      </c>
      <c r="F9" s="39">
        <v>2</v>
      </c>
      <c r="G9" s="39">
        <v>1</v>
      </c>
      <c r="H9" s="39">
        <v>43</v>
      </c>
      <c r="I9" s="39">
        <v>14</v>
      </c>
      <c r="J9" s="39">
        <v>2</v>
      </c>
      <c r="K9" s="39">
        <v>230</v>
      </c>
    </row>
    <row r="10" spans="1:11" ht="25" customHeight="1">
      <c r="B10" s="45">
        <f>90*1300</f>
        <v>117000</v>
      </c>
      <c r="C10" s="45">
        <v>431000</v>
      </c>
      <c r="D10" s="45">
        <v>449000</v>
      </c>
      <c r="E10" s="45">
        <v>864300</v>
      </c>
      <c r="F10" s="45">
        <v>229270</v>
      </c>
      <c r="G10" s="45">
        <v>369000</v>
      </c>
      <c r="H10" s="45">
        <v>354000</v>
      </c>
      <c r="I10" s="45">
        <v>460660</v>
      </c>
      <c r="J10" s="45">
        <v>369000</v>
      </c>
      <c r="K10" s="46"/>
    </row>
    <row r="11" spans="1:11" ht="25" customHeight="1">
      <c r="B11" s="45">
        <f>GETPIVOTDATA("User Capacity:",$A$3,"Product:","INTEL SSDSC2KB240G7")</f>
        <v>24</v>
      </c>
      <c r="C11" s="45">
        <f>GETPIVOTDATA("User Capacity:",$A$3,"Product:","ST10000NM0096")</f>
        <v>95</v>
      </c>
      <c r="D11" s="45">
        <f>GETPIVOTDATA("User Capacity:",$A$3,"Product:","ST10000NM018B")</f>
        <v>1</v>
      </c>
      <c r="E11" s="45">
        <f>GETPIVOTDATA("User Capacity:",$A$3,"Product:","ST10000NM0528")</f>
        <v>48</v>
      </c>
      <c r="F11" s="45">
        <f>GETPIVOTDATA("User Capacity:",$A$3,"Product:","ST4000NM0035-1V4107")</f>
        <v>2</v>
      </c>
      <c r="G11" s="45">
        <f>GETPIVOTDATA("User Capacity:",$A$3,"Product:","ST8000NM001A")</f>
        <v>1</v>
      </c>
      <c r="H11" s="45">
        <f>GETPIVOTDATA("User Capacity:",$A$3,"Product:","ST8000NM0075")</f>
        <v>43</v>
      </c>
      <c r="I11" s="45">
        <f>GETPIVOTDATA("User Capacity:",$A$3,"Product:","ST8000NM0156")</f>
        <v>14</v>
      </c>
      <c r="J11" s="45">
        <f>GETPIVOTDATA("User Capacity:",$A$3,"Product:","ST8000NM018B")</f>
        <v>2</v>
      </c>
      <c r="K11" s="45">
        <f>SUM(B11:J11)</f>
        <v>230</v>
      </c>
    </row>
    <row r="12" spans="1:11" ht="25" customHeight="1">
      <c r="B12" s="45">
        <f>B11*B10</f>
        <v>2808000</v>
      </c>
      <c r="C12" s="45">
        <f t="shared" ref="C12:J12" si="0">C11*C10</f>
        <v>40945000</v>
      </c>
      <c r="D12" s="45">
        <f t="shared" si="0"/>
        <v>449000</v>
      </c>
      <c r="E12" s="45">
        <f t="shared" si="0"/>
        <v>41486400</v>
      </c>
      <c r="F12" s="45">
        <f t="shared" si="0"/>
        <v>458540</v>
      </c>
      <c r="G12" s="45">
        <f t="shared" si="0"/>
        <v>369000</v>
      </c>
      <c r="H12" s="45">
        <f t="shared" si="0"/>
        <v>15222000</v>
      </c>
      <c r="I12" s="45">
        <f t="shared" si="0"/>
        <v>6449240</v>
      </c>
      <c r="J12" s="45">
        <f t="shared" si="0"/>
        <v>738000</v>
      </c>
      <c r="K12" s="45">
        <f>SUM(B12:J12)</f>
        <v>108925180</v>
      </c>
    </row>
    <row r="13" spans="1:11" ht="25" customHeight="1"/>
    <row r="14" spans="1:11" ht="25" customHeight="1">
      <c r="B14" s="43" t="s">
        <v>137</v>
      </c>
      <c r="C14" s="44" t="s">
        <v>128</v>
      </c>
      <c r="D14" s="43" t="s">
        <v>126</v>
      </c>
      <c r="E14" s="43" t="s">
        <v>130</v>
      </c>
      <c r="F14" s="43" t="s">
        <v>131</v>
      </c>
      <c r="G14" s="43" t="s">
        <v>132</v>
      </c>
      <c r="H14" s="43" t="s">
        <v>133</v>
      </c>
      <c r="I14" s="43" t="s">
        <v>134</v>
      </c>
      <c r="J14" s="43" t="s">
        <v>136</v>
      </c>
    </row>
    <row r="15" spans="1:11" ht="25" customHeight="1">
      <c r="B15" s="42" t="s">
        <v>138</v>
      </c>
      <c r="C15" s="42" t="s">
        <v>129</v>
      </c>
      <c r="D15" s="42" t="s">
        <v>127</v>
      </c>
      <c r="E15" s="42" t="s">
        <v>125</v>
      </c>
      <c r="F15" s="42" t="s">
        <v>129</v>
      </c>
      <c r="G15" s="42" t="s">
        <v>129</v>
      </c>
      <c r="H15" s="42" t="s">
        <v>129</v>
      </c>
      <c r="I15" s="42" t="s">
        <v>135</v>
      </c>
      <c r="J15" s="42" t="s">
        <v>129</v>
      </c>
    </row>
    <row r="16" spans="1:11" ht="25" customHeight="1"/>
    <row r="17" spans="4:9" ht="25" customHeight="1"/>
    <row r="18" spans="4:9" ht="25" customHeight="1"/>
    <row r="19" spans="4:9" ht="25" customHeight="1"/>
    <row r="20" spans="4:9" ht="25" customHeight="1">
      <c r="D20" s="41" t="s">
        <v>139</v>
      </c>
      <c r="E20" s="41" t="s">
        <v>86</v>
      </c>
      <c r="F20" s="41" t="s">
        <v>91</v>
      </c>
      <c r="G20" s="41" t="s">
        <v>81</v>
      </c>
      <c r="H20" s="41" t="s">
        <v>106</v>
      </c>
    </row>
    <row r="21" spans="4:9" ht="25" customHeight="1">
      <c r="D21" s="41" t="s">
        <v>140</v>
      </c>
      <c r="E21" s="41">
        <f>95-8</f>
        <v>87</v>
      </c>
      <c r="F21" s="41">
        <v>1</v>
      </c>
      <c r="G21" s="41">
        <v>48</v>
      </c>
      <c r="H21" s="41">
        <f>SUM(E21:G21)</f>
        <v>136</v>
      </c>
    </row>
    <row r="22" spans="4:9" ht="25" customHeight="1"/>
    <row r="23" spans="4:9" ht="25" customHeight="1">
      <c r="D23" s="41" t="s">
        <v>139</v>
      </c>
      <c r="E23" s="41" t="s">
        <v>79</v>
      </c>
      <c r="F23" s="41" t="s">
        <v>22</v>
      </c>
      <c r="G23" s="41" t="s">
        <v>70</v>
      </c>
      <c r="H23" s="41" t="s">
        <v>68</v>
      </c>
      <c r="I23" s="41" t="s">
        <v>106</v>
      </c>
    </row>
    <row r="24" spans="4:9" ht="25" customHeight="1">
      <c r="D24" s="41" t="s">
        <v>141</v>
      </c>
      <c r="E24" s="41">
        <v>1</v>
      </c>
      <c r="F24" s="41">
        <v>43</v>
      </c>
      <c r="G24" s="41">
        <v>14</v>
      </c>
      <c r="H24" s="41">
        <v>2</v>
      </c>
      <c r="I24" s="41">
        <f>SUM(E24:H24)</f>
        <v>60</v>
      </c>
    </row>
  </sheetData>
  <phoneticPr fontId="2" type="noConversion"/>
  <hyperlinks>
    <hyperlink ref="D14" r:id="rId2" xr:uid="{52137A58-A46B-4948-8E43-8044D69B28C6}"/>
    <hyperlink ref="C14" r:id="rId3" xr:uid="{F7116561-CED5-5848-BEE4-D2B521E8BBE0}"/>
    <hyperlink ref="E14" r:id="rId4" display="https://www.coupang.com/vp/products/7775473222?itemId=21003101022&amp;vendorItemId=88022211977&amp;src=1032034&amp;spec=10305199&amp;addtag=400&amp;ctag=7775473222&amp;lptag=I21003101022&amp;itime=20240201160954&amp;pageType=PRODUCT&amp;pageValue=7775473222&amp;wPcid=17067713944884726626034&amp;wRef=prod.danawa.com&amp;wTime=20240201160954&amp;redirect=landing&amp;mcid=f8beb491840f49d3ab22fcc941c0e156&amp;isAddedCart=" xr:uid="{E8223BC3-79D1-994D-A4FE-E84086194C77}"/>
    <hyperlink ref="F14" r:id="rId5" xr:uid="{8FED8B23-5A8F-0F4B-829C-B04811B5D032}"/>
    <hyperlink ref="G14" r:id="rId6" xr:uid="{CD52AE0A-9DA4-FD4E-8D16-2DE801A01197}"/>
    <hyperlink ref="H14" r:id="rId7" xr:uid="{E44C9016-4C6C-FA4F-9193-50FED80E8201}"/>
    <hyperlink ref="I14" r:id="rId8" xr:uid="{3C6562DF-3C02-F046-9BAE-8637D1D87355}"/>
    <hyperlink ref="J14" r:id="rId9" xr:uid="{CC5CD29B-185A-9248-AEAA-752978E07508}"/>
    <hyperlink ref="B14" r:id="rId10" xr:uid="{9BB396FC-FFA8-A44C-9053-78630B6585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8DCF-5417-1748-B2F6-F1F801BBCE4F}">
  <dimension ref="A1:I34"/>
  <sheetViews>
    <sheetView workbookViewId="0">
      <selection activeCell="I34" sqref="I34"/>
    </sheetView>
  </sheetViews>
  <sheetFormatPr baseColWidth="10" defaultRowHeight="13"/>
  <cols>
    <col min="1" max="1" width="49" customWidth="1"/>
    <col min="2" max="9" width="20.83203125" customWidth="1"/>
  </cols>
  <sheetData>
    <row r="1" spans="1:9" ht="19">
      <c r="A1" s="48" t="s">
        <v>124</v>
      </c>
      <c r="B1" s="48" t="s">
        <v>107</v>
      </c>
      <c r="C1" s="49"/>
      <c r="D1" s="49"/>
      <c r="E1" s="49"/>
      <c r="F1" s="49"/>
      <c r="G1" s="49"/>
      <c r="H1" s="49"/>
      <c r="I1" s="50"/>
    </row>
    <row r="2" spans="1:9" ht="38">
      <c r="A2" s="51" t="s">
        <v>105</v>
      </c>
      <c r="B2" s="52" t="s">
        <v>87</v>
      </c>
      <c r="C2" s="52" t="s">
        <v>86</v>
      </c>
      <c r="D2" s="52" t="s">
        <v>91</v>
      </c>
      <c r="E2" s="52" t="s">
        <v>14</v>
      </c>
      <c r="F2" s="52" t="s">
        <v>79</v>
      </c>
      <c r="G2" s="52" t="s">
        <v>70</v>
      </c>
      <c r="H2" s="52" t="s">
        <v>68</v>
      </c>
      <c r="I2" s="52" t="s">
        <v>106</v>
      </c>
    </row>
    <row r="3" spans="1:9" ht="19">
      <c r="A3" s="52" t="s">
        <v>82</v>
      </c>
      <c r="B3" s="53"/>
      <c r="C3" s="53">
        <v>95</v>
      </c>
      <c r="D3" s="53">
        <v>1</v>
      </c>
      <c r="E3" s="53"/>
      <c r="F3" s="53"/>
      <c r="G3" s="53"/>
      <c r="H3" s="53"/>
      <c r="I3" s="53">
        <v>96</v>
      </c>
    </row>
    <row r="4" spans="1:9" ht="19">
      <c r="A4" s="54" t="s">
        <v>85</v>
      </c>
      <c r="B4" s="53"/>
      <c r="C4" s="53">
        <v>7</v>
      </c>
      <c r="D4" s="53">
        <v>1</v>
      </c>
      <c r="E4" s="53"/>
      <c r="F4" s="53"/>
      <c r="G4" s="53"/>
      <c r="H4" s="53"/>
      <c r="I4" s="53">
        <v>8</v>
      </c>
    </row>
    <row r="5" spans="1:9" ht="19">
      <c r="A5" s="54" t="s">
        <v>101</v>
      </c>
      <c r="B5" s="53"/>
      <c r="C5" s="53">
        <v>8</v>
      </c>
      <c r="D5" s="53"/>
      <c r="E5" s="53"/>
      <c r="F5" s="53"/>
      <c r="G5" s="53"/>
      <c r="H5" s="53"/>
      <c r="I5" s="53">
        <v>8</v>
      </c>
    </row>
    <row r="6" spans="1:9" ht="19">
      <c r="A6" s="54" t="s">
        <v>103</v>
      </c>
      <c r="B6" s="53"/>
      <c r="C6" s="53">
        <v>8</v>
      </c>
      <c r="D6" s="53"/>
      <c r="E6" s="53"/>
      <c r="F6" s="53"/>
      <c r="G6" s="53"/>
      <c r="H6" s="53"/>
      <c r="I6" s="53">
        <v>8</v>
      </c>
    </row>
    <row r="7" spans="1:9" ht="19">
      <c r="A7" s="54" t="s">
        <v>104</v>
      </c>
      <c r="B7" s="53"/>
      <c r="C7" s="53">
        <v>8</v>
      </c>
      <c r="D7" s="53"/>
      <c r="E7" s="53"/>
      <c r="F7" s="53"/>
      <c r="G7" s="53"/>
      <c r="H7" s="53"/>
      <c r="I7" s="53">
        <v>8</v>
      </c>
    </row>
    <row r="8" spans="1:9" ht="19">
      <c r="A8" s="54" t="s">
        <v>92</v>
      </c>
      <c r="B8" s="53"/>
      <c r="C8" s="53">
        <v>8</v>
      </c>
      <c r="D8" s="53"/>
      <c r="E8" s="53"/>
      <c r="F8" s="53"/>
      <c r="G8" s="53"/>
      <c r="H8" s="53"/>
      <c r="I8" s="53">
        <v>8</v>
      </c>
    </row>
    <row r="9" spans="1:9" ht="19">
      <c r="A9" s="54" t="s">
        <v>94</v>
      </c>
      <c r="B9" s="53"/>
      <c r="C9" s="53">
        <v>8</v>
      </c>
      <c r="D9" s="53"/>
      <c r="E9" s="53"/>
      <c r="F9" s="53"/>
      <c r="G9" s="53"/>
      <c r="H9" s="53"/>
      <c r="I9" s="53">
        <v>8</v>
      </c>
    </row>
    <row r="10" spans="1:9" ht="19">
      <c r="A10" s="54" t="s">
        <v>95</v>
      </c>
      <c r="B10" s="53"/>
      <c r="C10" s="53">
        <v>8</v>
      </c>
      <c r="D10" s="53"/>
      <c r="E10" s="53"/>
      <c r="F10" s="53"/>
      <c r="G10" s="53"/>
      <c r="H10" s="53"/>
      <c r="I10" s="53">
        <v>8</v>
      </c>
    </row>
    <row r="11" spans="1:9" ht="19">
      <c r="A11" s="54" t="s">
        <v>96</v>
      </c>
      <c r="B11" s="53"/>
      <c r="C11" s="53">
        <v>8</v>
      </c>
      <c r="D11" s="53"/>
      <c r="E11" s="53"/>
      <c r="F11" s="53"/>
      <c r="G11" s="53"/>
      <c r="H11" s="53"/>
      <c r="I11" s="53">
        <v>8</v>
      </c>
    </row>
    <row r="12" spans="1:9" ht="19">
      <c r="A12" s="54" t="s">
        <v>97</v>
      </c>
      <c r="B12" s="53"/>
      <c r="C12" s="53">
        <v>8</v>
      </c>
      <c r="D12" s="53"/>
      <c r="E12" s="53"/>
      <c r="F12" s="53"/>
      <c r="G12" s="53"/>
      <c r="H12" s="53"/>
      <c r="I12" s="53">
        <v>8</v>
      </c>
    </row>
    <row r="13" spans="1:9" ht="19">
      <c r="A13" s="54" t="s">
        <v>98</v>
      </c>
      <c r="B13" s="53"/>
      <c r="C13" s="53">
        <v>8</v>
      </c>
      <c r="D13" s="53"/>
      <c r="E13" s="53"/>
      <c r="F13" s="53"/>
      <c r="G13" s="53"/>
      <c r="H13" s="53"/>
      <c r="I13" s="53">
        <v>8</v>
      </c>
    </row>
    <row r="14" spans="1:9" ht="19">
      <c r="A14" s="54" t="s">
        <v>99</v>
      </c>
      <c r="B14" s="53"/>
      <c r="C14" s="53">
        <v>8</v>
      </c>
      <c r="D14" s="53"/>
      <c r="E14" s="53"/>
      <c r="F14" s="53"/>
      <c r="G14" s="53"/>
      <c r="H14" s="53"/>
      <c r="I14" s="53">
        <v>8</v>
      </c>
    </row>
    <row r="15" spans="1:9" ht="19">
      <c r="A15" s="54" t="s">
        <v>100</v>
      </c>
      <c r="B15" s="53"/>
      <c r="C15" s="53">
        <v>8</v>
      </c>
      <c r="D15" s="53"/>
      <c r="E15" s="53"/>
      <c r="F15" s="53"/>
      <c r="G15" s="53"/>
      <c r="H15" s="53"/>
      <c r="I15" s="53">
        <v>8</v>
      </c>
    </row>
    <row r="16" spans="1:9" ht="19">
      <c r="A16" s="52" t="s">
        <v>88</v>
      </c>
      <c r="B16" s="53">
        <v>24</v>
      </c>
      <c r="C16" s="53"/>
      <c r="D16" s="53"/>
      <c r="E16" s="53"/>
      <c r="F16" s="53"/>
      <c r="G16" s="53"/>
      <c r="H16" s="53"/>
      <c r="I16" s="53">
        <v>24</v>
      </c>
    </row>
    <row r="17" spans="1:9" ht="19">
      <c r="A17" s="54" t="s">
        <v>85</v>
      </c>
      <c r="B17" s="53">
        <v>2</v>
      </c>
      <c r="C17" s="53"/>
      <c r="D17" s="53"/>
      <c r="E17" s="53"/>
      <c r="F17" s="53"/>
      <c r="G17" s="53"/>
      <c r="H17" s="53"/>
      <c r="I17" s="53">
        <v>2</v>
      </c>
    </row>
    <row r="18" spans="1:9" ht="19">
      <c r="A18" s="54" t="s">
        <v>101</v>
      </c>
      <c r="B18" s="53">
        <v>2</v>
      </c>
      <c r="C18" s="53"/>
      <c r="D18" s="53"/>
      <c r="E18" s="53"/>
      <c r="F18" s="53"/>
      <c r="G18" s="53"/>
      <c r="H18" s="53"/>
      <c r="I18" s="53">
        <v>2</v>
      </c>
    </row>
    <row r="19" spans="1:9" ht="19">
      <c r="A19" s="54" t="s">
        <v>103</v>
      </c>
      <c r="B19" s="53">
        <v>2</v>
      </c>
      <c r="C19" s="53"/>
      <c r="D19" s="53"/>
      <c r="E19" s="53"/>
      <c r="F19" s="53"/>
      <c r="G19" s="53"/>
      <c r="H19" s="53"/>
      <c r="I19" s="53">
        <v>2</v>
      </c>
    </row>
    <row r="20" spans="1:9" ht="19">
      <c r="A20" s="54" t="s">
        <v>104</v>
      </c>
      <c r="B20" s="53">
        <v>2</v>
      </c>
      <c r="C20" s="53"/>
      <c r="D20" s="53"/>
      <c r="E20" s="53"/>
      <c r="F20" s="53"/>
      <c r="G20" s="53"/>
      <c r="H20" s="53"/>
      <c r="I20" s="53">
        <v>2</v>
      </c>
    </row>
    <row r="21" spans="1:9" ht="19">
      <c r="A21" s="54" t="s">
        <v>92</v>
      </c>
      <c r="B21" s="53">
        <v>2</v>
      </c>
      <c r="C21" s="53"/>
      <c r="D21" s="53"/>
      <c r="E21" s="53"/>
      <c r="F21" s="53"/>
      <c r="G21" s="53"/>
      <c r="H21" s="53"/>
      <c r="I21" s="53">
        <v>2</v>
      </c>
    </row>
    <row r="22" spans="1:9" ht="19">
      <c r="A22" s="54" t="s">
        <v>94</v>
      </c>
      <c r="B22" s="53">
        <v>2</v>
      </c>
      <c r="C22" s="53"/>
      <c r="D22" s="53"/>
      <c r="E22" s="53"/>
      <c r="F22" s="53"/>
      <c r="G22" s="53"/>
      <c r="H22" s="53"/>
      <c r="I22" s="53">
        <v>2</v>
      </c>
    </row>
    <row r="23" spans="1:9" ht="19">
      <c r="A23" s="54" t="s">
        <v>95</v>
      </c>
      <c r="B23" s="53">
        <v>2</v>
      </c>
      <c r="C23" s="53"/>
      <c r="D23" s="53"/>
      <c r="E23" s="53"/>
      <c r="F23" s="53"/>
      <c r="G23" s="53"/>
      <c r="H23" s="53"/>
      <c r="I23" s="53">
        <v>2</v>
      </c>
    </row>
    <row r="24" spans="1:9" ht="19">
      <c r="A24" s="54" t="s">
        <v>96</v>
      </c>
      <c r="B24" s="53">
        <v>2</v>
      </c>
      <c r="C24" s="53"/>
      <c r="D24" s="53"/>
      <c r="E24" s="53"/>
      <c r="F24" s="53"/>
      <c r="G24" s="53"/>
      <c r="H24" s="53"/>
      <c r="I24" s="53">
        <v>2</v>
      </c>
    </row>
    <row r="25" spans="1:9" ht="19">
      <c r="A25" s="54" t="s">
        <v>97</v>
      </c>
      <c r="B25" s="53">
        <v>2</v>
      </c>
      <c r="C25" s="53"/>
      <c r="D25" s="53"/>
      <c r="E25" s="53"/>
      <c r="F25" s="53"/>
      <c r="G25" s="53"/>
      <c r="H25" s="53"/>
      <c r="I25" s="53">
        <v>2</v>
      </c>
    </row>
    <row r="26" spans="1:9" ht="19">
      <c r="A26" s="54" t="s">
        <v>98</v>
      </c>
      <c r="B26" s="53">
        <v>2</v>
      </c>
      <c r="C26" s="53"/>
      <c r="D26" s="53"/>
      <c r="E26" s="53"/>
      <c r="F26" s="53"/>
      <c r="G26" s="53"/>
      <c r="H26" s="53"/>
      <c r="I26" s="53">
        <v>2</v>
      </c>
    </row>
    <row r="27" spans="1:9" ht="19">
      <c r="A27" s="54" t="s">
        <v>99</v>
      </c>
      <c r="B27" s="53">
        <v>2</v>
      </c>
      <c r="C27" s="53"/>
      <c r="D27" s="53"/>
      <c r="E27" s="53"/>
      <c r="F27" s="53"/>
      <c r="G27" s="53"/>
      <c r="H27" s="53"/>
      <c r="I27" s="53">
        <v>2</v>
      </c>
    </row>
    <row r="28" spans="1:9" ht="19">
      <c r="A28" s="54" t="s">
        <v>100</v>
      </c>
      <c r="B28" s="53">
        <v>2</v>
      </c>
      <c r="C28" s="53"/>
      <c r="D28" s="53"/>
      <c r="E28" s="53"/>
      <c r="F28" s="53"/>
      <c r="G28" s="53"/>
      <c r="H28" s="53"/>
      <c r="I28" s="53">
        <v>2</v>
      </c>
    </row>
    <row r="29" spans="1:9" ht="19">
      <c r="A29" s="52" t="s">
        <v>15</v>
      </c>
      <c r="B29" s="53"/>
      <c r="C29" s="53"/>
      <c r="D29" s="53"/>
      <c r="E29" s="53">
        <v>2</v>
      </c>
      <c r="F29" s="53"/>
      <c r="G29" s="53"/>
      <c r="H29" s="53"/>
      <c r="I29" s="53">
        <v>2</v>
      </c>
    </row>
    <row r="30" spans="1:9" ht="19">
      <c r="A30" s="54" t="s">
        <v>12</v>
      </c>
      <c r="B30" s="53"/>
      <c r="C30" s="53"/>
      <c r="D30" s="53"/>
      <c r="E30" s="53">
        <v>2</v>
      </c>
      <c r="F30" s="53"/>
      <c r="G30" s="53"/>
      <c r="H30" s="53"/>
      <c r="I30" s="53">
        <v>2</v>
      </c>
    </row>
    <row r="31" spans="1:9" ht="19">
      <c r="A31" s="52" t="s">
        <v>23</v>
      </c>
      <c r="B31" s="53"/>
      <c r="C31" s="53"/>
      <c r="D31" s="53"/>
      <c r="E31" s="53"/>
      <c r="F31" s="53">
        <v>1</v>
      </c>
      <c r="G31" s="53">
        <v>14</v>
      </c>
      <c r="H31" s="53">
        <v>1</v>
      </c>
      <c r="I31" s="53">
        <v>16</v>
      </c>
    </row>
    <row r="32" spans="1:9" ht="19">
      <c r="A32" s="54" t="s">
        <v>69</v>
      </c>
      <c r="B32" s="53"/>
      <c r="C32" s="53"/>
      <c r="D32" s="53"/>
      <c r="E32" s="53"/>
      <c r="F32" s="53"/>
      <c r="G32" s="53">
        <v>8</v>
      </c>
      <c r="H32" s="53"/>
      <c r="I32" s="53">
        <v>8</v>
      </c>
    </row>
    <row r="33" spans="1:9" ht="19">
      <c r="A33" s="54" t="s">
        <v>72</v>
      </c>
      <c r="B33" s="53"/>
      <c r="C33" s="53"/>
      <c r="D33" s="53"/>
      <c r="E33" s="53"/>
      <c r="F33" s="53">
        <v>1</v>
      </c>
      <c r="G33" s="53">
        <v>6</v>
      </c>
      <c r="H33" s="53">
        <v>1</v>
      </c>
      <c r="I33" s="53">
        <v>8</v>
      </c>
    </row>
    <row r="34" spans="1:9" ht="19">
      <c r="A34" s="52" t="s">
        <v>106</v>
      </c>
      <c r="B34" s="53">
        <v>24</v>
      </c>
      <c r="C34" s="53">
        <v>95</v>
      </c>
      <c r="D34" s="53">
        <v>1</v>
      </c>
      <c r="E34" s="53">
        <v>2</v>
      </c>
      <c r="F34" s="53">
        <v>1</v>
      </c>
      <c r="G34" s="53">
        <v>14</v>
      </c>
      <c r="H34" s="53">
        <v>1</v>
      </c>
      <c r="I34" s="53">
        <v>138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0E0E-F23F-0341-8E18-96E1C487D1AA}">
  <dimension ref="D12:J17"/>
  <sheetViews>
    <sheetView workbookViewId="0">
      <selection activeCell="H12" sqref="H12"/>
    </sheetView>
  </sheetViews>
  <sheetFormatPr baseColWidth="10" defaultRowHeight="13"/>
  <cols>
    <col min="5" max="10" width="33.83203125" customWidth="1"/>
  </cols>
  <sheetData>
    <row r="12" spans="4:10" ht="28">
      <c r="E12" s="55">
        <v>1</v>
      </c>
      <c r="F12" s="56" t="s">
        <v>142</v>
      </c>
      <c r="G12" s="57" t="s">
        <v>143</v>
      </c>
      <c r="H12" s="58">
        <v>88</v>
      </c>
      <c r="I12" s="59">
        <v>384000</v>
      </c>
      <c r="J12" s="60">
        <f>SUM(I12*H12)</f>
        <v>33792000</v>
      </c>
    </row>
    <row r="13" spans="4:10" ht="28">
      <c r="E13" s="55">
        <v>2</v>
      </c>
      <c r="F13" s="56" t="s">
        <v>142</v>
      </c>
      <c r="G13" s="57" t="s">
        <v>144</v>
      </c>
      <c r="H13" s="58">
        <v>16</v>
      </c>
      <c r="I13" s="59">
        <v>300000</v>
      </c>
      <c r="J13" s="60">
        <f>SUM(I13*H13)</f>
        <v>4800000</v>
      </c>
    </row>
    <row r="16" spans="4:10">
      <c r="D16" s="55"/>
      <c r="E16" s="56"/>
      <c r="F16" s="57"/>
      <c r="G16" s="58"/>
      <c r="H16" s="59"/>
    </row>
    <row r="17" spans="4:8">
      <c r="D17" s="55"/>
      <c r="E17" s="56"/>
      <c r="F17" s="57"/>
      <c r="G17" s="58"/>
      <c r="H17" s="5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시트 1 (2)</vt:lpstr>
      <vt:lpstr>시트 1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현기</cp:lastModifiedBy>
  <dcterms:modified xsi:type="dcterms:W3CDTF">2024-06-04T08:25:38Z</dcterms:modified>
</cp:coreProperties>
</file>