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7E0C1F12-92BB-6549-863F-4FA038DB850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견적" sheetId="2" r:id="rId1"/>
  </sheets>
  <definedNames>
    <definedName name="_xlnm.Print_Area" localSheetId="0">견적!$A$1:$H$25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H18" i="2" l="1"/>
  <c r="H19" i="2"/>
  <c r="E22" i="2" l="1"/>
  <c r="H22" i="2"/>
  <c r="D14" i="2" l="1"/>
  <c r="D15" i="2"/>
</calcChain>
</file>

<file path=xl/sharedStrings.xml><?xml version="1.0" encoding="utf-8"?>
<sst xmlns="http://schemas.openxmlformats.org/spreadsheetml/2006/main" count="34" uniqueCount="34">
  <si>
    <t>NO</t>
  </si>
  <si>
    <t>견     적     서</t>
    <phoneticPr fontId="7" type="noConversion"/>
  </si>
  <si>
    <t>(주)씨젠</t>
    <phoneticPr fontId="9" type="noConversion"/>
  </si>
  <si>
    <t xml:space="preserve">  에프에이리눅스 주식회사    오  재  경</t>
    <phoneticPr fontId="9" type="noConversion"/>
  </si>
  <si>
    <t xml:space="preserve">  (16006)  경기도 의왕시 포일동 653</t>
    <phoneticPr fontId="9" type="noConversion"/>
  </si>
  <si>
    <t>T E L</t>
    <phoneticPr fontId="11" type="noConversion"/>
  </si>
  <si>
    <t xml:space="preserve">              인덕원IT밸리 B동 1001호</t>
    <phoneticPr fontId="9" type="noConversion"/>
  </si>
  <si>
    <t>F A X</t>
    <phoneticPr fontId="11" type="noConversion"/>
  </si>
  <si>
    <t xml:space="preserve">  TEL/FAX : 02-572-9527 / 070-7862-5155</t>
    <phoneticPr fontId="9" type="noConversion"/>
  </si>
  <si>
    <t>견적일자</t>
    <phoneticPr fontId="9" type="noConversion"/>
  </si>
  <si>
    <t xml:space="preserve">  담  당 : 박문식 이사</t>
    <phoneticPr fontId="9" type="noConversion"/>
  </si>
  <si>
    <t>견적번호</t>
    <phoneticPr fontId="9" type="noConversion"/>
  </si>
  <si>
    <t xml:space="preserve">  연락처 : 070-7862-5148/010-9429-7998</t>
    <phoneticPr fontId="9" type="noConversion"/>
  </si>
  <si>
    <t>유효기간</t>
    <phoneticPr fontId="9" type="noConversion"/>
  </si>
  <si>
    <t xml:space="preserve">  E-mail : boggle70@falinux.com</t>
    <phoneticPr fontId="9" type="noConversion"/>
  </si>
  <si>
    <t>견    적    명</t>
    <phoneticPr fontId="9" type="noConversion"/>
  </si>
  <si>
    <t>납           기</t>
    <phoneticPr fontId="9" type="noConversion"/>
  </si>
  <si>
    <t>합  계  금  액</t>
    <phoneticPr fontId="7" type="noConversion"/>
  </si>
  <si>
    <t>품         명</t>
    <phoneticPr fontId="7" type="noConversion"/>
  </si>
  <si>
    <t>규   격</t>
    <phoneticPr fontId="7" type="noConversion"/>
  </si>
  <si>
    <t>수 량</t>
    <phoneticPr fontId="7" type="noConversion"/>
  </si>
  <si>
    <t>단    가</t>
    <phoneticPr fontId="7" type="noConversion"/>
  </si>
  <si>
    <t>금    액</t>
    <phoneticPr fontId="7" type="noConversion"/>
  </si>
  <si>
    <t>합            계</t>
    <phoneticPr fontId="7" type="noConversion"/>
  </si>
  <si>
    <r>
      <rPr>
        <sz val="11"/>
        <rFont val="Calibri"/>
        <family val="2"/>
        <scheme val="minor"/>
      </rPr>
      <t>발주 후 최대 30일</t>
    </r>
    <phoneticPr fontId="3" type="noConversion"/>
  </si>
  <si>
    <t>받으실분</t>
    <phoneticPr fontId="9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</si>
  <si>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</si>
  <si>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t xml:space="preserve">  02-2195-6266 / 010-8682-1192</t>
    <phoneticPr fontId="3" type="noConversion"/>
  </si>
  <si>
    <r>
      <rPr>
        <sz val="11"/>
        <rFont val="Malgun Gothic"/>
        <family val="2"/>
      </rPr>
      <t>견적일로부터</t>
    </r>
    <r>
      <rPr>
        <sz val="11"/>
        <rFont val="Calibri"/>
        <family val="2"/>
        <scheme val="minor"/>
      </rPr>
      <t xml:space="preserve"> 30</t>
    </r>
    <r>
      <rPr>
        <sz val="11"/>
        <rFont val="Malgun Gothic"/>
        <family val="2"/>
      </rPr>
      <t>일</t>
    </r>
    <phoneticPr fontId="9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</si>
  <si>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하드디스크 교체</t>
    </r>
    <phoneticPr fontId="3" type="noConversion"/>
  </si>
  <si>
    <r>
      <t xml:space="preserve">DPONODES1~12 </t>
    </r>
    <r>
      <rPr>
        <sz val="10"/>
        <color theme="1"/>
        <rFont val="Malgun Gothic"/>
        <family val="2"/>
        <charset val="129"/>
      </rPr>
      <t>하드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algun Gothic"/>
        <family val="2"/>
        <charset val="129"/>
      </rPr>
      <t>디스크</t>
    </r>
    <r>
      <rPr>
        <sz val="10"/>
        <color theme="1"/>
        <rFont val="Calibri"/>
        <family val="2"/>
      </rPr>
      <t xml:space="preserve"> Seagate Exos 7E10 SAS/7200/256M (ST10000NM018B, 10TB) X 88</t>
    </r>
    <phoneticPr fontId="3" type="noConversion"/>
  </si>
  <si>
    <r>
      <t xml:space="preserve">DPODB1,2 </t>
    </r>
    <r>
      <rPr>
        <sz val="10"/>
        <color theme="1"/>
        <rFont val="Malgun Gothic"/>
        <family val="2"/>
        <charset val="129"/>
      </rPr>
      <t>하드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algun Gothic"/>
        <family val="2"/>
        <charset val="129"/>
      </rPr>
      <t>디스크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algun Gothic"/>
        <family val="2"/>
        <charset val="129"/>
      </rPr>
      <t>Seagate EXOS 7E10 SAS/7200/256M (ST8000NM018B, 8TB)</t>
    </r>
    <r>
      <rPr>
        <sz val="10"/>
        <color theme="1"/>
        <rFont val="Calibri"/>
        <family val="2"/>
      </rPr>
      <t xml:space="preserve"> X 16</t>
    </r>
    <phoneticPr fontId="3" type="noConversion"/>
  </si>
  <si>
    <t>PH1-240206011</t>
    <phoneticPr fontId="3" type="noConversion"/>
  </si>
  <si>
    <r>
      <rPr>
        <sz val="10"/>
        <rFont val="Malgun Gothic"/>
        <family val="2"/>
      </rPr>
      <t>분석자원 시스템 하드 디스크 교체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</si>
</sst>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</numFmts>
  <fonts count="25">
    <font>
      <sz val="11"/>
      <color theme="1"/>
      <name val="Arial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name val="Calibri"/>
      <family val="2"/>
      <scheme val="minor"/>
    </font>
    <font>
      <sz val="11"/>
      <name val="Malgun Gothic"/>
      <family val="2"/>
    </font>
    <font>
      <sz val="10"/>
      <name val="Malgun Gothic"/>
      <family val="2"/>
    </font>
    <font>
      <sz val="10"/>
      <color theme="1"/>
      <name val="Calibri"/>
      <family val="2"/>
    </font>
    <font>
      <sz val="10"/>
      <color theme="1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6" fillId="0" borderId="0"/>
    <xf numFmtId="0" fontId="18" fillId="0" borderId="0">
      <alignment vertical="center"/>
    </xf>
  </cellStyleXfs>
  <cellXfs count="106">
    <xf numFmtId="0" fontId="0" fillId="0" borderId="0" xfId="0"/>
    <xf numFmtId="0" fontId="5" fillId="0" borderId="0" xfId="1" applyFont="1">
      <alignment vertical="center"/>
    </xf>
    <xf numFmtId="0" fontId="8" fillId="0" borderId="8" xfId="1" applyFont="1" applyBorder="1" applyAlignment="1" applyProtection="1">
      <alignment horizontal="left" vertical="center"/>
      <protection locked="0"/>
    </xf>
    <xf numFmtId="0" fontId="15" fillId="0" borderId="9" xfId="1" applyFont="1" applyBorder="1" applyAlignment="1">
      <alignment horizontal="center" vertical="center"/>
    </xf>
    <xf numFmtId="0" fontId="15" fillId="0" borderId="9" xfId="1" applyFont="1" applyBorder="1" applyAlignment="1">
      <alignment horizontal="centerContinuous" vertical="center"/>
    </xf>
    <xf numFmtId="0" fontId="4" fillId="0" borderId="0" xfId="1">
      <alignment vertical="center"/>
    </xf>
    <xf numFmtId="177" fontId="5" fillId="0" borderId="0" xfId="1" applyNumberFormat="1" applyFont="1">
      <alignment vertical="center"/>
    </xf>
    <xf numFmtId="0" fontId="13" fillId="0" borderId="0" xfId="1" applyFont="1">
      <alignment vertical="center"/>
    </xf>
    <xf numFmtId="9" fontId="5" fillId="0" borderId="0" xfId="1" applyNumberFormat="1" applyFont="1">
      <alignment vertical="center"/>
    </xf>
    <xf numFmtId="0" fontId="18" fillId="0" borderId="0" xfId="5">
      <alignment vertical="center"/>
    </xf>
    <xf numFmtId="0" fontId="18" fillId="0" borderId="0" xfId="5" applyAlignment="1">
      <alignment horizontal="center" vertical="center"/>
    </xf>
    <xf numFmtId="177" fontId="18" fillId="0" borderId="0" xfId="5" applyNumberFormat="1">
      <alignment vertical="center"/>
    </xf>
    <xf numFmtId="3" fontId="18" fillId="0" borderId="0" xfId="5" applyNumberFormat="1">
      <alignment vertical="center"/>
    </xf>
    <xf numFmtId="0" fontId="5" fillId="0" borderId="14" xfId="1" applyFont="1" applyBorder="1">
      <alignment vertical="center"/>
    </xf>
    <xf numFmtId="0" fontId="18" fillId="0" borderId="14" xfId="5" applyBorder="1" applyAlignment="1">
      <alignment horizontal="center" vertical="center"/>
    </xf>
    <xf numFmtId="177" fontId="18" fillId="0" borderId="14" xfId="5" applyNumberFormat="1" applyBorder="1">
      <alignment vertical="center"/>
    </xf>
    <xf numFmtId="0" fontId="4" fillId="0" borderId="14" xfId="1" applyBorder="1">
      <alignment vertical="center"/>
    </xf>
    <xf numFmtId="0" fontId="13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77" fontId="13" fillId="0" borderId="0" xfId="3" applyNumberFormat="1" applyFont="1" applyFill="1" applyBorder="1" applyAlignment="1">
      <alignment vertical="center"/>
    </xf>
    <xf numFmtId="0" fontId="4" fillId="0" borderId="6" xfId="1" applyBorder="1">
      <alignment vertical="center"/>
    </xf>
    <xf numFmtId="177" fontId="13" fillId="4" borderId="9" xfId="3" applyNumberFormat="1" applyFont="1" applyFill="1" applyBorder="1" applyAlignment="1">
      <alignment vertical="center"/>
    </xf>
    <xf numFmtId="0" fontId="5" fillId="0" borderId="20" xfId="1" applyFont="1" applyBorder="1">
      <alignment vertical="center"/>
    </xf>
    <xf numFmtId="0" fontId="5" fillId="0" borderId="21" xfId="1" applyFont="1" applyBorder="1">
      <alignment vertical="center"/>
    </xf>
    <xf numFmtId="14" fontId="5" fillId="0" borderId="21" xfId="1" applyNumberFormat="1" applyFont="1" applyBorder="1">
      <alignment vertical="center"/>
    </xf>
    <xf numFmtId="0" fontId="5" fillId="0" borderId="22" xfId="1" applyFont="1" applyBorder="1">
      <alignment vertical="center"/>
    </xf>
    <xf numFmtId="0" fontId="6" fillId="0" borderId="23" xfId="1" applyFont="1" applyBorder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5" fillId="0" borderId="24" xfId="1" applyFont="1" applyBorder="1" applyAlignment="1">
      <alignment horizontal="centerContinuous" vertical="center"/>
    </xf>
    <xf numFmtId="0" fontId="7" fillId="0" borderId="23" xfId="1" applyFont="1" applyBorder="1" applyAlignment="1" applyProtection="1">
      <alignment horizontal="centerContinuous" vertical="center"/>
      <protection locked="0"/>
    </xf>
    <xf numFmtId="0" fontId="7" fillId="0" borderId="0" xfId="1" applyFont="1" applyAlignment="1" applyProtection="1">
      <alignment horizontal="centerContinuous" vertical="center"/>
      <protection locked="0"/>
    </xf>
    <xf numFmtId="0" fontId="7" fillId="0" borderId="0" xfId="1" applyFont="1" applyAlignment="1">
      <alignment horizontal="centerContinuous" vertical="center"/>
    </xf>
    <xf numFmtId="0" fontId="7" fillId="0" borderId="24" xfId="1" applyFont="1" applyBorder="1" applyAlignment="1">
      <alignment horizontal="centerContinuous" vertical="center"/>
    </xf>
    <xf numFmtId="0" fontId="8" fillId="0" borderId="19" xfId="1" applyFont="1" applyBorder="1" applyAlignment="1" applyProtection="1">
      <alignment horizontal="left" vertical="center"/>
      <protection locked="0"/>
    </xf>
    <xf numFmtId="0" fontId="8" fillId="0" borderId="0" xfId="1" applyFont="1">
      <alignment vertical="center"/>
    </xf>
    <xf numFmtId="0" fontId="8" fillId="0" borderId="24" xfId="1" applyFont="1" applyBorder="1">
      <alignment vertical="center"/>
    </xf>
    <xf numFmtId="0" fontId="15" fillId="0" borderId="26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177" fontId="13" fillId="4" borderId="25" xfId="3" applyNumberFormat="1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177" fontId="13" fillId="0" borderId="28" xfId="3" applyNumberFormat="1" applyFont="1" applyFill="1" applyBorder="1" applyAlignment="1">
      <alignment vertical="center"/>
    </xf>
    <xf numFmtId="177" fontId="13" fillId="0" borderId="27" xfId="3" applyNumberFormat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177" fontId="14" fillId="3" borderId="10" xfId="1" applyNumberFormat="1" applyFont="1" applyFill="1" applyBorder="1" applyAlignment="1">
      <alignment horizontal="left" vertical="center"/>
    </xf>
    <xf numFmtId="0" fontId="14" fillId="3" borderId="11" xfId="1" applyFont="1" applyFill="1" applyBorder="1" applyAlignment="1">
      <alignment horizontal="left" vertical="center"/>
    </xf>
    <xf numFmtId="0" fontId="14" fillId="3" borderId="18" xfId="1" applyFont="1" applyFill="1" applyBorder="1" applyAlignment="1">
      <alignment horizontal="left" vertical="center"/>
    </xf>
    <xf numFmtId="178" fontId="2" fillId="5" borderId="17" xfId="0" applyNumberFormat="1" applyFont="1" applyFill="1" applyBorder="1" applyAlignment="1">
      <alignment horizontal="center" vertical="center" wrapText="1"/>
    </xf>
    <xf numFmtId="178" fontId="2" fillId="5" borderId="2" xfId="0" applyNumberFormat="1" applyFont="1" applyFill="1" applyBorder="1" applyAlignment="1">
      <alignment horizontal="center" vertical="center" wrapText="1"/>
    </xf>
    <xf numFmtId="178" fontId="2" fillId="5" borderId="3" xfId="0" applyNumberFormat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  <xf numFmtId="0" fontId="20" fillId="0" borderId="9" xfId="1" applyFont="1" applyBorder="1" applyAlignment="1" applyProtection="1">
      <alignment horizontal="center" vertical="center"/>
      <protection locked="0"/>
    </xf>
    <xf numFmtId="0" fontId="8" fillId="2" borderId="26" xfId="1" applyFont="1" applyFill="1" applyBorder="1" applyAlignment="1" applyProtection="1">
      <alignment horizontal="center" vertical="center"/>
      <protection locked="0"/>
    </xf>
    <xf numFmtId="0" fontId="8" fillId="2" borderId="9" xfId="1" applyFont="1" applyFill="1" applyBorder="1" applyAlignment="1" applyProtection="1">
      <alignment horizontal="center" vertical="center"/>
      <protection locked="0"/>
    </xf>
    <xf numFmtId="0" fontId="17" fillId="0" borderId="17" xfId="1" quotePrefix="1" applyFont="1" applyBorder="1" applyAlignment="1">
      <alignment horizontal="left" vertical="center"/>
    </xf>
    <xf numFmtId="0" fontId="17" fillId="0" borderId="2" xfId="1" quotePrefix="1" applyFont="1" applyBorder="1" applyAlignment="1">
      <alignment horizontal="left" vertical="center"/>
    </xf>
    <xf numFmtId="0" fontId="17" fillId="0" borderId="34" xfId="1" quotePrefix="1" applyFont="1" applyBorder="1" applyAlignment="1">
      <alignment horizontal="left" vertical="center"/>
    </xf>
    <xf numFmtId="0" fontId="17" fillId="0" borderId="23" xfId="1" quotePrefix="1" applyFont="1" applyBorder="1" applyAlignment="1">
      <alignment horizontal="left" vertical="center"/>
    </xf>
    <xf numFmtId="0" fontId="17" fillId="0" borderId="0" xfId="1" quotePrefix="1" applyFont="1" applyAlignment="1">
      <alignment horizontal="left" vertical="center"/>
    </xf>
    <xf numFmtId="0" fontId="17" fillId="0" borderId="24" xfId="1" quotePrefix="1" applyFont="1" applyBorder="1" applyAlignment="1">
      <alignment horizontal="left" vertical="center"/>
    </xf>
    <xf numFmtId="0" fontId="17" fillId="0" borderId="32" xfId="1" applyFont="1" applyBorder="1">
      <alignment vertical="center"/>
    </xf>
    <xf numFmtId="0" fontId="17" fillId="0" borderId="14" xfId="1" applyFont="1" applyBorder="1">
      <alignment vertical="center"/>
    </xf>
    <xf numFmtId="0" fontId="17" fillId="0" borderId="33" xfId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left" vertical="center" wrapText="1"/>
    </xf>
    <xf numFmtId="178" fontId="23" fillId="0" borderId="11" xfId="0" applyNumberFormat="1" applyFont="1" applyBorder="1" applyAlignment="1">
      <alignment horizontal="left" vertical="center" wrapText="1"/>
    </xf>
    <xf numFmtId="178" fontId="23" fillId="0" borderId="12" xfId="0" applyNumberFormat="1" applyFont="1" applyBorder="1" applyAlignment="1">
      <alignment horizontal="left" vertical="center" wrapText="1"/>
    </xf>
    <xf numFmtId="0" fontId="15" fillId="4" borderId="30" xfId="1" applyFont="1" applyFill="1" applyBorder="1" applyAlignment="1">
      <alignment horizontal="center" vertical="center"/>
    </xf>
    <xf numFmtId="0" fontId="15" fillId="4" borderId="11" xfId="1" applyFont="1" applyFill="1" applyBorder="1" applyAlignment="1">
      <alignment horizontal="center" vertical="center"/>
    </xf>
    <xf numFmtId="0" fontId="15" fillId="4" borderId="12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177" fontId="13" fillId="0" borderId="15" xfId="3" applyNumberFormat="1" applyFont="1" applyFill="1" applyBorder="1" applyAlignment="1">
      <alignment horizontal="center" vertical="center"/>
    </xf>
    <xf numFmtId="177" fontId="13" fillId="0" borderId="16" xfId="3" applyNumberFormat="1" applyFont="1" applyFill="1" applyBorder="1" applyAlignment="1">
      <alignment horizontal="center" vertical="center"/>
    </xf>
    <xf numFmtId="177" fontId="13" fillId="0" borderId="27" xfId="3" applyNumberFormat="1" applyFont="1" applyFill="1" applyBorder="1" applyAlignment="1">
      <alignment horizontal="center" vertical="center"/>
    </xf>
    <xf numFmtId="177" fontId="13" fillId="0" borderId="31" xfId="3" applyNumberFormat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2" fillId="0" borderId="26" xfId="1" applyFont="1" applyBorder="1" applyAlignment="1" applyProtection="1">
      <alignment horizontal="center" vertical="center"/>
      <protection locked="0"/>
    </xf>
    <xf numFmtId="0" fontId="12" fillId="0" borderId="9" xfId="1" applyFont="1" applyBorder="1" applyAlignment="1" applyProtection="1">
      <alignment horizontal="center" vertical="center"/>
      <protection locked="0"/>
    </xf>
    <xf numFmtId="0" fontId="10" fillId="0" borderId="9" xfId="1" quotePrefix="1" applyFont="1" applyBorder="1" applyAlignment="1" applyProtection="1">
      <alignment horizontal="left" vertical="center" indent="1"/>
      <protection locked="0"/>
    </xf>
    <xf numFmtId="0" fontId="10" fillId="0" borderId="9" xfId="1" applyFont="1" applyBorder="1" applyAlignment="1" applyProtection="1">
      <alignment horizontal="left" vertical="center" indent="1"/>
      <protection locked="0"/>
    </xf>
    <xf numFmtId="0" fontId="10" fillId="0" borderId="25" xfId="1" applyFont="1" applyBorder="1" applyAlignment="1" applyProtection="1">
      <alignment horizontal="left" vertical="center" indent="1"/>
      <protection locked="0"/>
    </xf>
    <xf numFmtId="14" fontId="20" fillId="0" borderId="9" xfId="1" applyNumberFormat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left" vertical="center"/>
      <protection locked="0"/>
    </xf>
    <xf numFmtId="0" fontId="8" fillId="0" borderId="25" xfId="1" applyFont="1" applyBorder="1" applyAlignment="1" applyProtection="1">
      <alignment horizontal="left" vertical="center"/>
      <protection locked="0"/>
    </xf>
    <xf numFmtId="0" fontId="8" fillId="2" borderId="17" xfId="1" applyFont="1" applyFill="1" applyBorder="1" applyAlignment="1" applyProtection="1">
      <alignment horizontal="center" vertical="center"/>
      <protection locked="0"/>
    </xf>
    <xf numFmtId="0" fontId="8" fillId="2" borderId="3" xfId="1" applyFont="1" applyFill="1" applyBorder="1" applyAlignment="1" applyProtection="1">
      <alignment horizontal="center" vertical="center"/>
      <protection locked="0"/>
    </xf>
    <xf numFmtId="0" fontId="8" fillId="2" borderId="19" xfId="1" applyFont="1" applyFill="1" applyBorder="1" applyAlignment="1" applyProtection="1">
      <alignment horizontal="center" vertical="center"/>
      <protection locked="0"/>
    </xf>
    <xf numFmtId="0" fontId="8" fillId="2" borderId="13" xfId="1" applyFont="1" applyFill="1" applyBorder="1" applyAlignment="1" applyProtection="1">
      <alignment horizontal="center" vertical="center"/>
      <protection locked="0"/>
    </xf>
    <xf numFmtId="0" fontId="20" fillId="0" borderId="10" xfId="1" applyFont="1" applyBorder="1" applyAlignment="1" applyProtection="1">
      <alignment horizontal="center" vertical="center"/>
      <protection locked="0"/>
    </xf>
    <xf numFmtId="0" fontId="20" fillId="0" borderId="12" xfId="1" applyFont="1" applyBorder="1" applyAlignment="1" applyProtection="1">
      <alignment horizontal="center" vertical="center"/>
      <protection locked="0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19</xdr:row>
      <xdr:rowOff>14654</xdr:rowOff>
    </xdr:from>
    <xdr:to>
      <xdr:col>3</xdr:col>
      <xdr:colOff>2736673</xdr:colOff>
      <xdr:row>20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23</xdr:row>
      <xdr:rowOff>50823</xdr:rowOff>
    </xdr:from>
    <xdr:to>
      <xdr:col>7</xdr:col>
      <xdr:colOff>870191</xdr:colOff>
      <xdr:row>24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86410" y="28575"/>
          <a:ext cx="932658" cy="70240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49"/>
  <sheetViews>
    <sheetView tabSelected="1" zoomScale="150" zoomScaleNormal="150" zoomScaleSheetLayoutView="70" workbookViewId="0">
      <selection activeCell="G19" sqref="G19"/>
    </sheetView>
  </sheetViews>
  <sheetFormatPr baseColWidth="10" defaultColWidth="9" defaultRowHeight="14"/>
  <cols>
    <col min="1" max="1" width="3.5" style="1" customWidth="1"/>
    <col min="2" max="2" width="16.1640625" style="1" customWidth="1"/>
    <col min="3" max="3" width="16.6640625" style="1" customWidth="1"/>
    <col min="4" max="4" width="43.1640625" style="1" customWidth="1"/>
    <col min="5" max="5" width="2.6640625" style="1" customWidth="1"/>
    <col min="6" max="6" width="3.83203125" style="1" customWidth="1"/>
    <col min="7" max="7" width="13.5" style="1" customWidth="1"/>
    <col min="8" max="8" width="13.33203125" style="1" customWidth="1"/>
    <col min="9" max="9" width="14.1640625" style="5" customWidth="1"/>
    <col min="10" max="10" width="44.83203125" style="5" bestFit="1" customWidth="1"/>
    <col min="11" max="11" width="17.6640625" style="5" customWidth="1"/>
    <col min="12" max="12" width="16.1640625" style="5" customWidth="1"/>
    <col min="13" max="13" width="7" style="5" bestFit="1" customWidth="1"/>
    <col min="14" max="14" width="44.83203125" style="5" bestFit="1" customWidth="1"/>
    <col min="15" max="15" width="15.33203125" style="5" bestFit="1" customWidth="1"/>
    <col min="16" max="16384" width="9" style="5"/>
  </cols>
  <sheetData>
    <row r="1" spans="1:8" s="1" customFormat="1" ht="14" customHeight="1">
      <c r="A1" s="22"/>
      <c r="B1" s="23"/>
      <c r="C1" s="23"/>
      <c r="D1" s="24"/>
      <c r="E1" s="23"/>
      <c r="F1" s="23"/>
      <c r="G1" s="23"/>
      <c r="H1" s="25"/>
    </row>
    <row r="2" spans="1:8" s="1" customFormat="1" ht="30.75" customHeight="1">
      <c r="A2" s="26" t="s">
        <v>1</v>
      </c>
      <c r="B2" s="27"/>
      <c r="C2" s="27"/>
      <c r="D2" s="27"/>
      <c r="E2" s="27"/>
      <c r="F2" s="27"/>
      <c r="G2" s="27"/>
      <c r="H2" s="28"/>
    </row>
    <row r="3" spans="1:8" s="1" customFormat="1" ht="14" customHeight="1">
      <c r="A3" s="29"/>
      <c r="B3" s="30"/>
      <c r="C3" s="30"/>
      <c r="D3" s="30"/>
      <c r="E3" s="31"/>
      <c r="F3" s="31"/>
      <c r="G3" s="31"/>
      <c r="H3" s="32"/>
    </row>
    <row r="4" spans="1:8" s="1" customFormat="1" ht="20" customHeight="1">
      <c r="A4" s="100" t="s">
        <v>25</v>
      </c>
      <c r="B4" s="101"/>
      <c r="C4" s="56" t="s">
        <v>2</v>
      </c>
      <c r="D4" s="56"/>
      <c r="E4" s="54" t="s">
        <v>3</v>
      </c>
      <c r="F4" s="54"/>
      <c r="G4" s="54"/>
      <c r="H4" s="55"/>
    </row>
    <row r="5" spans="1:8" s="1" customFormat="1" ht="20" customHeight="1">
      <c r="A5" s="102"/>
      <c r="B5" s="103"/>
      <c r="C5" s="56" t="s">
        <v>26</v>
      </c>
      <c r="D5" s="56"/>
      <c r="E5" s="98" t="s">
        <v>4</v>
      </c>
      <c r="F5" s="98"/>
      <c r="G5" s="98"/>
      <c r="H5" s="99"/>
    </row>
    <row r="6" spans="1:8" s="1" customFormat="1" ht="20" customHeight="1">
      <c r="A6" s="57" t="s">
        <v>5</v>
      </c>
      <c r="B6" s="58"/>
      <c r="C6" s="56" t="s">
        <v>27</v>
      </c>
      <c r="D6" s="56"/>
      <c r="E6" s="54" t="s">
        <v>6</v>
      </c>
      <c r="F6" s="54"/>
      <c r="G6" s="54"/>
      <c r="H6" s="55"/>
    </row>
    <row r="7" spans="1:8" s="1" customFormat="1" ht="20" customHeight="1">
      <c r="A7" s="57" t="s">
        <v>7</v>
      </c>
      <c r="B7" s="58"/>
      <c r="C7" s="104"/>
      <c r="D7" s="105"/>
      <c r="E7" s="54" t="s">
        <v>8</v>
      </c>
      <c r="F7" s="54"/>
      <c r="G7" s="54"/>
      <c r="H7" s="55"/>
    </row>
    <row r="8" spans="1:8" s="1" customFormat="1" ht="20" customHeight="1">
      <c r="A8" s="57" t="s">
        <v>9</v>
      </c>
      <c r="B8" s="58"/>
      <c r="C8" s="97">
        <v>45328</v>
      </c>
      <c r="D8" s="56"/>
      <c r="E8" s="54" t="s">
        <v>10</v>
      </c>
      <c r="F8" s="54"/>
      <c r="G8" s="54"/>
      <c r="H8" s="55"/>
    </row>
    <row r="9" spans="1:8" s="1" customFormat="1" ht="20" customHeight="1">
      <c r="A9" s="57" t="s">
        <v>11</v>
      </c>
      <c r="B9" s="58"/>
      <c r="C9" s="56" t="s">
        <v>32</v>
      </c>
      <c r="D9" s="56"/>
      <c r="E9" s="54" t="s">
        <v>12</v>
      </c>
      <c r="F9" s="54"/>
      <c r="G9" s="54"/>
      <c r="H9" s="55"/>
    </row>
    <row r="10" spans="1:8" s="1" customFormat="1" ht="20" customHeight="1">
      <c r="A10" s="57" t="s">
        <v>13</v>
      </c>
      <c r="B10" s="58"/>
      <c r="C10" s="56" t="s">
        <v>28</v>
      </c>
      <c r="D10" s="56"/>
      <c r="E10" s="54" t="s">
        <v>14</v>
      </c>
      <c r="F10" s="54"/>
      <c r="G10" s="54"/>
      <c r="H10" s="55"/>
    </row>
    <row r="11" spans="1:8" s="1" customFormat="1" ht="5" customHeight="1">
      <c r="A11" s="33"/>
      <c r="B11" s="2"/>
      <c r="C11" s="2"/>
      <c r="D11" s="2"/>
      <c r="E11" s="18"/>
      <c r="F11" s="34"/>
      <c r="G11" s="34"/>
      <c r="H11" s="35"/>
    </row>
    <row r="12" spans="1:8" s="1" customFormat="1" ht="20" customHeight="1">
      <c r="A12" s="92" t="s">
        <v>15</v>
      </c>
      <c r="B12" s="93"/>
      <c r="C12" s="93"/>
      <c r="D12" s="94" t="s">
        <v>33</v>
      </c>
      <c r="E12" s="95"/>
      <c r="F12" s="95"/>
      <c r="G12" s="95"/>
      <c r="H12" s="96"/>
    </row>
    <row r="13" spans="1:8" s="1" customFormat="1" ht="20" customHeight="1">
      <c r="A13" s="92" t="s">
        <v>16</v>
      </c>
      <c r="B13" s="93"/>
      <c r="C13" s="93"/>
      <c r="D13" s="94" t="s">
        <v>24</v>
      </c>
      <c r="E13" s="95"/>
      <c r="F13" s="95"/>
      <c r="G13" s="95"/>
      <c r="H13" s="96"/>
    </row>
    <row r="14" spans="1:8" s="1" customFormat="1" ht="20" customHeight="1">
      <c r="A14" s="42" t="s">
        <v>17</v>
      </c>
      <c r="B14" s="43"/>
      <c r="C14" s="44"/>
      <c r="D14" s="48" t="str">
        <f>TEXT(H22,"일금 [DBNum4][$-412]G/표준원정(")&amp;TEXT(H22,"###,### - VAT별도 )")</f>
        <v>일금 삼천팔백오십구만이천원정(38,592,000 - VAT별도 )</v>
      </c>
      <c r="E14" s="49"/>
      <c r="F14" s="49"/>
      <c r="G14" s="49"/>
      <c r="H14" s="50"/>
    </row>
    <row r="15" spans="1:8" s="1" customFormat="1" ht="20" customHeight="1">
      <c r="A15" s="45"/>
      <c r="B15" s="46"/>
      <c r="C15" s="47"/>
      <c r="D15" s="48" t="str">
        <f>TEXT(H22+(H22/10),"일금 [DBNum4][$-412]G/표준원정(")&amp;TEXT(H22+(H22/10),"###,### - VAT포함 )")</f>
        <v>일금 사천이백사십오만일천이백원정(42,451,200 - VAT포함 )</v>
      </c>
      <c r="E15" s="49"/>
      <c r="F15" s="49"/>
      <c r="G15" s="49"/>
      <c r="H15" s="50"/>
    </row>
    <row r="16" spans="1:8" s="1" customFormat="1" ht="20" customHeight="1">
      <c r="A16" s="36" t="s">
        <v>0</v>
      </c>
      <c r="B16" s="4" t="s">
        <v>18</v>
      </c>
      <c r="C16" s="4"/>
      <c r="D16" s="3" t="s">
        <v>19</v>
      </c>
      <c r="E16" s="4" t="s">
        <v>20</v>
      </c>
      <c r="F16" s="4"/>
      <c r="G16" s="3" t="s">
        <v>21</v>
      </c>
      <c r="H16" s="37" t="s">
        <v>22</v>
      </c>
    </row>
    <row r="17" spans="1:16" s="1" customFormat="1" ht="16" customHeight="1">
      <c r="A17" s="51" t="s">
        <v>29</v>
      </c>
      <c r="B17" s="52"/>
      <c r="C17" s="52"/>
      <c r="D17" s="53"/>
      <c r="E17" s="68"/>
      <c r="F17" s="69"/>
      <c r="G17" s="41"/>
      <c r="H17" s="41"/>
    </row>
    <row r="18" spans="1:16" s="1" customFormat="1" ht="16" customHeight="1">
      <c r="A18" s="39">
        <v>1</v>
      </c>
      <c r="B18" s="72" t="s">
        <v>30</v>
      </c>
      <c r="C18" s="73"/>
      <c r="D18" s="74"/>
      <c r="E18" s="70">
        <v>88</v>
      </c>
      <c r="F18" s="71"/>
      <c r="G18" s="40">
        <v>384000</v>
      </c>
      <c r="H18" s="40">
        <f>G18*E18</f>
        <v>33792000</v>
      </c>
      <c r="M18" s="17"/>
      <c r="N18" s="18"/>
      <c r="O18" s="19"/>
      <c r="P18" s="19"/>
    </row>
    <row r="19" spans="1:16" s="1" customFormat="1" ht="16" customHeight="1">
      <c r="A19" s="39">
        <v>2</v>
      </c>
      <c r="B19" s="72" t="s">
        <v>31</v>
      </c>
      <c r="C19" s="73"/>
      <c r="D19" s="74"/>
      <c r="E19" s="70">
        <v>16</v>
      </c>
      <c r="F19" s="71"/>
      <c r="G19" s="40">
        <v>300000</v>
      </c>
      <c r="H19" s="40">
        <f>G19*E19</f>
        <v>4800000</v>
      </c>
      <c r="M19" s="17"/>
      <c r="N19" s="18"/>
      <c r="O19" s="19"/>
      <c r="P19" s="19"/>
    </row>
    <row r="20" spans="1:16" s="1" customFormat="1" ht="15" customHeight="1">
      <c r="A20" s="88"/>
      <c r="B20" s="89"/>
      <c r="C20" s="89"/>
      <c r="D20" s="79"/>
      <c r="E20" s="78"/>
      <c r="F20" s="79"/>
      <c r="G20" s="82"/>
      <c r="H20" s="84"/>
      <c r="J20" s="5"/>
    </row>
    <row r="21" spans="1:16" s="1" customFormat="1" ht="15" customHeight="1">
      <c r="A21" s="90"/>
      <c r="B21" s="91"/>
      <c r="C21" s="91"/>
      <c r="D21" s="81"/>
      <c r="E21" s="80"/>
      <c r="F21" s="81"/>
      <c r="G21" s="83"/>
      <c r="H21" s="85"/>
      <c r="J21" s="5"/>
    </row>
    <row r="22" spans="1:16" s="1" customFormat="1" ht="23.25" customHeight="1">
      <c r="A22" s="75" t="s">
        <v>23</v>
      </c>
      <c r="B22" s="76"/>
      <c r="C22" s="76"/>
      <c r="D22" s="77"/>
      <c r="E22" s="86">
        <f>SUM(E17:F21)</f>
        <v>104</v>
      </c>
      <c r="F22" s="87"/>
      <c r="G22" s="21"/>
      <c r="H22" s="38">
        <f>ROUND(SUM(H17:H21),0)</f>
        <v>38592000</v>
      </c>
    </row>
    <row r="23" spans="1:16" s="1" customFormat="1" ht="16.5" customHeight="1">
      <c r="A23" s="59"/>
      <c r="B23" s="60"/>
      <c r="C23" s="60"/>
      <c r="D23" s="60"/>
      <c r="E23" s="60"/>
      <c r="F23" s="60"/>
      <c r="G23" s="60"/>
      <c r="H23" s="61"/>
    </row>
    <row r="24" spans="1:16">
      <c r="A24" s="62"/>
      <c r="B24" s="63"/>
      <c r="C24" s="63"/>
      <c r="D24" s="63"/>
      <c r="E24" s="63"/>
      <c r="F24" s="63"/>
      <c r="G24" s="63"/>
      <c r="H24" s="64"/>
      <c r="J24" s="20"/>
    </row>
    <row r="25" spans="1:16" ht="15" thickBot="1">
      <c r="A25" s="65"/>
      <c r="B25" s="66"/>
      <c r="C25" s="66"/>
      <c r="D25" s="66"/>
      <c r="E25" s="66"/>
      <c r="F25" s="66"/>
      <c r="G25" s="66"/>
      <c r="H25" s="67"/>
    </row>
    <row r="26" spans="1:16" ht="15">
      <c r="A26" s="7"/>
    </row>
    <row r="27" spans="1:16" ht="15">
      <c r="A27" s="7"/>
    </row>
    <row r="29" spans="1:16">
      <c r="E29" s="8"/>
    </row>
    <row r="30" spans="1:16">
      <c r="E30" s="8"/>
    </row>
    <row r="31" spans="1:16">
      <c r="E31" s="8"/>
    </row>
    <row r="32" spans="1:16">
      <c r="E32" s="8"/>
    </row>
    <row r="33" spans="1:10">
      <c r="E33" s="8"/>
    </row>
    <row r="34" spans="1:10">
      <c r="E34" s="8"/>
    </row>
    <row r="35" spans="1:10" ht="15">
      <c r="E35" s="8"/>
      <c r="H35" s="9"/>
    </row>
    <row r="36" spans="1:10" ht="15">
      <c r="E36" s="10"/>
      <c r="F36" s="10"/>
      <c r="H36" s="11"/>
    </row>
    <row r="37" spans="1:10" ht="15">
      <c r="C37" s="9"/>
      <c r="D37" s="12"/>
      <c r="E37" s="10"/>
      <c r="F37" s="10"/>
      <c r="H37" s="11"/>
    </row>
    <row r="38" spans="1:10" ht="15">
      <c r="C38" s="9"/>
      <c r="D38" s="12"/>
      <c r="E38" s="10"/>
      <c r="F38" s="10"/>
      <c r="H38" s="11"/>
    </row>
    <row r="39" spans="1:10" ht="15">
      <c r="C39" s="9"/>
      <c r="D39" s="12"/>
      <c r="E39" s="10"/>
      <c r="F39" s="10"/>
      <c r="H39" s="11"/>
    </row>
    <row r="40" spans="1:10" s="16" customFormat="1" ht="16" thickBot="1">
      <c r="A40" s="13"/>
      <c r="B40" s="13"/>
      <c r="C40" s="13"/>
      <c r="D40" s="13"/>
      <c r="E40" s="14"/>
      <c r="F40" s="14"/>
      <c r="G40" s="13"/>
      <c r="H40" s="15"/>
    </row>
    <row r="41" spans="1:10" ht="15">
      <c r="E41" s="10"/>
      <c r="F41" s="10"/>
      <c r="H41" s="11"/>
    </row>
    <row r="42" spans="1:10" ht="15">
      <c r="D42" s="8"/>
      <c r="E42" s="9"/>
      <c r="F42" s="9"/>
      <c r="H42" s="6"/>
    </row>
    <row r="43" spans="1:10" ht="15">
      <c r="E43" s="9"/>
      <c r="F43" s="9"/>
      <c r="H43" s="6"/>
    </row>
    <row r="44" spans="1:10">
      <c r="E44" s="8"/>
    </row>
    <row r="45" spans="1:10">
      <c r="E45" s="8"/>
    </row>
    <row r="46" spans="1:10">
      <c r="E46" s="8"/>
    </row>
    <row r="47" spans="1:10" s="1" customFormat="1">
      <c r="E47" s="8"/>
      <c r="I47" s="5"/>
      <c r="J47" s="5"/>
    </row>
    <row r="48" spans="1:10" s="1" customFormat="1">
      <c r="E48" s="8"/>
      <c r="I48" s="5"/>
      <c r="J48" s="5"/>
    </row>
    <row r="49" spans="5:10" s="1" customFormat="1">
      <c r="E49" s="8"/>
      <c r="I49" s="5"/>
      <c r="J49" s="5"/>
    </row>
  </sheetData>
  <mergeCells count="42">
    <mergeCell ref="E4:H4"/>
    <mergeCell ref="E5:H5"/>
    <mergeCell ref="E6:H6"/>
    <mergeCell ref="E7:H7"/>
    <mergeCell ref="A4:B5"/>
    <mergeCell ref="C5:D5"/>
    <mergeCell ref="C6:D6"/>
    <mergeCell ref="C7:D7"/>
    <mergeCell ref="C4:D4"/>
    <mergeCell ref="A8:B8"/>
    <mergeCell ref="E8:H8"/>
    <mergeCell ref="C8:D8"/>
    <mergeCell ref="A6:B6"/>
    <mergeCell ref="A7:B7"/>
    <mergeCell ref="A23:H23"/>
    <mergeCell ref="A24:H24"/>
    <mergeCell ref="A25:H25"/>
    <mergeCell ref="E17:F17"/>
    <mergeCell ref="E18:F18"/>
    <mergeCell ref="B19:D19"/>
    <mergeCell ref="E19:F19"/>
    <mergeCell ref="A22:D22"/>
    <mergeCell ref="E20:F21"/>
    <mergeCell ref="G20:G21"/>
    <mergeCell ref="H20:H21"/>
    <mergeCell ref="E22:F22"/>
    <mergeCell ref="B18:D18"/>
    <mergeCell ref="A20:D21"/>
    <mergeCell ref="A14:C15"/>
    <mergeCell ref="D14:H14"/>
    <mergeCell ref="D15:H15"/>
    <mergeCell ref="A17:D17"/>
    <mergeCell ref="E9:H9"/>
    <mergeCell ref="E10:H10"/>
    <mergeCell ref="C9:D9"/>
    <mergeCell ref="C10:D10"/>
    <mergeCell ref="A9:B9"/>
    <mergeCell ref="A10:B10"/>
    <mergeCell ref="A12:C12"/>
    <mergeCell ref="D12:H12"/>
    <mergeCell ref="A13:C13"/>
    <mergeCell ref="D13:H13"/>
  </mergeCells>
  <phoneticPr fontId="3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2023-04-04T06:34:45Z</cp:lastPrinted>
  <dcterms:created xsi:type="dcterms:W3CDTF">2016-06-28T02:01:49Z</dcterms:created>
  <dcterms:modified xsi:type="dcterms:W3CDTF">2024-02-06T05:24:47Z</dcterms:modified>
</cp:coreProperties>
</file>