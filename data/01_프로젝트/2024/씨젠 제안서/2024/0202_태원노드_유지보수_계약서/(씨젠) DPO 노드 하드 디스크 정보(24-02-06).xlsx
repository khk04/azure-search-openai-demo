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khk/Library/CloudStorage/OneDrive-젝사젠주식회사/씨젠 제안서/2024/0202_태원노드_유지보수_계약서/"/>
    </mc:Choice>
  </mc:AlternateContent>
  <xr:revisionPtr revIDLastSave="0" documentId="13_ncr:1_{EB740C59-1BB9-E744-8EB9-3439D482233F}" xr6:coauthVersionLast="47" xr6:coauthVersionMax="47" xr10:uidLastSave="{00000000-0000-0000-0000-000000000000}"/>
  <bookViews>
    <workbookView xWindow="38400" yWindow="500" windowWidth="38400" windowHeight="21100" xr2:uid="{00000000-000D-0000-FFFF-FFFF00000000}"/>
  </bookViews>
  <sheets>
    <sheet name="시트 1" sheetId="7" r:id="rId1"/>
    <sheet name="Sheet1" sheetId="9" r:id="rId2"/>
    <sheet name="Sheet3" sheetId="11" r:id="rId3"/>
  </sheets>
  <calcPr calcId="191029"/>
  <pivotCaches>
    <pivotCache cacheId="2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7" l="1"/>
  <c r="L4" i="7"/>
  <c r="L5" i="7"/>
  <c r="L8" i="7"/>
  <c r="L3" i="7"/>
  <c r="L9" i="7"/>
  <c r="L6" i="7"/>
  <c r="L2" i="7"/>
  <c r="L13" i="7"/>
  <c r="L14" i="7"/>
  <c r="L16" i="7"/>
  <c r="L17" i="7"/>
  <c r="L15" i="7"/>
  <c r="L12" i="7"/>
  <c r="L11" i="7"/>
  <c r="L10" i="7"/>
  <c r="L19" i="7"/>
  <c r="L18" i="7"/>
  <c r="L28" i="7"/>
  <c r="L25" i="7"/>
  <c r="L29" i="7"/>
  <c r="L27" i="7"/>
  <c r="L24" i="7"/>
  <c r="L23" i="7"/>
  <c r="L26" i="7"/>
  <c r="L22" i="7"/>
  <c r="L21" i="7"/>
  <c r="L20" i="7"/>
  <c r="L34" i="7"/>
  <c r="L33" i="7"/>
  <c r="L37" i="7"/>
  <c r="L36" i="7"/>
  <c r="L35" i="7"/>
  <c r="L38" i="7"/>
  <c r="L39" i="7"/>
  <c r="L32" i="7"/>
  <c r="L30" i="7"/>
  <c r="L31" i="7"/>
  <c r="L44" i="7"/>
  <c r="L46" i="7"/>
  <c r="L42" i="7"/>
  <c r="L47" i="7"/>
  <c r="L48" i="7"/>
  <c r="L49" i="7"/>
  <c r="L45" i="7"/>
  <c r="L43" i="7"/>
  <c r="L41" i="7"/>
  <c r="L40" i="7"/>
  <c r="L50" i="7"/>
  <c r="L54" i="7"/>
  <c r="L57" i="7"/>
  <c r="L51" i="7"/>
  <c r="L55" i="7"/>
  <c r="L56" i="7"/>
  <c r="L53" i="7"/>
  <c r="L52" i="7"/>
  <c r="L58" i="7"/>
  <c r="L59" i="7"/>
  <c r="L66" i="7"/>
  <c r="L65" i="7"/>
  <c r="L60" i="7"/>
  <c r="L63" i="7"/>
  <c r="L64" i="7"/>
  <c r="L67" i="7"/>
  <c r="L62" i="7"/>
  <c r="L61" i="7"/>
  <c r="L68" i="7"/>
  <c r="L69" i="7"/>
  <c r="L77" i="7"/>
  <c r="L76" i="7"/>
  <c r="L71" i="7"/>
  <c r="L73" i="7"/>
  <c r="L75" i="7"/>
  <c r="L70" i="7"/>
  <c r="L72" i="7"/>
  <c r="L74" i="7"/>
  <c r="L78" i="7"/>
  <c r="L79" i="7"/>
  <c r="L84" i="7"/>
  <c r="L87" i="7"/>
  <c r="L83" i="7"/>
  <c r="L80" i="7"/>
  <c r="L85" i="7"/>
  <c r="L81" i="7"/>
  <c r="L86" i="7"/>
  <c r="L82" i="7"/>
  <c r="L88" i="7"/>
  <c r="L89" i="7"/>
  <c r="L91" i="7"/>
  <c r="L94" i="7"/>
  <c r="L96" i="7"/>
  <c r="L97" i="7"/>
  <c r="L90" i="7"/>
  <c r="L93" i="7"/>
  <c r="L95" i="7"/>
  <c r="L92" i="7"/>
  <c r="L98" i="7"/>
  <c r="L99" i="7"/>
  <c r="L105" i="7"/>
  <c r="L107" i="7"/>
  <c r="L101" i="7"/>
  <c r="L103" i="7"/>
  <c r="L106" i="7"/>
  <c r="L102" i="7"/>
  <c r="L100" i="7"/>
  <c r="L104" i="7"/>
  <c r="L108" i="7"/>
  <c r="L109" i="7"/>
  <c r="L116" i="7"/>
  <c r="L111" i="7"/>
  <c r="L115" i="7"/>
  <c r="L114" i="7"/>
  <c r="L117" i="7"/>
  <c r="L112" i="7"/>
  <c r="L113" i="7"/>
  <c r="L110" i="7"/>
  <c r="L118" i="7"/>
  <c r="L119" i="7"/>
  <c r="L124" i="7"/>
  <c r="L127" i="7"/>
  <c r="L121" i="7"/>
  <c r="L125" i="7"/>
  <c r="L126" i="7"/>
  <c r="L123" i="7"/>
  <c r="L122" i="7"/>
  <c r="L120" i="7"/>
  <c r="L128" i="7"/>
  <c r="L129" i="7"/>
  <c r="L132" i="7"/>
  <c r="L133" i="7"/>
  <c r="L137" i="7"/>
  <c r="L135" i="7"/>
  <c r="L136" i="7"/>
  <c r="L131" i="7"/>
  <c r="L134" i="7"/>
  <c r="L130" i="7"/>
  <c r="L138" i="7"/>
  <c r="L139" i="7"/>
  <c r="N2" i="7"/>
  <c r="N7" i="7"/>
  <c r="N4" i="7"/>
  <c r="N5" i="7"/>
  <c r="N8" i="7"/>
  <c r="N3" i="7"/>
  <c r="N9" i="7"/>
  <c r="N6" i="7"/>
  <c r="N12" i="7"/>
  <c r="N13" i="7"/>
  <c r="N14" i="7"/>
  <c r="N16" i="7"/>
  <c r="N17" i="7"/>
  <c r="N15" i="7"/>
  <c r="N11" i="7"/>
  <c r="N10" i="7"/>
  <c r="N19" i="7"/>
  <c r="N18" i="7"/>
  <c r="N22" i="7"/>
  <c r="N21" i="7"/>
  <c r="N28" i="7"/>
  <c r="N25" i="7"/>
  <c r="N29" i="7"/>
  <c r="N27" i="7"/>
  <c r="N24" i="7"/>
  <c r="N23" i="7"/>
  <c r="N26" i="7"/>
  <c r="N20" i="7"/>
  <c r="N30" i="7"/>
  <c r="N31" i="7"/>
  <c r="N34" i="7"/>
  <c r="N33" i="7"/>
  <c r="N37" i="7"/>
  <c r="N36" i="7"/>
  <c r="N35" i="7"/>
  <c r="N38" i="7"/>
  <c r="N39" i="7"/>
  <c r="N32" i="7"/>
  <c r="N41" i="7"/>
  <c r="N40" i="7"/>
  <c r="N44" i="7"/>
  <c r="N46" i="7"/>
  <c r="N42" i="7"/>
  <c r="N47" i="7"/>
  <c r="N48" i="7"/>
  <c r="N49" i="7"/>
  <c r="N45" i="7"/>
  <c r="N43" i="7"/>
  <c r="N58" i="7"/>
  <c r="N59" i="7"/>
  <c r="N50" i="7"/>
  <c r="N54" i="7"/>
  <c r="N57" i="7"/>
  <c r="N51" i="7"/>
  <c r="N55" i="7"/>
  <c r="N56" i="7"/>
  <c r="N53" i="7"/>
  <c r="N52" i="7"/>
  <c r="N68" i="7"/>
  <c r="N69" i="7"/>
  <c r="N66" i="7"/>
  <c r="N65" i="7"/>
  <c r="N60" i="7"/>
  <c r="N63" i="7"/>
  <c r="N64" i="7"/>
  <c r="N67" i="7"/>
  <c r="N62" i="7"/>
  <c r="N61" i="7"/>
  <c r="N78" i="7"/>
  <c r="N79" i="7"/>
  <c r="N77" i="7"/>
  <c r="N76" i="7"/>
  <c r="N71" i="7"/>
  <c r="N73" i="7"/>
  <c r="N75" i="7"/>
  <c r="N70" i="7"/>
  <c r="N72" i="7"/>
  <c r="N74" i="7"/>
  <c r="N88" i="7"/>
  <c r="N89" i="7"/>
  <c r="N84" i="7"/>
  <c r="N87" i="7"/>
  <c r="N83" i="7"/>
  <c r="N80" i="7"/>
  <c r="N85" i="7"/>
  <c r="N81" i="7"/>
  <c r="N86" i="7"/>
  <c r="N82" i="7"/>
  <c r="N98" i="7"/>
  <c r="N99" i="7"/>
  <c r="N91" i="7"/>
  <c r="N94" i="7"/>
  <c r="N96" i="7"/>
  <c r="N97" i="7"/>
  <c r="N90" i="7"/>
  <c r="N93" i="7"/>
  <c r="N95" i="7"/>
  <c r="N92" i="7"/>
  <c r="N108" i="7"/>
  <c r="N109" i="7"/>
  <c r="N105" i="7"/>
  <c r="N107" i="7"/>
  <c r="N101" i="7"/>
  <c r="N103" i="7"/>
  <c r="N106" i="7"/>
  <c r="N102" i="7"/>
  <c r="N100" i="7"/>
  <c r="N104" i="7"/>
  <c r="N118" i="7"/>
  <c r="N119" i="7"/>
  <c r="N116" i="7"/>
  <c r="N111" i="7"/>
  <c r="N115" i="7"/>
  <c r="N114" i="7"/>
  <c r="N110" i="7"/>
  <c r="N117" i="7"/>
  <c r="N112" i="7"/>
  <c r="N113" i="7"/>
  <c r="N128" i="7"/>
  <c r="N129" i="7"/>
  <c r="N124" i="7"/>
  <c r="N127" i="7"/>
  <c r="N121" i="7"/>
  <c r="N125" i="7"/>
  <c r="N126" i="7"/>
  <c r="N123" i="7"/>
  <c r="N122" i="7"/>
  <c r="N120" i="7"/>
  <c r="N138" i="7"/>
  <c r="N139" i="7"/>
  <c r="N132" i="7"/>
  <c r="N133" i="7"/>
  <c r="N137" i="7"/>
  <c r="N135" i="7"/>
  <c r="N136" i="7"/>
  <c r="N130" i="7"/>
  <c r="N131" i="7"/>
  <c r="N134" i="7"/>
  <c r="M134" i="7" l="1"/>
  <c r="M131" i="7"/>
  <c r="M130" i="7"/>
  <c r="M136" i="7"/>
  <c r="M135" i="7"/>
  <c r="M137" i="7"/>
  <c r="M133" i="7"/>
  <c r="M132" i="7"/>
  <c r="M139" i="7"/>
  <c r="M138" i="7"/>
  <c r="M120" i="7"/>
  <c r="M122" i="7"/>
  <c r="M123" i="7"/>
  <c r="M126" i="7"/>
  <c r="M125" i="7"/>
  <c r="M121" i="7"/>
  <c r="M127" i="7"/>
  <c r="M124" i="7"/>
  <c r="M129" i="7"/>
  <c r="M128" i="7"/>
  <c r="M113" i="7"/>
  <c r="M112" i="7"/>
  <c r="M117" i="7"/>
  <c r="M110" i="7"/>
  <c r="M114" i="7"/>
  <c r="M115" i="7"/>
  <c r="M111" i="7"/>
  <c r="M116" i="7"/>
  <c r="M119" i="7"/>
  <c r="M118" i="7"/>
  <c r="M104" i="7"/>
  <c r="M100" i="7"/>
  <c r="M102" i="7"/>
  <c r="M106" i="7"/>
  <c r="M103" i="7"/>
  <c r="M101" i="7"/>
  <c r="M107" i="7"/>
  <c r="M105" i="7"/>
  <c r="M109" i="7"/>
  <c r="M108" i="7"/>
  <c r="M92" i="7"/>
  <c r="M95" i="7"/>
  <c r="M93" i="7"/>
  <c r="M90" i="7"/>
  <c r="M97" i="7"/>
  <c r="M96" i="7"/>
  <c r="M94" i="7"/>
  <c r="M91" i="7"/>
  <c r="M99" i="7"/>
  <c r="M98" i="7"/>
  <c r="M82" i="7"/>
  <c r="M86" i="7"/>
  <c r="M81" i="7"/>
  <c r="M85" i="7"/>
  <c r="M80" i="7"/>
  <c r="M83" i="7"/>
  <c r="M87" i="7"/>
  <c r="M84" i="7"/>
  <c r="M89" i="7"/>
  <c r="M88" i="7"/>
  <c r="M74" i="7"/>
  <c r="M72" i="7"/>
  <c r="M70" i="7"/>
  <c r="M75" i="7"/>
  <c r="M73" i="7"/>
  <c r="M71" i="7"/>
  <c r="M76" i="7"/>
  <c r="M77" i="7"/>
  <c r="M79" i="7"/>
  <c r="M78" i="7"/>
  <c r="M61" i="7"/>
  <c r="M62" i="7"/>
  <c r="M67" i="7"/>
  <c r="M64" i="7"/>
  <c r="M63" i="7"/>
  <c r="M60" i="7"/>
  <c r="M65" i="7"/>
  <c r="M66" i="7"/>
  <c r="M69" i="7"/>
  <c r="M68" i="7"/>
  <c r="M52" i="7"/>
  <c r="M53" i="7"/>
  <c r="M56" i="7"/>
  <c r="M55" i="7"/>
  <c r="M51" i="7"/>
  <c r="M57" i="7"/>
  <c r="M54" i="7"/>
  <c r="M50" i="7"/>
  <c r="M59" i="7"/>
  <c r="M58" i="7"/>
  <c r="M43" i="7"/>
  <c r="M45" i="7"/>
  <c r="M49" i="7"/>
  <c r="M48" i="7"/>
  <c r="M47" i="7"/>
  <c r="M42" i="7"/>
  <c r="M46" i="7"/>
  <c r="M44" i="7"/>
  <c r="M40" i="7"/>
  <c r="M41" i="7"/>
  <c r="M32" i="7"/>
  <c r="M39" i="7"/>
  <c r="M38" i="7"/>
  <c r="M35" i="7"/>
  <c r="M36" i="7"/>
  <c r="M37" i="7"/>
  <c r="M33" i="7"/>
  <c r="M34" i="7"/>
  <c r="M31" i="7"/>
  <c r="M30" i="7"/>
  <c r="M20" i="7"/>
  <c r="M26" i="7"/>
  <c r="M23" i="7"/>
  <c r="M24" i="7"/>
  <c r="M27" i="7"/>
  <c r="M29" i="7"/>
  <c r="M25" i="7"/>
  <c r="M28" i="7"/>
  <c r="M21" i="7"/>
  <c r="M22" i="7"/>
  <c r="M18" i="7"/>
  <c r="M19" i="7"/>
  <c r="M10" i="7"/>
  <c r="M11" i="7"/>
  <c r="M15" i="7"/>
  <c r="M17" i="7"/>
  <c r="M16" i="7"/>
  <c r="M14" i="7"/>
  <c r="M13" i="7"/>
  <c r="M12" i="7"/>
  <c r="M6" i="7"/>
  <c r="M9" i="7"/>
  <c r="M3" i="7"/>
  <c r="M8" i="7"/>
  <c r="M5" i="7"/>
  <c r="M4" i="7"/>
  <c r="M7" i="7"/>
  <c r="M2" i="7"/>
</calcChain>
</file>

<file path=xl/sharedStrings.xml><?xml version="1.0" encoding="utf-8"?>
<sst xmlns="http://schemas.openxmlformats.org/spreadsheetml/2006/main" count="1113" uniqueCount="79">
  <si>
    <t>hostname:</t>
  </si>
  <si>
    <t>smartctl param:</t>
  </si>
  <si>
    <t>Vendor:</t>
  </si>
  <si>
    <t>Product:</t>
  </si>
  <si>
    <t>User Capacity:</t>
  </si>
  <si>
    <t>Rotation Rate:</t>
  </si>
  <si>
    <t>Form Factor:</t>
  </si>
  <si>
    <t>Transport protocol:</t>
  </si>
  <si>
    <t>Specified load-unload count over device lifetime:</t>
  </si>
  <si>
    <t>number of hours powered up :</t>
  </si>
  <si>
    <t>dpom</t>
  </si>
  <si>
    <t>/dev/bus/0 -d megaraid,8</t>
  </si>
  <si>
    <t>ST4000NM0035-1V4107</t>
  </si>
  <si>
    <t>4,000,787,030,016 bytes [4.00 TB]</t>
  </si>
  <si>
    <t>7200 rpm</t>
  </si>
  <si>
    <t>3.5 inches</t>
  </si>
  <si>
    <t>/dev/bus/0 -d megaraid,9</t>
  </si>
  <si>
    <t>/dev/bus/0 -d megaraid,11</t>
  </si>
  <si>
    <t>SEAGATE</t>
  </si>
  <si>
    <t>8,001,563,222,016 bytes [8.00 TB]</t>
  </si>
  <si>
    <t>SAS (SPL-3)</t>
  </si>
  <si>
    <t>/dev/bus/0 -d megaraid,12</t>
  </si>
  <si>
    <t>/dev/bus/0 -d megaraid,13</t>
  </si>
  <si>
    <t>/dev/bus/0 -d megaraid,14</t>
  </si>
  <si>
    <t>/dev/bus/0 -d megaraid,15</t>
  </si>
  <si>
    <t>ST8000NM018B</t>
  </si>
  <si>
    <t>dpodb1</t>
  </si>
  <si>
    <t>ST8000NM0156</t>
  </si>
  <si>
    <t>/dev/bus/0 -d megaraid,10</t>
  </si>
  <si>
    <t>dpodb2</t>
  </si>
  <si>
    <t>/dev/bus/0 -d megaraid,1</t>
  </si>
  <si>
    <t>/dev/bus/0 -d megaraid,2</t>
  </si>
  <si>
    <t>/dev/bus/0 -d megaraid,3</t>
  </si>
  <si>
    <t>/dev/bus/0 -d megaraid,4</t>
  </si>
  <si>
    <t>/dev/bus/0 -d megaraid,6</t>
  </si>
  <si>
    <t>/dev/bus/0 -d megaraid,7</t>
  </si>
  <si>
    <t>ST8000NM001A</t>
  </si>
  <si>
    <t>10,000,831,348,736 bytes [10.0 TB]</t>
  </si>
  <si>
    <t>dponode1</t>
  </si>
  <si>
    <t>ST10000NM0096</t>
  </si>
  <si>
    <t>INTEL SSDSC2KB240G7</t>
  </si>
  <si>
    <t>240,057,409,536 bytes [240 GB]</t>
  </si>
  <si>
    <t>Solid State Device</t>
  </si>
  <si>
    <t>2.5 inches</t>
  </si>
  <si>
    <t>ST10000NM018B</t>
  </si>
  <si>
    <t>dponode2</t>
  </si>
  <si>
    <t>/dev/bus/0 -d megaraid,5</t>
  </si>
  <si>
    <t>dponode3</t>
  </si>
  <si>
    <t>dponode4</t>
  </si>
  <si>
    <t>dponode5</t>
  </si>
  <si>
    <t>dponode6</t>
  </si>
  <si>
    <t>dponode7</t>
  </si>
  <si>
    <t>dponode8</t>
  </si>
  <si>
    <t>dponode9</t>
  </si>
  <si>
    <t>dponode10</t>
  </si>
  <si>
    <t>/dev/bus/0 -d megaraid,0</t>
  </si>
  <si>
    <t>dponode11</t>
  </si>
  <si>
    <t>dponode12</t>
  </si>
  <si>
    <t>행 레이블</t>
  </si>
  <si>
    <t>총합계</t>
  </si>
  <si>
    <t>열 레이블</t>
  </si>
  <si>
    <t>개수 : User Capacity:</t>
  </si>
  <si>
    <t>사용량</t>
    <phoneticPr fontId="2" type="noConversion"/>
  </si>
  <si>
    <t>점검</t>
    <phoneticPr fontId="2" type="noConversion"/>
  </si>
  <si>
    <t>연한</t>
    <phoneticPr fontId="2" type="noConversion"/>
  </si>
  <si>
    <t>약 0.2년</t>
  </si>
  <si>
    <t>약 1.4년</t>
  </si>
  <si>
    <t>약 3.8년</t>
  </si>
  <si>
    <t>약 5.5년</t>
  </si>
  <si>
    <t>약 5.6년</t>
  </si>
  <si>
    <t>약 5.8년</t>
  </si>
  <si>
    <t>약 5.9년</t>
  </si>
  <si>
    <t>약 6년</t>
  </si>
  <si>
    <t>개수 : 연한</t>
  </si>
  <si>
    <t>교체</t>
  </si>
  <si>
    <t>긴급 교체</t>
  </si>
  <si>
    <t>양호</t>
  </si>
  <si>
    <t>/dev/bus/0 -d megaraid,8</t>
    <phoneticPr fontId="2" type="noConversion"/>
  </si>
  <si>
    <t>Accumulated load-unload cycles: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</si>
</sst>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  <font>
      <sz val="10"/>
      <color indexed="8"/>
      <name val="Helvetica Neue"/>
      <family val="2"/>
    </font>
    <font>
      <sz val="12"/>
      <color indexed="8"/>
      <name val="Helvetica Neue"/>
      <family val="2"/>
    </font>
    <font>
      <b/>
      <sz val="11"/>
      <color indexed="8"/>
      <name val="맑은 고딕"/>
      <family val="2"/>
      <charset val="129"/>
    </font>
    <font>
      <sz val="11"/>
      <color indexed="8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3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9" fontId="0" fillId="0" borderId="0" xfId="1" applyFont="1" applyAlignment="1">
      <alignment vertical="top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pivotButton="1" applyFont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2"/>
    </xf>
    <xf numFmtId="49" fontId="1" fillId="2" borderId="2" xfId="0" applyNumberFormat="1" applyFont="1" applyFill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9" fontId="1" fillId="4" borderId="3" xfId="1" applyFont="1" applyFill="1" applyBorder="1" applyAlignment="1">
      <alignment vertical="top"/>
    </xf>
    <xf numFmtId="49" fontId="1" fillId="4" borderId="3" xfId="0" applyNumberFormat="1" applyFont="1" applyFill="1" applyBorder="1" applyAlignment="1">
      <alignment vertical="top"/>
    </xf>
    <xf numFmtId="0" fontId="4" fillId="0" borderId="1" xfId="0" pivotButton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9" fontId="6" fillId="0" borderId="1" xfId="1" applyFont="1" applyBorder="1" applyAlignment="1">
      <alignment vertical="center"/>
    </xf>
    <xf numFmtId="0" fontId="6" fillId="0" borderId="1" xfId="0" applyFont="1" applyBorder="1" applyAlignment="1">
      <alignment vertical="center"/>
    </xf>
  </cellXfs>
  <cellStyles count="2">
    <cellStyle name="백분율" xfId="1" builtinId="5"/>
    <cellStyle name="표준" xfId="0" builtinId="0"/>
  </cellStyles>
  <dxfs count="89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13" formatCode="0%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맑은 고딕"/>
        <charset val="129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28.678637962963" createdVersion="8" refreshedVersion="8" minRefreshableVersion="3" recordCount="138" xr:uid="{84F29E0A-BED2-6A43-A8F8-1658E410340F}">
  <cacheSource type="worksheet">
    <worksheetSource name="표1_3"/>
  </cacheSource>
  <cacheFields count="14">
    <cacheField name="hostname:" numFmtId="49">
      <sharedItems count="15">
        <s v="dponode1"/>
        <s v="dponode11"/>
        <s v="dponode3"/>
        <s v="dponode5"/>
        <s v="dponode7"/>
        <s v="dponode8"/>
        <s v="dponode9"/>
        <s v="dpodb1"/>
        <s v="dponode10"/>
        <s v="dponode12"/>
        <s v="dponode2"/>
        <s v="dponode4"/>
        <s v="dponode6"/>
        <s v="dpodb2"/>
        <s v="dpom"/>
      </sharedItems>
    </cacheField>
    <cacheField name="smartctl param:" numFmtId="49">
      <sharedItems/>
    </cacheField>
    <cacheField name="Vendor:" numFmtId="0">
      <sharedItems containsBlank="1"/>
    </cacheField>
    <cacheField name="Product:" numFmtId="49">
      <sharedItems count="7">
        <s v="ST10000NM0096"/>
        <s v="ST8000NM0156"/>
        <s v="ST8000NM001A"/>
        <s v="ST8000NM018B"/>
        <s v="ST4000NM0035-1V4107"/>
        <s v="INTEL SSDSC2KB240G7"/>
        <s v="ST10000NM018B"/>
      </sharedItems>
    </cacheField>
    <cacheField name="User Capacity:" numFmtId="49">
      <sharedItems count="4">
        <s v="10,000,831,348,736 bytes [10.0 TB]"/>
        <s v="8,001,563,222,016 bytes [8.00 TB]"/>
        <s v="4,000,787,030,016 bytes [4.00 TB]"/>
        <s v="240,057,409,536 bytes [240 GB]"/>
      </sharedItems>
    </cacheField>
    <cacheField name="Rotation Rate:" numFmtId="49">
      <sharedItems count="2">
        <s v="7200 rpm"/>
        <s v="Solid State Device"/>
      </sharedItems>
    </cacheField>
    <cacheField name="Form Factor:" numFmtId="49">
      <sharedItems/>
    </cacheField>
    <cacheField name="Transport protocol:" numFmtId="0">
      <sharedItems containsBlank="1"/>
    </cacheField>
    <cacheField name="Specified load-unload count over device lifetime:" numFmtId="0">
      <sharedItems containsString="0" containsBlank="1" containsNumber="1" containsInteger="1" minValue="300000" maxValue="600000"/>
    </cacheField>
    <cacheField name="Accumulated load-unload cycles:" numFmtId="0">
      <sharedItems containsString="0" containsBlank="1" containsNumber="1" containsInteger="1" minValue="11304" maxValue="578157"/>
    </cacheField>
    <cacheField name="number of hours powered up :" numFmtId="0">
      <sharedItems containsString="0" containsBlank="1" containsNumber="1" minValue="1831.2" maxValue="52159.53"/>
    </cacheField>
    <cacheField name="사용량" numFmtId="9">
      <sharedItems containsMixedTypes="1" containsNumber="1" minValue="1.8839999999999999E-2" maxValue="1.92719"/>
    </cacheField>
    <cacheField name="점검" numFmtId="0">
      <sharedItems count="4">
        <s v="긴급 교체"/>
        <s v="양호"/>
        <s v="교체"/>
        <e v="#DIV/0!"/>
      </sharedItems>
    </cacheField>
    <cacheField name="연한" numFmtId="0">
      <sharedItems count="9">
        <s v="약 6년"/>
        <s v="약 5.9년"/>
        <s v="약 5.8년"/>
        <s v="약 5.6년"/>
        <s v="약 5.5년"/>
        <s v="약 3.8년"/>
        <s v="약 1.4년"/>
        <s v="약 0년"/>
        <s v="약 0.2년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s v="/dev/bus/0 -d megaraid,10"/>
    <s v="SEAGATE"/>
    <x v="0"/>
    <x v="0"/>
    <x v="0"/>
    <s v="3.5 inches"/>
    <s v="SAS (SPL-3)"/>
    <n v="300000"/>
    <n v="527641"/>
    <n v="52123.08"/>
    <n v="1.7588033333333333"/>
    <x v="0"/>
    <x v="0"/>
  </r>
  <r>
    <x v="0"/>
    <s v="/dev/bus/0 -d megaraid,4"/>
    <s v="SEAGATE"/>
    <x v="0"/>
    <x v="0"/>
    <x v="0"/>
    <s v="3.5 inches"/>
    <s v="SAS (SPL-3)"/>
    <n v="300000"/>
    <n v="523483"/>
    <n v="52122.77"/>
    <n v="1.7449433333333333"/>
    <x v="0"/>
    <x v="0"/>
  </r>
  <r>
    <x v="0"/>
    <s v="/dev/bus/0 -d megaraid,2"/>
    <s v="SEAGATE"/>
    <x v="0"/>
    <x v="0"/>
    <x v="0"/>
    <s v="3.5 inches"/>
    <s v="SAS (SPL-3)"/>
    <n v="300000"/>
    <n v="521087"/>
    <n v="52123.199999999997"/>
    <n v="1.7369566666666667"/>
    <x v="0"/>
    <x v="0"/>
  </r>
  <r>
    <x v="0"/>
    <s v="/dev/bus/0 -d megaraid,8"/>
    <s v="SEAGATE"/>
    <x v="0"/>
    <x v="0"/>
    <x v="0"/>
    <s v="3.5 inches"/>
    <s v="SAS (SPL-3)"/>
    <n v="300000"/>
    <n v="517785"/>
    <n v="52123"/>
    <n v="1.7259500000000001"/>
    <x v="0"/>
    <x v="0"/>
  </r>
  <r>
    <x v="0"/>
    <s v="/dev/bus/0 -d megaraid,1"/>
    <s v="SEAGATE"/>
    <x v="0"/>
    <x v="0"/>
    <x v="0"/>
    <s v="3.5 inches"/>
    <s v="SAS (SPL-3)"/>
    <n v="300000"/>
    <n v="516635"/>
    <n v="52122.67"/>
    <n v="1.7221166666666667"/>
    <x v="0"/>
    <x v="0"/>
  </r>
  <r>
    <x v="0"/>
    <s v="/dev/bus/0 -d megaraid,9"/>
    <s v="SEAGATE"/>
    <x v="0"/>
    <x v="0"/>
    <x v="0"/>
    <s v="3.5 inches"/>
    <s v="SAS (SPL-3)"/>
    <n v="300000"/>
    <n v="514738"/>
    <n v="52122.65"/>
    <n v="1.7157933333333333"/>
    <x v="0"/>
    <x v="0"/>
  </r>
  <r>
    <x v="0"/>
    <s v="/dev/bus/0 -d megaraid,3"/>
    <s v="SEAGATE"/>
    <x v="0"/>
    <x v="0"/>
    <x v="0"/>
    <s v="3.5 inches"/>
    <s v="SAS (SPL-3)"/>
    <n v="300000"/>
    <n v="514214"/>
    <n v="52122.97"/>
    <n v="1.7140466666666667"/>
    <x v="0"/>
    <x v="0"/>
  </r>
  <r>
    <x v="1"/>
    <s v="/dev/bus/0 -d megaraid,8"/>
    <s v="SEAGATE"/>
    <x v="0"/>
    <x v="0"/>
    <x v="0"/>
    <s v="3.5 inches"/>
    <s v="SAS (SPL-3)"/>
    <n v="300000"/>
    <n v="322471"/>
    <n v="52159.28"/>
    <n v="1.0749033333333333"/>
    <x v="0"/>
    <x v="0"/>
  </r>
  <r>
    <x v="1"/>
    <s v="/dev/bus/0 -d megaraid,4"/>
    <s v="SEAGATE"/>
    <x v="0"/>
    <x v="0"/>
    <x v="0"/>
    <s v="3.5 inches"/>
    <s v="SAS (SPL-3)"/>
    <n v="300000"/>
    <n v="313978"/>
    <n v="52159.42"/>
    <n v="1.0465933333333333"/>
    <x v="0"/>
    <x v="0"/>
  </r>
  <r>
    <x v="1"/>
    <s v="/dev/bus/0 -d megaraid,3"/>
    <s v="SEAGATE"/>
    <x v="0"/>
    <x v="0"/>
    <x v="0"/>
    <s v="3.5 inches"/>
    <s v="SAS (SPL-3)"/>
    <n v="300000"/>
    <n v="307459"/>
    <n v="52159.18"/>
    <n v="1.0248633333333332"/>
    <x v="0"/>
    <x v="0"/>
  </r>
  <r>
    <x v="1"/>
    <s v="/dev/bus/0 -d megaraid,9"/>
    <s v="SEAGATE"/>
    <x v="0"/>
    <x v="0"/>
    <x v="0"/>
    <s v="3.5 inches"/>
    <s v="SAS (SPL-3)"/>
    <n v="300000"/>
    <n v="305222"/>
    <n v="52159.43"/>
    <n v="1.0174066666666666"/>
    <x v="0"/>
    <x v="0"/>
  </r>
  <r>
    <x v="1"/>
    <s v="/dev/bus/0 -d megaraid,5"/>
    <s v="SEAGATE"/>
    <x v="0"/>
    <x v="0"/>
    <x v="0"/>
    <s v="3.5 inches"/>
    <s v="SAS (SPL-3)"/>
    <n v="300000"/>
    <n v="292025"/>
    <n v="52159.53"/>
    <n v="0.97341666666666671"/>
    <x v="0"/>
    <x v="0"/>
  </r>
  <r>
    <x v="1"/>
    <s v="/dev/bus/0 -d megaraid,6"/>
    <s v="SEAGATE"/>
    <x v="0"/>
    <x v="0"/>
    <x v="0"/>
    <s v="3.5 inches"/>
    <s v="SAS (SPL-3)"/>
    <n v="300000"/>
    <n v="265293"/>
    <n v="52159.53"/>
    <n v="0.88431000000000004"/>
    <x v="0"/>
    <x v="0"/>
  </r>
  <r>
    <x v="1"/>
    <s v="/dev/bus/0 -d megaraid,7"/>
    <s v="SEAGATE"/>
    <x v="0"/>
    <x v="0"/>
    <x v="0"/>
    <s v="3.5 inches"/>
    <s v="SAS (SPL-3)"/>
    <n v="300000"/>
    <n v="263945"/>
    <n v="52159.37"/>
    <n v="0.87981666666666669"/>
    <x v="0"/>
    <x v="0"/>
  </r>
  <r>
    <x v="1"/>
    <s v="/dev/bus/0 -d megaraid,10"/>
    <s v="SEAGATE"/>
    <x v="0"/>
    <x v="0"/>
    <x v="0"/>
    <s v="3.5 inches"/>
    <s v="SAS (SPL-3)"/>
    <n v="300000"/>
    <n v="248315"/>
    <n v="52159.25"/>
    <n v="0.82771666666666666"/>
    <x v="0"/>
    <x v="0"/>
  </r>
  <r>
    <x v="2"/>
    <s v="/dev/bus/0 -d megaraid,4"/>
    <s v="SEAGATE"/>
    <x v="0"/>
    <x v="0"/>
    <x v="0"/>
    <s v="3.5 inches"/>
    <s v="SAS (SPL-3)"/>
    <n v="300000"/>
    <n v="548723"/>
    <n v="52123.02"/>
    <n v="1.8290766666666667"/>
    <x v="0"/>
    <x v="0"/>
  </r>
  <r>
    <x v="2"/>
    <s v="/dev/bus/0 -d megaraid,6"/>
    <s v="SEAGATE"/>
    <x v="0"/>
    <x v="0"/>
    <x v="0"/>
    <s v="3.5 inches"/>
    <s v="SAS (SPL-3)"/>
    <n v="300000"/>
    <n v="548425"/>
    <n v="52122.95"/>
    <n v="1.8280833333333333"/>
    <x v="0"/>
    <x v="0"/>
  </r>
  <r>
    <x v="2"/>
    <s v="/dev/bus/0 -d megaraid,3"/>
    <s v="SEAGATE"/>
    <x v="0"/>
    <x v="0"/>
    <x v="0"/>
    <s v="3.5 inches"/>
    <s v="SAS (SPL-3)"/>
    <n v="300000"/>
    <n v="548262"/>
    <n v="52122.68"/>
    <n v="1.8275399999999999"/>
    <x v="0"/>
    <x v="0"/>
  </r>
  <r>
    <x v="2"/>
    <s v="/dev/bus/0 -d megaraid,8"/>
    <s v="SEAGATE"/>
    <x v="0"/>
    <x v="0"/>
    <x v="0"/>
    <s v="3.5 inches"/>
    <s v="SAS (SPL-3)"/>
    <n v="300000"/>
    <n v="546581"/>
    <n v="52122.82"/>
    <n v="1.8219366666666668"/>
    <x v="0"/>
    <x v="0"/>
  </r>
  <r>
    <x v="2"/>
    <s v="/dev/bus/0 -d megaraid,5"/>
    <s v="SEAGATE"/>
    <x v="0"/>
    <x v="0"/>
    <x v="0"/>
    <s v="3.5 inches"/>
    <s v="SAS (SPL-3)"/>
    <n v="300000"/>
    <n v="544236"/>
    <n v="52122.9"/>
    <n v="1.81412"/>
    <x v="0"/>
    <x v="0"/>
  </r>
  <r>
    <x v="2"/>
    <s v="/dev/bus/0 -d megaraid,9"/>
    <s v="SEAGATE"/>
    <x v="0"/>
    <x v="0"/>
    <x v="0"/>
    <s v="3.5 inches"/>
    <s v="SAS (SPL-3)"/>
    <n v="300000"/>
    <n v="544224"/>
    <n v="52122.47"/>
    <n v="1.8140799999999999"/>
    <x v="0"/>
    <x v="0"/>
  </r>
  <r>
    <x v="2"/>
    <s v="/dev/bus/0 -d megaraid,7"/>
    <s v="SEAGATE"/>
    <x v="0"/>
    <x v="0"/>
    <x v="0"/>
    <s v="3.5 inches"/>
    <s v="SAS (SPL-3)"/>
    <n v="300000"/>
    <n v="543641"/>
    <n v="52122.8"/>
    <n v="1.8121366666666667"/>
    <x v="0"/>
    <x v="0"/>
  </r>
  <r>
    <x v="2"/>
    <s v="/dev/bus/0 -d megaraid,10"/>
    <s v="SEAGATE"/>
    <x v="0"/>
    <x v="0"/>
    <x v="0"/>
    <s v="3.5 inches"/>
    <s v="SAS (SPL-3)"/>
    <n v="300000"/>
    <n v="540394"/>
    <n v="52122.87"/>
    <n v="1.8013133333333333"/>
    <x v="0"/>
    <x v="0"/>
  </r>
  <r>
    <x v="3"/>
    <s v="/dev/bus/0 -d megaraid,8"/>
    <s v="SEAGATE"/>
    <x v="0"/>
    <x v="0"/>
    <x v="0"/>
    <s v="3.5 inches"/>
    <s v="SAS (SPL-3)"/>
    <n v="300000"/>
    <n v="551827"/>
    <n v="52122.58"/>
    <n v="1.8394233333333334"/>
    <x v="0"/>
    <x v="0"/>
  </r>
  <r>
    <x v="3"/>
    <s v="/dev/bus/0 -d megaraid,10"/>
    <s v="SEAGATE"/>
    <x v="0"/>
    <x v="0"/>
    <x v="0"/>
    <s v="3.5 inches"/>
    <s v="SAS (SPL-3)"/>
    <n v="300000"/>
    <n v="550553"/>
    <n v="52122.720000000001"/>
    <n v="1.8351766666666667"/>
    <x v="0"/>
    <x v="0"/>
  </r>
  <r>
    <x v="3"/>
    <s v="/dev/bus/0 -d megaraid,7"/>
    <s v="SEAGATE"/>
    <x v="0"/>
    <x v="0"/>
    <x v="0"/>
    <s v="3.5 inches"/>
    <s v="SAS (SPL-3)"/>
    <n v="300000"/>
    <n v="550030"/>
    <n v="52122.95"/>
    <n v="1.8334333333333332"/>
    <x v="0"/>
    <x v="0"/>
  </r>
  <r>
    <x v="3"/>
    <s v="/dev/bus/0 -d megaraid,2"/>
    <s v="SEAGATE"/>
    <x v="0"/>
    <x v="0"/>
    <x v="0"/>
    <s v="3.5 inches"/>
    <s v="SAS (SPL-3)"/>
    <n v="300000"/>
    <n v="548274"/>
    <n v="52123.4"/>
    <n v="1.82758"/>
    <x v="0"/>
    <x v="0"/>
  </r>
  <r>
    <x v="3"/>
    <s v="/dev/bus/0 -d megaraid,6"/>
    <s v="SEAGATE"/>
    <x v="0"/>
    <x v="0"/>
    <x v="0"/>
    <s v="3.5 inches"/>
    <s v="SAS (SPL-3)"/>
    <n v="300000"/>
    <n v="546451"/>
    <n v="52122.43"/>
    <n v="1.8215033333333333"/>
    <x v="0"/>
    <x v="0"/>
  </r>
  <r>
    <x v="3"/>
    <s v="/dev/bus/0 -d megaraid,9"/>
    <s v="SEAGATE"/>
    <x v="0"/>
    <x v="0"/>
    <x v="0"/>
    <s v="3.5 inches"/>
    <s v="SAS (SPL-3)"/>
    <n v="300000"/>
    <n v="545753"/>
    <n v="52122.67"/>
    <n v="1.8191766666666667"/>
    <x v="0"/>
    <x v="0"/>
  </r>
  <r>
    <x v="3"/>
    <s v="/dev/bus/0 -d megaraid,5"/>
    <s v="SEAGATE"/>
    <x v="0"/>
    <x v="0"/>
    <x v="0"/>
    <s v="3.5 inches"/>
    <s v="SAS (SPL-3)"/>
    <n v="300000"/>
    <n v="543619"/>
    <n v="52122.720000000001"/>
    <n v="1.8120633333333334"/>
    <x v="0"/>
    <x v="0"/>
  </r>
  <r>
    <x v="3"/>
    <s v="/dev/bus/0 -d megaraid,1"/>
    <s v="SEAGATE"/>
    <x v="0"/>
    <x v="0"/>
    <x v="0"/>
    <s v="3.5 inches"/>
    <s v="SAS (SPL-3)"/>
    <n v="300000"/>
    <n v="542498"/>
    <n v="52122.62"/>
    <n v="1.8083266666666666"/>
    <x v="0"/>
    <x v="0"/>
  </r>
  <r>
    <x v="4"/>
    <s v="/dev/bus/0 -d megaraid,10"/>
    <s v="SEAGATE"/>
    <x v="0"/>
    <x v="0"/>
    <x v="0"/>
    <s v="3.5 inches"/>
    <s v="SAS (SPL-3)"/>
    <n v="300000"/>
    <n v="577897"/>
    <n v="52123.57"/>
    <n v="1.9263233333333334"/>
    <x v="0"/>
    <x v="0"/>
  </r>
  <r>
    <x v="4"/>
    <s v="/dev/bus/0 -d megaraid,6"/>
    <s v="SEAGATE"/>
    <x v="0"/>
    <x v="0"/>
    <x v="0"/>
    <s v="3.5 inches"/>
    <s v="SAS (SPL-3)"/>
    <n v="300000"/>
    <n v="576878"/>
    <n v="52122.63"/>
    <n v="1.9229266666666667"/>
    <x v="0"/>
    <x v="0"/>
  </r>
  <r>
    <x v="4"/>
    <s v="/dev/bus/0 -d megaraid,7"/>
    <s v="SEAGATE"/>
    <x v="0"/>
    <x v="0"/>
    <x v="0"/>
    <s v="3.5 inches"/>
    <s v="SAS (SPL-3)"/>
    <n v="300000"/>
    <n v="573403"/>
    <n v="52123.07"/>
    <n v="1.9113433333333334"/>
    <x v="0"/>
    <x v="0"/>
  </r>
  <r>
    <x v="4"/>
    <s v="/dev/bus/0 -d megaraid,5"/>
    <s v="SEAGATE"/>
    <x v="0"/>
    <x v="0"/>
    <x v="0"/>
    <s v="3.5 inches"/>
    <s v="SAS (SPL-3)"/>
    <n v="300000"/>
    <n v="571331"/>
    <n v="52122.9"/>
    <n v="1.9044366666666668"/>
    <x v="0"/>
    <x v="0"/>
  </r>
  <r>
    <x v="4"/>
    <s v="/dev/bus/0 -d megaraid,3"/>
    <s v="SEAGATE"/>
    <x v="0"/>
    <x v="0"/>
    <x v="0"/>
    <s v="3.5 inches"/>
    <s v="SAS (SPL-3)"/>
    <n v="300000"/>
    <n v="569176"/>
    <n v="52125.03"/>
    <n v="1.8972533333333332"/>
    <x v="0"/>
    <x v="0"/>
  </r>
  <r>
    <x v="4"/>
    <s v="/dev/bus/0 -d megaraid,4"/>
    <s v="SEAGATE"/>
    <x v="0"/>
    <x v="0"/>
    <x v="0"/>
    <s v="3.5 inches"/>
    <s v="SAS (SPL-3)"/>
    <n v="300000"/>
    <n v="566949"/>
    <n v="52122.63"/>
    <n v="1.8898299999999999"/>
    <x v="0"/>
    <x v="0"/>
  </r>
  <r>
    <x v="4"/>
    <s v="/dev/bus/0 -d megaraid,8"/>
    <s v="SEAGATE"/>
    <x v="0"/>
    <x v="0"/>
    <x v="0"/>
    <s v="3.5 inches"/>
    <s v="SAS (SPL-3)"/>
    <n v="300000"/>
    <n v="565089"/>
    <n v="52122.8"/>
    <n v="1.8836299999999999"/>
    <x v="0"/>
    <x v="0"/>
  </r>
  <r>
    <x v="5"/>
    <s v="/dev/bus/0 -d megaraid,7"/>
    <s v="SEAGATE"/>
    <x v="0"/>
    <x v="0"/>
    <x v="0"/>
    <s v="3.5 inches"/>
    <s v="SAS (SPL-3)"/>
    <n v="300000"/>
    <n v="374216"/>
    <n v="52156.75"/>
    <n v="1.2473866666666666"/>
    <x v="0"/>
    <x v="0"/>
  </r>
  <r>
    <x v="5"/>
    <s v="/dev/bus/0 -d megaraid,8"/>
    <s v="SEAGATE"/>
    <x v="0"/>
    <x v="0"/>
    <x v="0"/>
    <s v="3.5 inches"/>
    <s v="SAS (SPL-3)"/>
    <n v="300000"/>
    <n v="372022"/>
    <n v="52156.92"/>
    <n v="1.2400733333333334"/>
    <x v="0"/>
    <x v="0"/>
  </r>
  <r>
    <x v="5"/>
    <s v="/dev/bus/0 -d megaraid,5"/>
    <s v="SEAGATE"/>
    <x v="0"/>
    <x v="0"/>
    <x v="0"/>
    <s v="3.5 inches"/>
    <s v="SAS (SPL-3)"/>
    <n v="300000"/>
    <n v="371966"/>
    <n v="52156.480000000003"/>
    <n v="1.2398866666666666"/>
    <x v="0"/>
    <x v="0"/>
  </r>
  <r>
    <x v="5"/>
    <s v="/dev/bus/0 -d megaraid,2"/>
    <s v="SEAGATE"/>
    <x v="0"/>
    <x v="0"/>
    <x v="0"/>
    <s v="3.5 inches"/>
    <s v="SAS (SPL-3)"/>
    <n v="300000"/>
    <n v="369109"/>
    <n v="52156.77"/>
    <n v="1.2303633333333333"/>
    <x v="0"/>
    <x v="0"/>
  </r>
  <r>
    <x v="5"/>
    <s v="/dev/bus/0 -d megaraid,1"/>
    <s v="SEAGATE"/>
    <x v="0"/>
    <x v="0"/>
    <x v="0"/>
    <s v="3.5 inches"/>
    <s v="SAS (SPL-3)"/>
    <n v="300000"/>
    <n v="368872"/>
    <n v="52156.88"/>
    <n v="1.2295733333333334"/>
    <x v="0"/>
    <x v="0"/>
  </r>
  <r>
    <x v="5"/>
    <s v="/dev/bus/0 -d megaraid,4"/>
    <s v="SEAGATE"/>
    <x v="0"/>
    <x v="0"/>
    <x v="0"/>
    <s v="3.5 inches"/>
    <s v="SAS (SPL-3)"/>
    <n v="300000"/>
    <n v="367980"/>
    <n v="52156.58"/>
    <n v="1.2265999999999999"/>
    <x v="0"/>
    <x v="0"/>
  </r>
  <r>
    <x v="5"/>
    <s v="/dev/bus/0 -d megaraid,3"/>
    <s v="SEAGATE"/>
    <x v="0"/>
    <x v="0"/>
    <x v="0"/>
    <s v="3.5 inches"/>
    <s v="SAS (SPL-3)"/>
    <n v="300000"/>
    <n v="364512"/>
    <n v="52156.57"/>
    <n v="1.2150399999999999"/>
    <x v="0"/>
    <x v="0"/>
  </r>
  <r>
    <x v="6"/>
    <s v="/dev/bus/0 -d megaraid,8"/>
    <s v="SEAGATE"/>
    <x v="0"/>
    <x v="0"/>
    <x v="0"/>
    <s v="3.5 inches"/>
    <s v="SAS (SPL-3)"/>
    <n v="300000"/>
    <n v="417029"/>
    <n v="52122.400000000001"/>
    <n v="1.3900966666666668"/>
    <x v="0"/>
    <x v="0"/>
  </r>
  <r>
    <x v="6"/>
    <s v="/dev/bus/0 -d megaraid,4"/>
    <s v="SEAGATE"/>
    <x v="0"/>
    <x v="0"/>
    <x v="0"/>
    <s v="3.5 inches"/>
    <s v="SAS (SPL-3)"/>
    <n v="300000"/>
    <n v="415118"/>
    <n v="52122.78"/>
    <n v="1.3837266666666668"/>
    <x v="0"/>
    <x v="0"/>
  </r>
  <r>
    <x v="6"/>
    <s v="/dev/bus/0 -d megaraid,9"/>
    <s v="SEAGATE"/>
    <x v="0"/>
    <x v="0"/>
    <x v="0"/>
    <s v="3.5 inches"/>
    <s v="SAS (SPL-3)"/>
    <n v="300000"/>
    <n v="412809"/>
    <n v="52124.45"/>
    <n v="1.3760300000000001"/>
    <x v="0"/>
    <x v="0"/>
  </r>
  <r>
    <x v="6"/>
    <s v="/dev/bus/0 -d megaraid,5"/>
    <s v="SEAGATE"/>
    <x v="0"/>
    <x v="0"/>
    <x v="0"/>
    <s v="3.5 inches"/>
    <s v="SAS (SPL-3)"/>
    <n v="300000"/>
    <n v="411747"/>
    <n v="52123.05"/>
    <n v="1.37249"/>
    <x v="0"/>
    <x v="0"/>
  </r>
  <r>
    <x v="6"/>
    <s v="/dev/bus/0 -d megaraid,10"/>
    <s v="SEAGATE"/>
    <x v="0"/>
    <x v="0"/>
    <x v="0"/>
    <s v="3.5 inches"/>
    <s v="SAS (SPL-3)"/>
    <n v="300000"/>
    <n v="410907"/>
    <n v="52123.28"/>
    <n v="1.3696900000000001"/>
    <x v="0"/>
    <x v="0"/>
  </r>
  <r>
    <x v="6"/>
    <s v="/dev/bus/0 -d megaraid,3"/>
    <s v="SEAGATE"/>
    <x v="0"/>
    <x v="0"/>
    <x v="0"/>
    <s v="3.5 inches"/>
    <s v="SAS (SPL-3)"/>
    <n v="300000"/>
    <n v="406368"/>
    <n v="52122.32"/>
    <n v="1.35456"/>
    <x v="0"/>
    <x v="0"/>
  </r>
  <r>
    <x v="6"/>
    <s v="/dev/bus/0 -d megaraid,7"/>
    <s v="SEAGATE"/>
    <x v="0"/>
    <x v="0"/>
    <x v="0"/>
    <s v="3.5 inches"/>
    <s v="SAS (SPL-3)"/>
    <n v="300000"/>
    <n v="405338"/>
    <n v="52122.95"/>
    <n v="1.3511266666666666"/>
    <x v="0"/>
    <x v="0"/>
  </r>
  <r>
    <x v="7"/>
    <s v="/dev/bus/0 -d megaraid,15"/>
    <s v="SEAGATE"/>
    <x v="1"/>
    <x v="1"/>
    <x v="0"/>
    <s v="3.5 inches"/>
    <s v="SAS (SPL-3)"/>
    <n v="300000"/>
    <n v="148156"/>
    <n v="52057.63"/>
    <n v="0.49385333333333331"/>
    <x v="1"/>
    <x v="1"/>
  </r>
  <r>
    <x v="7"/>
    <s v="/dev/bus/0 -d megaraid,8"/>
    <s v="SEAGATE"/>
    <x v="1"/>
    <x v="1"/>
    <x v="0"/>
    <s v="3.5 inches"/>
    <s v="SAS (SPL-3)"/>
    <n v="300000"/>
    <n v="143316"/>
    <n v="52057.52"/>
    <n v="0.47771999999999998"/>
    <x v="1"/>
    <x v="1"/>
  </r>
  <r>
    <x v="7"/>
    <s v="/dev/bus/0 -d megaraid,13"/>
    <s v="SEAGATE"/>
    <x v="1"/>
    <x v="1"/>
    <x v="0"/>
    <s v="3.5 inches"/>
    <s v="SAS (SPL-3)"/>
    <n v="300000"/>
    <n v="141984"/>
    <n v="52057.55"/>
    <n v="0.47327999999999998"/>
    <x v="1"/>
    <x v="1"/>
  </r>
  <r>
    <x v="7"/>
    <s v="/dev/bus/0 -d megaraid,10"/>
    <s v="SEAGATE"/>
    <x v="1"/>
    <x v="1"/>
    <x v="0"/>
    <s v="3.5 inches"/>
    <s v="SAS (SPL-3)"/>
    <n v="300000"/>
    <n v="141643"/>
    <n v="52057.8"/>
    <n v="0.47214333333333336"/>
    <x v="1"/>
    <x v="1"/>
  </r>
  <r>
    <x v="7"/>
    <s v="/dev/bus/0 -d megaraid,9"/>
    <s v="SEAGATE"/>
    <x v="1"/>
    <x v="1"/>
    <x v="0"/>
    <s v="3.5 inches"/>
    <s v="SAS (SPL-3)"/>
    <n v="300000"/>
    <n v="138092"/>
    <n v="52057.42"/>
    <n v="0.46030666666666664"/>
    <x v="1"/>
    <x v="1"/>
  </r>
  <r>
    <x v="7"/>
    <s v="/dev/bus/0 -d megaraid,11"/>
    <s v="SEAGATE"/>
    <x v="1"/>
    <x v="1"/>
    <x v="0"/>
    <s v="3.5 inches"/>
    <s v="SAS (SPL-3)"/>
    <n v="300000"/>
    <n v="106167"/>
    <n v="52058.12"/>
    <n v="0.35388999999999998"/>
    <x v="1"/>
    <x v="1"/>
  </r>
  <r>
    <x v="7"/>
    <s v="/dev/bus/0 -d megaraid,14"/>
    <s v="SEAGATE"/>
    <x v="1"/>
    <x v="1"/>
    <x v="0"/>
    <s v="3.5 inches"/>
    <s v="SAS (SPL-3)"/>
    <n v="300000"/>
    <n v="104204"/>
    <n v="52057.599999999999"/>
    <n v="0.34734666666666669"/>
    <x v="1"/>
    <x v="1"/>
  </r>
  <r>
    <x v="8"/>
    <s v="/dev/bus/0 -d megaraid,7"/>
    <s v="SEAGATE"/>
    <x v="0"/>
    <x v="0"/>
    <x v="0"/>
    <s v="3.5 inches"/>
    <s v="SAS (SPL-3)"/>
    <n v="300000"/>
    <n v="548620"/>
    <n v="52098.720000000001"/>
    <n v="1.8287333333333333"/>
    <x v="0"/>
    <x v="1"/>
  </r>
  <r>
    <x v="8"/>
    <s v="/dev/bus/0 -d megaraid,9"/>
    <s v="SEAGATE"/>
    <x v="0"/>
    <x v="0"/>
    <x v="0"/>
    <s v="3.5 inches"/>
    <s v="SAS (SPL-3)"/>
    <n v="300000"/>
    <n v="547197"/>
    <n v="52098.58"/>
    <n v="1.82399"/>
    <x v="0"/>
    <x v="1"/>
  </r>
  <r>
    <x v="8"/>
    <s v="/dev/bus/0 -d megaraid,3"/>
    <s v="SEAGATE"/>
    <x v="0"/>
    <x v="0"/>
    <x v="0"/>
    <s v="3.5 inches"/>
    <s v="SAS (SPL-3)"/>
    <n v="300000"/>
    <n v="542514"/>
    <n v="52099.53"/>
    <n v="1.8083800000000001"/>
    <x v="0"/>
    <x v="1"/>
  </r>
  <r>
    <x v="8"/>
    <s v="/dev/bus/0 -d megaraid,10"/>
    <s v="SEAGATE"/>
    <x v="0"/>
    <x v="0"/>
    <x v="0"/>
    <s v="3.5 inches"/>
    <s v="SAS (SPL-3)"/>
    <n v="300000"/>
    <n v="541544"/>
    <n v="52099.15"/>
    <n v="1.8051466666666667"/>
    <x v="0"/>
    <x v="1"/>
  </r>
  <r>
    <x v="8"/>
    <s v="/dev/bus/0 -d megaraid,8"/>
    <s v="SEAGATE"/>
    <x v="0"/>
    <x v="0"/>
    <x v="0"/>
    <s v="3.5 inches"/>
    <s v="SAS (SPL-3)"/>
    <n v="300000"/>
    <n v="540128"/>
    <n v="52098.77"/>
    <n v="1.8004266666666666"/>
    <x v="0"/>
    <x v="1"/>
  </r>
  <r>
    <x v="8"/>
    <s v="/dev/bus/0 -d megaraid,6"/>
    <s v="SEAGATE"/>
    <x v="0"/>
    <x v="0"/>
    <x v="0"/>
    <s v="3.5 inches"/>
    <s v="SAS (SPL-3)"/>
    <n v="300000"/>
    <n v="539010"/>
    <n v="52099.57"/>
    <n v="1.7967"/>
    <x v="0"/>
    <x v="1"/>
  </r>
  <r>
    <x v="8"/>
    <s v="/dev/bus/0 -d megaraid,5"/>
    <s v="SEAGATE"/>
    <x v="0"/>
    <x v="0"/>
    <x v="0"/>
    <s v="3.5 inches"/>
    <s v="SAS (SPL-3)"/>
    <n v="300000"/>
    <n v="534432"/>
    <n v="52099.83"/>
    <n v="1.7814399999999999"/>
    <x v="0"/>
    <x v="1"/>
  </r>
  <r>
    <x v="8"/>
    <s v="/dev/bus/0 -d megaraid,4"/>
    <s v="SEAGATE"/>
    <x v="0"/>
    <x v="0"/>
    <x v="0"/>
    <s v="3.5 inches"/>
    <s v="SAS (SPL-3)"/>
    <n v="300000"/>
    <n v="534179"/>
    <n v="52098.57"/>
    <n v="1.7805966666666666"/>
    <x v="0"/>
    <x v="1"/>
  </r>
  <r>
    <x v="9"/>
    <s v="/dev/bus/0 -d megaraid,5"/>
    <s v="SEAGATE"/>
    <x v="0"/>
    <x v="0"/>
    <x v="0"/>
    <s v="3.5 inches"/>
    <s v="SAS (SPL-3)"/>
    <n v="300000"/>
    <n v="519909"/>
    <n v="52101.77"/>
    <n v="1.7330300000000001"/>
    <x v="0"/>
    <x v="1"/>
  </r>
  <r>
    <x v="9"/>
    <s v="/dev/bus/0 -d megaraid,4"/>
    <s v="SEAGATE"/>
    <x v="0"/>
    <x v="0"/>
    <x v="0"/>
    <s v="3.5 inches"/>
    <s v="SAS (SPL-3)"/>
    <n v="300000"/>
    <n v="513268"/>
    <n v="52102.22"/>
    <n v="1.7108933333333334"/>
    <x v="0"/>
    <x v="1"/>
  </r>
  <r>
    <x v="9"/>
    <s v="/dev/bus/0 -d megaraid,6"/>
    <s v="SEAGATE"/>
    <x v="0"/>
    <x v="0"/>
    <x v="0"/>
    <s v="3.5 inches"/>
    <s v="SAS (SPL-3)"/>
    <n v="300000"/>
    <n v="510527"/>
    <n v="52102.400000000001"/>
    <n v="1.7017566666666666"/>
    <x v="0"/>
    <x v="1"/>
  </r>
  <r>
    <x v="9"/>
    <s v="/dev/bus/0 -d megaraid,9"/>
    <s v="SEAGATE"/>
    <x v="0"/>
    <x v="0"/>
    <x v="0"/>
    <s v="3.5 inches"/>
    <s v="SAS (SPL-3)"/>
    <n v="300000"/>
    <n v="510527"/>
    <n v="52101.77"/>
    <n v="1.7017566666666666"/>
    <x v="0"/>
    <x v="1"/>
  </r>
  <r>
    <x v="9"/>
    <s v="/dev/bus/0 -d megaraid,10"/>
    <s v="SEAGATE"/>
    <x v="0"/>
    <x v="0"/>
    <x v="0"/>
    <s v="3.5 inches"/>
    <s v="SAS (SPL-3)"/>
    <n v="300000"/>
    <n v="509239"/>
    <n v="52102.28"/>
    <n v="1.6974633333333333"/>
    <x v="0"/>
    <x v="1"/>
  </r>
  <r>
    <x v="9"/>
    <s v="/dev/bus/0 -d megaraid,3"/>
    <s v="SEAGATE"/>
    <x v="0"/>
    <x v="0"/>
    <x v="0"/>
    <s v="3.5 inches"/>
    <s v="SAS (SPL-3)"/>
    <n v="300000"/>
    <n v="509094"/>
    <n v="52102.35"/>
    <n v="1.6969799999999999"/>
    <x v="0"/>
    <x v="1"/>
  </r>
  <r>
    <x v="9"/>
    <s v="/dev/bus/0 -d megaraid,8"/>
    <s v="SEAGATE"/>
    <x v="0"/>
    <x v="0"/>
    <x v="0"/>
    <s v="3.5 inches"/>
    <s v="SAS (SPL-3)"/>
    <n v="300000"/>
    <n v="506605"/>
    <n v="52102.03"/>
    <n v="1.6886833333333333"/>
    <x v="0"/>
    <x v="1"/>
  </r>
  <r>
    <x v="9"/>
    <s v="/dev/bus/0 -d megaraid,7"/>
    <s v="SEAGATE"/>
    <x v="0"/>
    <x v="0"/>
    <x v="0"/>
    <s v="3.5 inches"/>
    <s v="SAS (SPL-3)"/>
    <n v="300000"/>
    <n v="505794"/>
    <n v="52101.95"/>
    <n v="1.68598"/>
    <x v="0"/>
    <x v="1"/>
  </r>
  <r>
    <x v="10"/>
    <s v="/dev/bus/0 -d megaraid,4"/>
    <s v="SEAGATE"/>
    <x v="0"/>
    <x v="0"/>
    <x v="0"/>
    <s v="3.5 inches"/>
    <s v="SAS (SPL-3)"/>
    <n v="300000"/>
    <n v="254018"/>
    <n v="52120"/>
    <n v="0.84672666666666663"/>
    <x v="0"/>
    <x v="1"/>
  </r>
  <r>
    <x v="10"/>
    <s v="/dev/bus/0 -d megaraid,6"/>
    <s v="SEAGATE"/>
    <x v="0"/>
    <x v="0"/>
    <x v="0"/>
    <s v="3.5 inches"/>
    <s v="SAS (SPL-3)"/>
    <n v="300000"/>
    <n v="250982"/>
    <n v="52119.92"/>
    <n v="0.83660666666666672"/>
    <x v="0"/>
    <x v="1"/>
  </r>
  <r>
    <x v="10"/>
    <s v="/dev/bus/0 -d megaraid,1"/>
    <s v="SEAGATE"/>
    <x v="0"/>
    <x v="0"/>
    <x v="0"/>
    <s v="3.5 inches"/>
    <s v="SAS (SPL-3)"/>
    <n v="300000"/>
    <n v="237039"/>
    <n v="52119.47"/>
    <n v="0.79013"/>
    <x v="2"/>
    <x v="1"/>
  </r>
  <r>
    <x v="10"/>
    <s v="/dev/bus/0 -d megaraid,7"/>
    <s v="SEAGATE"/>
    <x v="0"/>
    <x v="0"/>
    <x v="0"/>
    <s v="3.5 inches"/>
    <s v="SAS (SPL-3)"/>
    <n v="300000"/>
    <n v="234805"/>
    <n v="52119.88"/>
    <n v="0.78268333333333329"/>
    <x v="2"/>
    <x v="1"/>
  </r>
  <r>
    <x v="10"/>
    <s v="/dev/bus/0 -d megaraid,8"/>
    <s v="SEAGATE"/>
    <x v="0"/>
    <x v="0"/>
    <x v="0"/>
    <s v="3.5 inches"/>
    <s v="SAS (SPL-3)"/>
    <n v="300000"/>
    <n v="233835"/>
    <n v="52119.88"/>
    <n v="0.77944999999999998"/>
    <x v="2"/>
    <x v="1"/>
  </r>
  <r>
    <x v="10"/>
    <s v="/dev/bus/0 -d megaraid,3"/>
    <s v="SEAGATE"/>
    <x v="0"/>
    <x v="0"/>
    <x v="0"/>
    <s v="3.5 inches"/>
    <s v="SAS (SPL-3)"/>
    <n v="300000"/>
    <n v="227222"/>
    <n v="52120.13"/>
    <n v="0.75740666666666667"/>
    <x v="2"/>
    <x v="1"/>
  </r>
  <r>
    <x v="10"/>
    <s v="/dev/bus/0 -d megaraid,5"/>
    <s v="SEAGATE"/>
    <x v="0"/>
    <x v="0"/>
    <x v="0"/>
    <s v="3.5 inches"/>
    <s v="SAS (SPL-3)"/>
    <n v="300000"/>
    <n v="224600"/>
    <n v="52119.78"/>
    <n v="0.7486666666666667"/>
    <x v="2"/>
    <x v="1"/>
  </r>
  <r>
    <x v="10"/>
    <s v="/dev/bus/0 -d megaraid,2"/>
    <s v="SEAGATE"/>
    <x v="0"/>
    <x v="0"/>
    <x v="0"/>
    <s v="3.5 inches"/>
    <s v="SAS (SPL-3)"/>
    <n v="300000"/>
    <n v="212244"/>
    <n v="52119.73"/>
    <n v="0.70748"/>
    <x v="2"/>
    <x v="1"/>
  </r>
  <r>
    <x v="11"/>
    <s v="/dev/bus/0 -d megaraid,2"/>
    <s v="SEAGATE"/>
    <x v="0"/>
    <x v="0"/>
    <x v="0"/>
    <s v="3.5 inches"/>
    <s v="SAS (SPL-3)"/>
    <n v="300000"/>
    <n v="531673"/>
    <n v="52119.83"/>
    <n v="1.7722433333333334"/>
    <x v="0"/>
    <x v="1"/>
  </r>
  <r>
    <x v="11"/>
    <s v="/dev/bus/0 -d megaraid,4"/>
    <s v="SEAGATE"/>
    <x v="0"/>
    <x v="0"/>
    <x v="0"/>
    <s v="3.5 inches"/>
    <s v="SAS (SPL-3)"/>
    <n v="300000"/>
    <n v="530073"/>
    <n v="52120.18"/>
    <n v="1.76691"/>
    <x v="0"/>
    <x v="1"/>
  </r>
  <r>
    <x v="11"/>
    <s v="/dev/bus/0 -d megaraid,5"/>
    <s v="SEAGATE"/>
    <x v="0"/>
    <x v="0"/>
    <x v="0"/>
    <s v="3.5 inches"/>
    <s v="SAS (SPL-3)"/>
    <n v="300000"/>
    <n v="528320"/>
    <n v="52119.78"/>
    <n v="1.7610666666666666"/>
    <x v="0"/>
    <x v="1"/>
  </r>
  <r>
    <x v="11"/>
    <s v="/dev/bus/0 -d megaraid,3"/>
    <s v="SEAGATE"/>
    <x v="0"/>
    <x v="0"/>
    <x v="0"/>
    <s v="3.5 inches"/>
    <s v="SAS (SPL-3)"/>
    <n v="300000"/>
    <n v="527460"/>
    <n v="52119.7"/>
    <n v="1.7582"/>
    <x v="0"/>
    <x v="1"/>
  </r>
  <r>
    <x v="11"/>
    <s v="/dev/bus/0 -d megaraid,6"/>
    <s v="SEAGATE"/>
    <x v="0"/>
    <x v="0"/>
    <x v="0"/>
    <s v="3.5 inches"/>
    <s v="SAS (SPL-3)"/>
    <n v="300000"/>
    <n v="524783"/>
    <n v="52119.83"/>
    <n v="1.7492766666666666"/>
    <x v="0"/>
    <x v="1"/>
  </r>
  <r>
    <x v="11"/>
    <s v="/dev/bus/0 -d megaraid,7"/>
    <s v="SEAGATE"/>
    <x v="0"/>
    <x v="0"/>
    <x v="0"/>
    <s v="3.5 inches"/>
    <s v="SAS (SPL-3)"/>
    <n v="300000"/>
    <n v="524480"/>
    <n v="52119.73"/>
    <n v="1.7482666666666666"/>
    <x v="0"/>
    <x v="1"/>
  </r>
  <r>
    <x v="11"/>
    <s v="/dev/bus/0 -d megaraid,1"/>
    <s v="SEAGATE"/>
    <x v="0"/>
    <x v="0"/>
    <x v="0"/>
    <s v="3.5 inches"/>
    <s v="SAS (SPL-3)"/>
    <n v="300000"/>
    <n v="522809"/>
    <n v="52120"/>
    <n v="1.7426966666666666"/>
    <x v="0"/>
    <x v="1"/>
  </r>
  <r>
    <x v="11"/>
    <s v="/dev/bus/0 -d megaraid,8"/>
    <s v="SEAGATE"/>
    <x v="0"/>
    <x v="0"/>
    <x v="0"/>
    <s v="3.5 inches"/>
    <s v="SAS (SPL-3)"/>
    <n v="300000"/>
    <n v="521347"/>
    <n v="52119.73"/>
    <n v="1.7378233333333333"/>
    <x v="0"/>
    <x v="1"/>
  </r>
  <r>
    <x v="12"/>
    <s v="/dev/bus/0 -d megaraid,2"/>
    <s v="SEAGATE"/>
    <x v="0"/>
    <x v="0"/>
    <x v="0"/>
    <s v="3.5 inches"/>
    <s v="SAS (SPL-3)"/>
    <n v="300000"/>
    <n v="578157"/>
    <n v="52119.63"/>
    <n v="1.92719"/>
    <x v="0"/>
    <x v="1"/>
  </r>
  <r>
    <x v="12"/>
    <s v="/dev/bus/0 -d megaraid,4"/>
    <s v="SEAGATE"/>
    <x v="0"/>
    <x v="0"/>
    <x v="0"/>
    <s v="3.5 inches"/>
    <s v="SAS (SPL-3)"/>
    <n v="300000"/>
    <n v="576981"/>
    <n v="52119.7"/>
    <n v="1.92327"/>
    <x v="0"/>
    <x v="1"/>
  </r>
  <r>
    <x v="12"/>
    <s v="/dev/bus/0 -d megaraid,8"/>
    <s v="SEAGATE"/>
    <x v="0"/>
    <x v="0"/>
    <x v="0"/>
    <s v="3.5 inches"/>
    <s v="SAS (SPL-3)"/>
    <n v="300000"/>
    <n v="575946"/>
    <n v="52119.5"/>
    <n v="1.9198200000000001"/>
    <x v="0"/>
    <x v="1"/>
  </r>
  <r>
    <x v="12"/>
    <s v="/dev/bus/0 -d megaraid,3"/>
    <s v="SEAGATE"/>
    <x v="0"/>
    <x v="0"/>
    <x v="0"/>
    <s v="3.5 inches"/>
    <s v="SAS (SPL-3)"/>
    <n v="300000"/>
    <n v="572471"/>
    <n v="52119.55"/>
    <n v="1.9082366666666666"/>
    <x v="0"/>
    <x v="1"/>
  </r>
  <r>
    <x v="12"/>
    <s v="/dev/bus/0 -d megaraid,6"/>
    <s v="SEAGATE"/>
    <x v="0"/>
    <x v="0"/>
    <x v="0"/>
    <s v="3.5 inches"/>
    <s v="SAS (SPL-3)"/>
    <n v="300000"/>
    <n v="569016"/>
    <n v="52119.67"/>
    <n v="1.89672"/>
    <x v="0"/>
    <x v="1"/>
  </r>
  <r>
    <x v="12"/>
    <s v="/dev/bus/0 -d megaraid,1"/>
    <s v="SEAGATE"/>
    <x v="0"/>
    <x v="0"/>
    <x v="0"/>
    <s v="3.5 inches"/>
    <s v="SAS (SPL-3)"/>
    <n v="300000"/>
    <n v="567055"/>
    <n v="52119.519999999997"/>
    <n v="1.8901833333333333"/>
    <x v="0"/>
    <x v="1"/>
  </r>
  <r>
    <x v="12"/>
    <s v="/dev/bus/0 -d megaraid,5"/>
    <s v="SEAGATE"/>
    <x v="0"/>
    <x v="0"/>
    <x v="0"/>
    <s v="3.5 inches"/>
    <s v="SAS (SPL-3)"/>
    <n v="300000"/>
    <n v="566124"/>
    <n v="52119.48"/>
    <n v="1.8870800000000001"/>
    <x v="0"/>
    <x v="1"/>
  </r>
  <r>
    <x v="12"/>
    <s v="/dev/bus/0 -d megaraid,7"/>
    <s v="SEAGATE"/>
    <x v="0"/>
    <x v="0"/>
    <x v="0"/>
    <s v="3.5 inches"/>
    <s v="SAS (SPL-3)"/>
    <n v="300000"/>
    <n v="566084"/>
    <n v="52119.6"/>
    <n v="1.8869466666666668"/>
    <x v="0"/>
    <x v="1"/>
  </r>
  <r>
    <x v="4"/>
    <s v="/dev/bus/0 -d megaraid,9"/>
    <s v="SEAGATE"/>
    <x v="0"/>
    <x v="0"/>
    <x v="0"/>
    <s v="3.5 inches"/>
    <s v="SAS (SPL-3)"/>
    <n v="300000"/>
    <n v="569601"/>
    <n v="51999.15"/>
    <n v="1.8986700000000001"/>
    <x v="0"/>
    <x v="1"/>
  </r>
  <r>
    <x v="5"/>
    <s v="/dev/bus/0 -d megaraid,11"/>
    <s v="SEAGATE"/>
    <x v="0"/>
    <x v="0"/>
    <x v="0"/>
    <s v="3.5 inches"/>
    <s v="SAS (SPL-3)"/>
    <n v="300000"/>
    <n v="358721"/>
    <n v="51303.98"/>
    <n v="1.1957366666666667"/>
    <x v="0"/>
    <x v="1"/>
  </r>
  <r>
    <x v="6"/>
    <s v="/dev/bus/0 -d megaraid,6"/>
    <s v="SEAGATE"/>
    <x v="0"/>
    <x v="0"/>
    <x v="0"/>
    <s v="3.5 inches"/>
    <s v="SAS (SPL-3)"/>
    <n v="300000"/>
    <n v="409768"/>
    <n v="52121.47"/>
    <n v="1.3658933333333334"/>
    <x v="0"/>
    <x v="1"/>
  </r>
  <r>
    <x v="7"/>
    <s v="/dev/bus/0 -d megaraid,12"/>
    <s v="SEAGATE"/>
    <x v="1"/>
    <x v="1"/>
    <x v="0"/>
    <s v="3.5 inches"/>
    <s v="SAS (SPL-3)"/>
    <n v="300000"/>
    <n v="97772"/>
    <n v="51056.55"/>
    <n v="0.32590666666666668"/>
    <x v="1"/>
    <x v="2"/>
  </r>
  <r>
    <x v="13"/>
    <s v="/dev/bus/0 -d megaraid,7"/>
    <s v="SEAGATE"/>
    <x v="1"/>
    <x v="1"/>
    <x v="0"/>
    <s v="3.5 inches"/>
    <s v="SAS (SPL-3)"/>
    <n v="300000"/>
    <n v="288150"/>
    <n v="49168.28"/>
    <n v="0.96050000000000002"/>
    <x v="0"/>
    <x v="3"/>
  </r>
  <r>
    <x v="13"/>
    <s v="/dev/bus/0 -d megaraid,1"/>
    <s v="SEAGATE"/>
    <x v="1"/>
    <x v="1"/>
    <x v="0"/>
    <s v="3.5 inches"/>
    <s v="SAS (SPL-3)"/>
    <n v="300000"/>
    <n v="287099"/>
    <n v="49168.53"/>
    <n v="0.95699666666666672"/>
    <x v="0"/>
    <x v="3"/>
  </r>
  <r>
    <x v="13"/>
    <s v="/dev/bus/0 -d megaraid,2"/>
    <s v="SEAGATE"/>
    <x v="1"/>
    <x v="1"/>
    <x v="0"/>
    <s v="3.5 inches"/>
    <s v="SAS (SPL-3)"/>
    <n v="300000"/>
    <n v="279124"/>
    <n v="49168.68"/>
    <n v="0.93041333333333331"/>
    <x v="0"/>
    <x v="3"/>
  </r>
  <r>
    <x v="13"/>
    <s v="/dev/bus/0 -d megaraid,3"/>
    <s v="SEAGATE"/>
    <x v="1"/>
    <x v="1"/>
    <x v="0"/>
    <s v="3.5 inches"/>
    <s v="SAS (SPL-3)"/>
    <n v="300000"/>
    <n v="275386"/>
    <n v="49169.55"/>
    <n v="0.91795333333333329"/>
    <x v="0"/>
    <x v="3"/>
  </r>
  <r>
    <x v="13"/>
    <s v="/dev/bus/0 -d megaraid,6"/>
    <s v="SEAGATE"/>
    <x v="1"/>
    <x v="1"/>
    <x v="0"/>
    <s v="3.5 inches"/>
    <s v="SAS (SPL-3)"/>
    <n v="300000"/>
    <n v="265342"/>
    <n v="49168.67"/>
    <n v="0.88447333333333333"/>
    <x v="0"/>
    <x v="3"/>
  </r>
  <r>
    <x v="13"/>
    <s v="/dev/bus/0 -d megaraid,4"/>
    <s v="SEAGATE"/>
    <x v="1"/>
    <x v="1"/>
    <x v="0"/>
    <s v="3.5 inches"/>
    <s v="SAS (SPL-3)"/>
    <n v="300000"/>
    <n v="104376"/>
    <n v="48429.67"/>
    <n v="0.34792000000000001"/>
    <x v="1"/>
    <x v="4"/>
  </r>
  <r>
    <x v="13"/>
    <s v="/dev/bus/0 -d megaraid,8"/>
    <s v="SEAGATE"/>
    <x v="2"/>
    <x v="1"/>
    <x v="0"/>
    <s v="3.5 inches"/>
    <s v="SAS (SPL-3)"/>
    <n v="600000"/>
    <n v="200290"/>
    <n v="33422.25"/>
    <n v="0.33381666666666665"/>
    <x v="1"/>
    <x v="5"/>
  </r>
  <r>
    <x v="13"/>
    <s v="/dev/bus/0 -d megaraid,10"/>
    <s v="SEAGATE"/>
    <x v="3"/>
    <x v="1"/>
    <x v="0"/>
    <s v="3.5 inches"/>
    <s v="SAS (SPL-3)"/>
    <n v="600000"/>
    <n v="33133"/>
    <n v="12026.32"/>
    <n v="5.5221666666666669E-2"/>
    <x v="1"/>
    <x v="6"/>
  </r>
  <r>
    <x v="14"/>
    <s v="/dev/bus/0 -d megaraid,8"/>
    <m/>
    <x v="4"/>
    <x v="2"/>
    <x v="0"/>
    <s v="3.5 inches"/>
    <m/>
    <m/>
    <m/>
    <m/>
    <e v="#DIV/0!"/>
    <x v="3"/>
    <x v="7"/>
  </r>
  <r>
    <x v="14"/>
    <s v="/dev/bus/0 -d megaraid,9"/>
    <m/>
    <x v="4"/>
    <x v="2"/>
    <x v="0"/>
    <s v="3.5 inches"/>
    <m/>
    <m/>
    <m/>
    <m/>
    <e v="#DIV/0!"/>
    <x v="3"/>
    <x v="7"/>
  </r>
  <r>
    <x v="0"/>
    <s v="/dev/bus/0 -d megaraid,6"/>
    <m/>
    <x v="5"/>
    <x v="3"/>
    <x v="1"/>
    <s v="2.5 inches"/>
    <m/>
    <m/>
    <m/>
    <m/>
    <e v="#DIV/0!"/>
    <x v="3"/>
    <x v="7"/>
  </r>
  <r>
    <x v="0"/>
    <s v="/dev/bus/0 -d megaraid,7"/>
    <m/>
    <x v="5"/>
    <x v="3"/>
    <x v="1"/>
    <s v="2.5 inches"/>
    <m/>
    <m/>
    <m/>
    <m/>
    <e v="#DIV/0!"/>
    <x v="3"/>
    <x v="7"/>
  </r>
  <r>
    <x v="8"/>
    <s v="/dev/bus/0 -d megaraid,0"/>
    <m/>
    <x v="5"/>
    <x v="3"/>
    <x v="1"/>
    <s v="2.5 inches"/>
    <m/>
    <m/>
    <m/>
    <m/>
    <e v="#DIV/0!"/>
    <x v="3"/>
    <x v="7"/>
  </r>
  <r>
    <x v="8"/>
    <s v="/dev/bus/0 -d megaraid,1"/>
    <m/>
    <x v="5"/>
    <x v="3"/>
    <x v="1"/>
    <s v="2.5 inches"/>
    <m/>
    <m/>
    <m/>
    <m/>
    <e v="#DIV/0!"/>
    <x v="3"/>
    <x v="7"/>
  </r>
  <r>
    <x v="1"/>
    <s v="/dev/bus/0 -d megaraid,1"/>
    <m/>
    <x v="5"/>
    <x v="3"/>
    <x v="1"/>
    <s v="2.5 inches"/>
    <m/>
    <m/>
    <m/>
    <m/>
    <e v="#DIV/0!"/>
    <x v="3"/>
    <x v="7"/>
  </r>
  <r>
    <x v="1"/>
    <s v="/dev/bus/0 -d megaraid,2"/>
    <m/>
    <x v="5"/>
    <x v="3"/>
    <x v="1"/>
    <s v="2.5 inches"/>
    <m/>
    <m/>
    <m/>
    <m/>
    <e v="#DIV/0!"/>
    <x v="3"/>
    <x v="7"/>
  </r>
  <r>
    <x v="9"/>
    <s v="/dev/bus/0 -d megaraid,0"/>
    <m/>
    <x v="5"/>
    <x v="3"/>
    <x v="1"/>
    <s v="2.5 inches"/>
    <m/>
    <m/>
    <m/>
    <m/>
    <e v="#DIV/0!"/>
    <x v="3"/>
    <x v="7"/>
  </r>
  <r>
    <x v="9"/>
    <s v="/dev/bus/0 -d megaraid,1"/>
    <m/>
    <x v="5"/>
    <x v="3"/>
    <x v="1"/>
    <s v="2.5 inches"/>
    <m/>
    <m/>
    <m/>
    <m/>
    <e v="#DIV/0!"/>
    <x v="3"/>
    <x v="7"/>
  </r>
  <r>
    <x v="10"/>
    <s v="/dev/bus/0 -d megaraid,9"/>
    <m/>
    <x v="5"/>
    <x v="3"/>
    <x v="1"/>
    <s v="2.5 inches"/>
    <m/>
    <m/>
    <m/>
    <m/>
    <e v="#DIV/0!"/>
    <x v="3"/>
    <x v="7"/>
  </r>
  <r>
    <x v="10"/>
    <s v="/dev/bus/0 -d megaraid,10"/>
    <m/>
    <x v="5"/>
    <x v="3"/>
    <x v="1"/>
    <s v="2.5 inches"/>
    <m/>
    <m/>
    <m/>
    <m/>
    <e v="#DIV/0!"/>
    <x v="3"/>
    <x v="7"/>
  </r>
  <r>
    <x v="2"/>
    <s v="/dev/bus/0 -d megaraid,1"/>
    <m/>
    <x v="5"/>
    <x v="3"/>
    <x v="1"/>
    <s v="2.5 inches"/>
    <m/>
    <m/>
    <m/>
    <m/>
    <e v="#DIV/0!"/>
    <x v="3"/>
    <x v="7"/>
  </r>
  <r>
    <x v="2"/>
    <s v="/dev/bus/0 -d megaraid,2"/>
    <m/>
    <x v="5"/>
    <x v="3"/>
    <x v="1"/>
    <s v="2.5 inches"/>
    <m/>
    <m/>
    <m/>
    <m/>
    <e v="#DIV/0!"/>
    <x v="3"/>
    <x v="7"/>
  </r>
  <r>
    <x v="11"/>
    <s v="/dev/bus/0 -d megaraid,9"/>
    <m/>
    <x v="5"/>
    <x v="3"/>
    <x v="1"/>
    <s v="2.5 inches"/>
    <m/>
    <m/>
    <m/>
    <m/>
    <e v="#DIV/0!"/>
    <x v="3"/>
    <x v="7"/>
  </r>
  <r>
    <x v="11"/>
    <s v="/dev/bus/0 -d megaraid,10"/>
    <m/>
    <x v="5"/>
    <x v="3"/>
    <x v="1"/>
    <s v="2.5 inches"/>
    <m/>
    <m/>
    <m/>
    <m/>
    <e v="#DIV/0!"/>
    <x v="3"/>
    <x v="7"/>
  </r>
  <r>
    <x v="3"/>
    <s v="/dev/bus/0 -d megaraid,3"/>
    <m/>
    <x v="5"/>
    <x v="3"/>
    <x v="1"/>
    <s v="2.5 inches"/>
    <m/>
    <m/>
    <m/>
    <m/>
    <e v="#DIV/0!"/>
    <x v="3"/>
    <x v="7"/>
  </r>
  <r>
    <x v="3"/>
    <s v="/dev/bus/0 -d megaraid,4"/>
    <m/>
    <x v="5"/>
    <x v="3"/>
    <x v="1"/>
    <s v="2.5 inches"/>
    <m/>
    <m/>
    <m/>
    <m/>
    <e v="#DIV/0!"/>
    <x v="3"/>
    <x v="7"/>
  </r>
  <r>
    <x v="12"/>
    <s v="/dev/bus/0 -d megaraid,9"/>
    <m/>
    <x v="5"/>
    <x v="3"/>
    <x v="1"/>
    <s v="2.5 inches"/>
    <m/>
    <m/>
    <m/>
    <m/>
    <e v="#DIV/0!"/>
    <x v="3"/>
    <x v="7"/>
  </r>
  <r>
    <x v="12"/>
    <s v="/dev/bus/0 -d megaraid,10"/>
    <m/>
    <x v="5"/>
    <x v="3"/>
    <x v="1"/>
    <s v="2.5 inches"/>
    <m/>
    <m/>
    <m/>
    <m/>
    <e v="#DIV/0!"/>
    <x v="3"/>
    <x v="7"/>
  </r>
  <r>
    <x v="4"/>
    <s v="/dev/bus/0 -d megaraid,1"/>
    <m/>
    <x v="5"/>
    <x v="3"/>
    <x v="1"/>
    <s v="2.5 inches"/>
    <m/>
    <m/>
    <m/>
    <m/>
    <e v="#DIV/0!"/>
    <x v="3"/>
    <x v="7"/>
  </r>
  <r>
    <x v="4"/>
    <s v="/dev/bus/0 -d megaraid,2"/>
    <m/>
    <x v="5"/>
    <x v="3"/>
    <x v="1"/>
    <s v="2.5 inches"/>
    <m/>
    <m/>
    <m/>
    <m/>
    <e v="#DIV/0!"/>
    <x v="3"/>
    <x v="7"/>
  </r>
  <r>
    <x v="5"/>
    <s v="/dev/bus/0 -d megaraid,9"/>
    <m/>
    <x v="5"/>
    <x v="3"/>
    <x v="1"/>
    <s v="2.5 inches"/>
    <m/>
    <m/>
    <m/>
    <m/>
    <e v="#DIV/0!"/>
    <x v="3"/>
    <x v="7"/>
  </r>
  <r>
    <x v="5"/>
    <s v="/dev/bus/0 -d megaraid,10"/>
    <m/>
    <x v="5"/>
    <x v="3"/>
    <x v="1"/>
    <s v="2.5 inches"/>
    <m/>
    <m/>
    <m/>
    <m/>
    <e v="#DIV/0!"/>
    <x v="3"/>
    <x v="7"/>
  </r>
  <r>
    <x v="6"/>
    <s v="/dev/bus/0 -d megaraid,1"/>
    <m/>
    <x v="5"/>
    <x v="3"/>
    <x v="1"/>
    <s v="2.5 inches"/>
    <m/>
    <m/>
    <m/>
    <m/>
    <e v="#DIV/0!"/>
    <x v="3"/>
    <x v="7"/>
  </r>
  <r>
    <x v="6"/>
    <s v="/dev/bus/0 -d megaraid,2"/>
    <m/>
    <x v="5"/>
    <x v="3"/>
    <x v="1"/>
    <s v="2.5 inches"/>
    <m/>
    <m/>
    <m/>
    <m/>
    <e v="#DIV/0!"/>
    <x v="3"/>
    <x v="7"/>
  </r>
  <r>
    <x v="0"/>
    <s v="/dev/bus/0 -d megaraid,11"/>
    <s v="SEAGATE"/>
    <x v="6"/>
    <x v="0"/>
    <x v="0"/>
    <s v="3.5 inches"/>
    <s v="SAS (SPL-3)"/>
    <n v="600000"/>
    <n v="11304"/>
    <n v="1831.2"/>
    <n v="1.8839999999999999E-2"/>
    <x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E8B93-EED7-A64F-8C44-0A210529C9F7}" name="피벗 테이블3" cacheId="2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:G24" firstHeaderRow="1" firstDataRow="2" firstDataCol="1"/>
  <pivotFields count="14">
    <pivotField showAll="0">
      <items count="16">
        <item x="7"/>
        <item x="13"/>
        <item x="14"/>
        <item x="0"/>
        <item x="8"/>
        <item x="1"/>
        <item x="9"/>
        <item x="10"/>
        <item x="2"/>
        <item x="11"/>
        <item x="3"/>
        <item x="12"/>
        <item x="4"/>
        <item x="5"/>
        <item x="6"/>
        <item t="default"/>
      </items>
    </pivotField>
    <pivotField showAll="0"/>
    <pivotField showAll="0"/>
    <pivotField axis="axisCol" showAll="0">
      <items count="8">
        <item x="5"/>
        <item x="0"/>
        <item x="6"/>
        <item x="4"/>
        <item x="2"/>
        <item x="1"/>
        <item x="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axis="axisRow" dataField="1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3">
    <field x="4"/>
    <field x="13"/>
    <field x="12"/>
  </rowFields>
  <rowItems count="22">
    <i>
      <x/>
    </i>
    <i r="1">
      <x/>
    </i>
    <i r="2">
      <x v="2"/>
    </i>
    <i r="1">
      <x v="7"/>
    </i>
    <i r="2">
      <x/>
    </i>
    <i r="2">
      <x v="1"/>
    </i>
    <i r="1">
      <x v="8"/>
    </i>
    <i r="2">
      <x v="1"/>
    </i>
    <i>
      <x v="3"/>
    </i>
    <i r="1">
      <x v="2"/>
    </i>
    <i r="2">
      <x v="2"/>
    </i>
    <i r="1">
      <x v="3"/>
    </i>
    <i r="2">
      <x v="2"/>
    </i>
    <i r="1">
      <x v="4"/>
    </i>
    <i r="2">
      <x v="2"/>
    </i>
    <i r="1">
      <x v="5"/>
    </i>
    <i r="2">
      <x v="1"/>
    </i>
    <i r="1">
      <x v="6"/>
    </i>
    <i r="2">
      <x v="2"/>
    </i>
    <i r="1">
      <x v="7"/>
    </i>
    <i r="2">
      <x v="2"/>
    </i>
    <i t="grand">
      <x/>
    </i>
  </rowItems>
  <colFields count="1">
    <field x="3"/>
  </colFields>
  <colItems count="6">
    <i>
      <x v="1"/>
    </i>
    <i>
      <x v="2"/>
    </i>
    <i>
      <x v="4"/>
    </i>
    <i>
      <x v="5"/>
    </i>
    <i>
      <x v="6"/>
    </i>
    <i t="grand">
      <x/>
    </i>
  </colItems>
  <dataFields count="1">
    <dataField name="개수 : 연한" fld="13" subtotal="count" baseField="0" baseItem="0"/>
  </dataFields>
  <formats count="31"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3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4" type="button" dataOnly="0" labelOnly="1" outline="0" axis="axisRow" fieldPosition="0"/>
    </format>
    <format dxfId="63">
      <pivotArea dataOnly="0" labelOnly="1" fieldPosition="0">
        <references count="1">
          <reference field="4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2">
          <reference field="4" count="1" selected="0">
            <x v="0"/>
          </reference>
          <reference field="13" count="3">
            <x v="0"/>
            <x v="7"/>
            <x v="8"/>
          </reference>
        </references>
      </pivotArea>
    </format>
    <format dxfId="60">
      <pivotArea dataOnly="0" labelOnly="1" fieldPosition="0">
        <references count="2">
          <reference field="4" count="1" selected="0">
            <x v="1"/>
          </reference>
          <reference field="13" count="1">
            <x v="1"/>
          </reference>
        </references>
      </pivotArea>
    </format>
    <format dxfId="59">
      <pivotArea dataOnly="0" labelOnly="1" fieldPosition="0">
        <references count="2">
          <reference field="4" count="1" selected="0">
            <x v="2"/>
          </reference>
          <reference field="13" count="1">
            <x v="1"/>
          </reference>
        </references>
      </pivotArea>
    </format>
    <format dxfId="58">
      <pivotArea dataOnly="0" labelOnly="1" fieldPosition="0">
        <references count="2">
          <reference field="4" count="1" selected="0">
            <x v="3"/>
          </reference>
          <reference field="13" count="6">
            <x v="2"/>
            <x v="3"/>
            <x v="4"/>
            <x v="5"/>
            <x v="6"/>
            <x v="7"/>
          </reference>
        </references>
      </pivotArea>
    </format>
    <format dxfId="57">
      <pivotArea dataOnly="0" labelOnly="1" fieldPosition="0">
        <references count="1">
          <reference field="3" count="0"/>
        </references>
      </pivotArea>
    </format>
    <format dxfId="56">
      <pivotArea dataOnly="0" labelOnly="1" grandCol="1" outline="0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3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4" type="button" dataOnly="0" labelOnly="1" outline="0" axis="axisRow" fieldPosition="0"/>
    </format>
    <format dxfId="47">
      <pivotArea dataOnly="0" labelOnly="1" fieldPosition="0">
        <references count="1">
          <reference field="4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2">
          <reference field="4" count="1" selected="0">
            <x v="0"/>
          </reference>
          <reference field="13" count="3">
            <x v="0"/>
            <x v="7"/>
            <x v="8"/>
          </reference>
        </references>
      </pivotArea>
    </format>
    <format dxfId="44">
      <pivotArea dataOnly="0" labelOnly="1" fieldPosition="0">
        <references count="2">
          <reference field="4" count="1" selected="0">
            <x v="1"/>
          </reference>
          <reference field="13" count="1">
            <x v="1"/>
          </reference>
        </references>
      </pivotArea>
    </format>
    <format dxfId="43">
      <pivotArea dataOnly="0" labelOnly="1" fieldPosition="0">
        <references count="2">
          <reference field="4" count="1" selected="0">
            <x v="2"/>
          </reference>
          <reference field="13" count="1">
            <x v="1"/>
          </reference>
        </references>
      </pivotArea>
    </format>
    <format dxfId="42">
      <pivotArea dataOnly="0" labelOnly="1" fieldPosition="0">
        <references count="2">
          <reference field="4" count="1" selected="0">
            <x v="3"/>
          </reference>
          <reference field="13" count="6">
            <x v="2"/>
            <x v="3"/>
            <x v="4"/>
            <x v="5"/>
            <x v="6"/>
            <x v="7"/>
          </reference>
        </references>
      </pivotArea>
    </format>
    <format dxfId="41">
      <pivotArea dataOnly="0" labelOnly="1" fieldPosition="0">
        <references count="1">
          <reference field="3" count="0"/>
        </references>
      </pivotArea>
    </format>
    <format dxfId="40">
      <pivotArea dataOnly="0" labelOnly="1" grandCol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D2F26-46C1-FC45-9417-4BF14AD4E6B7}" name="피벗 테이블4" cacheId="2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:I7" firstHeaderRow="1" firstDataRow="2" firstDataCol="1"/>
  <pivotFields count="14">
    <pivotField showAll="0"/>
    <pivotField showAll="0"/>
    <pivotField showAll="0"/>
    <pivotField axis="axisCol" showAll="0">
      <items count="8">
        <item x="5"/>
        <item x="0"/>
        <item x="6"/>
        <item x="4"/>
        <item x="2"/>
        <item x="1"/>
        <item x="3"/>
        <item t="default"/>
      </items>
    </pivotField>
    <pivotField axis="axisRow" dataField="1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개수 : User Capacity:" fld="4" subtotal="count" baseField="0" baseItem="0"/>
  </dataFields>
  <formats count="40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3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4" type="button" dataOnly="0" labelOnly="1" outline="0" axis="axisRow" fieldPosition="0"/>
    </format>
    <format dxfId="33">
      <pivotArea dataOnly="0" labelOnly="1" fieldPosition="0">
        <references count="1">
          <reference field="4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3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3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4" type="button" dataOnly="0" labelOnly="1" outline="0" axis="axisRow" fieldPosition="0"/>
    </format>
    <format dxfId="13">
      <pivotArea dataOnly="0" labelOnly="1" fieldPosition="0">
        <references count="1">
          <reference field="4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3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CA2734-877E-5644-A894-B3159F9691D9}" name="표1_3" displayName="표1_3" ref="A1:N139" totalsRowShown="0" headerRowDxfId="88" dataDxfId="86" headerRowBorderDxfId="87" tableBorderDxfId="85">
  <autoFilter ref="A1:N139" xr:uid="{B710C1A8-2A24-2E47-A5C9-35A3394EFF0F}"/>
  <sortState xmlns:xlrd2="http://schemas.microsoft.com/office/spreadsheetml/2017/richdata2" ref="A2:N139">
    <sortCondition ref="A1:A139"/>
  </sortState>
  <tableColumns count="14">
    <tableColumn id="1" xr3:uid="{0A010CFD-4832-0C48-B894-A635A2E2F25B}" name="hostname:" dataDxfId="84"/>
    <tableColumn id="2" xr3:uid="{2EEA7125-89E4-5B41-B5BD-427F0CF002FF}" name="smartctl param:" dataDxfId="83"/>
    <tableColumn id="3" xr3:uid="{8F30770D-3AA5-B747-A9BD-533EACB97D79}" name="Vendor:" dataDxfId="82"/>
    <tableColumn id="4" xr3:uid="{34E30620-744F-F942-963A-423B87C52EDD}" name="Product:" dataDxfId="81"/>
    <tableColumn id="5" xr3:uid="{4FC3FD83-03E8-4143-848F-6A08F34BD2D2}" name="User Capacity:" dataDxfId="80"/>
    <tableColumn id="6" xr3:uid="{714F239A-6BA0-C84B-884E-DE8C4B63C771}" name="Rotation Rate:" dataDxfId="79"/>
    <tableColumn id="7" xr3:uid="{C3A67BF7-B328-7746-BFD5-77BF8DB46F11}" name="Form Factor:" dataDxfId="78"/>
    <tableColumn id="8" xr3:uid="{C5791450-D562-FE45-A06E-7B50A5780998}" name="Transport protocol:" dataDxfId="77"/>
    <tableColumn id="9" xr3:uid="{C34F4A9B-3CE5-B84D-87EE-29B6438ACA0B}" name="Specified load-unload count over device lifetime:" dataDxfId="76"/>
    <tableColumn id="10" xr3:uid="{D0D577FC-1D06-9343-8399-14181F56F786}" name="Accumulated load-unload cycles:" dataDxfId="75"/>
    <tableColumn id="11" xr3:uid="{905114E4-6AEF-E847-947C-483ADAA8F95E}" name="number of hours powered up :" dataDxfId="74"/>
    <tableColumn id="13" xr3:uid="{631E1589-4A2A-AC47-B385-C59592C9E179}" name="사용량" dataDxfId="73" dataCellStyle="백분율">
      <calculatedColumnFormula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calculatedColumnFormula>
    </tableColumn>
    <tableColumn id="14" xr3:uid="{B4CE7604-7BFC-3C4D-90F9-1A10198ED15A}" name="점검" dataDxfId="72">
      <calculatedColumnFormula>IF(표1_3[[#This Row],[사용량]]&lt;=60%, "양호", IF(표1_3[[#This Row],[사용량]]&lt;=70%, "교체 권고", IF(표1_3[[#This Row],[사용량]]&lt;=80%, "교체", "긴급 교체")))</calculatedColumnFormula>
    </tableColumn>
    <tableColumn id="15" xr3:uid="{FE3C915F-9490-1D46-B3A2-DFB82C525757}" name="연한" dataDxfId="71">
      <calculatedColumnFormula>_xlfn.CONCAT("약 ", ROUND((표1_3[[#This Row],[number of hours powered up :]]/24)/365,1), "년")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0584-C7EE-3E43-AD79-DF4CCFAB8417}">
  <sheetPr>
    <pageSetUpPr fitToPage="1"/>
  </sheetPr>
  <dimension ref="A1:N139"/>
  <sheetViews>
    <sheetView showGridLines="0" tabSelected="1" workbookViewId="0">
      <selection activeCell="I28" sqref="I28"/>
    </sheetView>
  </sheetViews>
  <sheetFormatPr baseColWidth="10" defaultColWidth="8.33203125" defaultRowHeight="20" customHeight="1"/>
  <cols>
    <col min="1" max="1" width="12" style="1" customWidth="1"/>
    <col min="2" max="2" width="25.5" style="1" customWidth="1"/>
    <col min="3" max="3" width="19.83203125" style="1" customWidth="1"/>
    <col min="4" max="4" width="27" style="1" customWidth="1"/>
    <col min="5" max="5" width="30.83203125" style="1" customWidth="1"/>
    <col min="6" max="6" width="15.33203125" style="1" customWidth="1"/>
    <col min="7" max="7" width="14" style="1" customWidth="1"/>
    <col min="8" max="8" width="19.1640625" style="1" customWidth="1"/>
    <col min="9" max="9" width="19.33203125" style="1" customWidth="1"/>
    <col min="10" max="10" width="18.83203125" style="1" customWidth="1"/>
    <col min="11" max="11" width="14" style="1" customWidth="1"/>
    <col min="12" max="12" width="8.33203125" style="2" customWidth="1"/>
    <col min="13" max="13" width="10.1640625" style="1" customWidth="1"/>
    <col min="14" max="16384" width="8.33203125" style="1"/>
  </cols>
  <sheetData>
    <row r="1" spans="1:14" ht="20.25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78</v>
      </c>
      <c r="K1" s="10" t="s">
        <v>9</v>
      </c>
      <c r="L1" s="11" t="s">
        <v>62</v>
      </c>
      <c r="M1" s="12" t="s">
        <v>63</v>
      </c>
      <c r="N1" s="12" t="s">
        <v>64</v>
      </c>
    </row>
    <row r="2" spans="1:14" ht="20.25" customHeight="1">
      <c r="A2" s="16" t="s">
        <v>26</v>
      </c>
      <c r="B2" s="17" t="s">
        <v>21</v>
      </c>
      <c r="C2" s="17" t="s">
        <v>18</v>
      </c>
      <c r="D2" s="17" t="s">
        <v>27</v>
      </c>
      <c r="E2" s="17" t="s">
        <v>19</v>
      </c>
      <c r="F2" s="17" t="s">
        <v>14</v>
      </c>
      <c r="G2" s="17" t="s">
        <v>15</v>
      </c>
      <c r="H2" s="17" t="s">
        <v>20</v>
      </c>
      <c r="I2" s="18">
        <v>300000</v>
      </c>
      <c r="J2" s="18">
        <v>97772</v>
      </c>
      <c r="K2" s="19">
        <v>51056.55</v>
      </c>
      <c r="L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0.32590666666666668</v>
      </c>
      <c r="M2" s="18" t="str">
        <f>IF(표1_3[[#This Row],[사용량]]&lt;=60%, "양호", IF(표1_3[[#This Row],[사용량]]&lt;=70%, "교체 권고", IF(표1_3[[#This Row],[사용량]]&lt;=80%, "교체", "긴급 교체")))</f>
        <v>양호</v>
      </c>
      <c r="N2" s="18" t="str">
        <f>_xlfn.CONCAT("약 ", ROUND((표1_3[[#This Row],[number of hours powered up :]]/24)/365,1), "년")</f>
        <v>약 5.8년</v>
      </c>
    </row>
    <row r="3" spans="1:14" ht="20" customHeight="1">
      <c r="A3" s="16" t="s">
        <v>26</v>
      </c>
      <c r="B3" s="17" t="s">
        <v>16</v>
      </c>
      <c r="C3" s="17" t="s">
        <v>18</v>
      </c>
      <c r="D3" s="17" t="s">
        <v>27</v>
      </c>
      <c r="E3" s="17" t="s">
        <v>19</v>
      </c>
      <c r="F3" s="17" t="s">
        <v>14</v>
      </c>
      <c r="G3" s="17" t="s">
        <v>15</v>
      </c>
      <c r="H3" s="17" t="s">
        <v>20</v>
      </c>
      <c r="I3" s="18">
        <v>300000</v>
      </c>
      <c r="J3" s="18">
        <v>138092</v>
      </c>
      <c r="K3" s="19">
        <v>52057.42</v>
      </c>
      <c r="L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0.46030666666666664</v>
      </c>
      <c r="M3" s="18" t="str">
        <f>IF(표1_3[[#This Row],[사용량]]&lt;=60%, "양호", IF(표1_3[[#This Row],[사용량]]&lt;=70%, "교체 권고", IF(표1_3[[#This Row],[사용량]]&lt;=80%, "교체", "긴급 교체")))</f>
        <v>양호</v>
      </c>
      <c r="N3" s="18" t="str">
        <f>_xlfn.CONCAT("약 ", ROUND((표1_3[[#This Row],[number of hours powered up :]]/24)/365,1), "년")</f>
        <v>약 5.9년</v>
      </c>
    </row>
    <row r="4" spans="1:14" ht="20" customHeight="1">
      <c r="A4" s="16" t="s">
        <v>26</v>
      </c>
      <c r="B4" s="17" t="s">
        <v>11</v>
      </c>
      <c r="C4" s="17" t="s">
        <v>18</v>
      </c>
      <c r="D4" s="17" t="s">
        <v>27</v>
      </c>
      <c r="E4" s="17" t="s">
        <v>19</v>
      </c>
      <c r="F4" s="17" t="s">
        <v>14</v>
      </c>
      <c r="G4" s="17" t="s">
        <v>15</v>
      </c>
      <c r="H4" s="17" t="s">
        <v>20</v>
      </c>
      <c r="I4" s="18">
        <v>300000</v>
      </c>
      <c r="J4" s="18">
        <v>143316</v>
      </c>
      <c r="K4" s="19">
        <v>52057.52</v>
      </c>
      <c r="L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0.47771999999999998</v>
      </c>
      <c r="M4" s="18" t="str">
        <f>IF(표1_3[[#This Row],[사용량]]&lt;=60%, "양호", IF(표1_3[[#This Row],[사용량]]&lt;=70%, "교체 권고", IF(표1_3[[#This Row],[사용량]]&lt;=80%, "교체", "긴급 교체")))</f>
        <v>양호</v>
      </c>
      <c r="N4" s="18" t="str">
        <f>_xlfn.CONCAT("약 ", ROUND((표1_3[[#This Row],[number of hours powered up :]]/24)/365,1), "년")</f>
        <v>약 5.9년</v>
      </c>
    </row>
    <row r="5" spans="1:14" ht="20" customHeight="1">
      <c r="A5" s="16" t="s">
        <v>26</v>
      </c>
      <c r="B5" s="17" t="s">
        <v>22</v>
      </c>
      <c r="C5" s="17" t="s">
        <v>18</v>
      </c>
      <c r="D5" s="17" t="s">
        <v>27</v>
      </c>
      <c r="E5" s="17" t="s">
        <v>19</v>
      </c>
      <c r="F5" s="17" t="s">
        <v>14</v>
      </c>
      <c r="G5" s="17" t="s">
        <v>15</v>
      </c>
      <c r="H5" s="17" t="s">
        <v>20</v>
      </c>
      <c r="I5" s="18">
        <v>300000</v>
      </c>
      <c r="J5" s="18">
        <v>141984</v>
      </c>
      <c r="K5" s="19">
        <v>52057.55</v>
      </c>
      <c r="L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0.47327999999999998</v>
      </c>
      <c r="M5" s="18" t="str">
        <f>IF(표1_3[[#This Row],[사용량]]&lt;=60%, "양호", IF(표1_3[[#This Row],[사용량]]&lt;=70%, "교체 권고", IF(표1_3[[#This Row],[사용량]]&lt;=80%, "교체", "긴급 교체")))</f>
        <v>양호</v>
      </c>
      <c r="N5" s="18" t="str">
        <f>_xlfn.CONCAT("약 ", ROUND((표1_3[[#This Row],[number of hours powered up :]]/24)/365,1), "년")</f>
        <v>약 5.9년</v>
      </c>
    </row>
    <row r="6" spans="1:14" ht="20" customHeight="1">
      <c r="A6" s="16" t="s">
        <v>26</v>
      </c>
      <c r="B6" s="17" t="s">
        <v>23</v>
      </c>
      <c r="C6" s="17" t="s">
        <v>18</v>
      </c>
      <c r="D6" s="17" t="s">
        <v>27</v>
      </c>
      <c r="E6" s="17" t="s">
        <v>19</v>
      </c>
      <c r="F6" s="17" t="s">
        <v>14</v>
      </c>
      <c r="G6" s="17" t="s">
        <v>15</v>
      </c>
      <c r="H6" s="17" t="s">
        <v>20</v>
      </c>
      <c r="I6" s="18">
        <v>300000</v>
      </c>
      <c r="J6" s="18">
        <v>104204</v>
      </c>
      <c r="K6" s="19">
        <v>52057.599999999999</v>
      </c>
      <c r="L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0.34734666666666669</v>
      </c>
      <c r="M6" s="18" t="str">
        <f>IF(표1_3[[#This Row],[사용량]]&lt;=60%, "양호", IF(표1_3[[#This Row],[사용량]]&lt;=70%, "교체 권고", IF(표1_3[[#This Row],[사용량]]&lt;=80%, "교체", "긴급 교체")))</f>
        <v>양호</v>
      </c>
      <c r="N6" s="18" t="str">
        <f>_xlfn.CONCAT("약 ", ROUND((표1_3[[#This Row],[number of hours powered up :]]/24)/365,1), "년")</f>
        <v>약 5.9년</v>
      </c>
    </row>
    <row r="7" spans="1:14" ht="20" customHeight="1">
      <c r="A7" s="16" t="s">
        <v>26</v>
      </c>
      <c r="B7" s="17" t="s">
        <v>24</v>
      </c>
      <c r="C7" s="17" t="s">
        <v>18</v>
      </c>
      <c r="D7" s="17" t="s">
        <v>27</v>
      </c>
      <c r="E7" s="17" t="s">
        <v>19</v>
      </c>
      <c r="F7" s="17" t="s">
        <v>14</v>
      </c>
      <c r="G7" s="17" t="s">
        <v>15</v>
      </c>
      <c r="H7" s="17" t="s">
        <v>20</v>
      </c>
      <c r="I7" s="18">
        <v>300000</v>
      </c>
      <c r="J7" s="18">
        <v>148156</v>
      </c>
      <c r="K7" s="19">
        <v>52057.63</v>
      </c>
      <c r="L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0.49385333333333331</v>
      </c>
      <c r="M7" s="18" t="str">
        <f>IF(표1_3[[#This Row],[사용량]]&lt;=60%, "양호", IF(표1_3[[#This Row],[사용량]]&lt;=70%, "교체 권고", IF(표1_3[[#This Row],[사용량]]&lt;=80%, "교체", "긴급 교체")))</f>
        <v>양호</v>
      </c>
      <c r="N7" s="18" t="str">
        <f>_xlfn.CONCAT("약 ", ROUND((표1_3[[#This Row],[number of hours powered up :]]/24)/365,1), "년")</f>
        <v>약 5.9년</v>
      </c>
    </row>
    <row r="8" spans="1:14" ht="20" customHeight="1">
      <c r="A8" s="16" t="s">
        <v>26</v>
      </c>
      <c r="B8" s="17" t="s">
        <v>28</v>
      </c>
      <c r="C8" s="17" t="s">
        <v>18</v>
      </c>
      <c r="D8" s="17" t="s">
        <v>27</v>
      </c>
      <c r="E8" s="17" t="s">
        <v>19</v>
      </c>
      <c r="F8" s="17" t="s">
        <v>14</v>
      </c>
      <c r="G8" s="17" t="s">
        <v>15</v>
      </c>
      <c r="H8" s="17" t="s">
        <v>20</v>
      </c>
      <c r="I8" s="18">
        <v>300000</v>
      </c>
      <c r="J8" s="18">
        <v>141643</v>
      </c>
      <c r="K8" s="19">
        <v>52057.8</v>
      </c>
      <c r="L8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0.47214333333333336</v>
      </c>
      <c r="M8" s="18" t="str">
        <f>IF(표1_3[[#This Row],[사용량]]&lt;=60%, "양호", IF(표1_3[[#This Row],[사용량]]&lt;=70%, "교체 권고", IF(표1_3[[#This Row],[사용량]]&lt;=80%, "교체", "긴급 교체")))</f>
        <v>양호</v>
      </c>
      <c r="N8" s="18" t="str">
        <f>_xlfn.CONCAT("약 ", ROUND((표1_3[[#This Row],[number of hours powered up :]]/24)/365,1), "년")</f>
        <v>약 5.9년</v>
      </c>
    </row>
    <row r="9" spans="1:14" ht="20" customHeight="1">
      <c r="A9" s="16" t="s">
        <v>26</v>
      </c>
      <c r="B9" s="17" t="s">
        <v>17</v>
      </c>
      <c r="C9" s="17" t="s">
        <v>18</v>
      </c>
      <c r="D9" s="17" t="s">
        <v>27</v>
      </c>
      <c r="E9" s="17" t="s">
        <v>19</v>
      </c>
      <c r="F9" s="17" t="s">
        <v>14</v>
      </c>
      <c r="G9" s="17" t="s">
        <v>15</v>
      </c>
      <c r="H9" s="17" t="s">
        <v>20</v>
      </c>
      <c r="I9" s="18">
        <v>300000</v>
      </c>
      <c r="J9" s="18">
        <v>106167</v>
      </c>
      <c r="K9" s="19">
        <v>52058.12</v>
      </c>
      <c r="L9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0.35388999999999998</v>
      </c>
      <c r="M9" s="18" t="str">
        <f>IF(표1_3[[#This Row],[사용량]]&lt;=60%, "양호", IF(표1_3[[#This Row],[사용량]]&lt;=70%, "교체 권고", IF(표1_3[[#This Row],[사용량]]&lt;=80%, "교체", "긴급 교체")))</f>
        <v>양호</v>
      </c>
      <c r="N9" s="18" t="str">
        <f>_xlfn.CONCAT("약 ", ROUND((표1_3[[#This Row],[number of hours powered up :]]/24)/365,1), "년")</f>
        <v>약 5.9년</v>
      </c>
    </row>
    <row r="10" spans="1:14" ht="20" customHeight="1">
      <c r="A10" s="16" t="s">
        <v>29</v>
      </c>
      <c r="B10" s="17" t="s">
        <v>28</v>
      </c>
      <c r="C10" s="17" t="s">
        <v>18</v>
      </c>
      <c r="D10" s="17" t="s">
        <v>25</v>
      </c>
      <c r="E10" s="17" t="s">
        <v>19</v>
      </c>
      <c r="F10" s="17" t="s">
        <v>14</v>
      </c>
      <c r="G10" s="17" t="s">
        <v>15</v>
      </c>
      <c r="H10" s="17" t="s">
        <v>20</v>
      </c>
      <c r="I10" s="18">
        <v>600000</v>
      </c>
      <c r="J10" s="18">
        <v>33133</v>
      </c>
      <c r="K10" s="19">
        <v>12026.32</v>
      </c>
      <c r="L10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5.5221666666666669E-2</v>
      </c>
      <c r="M10" s="18" t="str">
        <f>IF(표1_3[[#This Row],[사용량]]&lt;=60%, "양호", IF(표1_3[[#This Row],[사용량]]&lt;=70%, "교체 권고", IF(표1_3[[#This Row],[사용량]]&lt;=80%, "교체", "긴급 교체")))</f>
        <v>양호</v>
      </c>
      <c r="N10" s="18" t="str">
        <f>_xlfn.CONCAT("약 ", ROUND((표1_3[[#This Row],[number of hours powered up :]]/24)/365,1), "년")</f>
        <v>약 1.4년</v>
      </c>
    </row>
    <row r="11" spans="1:14" ht="20" customHeight="1">
      <c r="A11" s="16" t="s">
        <v>29</v>
      </c>
      <c r="B11" s="17" t="s">
        <v>11</v>
      </c>
      <c r="C11" s="17" t="s">
        <v>18</v>
      </c>
      <c r="D11" s="17" t="s">
        <v>36</v>
      </c>
      <c r="E11" s="17" t="s">
        <v>19</v>
      </c>
      <c r="F11" s="17" t="s">
        <v>14</v>
      </c>
      <c r="G11" s="17" t="s">
        <v>15</v>
      </c>
      <c r="H11" s="17" t="s">
        <v>20</v>
      </c>
      <c r="I11" s="18">
        <v>600000</v>
      </c>
      <c r="J11" s="18">
        <v>200290</v>
      </c>
      <c r="K11" s="19">
        <v>33422.25</v>
      </c>
      <c r="L11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0.33381666666666665</v>
      </c>
      <c r="M11" s="18" t="str">
        <f>IF(표1_3[[#This Row],[사용량]]&lt;=60%, "양호", IF(표1_3[[#This Row],[사용량]]&lt;=70%, "교체 권고", IF(표1_3[[#This Row],[사용량]]&lt;=80%, "교체", "긴급 교체")))</f>
        <v>양호</v>
      </c>
      <c r="N11" s="18" t="str">
        <f>_xlfn.CONCAT("약 ", ROUND((표1_3[[#This Row],[number of hours powered up :]]/24)/365,1), "년")</f>
        <v>약 3.8년</v>
      </c>
    </row>
    <row r="12" spans="1:14" ht="20" customHeight="1">
      <c r="A12" s="16" t="s">
        <v>29</v>
      </c>
      <c r="B12" s="17" t="s">
        <v>33</v>
      </c>
      <c r="C12" s="17" t="s">
        <v>18</v>
      </c>
      <c r="D12" s="17" t="s">
        <v>27</v>
      </c>
      <c r="E12" s="17" t="s">
        <v>19</v>
      </c>
      <c r="F12" s="17" t="s">
        <v>14</v>
      </c>
      <c r="G12" s="17" t="s">
        <v>15</v>
      </c>
      <c r="H12" s="17" t="s">
        <v>20</v>
      </c>
      <c r="I12" s="18">
        <v>300000</v>
      </c>
      <c r="J12" s="18">
        <v>104376</v>
      </c>
      <c r="K12" s="19">
        <v>48429.67</v>
      </c>
      <c r="L1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0.34792000000000001</v>
      </c>
      <c r="M12" s="18" t="str">
        <f>IF(표1_3[[#This Row],[사용량]]&lt;=60%, "양호", IF(표1_3[[#This Row],[사용량]]&lt;=70%, "교체 권고", IF(표1_3[[#This Row],[사용량]]&lt;=80%, "교체", "긴급 교체")))</f>
        <v>양호</v>
      </c>
      <c r="N12" s="18" t="str">
        <f>_xlfn.CONCAT("약 ", ROUND((표1_3[[#This Row],[number of hours powered up :]]/24)/365,1), "년")</f>
        <v>약 5.5년</v>
      </c>
    </row>
    <row r="13" spans="1:14" ht="20" customHeight="1">
      <c r="A13" s="16" t="s">
        <v>29</v>
      </c>
      <c r="B13" s="17" t="s">
        <v>35</v>
      </c>
      <c r="C13" s="17" t="s">
        <v>18</v>
      </c>
      <c r="D13" s="17" t="s">
        <v>27</v>
      </c>
      <c r="E13" s="17" t="s">
        <v>19</v>
      </c>
      <c r="F13" s="17" t="s">
        <v>14</v>
      </c>
      <c r="G13" s="17" t="s">
        <v>15</v>
      </c>
      <c r="H13" s="17" t="s">
        <v>20</v>
      </c>
      <c r="I13" s="18">
        <v>300000</v>
      </c>
      <c r="J13" s="18">
        <v>288150</v>
      </c>
      <c r="K13" s="19">
        <v>49168.28</v>
      </c>
      <c r="L1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0.96050000000000002</v>
      </c>
      <c r="M13" s="18" t="str">
        <f>IF(표1_3[[#This Row],[사용량]]&lt;=60%, "양호", IF(표1_3[[#This Row],[사용량]]&lt;=70%, "교체 권고", IF(표1_3[[#This Row],[사용량]]&lt;=80%, "교체", "긴급 교체")))</f>
        <v>긴급 교체</v>
      </c>
      <c r="N13" s="18" t="str">
        <f>_xlfn.CONCAT("약 ", ROUND((표1_3[[#This Row],[number of hours powered up :]]/24)/365,1), "년")</f>
        <v>약 5.6년</v>
      </c>
    </row>
    <row r="14" spans="1:14" ht="20" customHeight="1">
      <c r="A14" s="16" t="s">
        <v>29</v>
      </c>
      <c r="B14" s="17" t="s">
        <v>30</v>
      </c>
      <c r="C14" s="17" t="s">
        <v>18</v>
      </c>
      <c r="D14" s="17" t="s">
        <v>27</v>
      </c>
      <c r="E14" s="17" t="s">
        <v>19</v>
      </c>
      <c r="F14" s="17" t="s">
        <v>14</v>
      </c>
      <c r="G14" s="17" t="s">
        <v>15</v>
      </c>
      <c r="H14" s="17" t="s">
        <v>20</v>
      </c>
      <c r="I14" s="18">
        <v>300000</v>
      </c>
      <c r="J14" s="18">
        <v>287099</v>
      </c>
      <c r="K14" s="19">
        <v>49168.53</v>
      </c>
      <c r="L1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0.95699666666666672</v>
      </c>
      <c r="M14" s="18" t="str">
        <f>IF(표1_3[[#This Row],[사용량]]&lt;=60%, "양호", IF(표1_3[[#This Row],[사용량]]&lt;=70%, "교체 권고", IF(표1_3[[#This Row],[사용량]]&lt;=80%, "교체", "긴급 교체")))</f>
        <v>긴급 교체</v>
      </c>
      <c r="N14" s="18" t="str">
        <f>_xlfn.CONCAT("약 ", ROUND((표1_3[[#This Row],[number of hours powered up :]]/24)/365,1), "년")</f>
        <v>약 5.6년</v>
      </c>
    </row>
    <row r="15" spans="1:14" ht="20" customHeight="1">
      <c r="A15" s="16" t="s">
        <v>29</v>
      </c>
      <c r="B15" s="17" t="s">
        <v>34</v>
      </c>
      <c r="C15" s="17" t="s">
        <v>18</v>
      </c>
      <c r="D15" s="17" t="s">
        <v>27</v>
      </c>
      <c r="E15" s="17" t="s">
        <v>19</v>
      </c>
      <c r="F15" s="17" t="s">
        <v>14</v>
      </c>
      <c r="G15" s="17" t="s">
        <v>15</v>
      </c>
      <c r="H15" s="17" t="s">
        <v>20</v>
      </c>
      <c r="I15" s="18">
        <v>300000</v>
      </c>
      <c r="J15" s="18">
        <v>265342</v>
      </c>
      <c r="K15" s="19">
        <v>49168.67</v>
      </c>
      <c r="L1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0.88447333333333333</v>
      </c>
      <c r="M15" s="18" t="str">
        <f>IF(표1_3[[#This Row],[사용량]]&lt;=60%, "양호", IF(표1_3[[#This Row],[사용량]]&lt;=70%, "교체 권고", IF(표1_3[[#This Row],[사용량]]&lt;=80%, "교체", "긴급 교체")))</f>
        <v>긴급 교체</v>
      </c>
      <c r="N15" s="18" t="str">
        <f>_xlfn.CONCAT("약 ", ROUND((표1_3[[#This Row],[number of hours powered up :]]/24)/365,1), "년")</f>
        <v>약 5.6년</v>
      </c>
    </row>
    <row r="16" spans="1:14" ht="20" customHeight="1">
      <c r="A16" s="16" t="s">
        <v>29</v>
      </c>
      <c r="B16" s="17" t="s">
        <v>31</v>
      </c>
      <c r="C16" s="17" t="s">
        <v>18</v>
      </c>
      <c r="D16" s="17" t="s">
        <v>27</v>
      </c>
      <c r="E16" s="17" t="s">
        <v>19</v>
      </c>
      <c r="F16" s="17" t="s">
        <v>14</v>
      </c>
      <c r="G16" s="17" t="s">
        <v>15</v>
      </c>
      <c r="H16" s="17" t="s">
        <v>20</v>
      </c>
      <c r="I16" s="18">
        <v>300000</v>
      </c>
      <c r="J16" s="18">
        <v>279124</v>
      </c>
      <c r="K16" s="19">
        <v>49168.68</v>
      </c>
      <c r="L1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0.93041333333333331</v>
      </c>
      <c r="M16" s="18" t="str">
        <f>IF(표1_3[[#This Row],[사용량]]&lt;=60%, "양호", IF(표1_3[[#This Row],[사용량]]&lt;=70%, "교체 권고", IF(표1_3[[#This Row],[사용량]]&lt;=80%, "교체", "긴급 교체")))</f>
        <v>긴급 교체</v>
      </c>
      <c r="N16" s="18" t="str">
        <f>_xlfn.CONCAT("약 ", ROUND((표1_3[[#This Row],[number of hours powered up :]]/24)/365,1), "년")</f>
        <v>약 5.6년</v>
      </c>
    </row>
    <row r="17" spans="1:14" ht="20" customHeight="1">
      <c r="A17" s="16" t="s">
        <v>29</v>
      </c>
      <c r="B17" s="17" t="s">
        <v>32</v>
      </c>
      <c r="C17" s="17" t="s">
        <v>18</v>
      </c>
      <c r="D17" s="17" t="s">
        <v>27</v>
      </c>
      <c r="E17" s="17" t="s">
        <v>19</v>
      </c>
      <c r="F17" s="17" t="s">
        <v>14</v>
      </c>
      <c r="G17" s="17" t="s">
        <v>15</v>
      </c>
      <c r="H17" s="17" t="s">
        <v>20</v>
      </c>
      <c r="I17" s="18">
        <v>300000</v>
      </c>
      <c r="J17" s="18">
        <v>275386</v>
      </c>
      <c r="K17" s="19">
        <v>49169.55</v>
      </c>
      <c r="L1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0.91795333333333329</v>
      </c>
      <c r="M17" s="18" t="str">
        <f>IF(표1_3[[#This Row],[사용량]]&lt;=60%, "양호", IF(표1_3[[#This Row],[사용량]]&lt;=70%, "교체 권고", IF(표1_3[[#This Row],[사용량]]&lt;=80%, "교체", "긴급 교체")))</f>
        <v>긴급 교체</v>
      </c>
      <c r="N17" s="18" t="str">
        <f>_xlfn.CONCAT("약 ", ROUND((표1_3[[#This Row],[number of hours powered up :]]/24)/365,1), "년")</f>
        <v>약 5.6년</v>
      </c>
    </row>
    <row r="18" spans="1:14" ht="20" customHeight="1">
      <c r="A18" s="16" t="s">
        <v>10</v>
      </c>
      <c r="B18" s="17" t="s">
        <v>16</v>
      </c>
      <c r="C18" s="18"/>
      <c r="D18" s="17" t="s">
        <v>12</v>
      </c>
      <c r="E18" s="17" t="s">
        <v>13</v>
      </c>
      <c r="F18" s="17" t="s">
        <v>14</v>
      </c>
      <c r="G18" s="17" t="s">
        <v>15</v>
      </c>
      <c r="H18" s="21"/>
      <c r="I18" s="21"/>
      <c r="J18" s="21"/>
      <c r="K18" s="21">
        <v>52191</v>
      </c>
      <c r="L18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18" s="18" t="str">
        <f>IF(표1_3[[#This Row],[사용량]]&lt;=60%, "양호", IF(표1_3[[#This Row],[사용량]]&lt;=70%, "교체 권고", IF(표1_3[[#This Row],[사용량]]&lt;=80%, "교체", "긴급 교체")))</f>
        <v>긴급 교체</v>
      </c>
      <c r="N18" s="18" t="str">
        <f>_xlfn.CONCAT("약 ", ROUND((표1_3[[#This Row],[number of hours powered up :]]/24)/365,1), "년")</f>
        <v>약 6년</v>
      </c>
    </row>
    <row r="19" spans="1:14" ht="20" customHeight="1">
      <c r="A19" s="16" t="s">
        <v>10</v>
      </c>
      <c r="B19" s="17" t="s">
        <v>77</v>
      </c>
      <c r="C19" s="18"/>
      <c r="D19" s="17" t="s">
        <v>12</v>
      </c>
      <c r="E19" s="17" t="s">
        <v>13</v>
      </c>
      <c r="F19" s="17" t="s">
        <v>14</v>
      </c>
      <c r="G19" s="17" t="s">
        <v>15</v>
      </c>
      <c r="H19" s="21"/>
      <c r="I19" s="21"/>
      <c r="J19" s="21"/>
      <c r="K19" s="21">
        <v>52193</v>
      </c>
      <c r="L19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19" s="18" t="str">
        <f>IF(표1_3[[#This Row],[사용량]]&lt;=60%, "양호", IF(표1_3[[#This Row],[사용량]]&lt;=70%, "교체 권고", IF(표1_3[[#This Row],[사용량]]&lt;=80%, "교체", "긴급 교체")))</f>
        <v>긴급 교체</v>
      </c>
      <c r="N19" s="18" t="str">
        <f>_xlfn.CONCAT("약 ", ROUND((표1_3[[#This Row],[number of hours powered up :]]/24)/365,1), "년")</f>
        <v>약 6년</v>
      </c>
    </row>
    <row r="20" spans="1:14" ht="20" customHeight="1">
      <c r="A20" s="16" t="s">
        <v>38</v>
      </c>
      <c r="B20" s="17" t="s">
        <v>17</v>
      </c>
      <c r="C20" s="17" t="s">
        <v>18</v>
      </c>
      <c r="D20" s="17" t="s">
        <v>44</v>
      </c>
      <c r="E20" s="17" t="s">
        <v>37</v>
      </c>
      <c r="F20" s="17" t="s">
        <v>14</v>
      </c>
      <c r="G20" s="17" t="s">
        <v>15</v>
      </c>
      <c r="H20" s="17" t="s">
        <v>20</v>
      </c>
      <c r="I20" s="18">
        <v>600000</v>
      </c>
      <c r="J20" s="18">
        <v>11304</v>
      </c>
      <c r="K20" s="19">
        <v>1831.2</v>
      </c>
      <c r="L20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1.8839999999999999E-2</v>
      </c>
      <c r="M20" s="18" t="str">
        <f>IF(표1_3[[#This Row],[사용량]]&lt;=60%, "양호", IF(표1_3[[#This Row],[사용량]]&lt;=70%, "교체 권고", IF(표1_3[[#This Row],[사용량]]&lt;=80%, "교체", "긴급 교체")))</f>
        <v>양호</v>
      </c>
      <c r="N20" s="18" t="str">
        <f>_xlfn.CONCAT("약 ", ROUND((표1_3[[#This Row],[number of hours powered up :]]/24)/365,1), "년")</f>
        <v>약 0.2년</v>
      </c>
    </row>
    <row r="21" spans="1:14" ht="20" customHeight="1">
      <c r="A21" s="16" t="s">
        <v>38</v>
      </c>
      <c r="B21" s="17" t="s">
        <v>35</v>
      </c>
      <c r="C21" s="18"/>
      <c r="D21" s="17" t="s">
        <v>40</v>
      </c>
      <c r="E21" s="17" t="s">
        <v>41</v>
      </c>
      <c r="F21" s="17" t="s">
        <v>42</v>
      </c>
      <c r="G21" s="17" t="s">
        <v>43</v>
      </c>
      <c r="H21" s="21"/>
      <c r="I21" s="21"/>
      <c r="J21" s="21"/>
      <c r="K21" s="21">
        <v>51678</v>
      </c>
      <c r="L21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21" s="18" t="str">
        <f>IF(표1_3[[#This Row],[사용량]]&lt;=60%, "양호", IF(표1_3[[#This Row],[사용량]]&lt;=70%, "교체 권고", IF(표1_3[[#This Row],[사용량]]&lt;=80%, "교체", "긴급 교체")))</f>
        <v>긴급 교체</v>
      </c>
      <c r="N21" s="18" t="str">
        <f>_xlfn.CONCAT("약 ", ROUND((표1_3[[#This Row],[number of hours powered up :]]/24)/365,1), "년")</f>
        <v>약 5.9년</v>
      </c>
    </row>
    <row r="22" spans="1:14" ht="20" customHeight="1">
      <c r="A22" s="16" t="s">
        <v>38</v>
      </c>
      <c r="B22" s="17" t="s">
        <v>34</v>
      </c>
      <c r="C22" s="18"/>
      <c r="D22" s="17" t="s">
        <v>40</v>
      </c>
      <c r="E22" s="17" t="s">
        <v>41</v>
      </c>
      <c r="F22" s="17" t="s">
        <v>42</v>
      </c>
      <c r="G22" s="17" t="s">
        <v>43</v>
      </c>
      <c r="H22" s="21"/>
      <c r="I22" s="21"/>
      <c r="J22" s="21"/>
      <c r="K22" s="21">
        <v>51685</v>
      </c>
      <c r="L22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22" s="18" t="str">
        <f>IF(표1_3[[#This Row],[사용량]]&lt;=60%, "양호", IF(표1_3[[#This Row],[사용량]]&lt;=70%, "교체 권고", IF(표1_3[[#This Row],[사용량]]&lt;=80%, "교체", "긴급 교체")))</f>
        <v>긴급 교체</v>
      </c>
      <c r="N22" s="18" t="str">
        <f>_xlfn.CONCAT("약 ", ROUND((표1_3[[#This Row],[number of hours powered up :]]/24)/365,1), "년")</f>
        <v>약 5.9년</v>
      </c>
    </row>
    <row r="23" spans="1:14" ht="20" customHeight="1">
      <c r="A23" s="16" t="s">
        <v>38</v>
      </c>
      <c r="B23" s="17" t="s">
        <v>16</v>
      </c>
      <c r="C23" s="17" t="s">
        <v>18</v>
      </c>
      <c r="D23" s="17" t="s">
        <v>39</v>
      </c>
      <c r="E23" s="17" t="s">
        <v>37</v>
      </c>
      <c r="F23" s="17" t="s">
        <v>14</v>
      </c>
      <c r="G23" s="17" t="s">
        <v>15</v>
      </c>
      <c r="H23" s="17" t="s">
        <v>20</v>
      </c>
      <c r="I23" s="18">
        <v>300000</v>
      </c>
      <c r="J23" s="18">
        <v>514738</v>
      </c>
      <c r="K23" s="19">
        <v>52122.65</v>
      </c>
      <c r="L2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1.7157933333333333</v>
      </c>
      <c r="M23" s="18" t="str">
        <f>IF(표1_3[[#This Row],[사용량]]&lt;=60%, "양호", IF(표1_3[[#This Row],[사용량]]&lt;=70%, "교체 권고", IF(표1_3[[#This Row],[사용량]]&lt;=80%, "교체", "긴급 교체")))</f>
        <v>긴급 교체</v>
      </c>
      <c r="N23" s="18" t="str">
        <f>_xlfn.CONCAT("약 ", ROUND((표1_3[[#This Row],[number of hours powered up :]]/24)/365,1), "년")</f>
        <v>약 6년</v>
      </c>
    </row>
    <row r="24" spans="1:14" ht="20" customHeight="1">
      <c r="A24" s="16" t="s">
        <v>38</v>
      </c>
      <c r="B24" s="17" t="s">
        <v>30</v>
      </c>
      <c r="C24" s="17" t="s">
        <v>18</v>
      </c>
      <c r="D24" s="17" t="s">
        <v>39</v>
      </c>
      <c r="E24" s="17" t="s">
        <v>37</v>
      </c>
      <c r="F24" s="17" t="s">
        <v>14</v>
      </c>
      <c r="G24" s="17" t="s">
        <v>15</v>
      </c>
      <c r="H24" s="17" t="s">
        <v>20</v>
      </c>
      <c r="I24" s="18">
        <v>300000</v>
      </c>
      <c r="J24" s="18">
        <v>516635</v>
      </c>
      <c r="K24" s="19">
        <v>52122.67</v>
      </c>
      <c r="L2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1.7221166666666667</v>
      </c>
      <c r="M24" s="18" t="str">
        <f>IF(표1_3[[#This Row],[사용량]]&lt;=60%, "양호", IF(표1_3[[#This Row],[사용량]]&lt;=70%, "교체 권고", IF(표1_3[[#This Row],[사용량]]&lt;=80%, "교체", "긴급 교체")))</f>
        <v>긴급 교체</v>
      </c>
      <c r="N24" s="18" t="str">
        <f>_xlfn.CONCAT("약 ", ROUND((표1_3[[#This Row],[number of hours powered up :]]/24)/365,1), "년")</f>
        <v>약 6년</v>
      </c>
    </row>
    <row r="25" spans="1:14" ht="20" customHeight="1">
      <c r="A25" s="16" t="s">
        <v>38</v>
      </c>
      <c r="B25" s="17" t="s">
        <v>33</v>
      </c>
      <c r="C25" s="17" t="s">
        <v>18</v>
      </c>
      <c r="D25" s="17" t="s">
        <v>39</v>
      </c>
      <c r="E25" s="17" t="s">
        <v>37</v>
      </c>
      <c r="F25" s="17" t="s">
        <v>14</v>
      </c>
      <c r="G25" s="17" t="s">
        <v>15</v>
      </c>
      <c r="H25" s="17" t="s">
        <v>20</v>
      </c>
      <c r="I25" s="18">
        <v>300000</v>
      </c>
      <c r="J25" s="18">
        <v>523483</v>
      </c>
      <c r="K25" s="19">
        <v>52122.77</v>
      </c>
      <c r="L2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1.7449433333333333</v>
      </c>
      <c r="M25" s="18" t="str">
        <f>IF(표1_3[[#This Row],[사용량]]&lt;=60%, "양호", IF(표1_3[[#This Row],[사용량]]&lt;=70%, "교체 권고", IF(표1_3[[#This Row],[사용량]]&lt;=80%, "교체", "긴급 교체")))</f>
        <v>긴급 교체</v>
      </c>
      <c r="N25" s="18" t="str">
        <f>_xlfn.CONCAT("약 ", ROUND((표1_3[[#This Row],[number of hours powered up :]]/24)/365,1), "년")</f>
        <v>약 6년</v>
      </c>
    </row>
    <row r="26" spans="1:14" ht="20" customHeight="1">
      <c r="A26" s="16" t="s">
        <v>38</v>
      </c>
      <c r="B26" s="17" t="s">
        <v>32</v>
      </c>
      <c r="C26" s="17" t="s">
        <v>18</v>
      </c>
      <c r="D26" s="17" t="s">
        <v>39</v>
      </c>
      <c r="E26" s="17" t="s">
        <v>37</v>
      </c>
      <c r="F26" s="17" t="s">
        <v>14</v>
      </c>
      <c r="G26" s="17" t="s">
        <v>15</v>
      </c>
      <c r="H26" s="17" t="s">
        <v>20</v>
      </c>
      <c r="I26" s="18">
        <v>300000</v>
      </c>
      <c r="J26" s="18">
        <v>514214</v>
      </c>
      <c r="K26" s="19">
        <v>52122.97</v>
      </c>
      <c r="L2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1.7140466666666667</v>
      </c>
      <c r="M26" s="18" t="str">
        <f>IF(표1_3[[#This Row],[사용량]]&lt;=60%, "양호", IF(표1_3[[#This Row],[사용량]]&lt;=70%, "교체 권고", IF(표1_3[[#This Row],[사용량]]&lt;=80%, "교체", "긴급 교체")))</f>
        <v>긴급 교체</v>
      </c>
      <c r="N26" s="18" t="str">
        <f>_xlfn.CONCAT("약 ", ROUND((표1_3[[#This Row],[number of hours powered up :]]/24)/365,1), "년")</f>
        <v>약 6년</v>
      </c>
    </row>
    <row r="27" spans="1:14" ht="20" customHeight="1">
      <c r="A27" s="16" t="s">
        <v>38</v>
      </c>
      <c r="B27" s="17" t="s">
        <v>11</v>
      </c>
      <c r="C27" s="17" t="s">
        <v>18</v>
      </c>
      <c r="D27" s="17" t="s">
        <v>39</v>
      </c>
      <c r="E27" s="17" t="s">
        <v>37</v>
      </c>
      <c r="F27" s="17" t="s">
        <v>14</v>
      </c>
      <c r="G27" s="17" t="s">
        <v>15</v>
      </c>
      <c r="H27" s="17" t="s">
        <v>20</v>
      </c>
      <c r="I27" s="18">
        <v>300000</v>
      </c>
      <c r="J27" s="18">
        <v>517785</v>
      </c>
      <c r="K27" s="19">
        <v>52123</v>
      </c>
      <c r="L2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1.7259500000000001</v>
      </c>
      <c r="M27" s="18" t="str">
        <f>IF(표1_3[[#This Row],[사용량]]&lt;=60%, "양호", IF(표1_3[[#This Row],[사용량]]&lt;=70%, "교체 권고", IF(표1_3[[#This Row],[사용량]]&lt;=80%, "교체", "긴급 교체")))</f>
        <v>긴급 교체</v>
      </c>
      <c r="N27" s="18" t="str">
        <f>_xlfn.CONCAT("약 ", ROUND((표1_3[[#This Row],[number of hours powered up :]]/24)/365,1), "년")</f>
        <v>약 6년</v>
      </c>
    </row>
    <row r="28" spans="1:14" ht="20" customHeight="1">
      <c r="A28" s="16" t="s">
        <v>38</v>
      </c>
      <c r="B28" s="17" t="s">
        <v>28</v>
      </c>
      <c r="C28" s="17" t="s">
        <v>18</v>
      </c>
      <c r="D28" s="17" t="s">
        <v>39</v>
      </c>
      <c r="E28" s="17" t="s">
        <v>37</v>
      </c>
      <c r="F28" s="17" t="s">
        <v>14</v>
      </c>
      <c r="G28" s="17" t="s">
        <v>15</v>
      </c>
      <c r="H28" s="17" t="s">
        <v>20</v>
      </c>
      <c r="I28" s="18">
        <v>300000</v>
      </c>
      <c r="J28" s="18">
        <v>527641</v>
      </c>
      <c r="K28" s="19">
        <v>52123.08</v>
      </c>
      <c r="L28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1.7588033333333333</v>
      </c>
      <c r="M28" s="18" t="str">
        <f>IF(표1_3[[#This Row],[사용량]]&lt;=60%, "양호", IF(표1_3[[#This Row],[사용량]]&lt;=70%, "교체 권고", IF(표1_3[[#This Row],[사용량]]&lt;=80%, "교체", "긴급 교체")))</f>
        <v>긴급 교체</v>
      </c>
      <c r="N28" s="18" t="str">
        <f>_xlfn.CONCAT("약 ", ROUND((표1_3[[#This Row],[number of hours powered up :]]/24)/365,1), "년")</f>
        <v>약 6년</v>
      </c>
    </row>
    <row r="29" spans="1:14" ht="20" customHeight="1">
      <c r="A29" s="16" t="s">
        <v>38</v>
      </c>
      <c r="B29" s="17" t="s">
        <v>31</v>
      </c>
      <c r="C29" s="17" t="s">
        <v>18</v>
      </c>
      <c r="D29" s="17" t="s">
        <v>39</v>
      </c>
      <c r="E29" s="17" t="s">
        <v>37</v>
      </c>
      <c r="F29" s="17" t="s">
        <v>14</v>
      </c>
      <c r="G29" s="17" t="s">
        <v>15</v>
      </c>
      <c r="H29" s="17" t="s">
        <v>20</v>
      </c>
      <c r="I29" s="18">
        <v>300000</v>
      </c>
      <c r="J29" s="18">
        <v>521087</v>
      </c>
      <c r="K29" s="19">
        <v>52123.199999999997</v>
      </c>
      <c r="L29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1.7369566666666667</v>
      </c>
      <c r="M29" s="18" t="str">
        <f>IF(표1_3[[#This Row],[사용량]]&lt;=60%, "양호", IF(표1_3[[#This Row],[사용량]]&lt;=70%, "교체 권고", IF(표1_3[[#This Row],[사용량]]&lt;=80%, "교체", "긴급 교체")))</f>
        <v>긴급 교체</v>
      </c>
      <c r="N29" s="18" t="str">
        <f>_xlfn.CONCAT("약 ", ROUND((표1_3[[#This Row],[number of hours powered up :]]/24)/365,1), "년")</f>
        <v>약 6년</v>
      </c>
    </row>
    <row r="30" spans="1:14" ht="20" customHeight="1">
      <c r="A30" s="16" t="s">
        <v>54</v>
      </c>
      <c r="B30" s="17" t="s">
        <v>55</v>
      </c>
      <c r="C30" s="18"/>
      <c r="D30" s="17" t="s">
        <v>40</v>
      </c>
      <c r="E30" s="17" t="s">
        <v>41</v>
      </c>
      <c r="F30" s="17" t="s">
        <v>42</v>
      </c>
      <c r="G30" s="17" t="s">
        <v>43</v>
      </c>
      <c r="H30" s="21"/>
      <c r="I30" s="21"/>
      <c r="J30" s="21"/>
      <c r="K30" s="21">
        <v>51752</v>
      </c>
      <c r="L30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30" s="18" t="str">
        <f>IF(표1_3[[#This Row],[사용량]]&lt;=60%, "양호", IF(표1_3[[#This Row],[사용량]]&lt;=70%, "교체 권고", IF(표1_3[[#This Row],[사용량]]&lt;=80%, "교체", "긴급 교체")))</f>
        <v>긴급 교체</v>
      </c>
      <c r="N30" s="18" t="str">
        <f>_xlfn.CONCAT("약 ", ROUND((표1_3[[#This Row],[number of hours powered up :]]/24)/365,1), "년")</f>
        <v>약 5.9년</v>
      </c>
    </row>
    <row r="31" spans="1:14" ht="20" customHeight="1">
      <c r="A31" s="16" t="s">
        <v>54</v>
      </c>
      <c r="B31" s="17" t="s">
        <v>30</v>
      </c>
      <c r="C31" s="18"/>
      <c r="D31" s="17" t="s">
        <v>40</v>
      </c>
      <c r="E31" s="17" t="s">
        <v>41</v>
      </c>
      <c r="F31" s="17" t="s">
        <v>42</v>
      </c>
      <c r="G31" s="17" t="s">
        <v>43</v>
      </c>
      <c r="H31" s="21"/>
      <c r="I31" s="21"/>
      <c r="J31" s="21"/>
      <c r="K31" s="21">
        <v>51752</v>
      </c>
      <c r="L31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31" s="18" t="str">
        <f>IF(표1_3[[#This Row],[사용량]]&lt;=60%, "양호", IF(표1_3[[#This Row],[사용량]]&lt;=70%, "교체 권고", IF(표1_3[[#This Row],[사용량]]&lt;=80%, "교체", "긴급 교체")))</f>
        <v>긴급 교체</v>
      </c>
      <c r="N31" s="18" t="str">
        <f>_xlfn.CONCAT("약 ", ROUND((표1_3[[#This Row],[number of hours powered up :]]/24)/365,1), "년")</f>
        <v>약 5.9년</v>
      </c>
    </row>
    <row r="32" spans="1:14" ht="20" customHeight="1">
      <c r="A32" s="16" t="s">
        <v>54</v>
      </c>
      <c r="B32" s="17" t="s">
        <v>33</v>
      </c>
      <c r="C32" s="17" t="s">
        <v>18</v>
      </c>
      <c r="D32" s="17" t="s">
        <v>39</v>
      </c>
      <c r="E32" s="17" t="s">
        <v>37</v>
      </c>
      <c r="F32" s="17" t="s">
        <v>14</v>
      </c>
      <c r="G32" s="17" t="s">
        <v>15</v>
      </c>
      <c r="H32" s="17" t="s">
        <v>20</v>
      </c>
      <c r="I32" s="18">
        <v>300000</v>
      </c>
      <c r="J32" s="18">
        <v>534179</v>
      </c>
      <c r="K32" s="19">
        <v>52098.57</v>
      </c>
      <c r="L3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1.7805966666666666</v>
      </c>
      <c r="M32" s="18" t="str">
        <f>IF(표1_3[[#This Row],[사용량]]&lt;=60%, "양호", IF(표1_3[[#This Row],[사용량]]&lt;=70%, "교체 권고", IF(표1_3[[#This Row],[사용량]]&lt;=80%, "교체", "긴급 교체")))</f>
        <v>긴급 교체</v>
      </c>
      <c r="N32" s="18" t="str">
        <f>_xlfn.CONCAT("약 ", ROUND((표1_3[[#This Row],[number of hours powered up :]]/24)/365,1), "년")</f>
        <v>약 5.9년</v>
      </c>
    </row>
    <row r="33" spans="1:14" ht="20" customHeight="1">
      <c r="A33" s="16" t="s">
        <v>54</v>
      </c>
      <c r="B33" s="17" t="s">
        <v>16</v>
      </c>
      <c r="C33" s="17" t="s">
        <v>18</v>
      </c>
      <c r="D33" s="17" t="s">
        <v>39</v>
      </c>
      <c r="E33" s="17" t="s">
        <v>37</v>
      </c>
      <c r="F33" s="17" t="s">
        <v>14</v>
      </c>
      <c r="G33" s="17" t="s">
        <v>15</v>
      </c>
      <c r="H33" s="17" t="s">
        <v>20</v>
      </c>
      <c r="I33" s="18">
        <v>300000</v>
      </c>
      <c r="J33" s="18">
        <v>547197</v>
      </c>
      <c r="K33" s="19">
        <v>52098.58</v>
      </c>
      <c r="L3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1.82399</v>
      </c>
      <c r="M33" s="18" t="str">
        <f>IF(표1_3[[#This Row],[사용량]]&lt;=60%, "양호", IF(표1_3[[#This Row],[사용량]]&lt;=70%, "교체 권고", IF(표1_3[[#This Row],[사용량]]&lt;=80%, "교체", "긴급 교체")))</f>
        <v>긴급 교체</v>
      </c>
      <c r="N33" s="18" t="str">
        <f>_xlfn.CONCAT("약 ", ROUND((표1_3[[#This Row],[number of hours powered up :]]/24)/365,1), "년")</f>
        <v>약 5.9년</v>
      </c>
    </row>
    <row r="34" spans="1:14" ht="20" customHeight="1">
      <c r="A34" s="16" t="s">
        <v>54</v>
      </c>
      <c r="B34" s="17" t="s">
        <v>35</v>
      </c>
      <c r="C34" s="17" t="s">
        <v>18</v>
      </c>
      <c r="D34" s="17" t="s">
        <v>39</v>
      </c>
      <c r="E34" s="17" t="s">
        <v>37</v>
      </c>
      <c r="F34" s="17" t="s">
        <v>14</v>
      </c>
      <c r="G34" s="17" t="s">
        <v>15</v>
      </c>
      <c r="H34" s="17" t="s">
        <v>20</v>
      </c>
      <c r="I34" s="18">
        <v>300000</v>
      </c>
      <c r="J34" s="18">
        <v>548620</v>
      </c>
      <c r="K34" s="19">
        <v>52098.720000000001</v>
      </c>
      <c r="L3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1.8287333333333333</v>
      </c>
      <c r="M34" s="18" t="str">
        <f>IF(표1_3[[#This Row],[사용량]]&lt;=60%, "양호", IF(표1_3[[#This Row],[사용량]]&lt;=70%, "교체 권고", IF(표1_3[[#This Row],[사용량]]&lt;=80%, "교체", "긴급 교체")))</f>
        <v>긴급 교체</v>
      </c>
      <c r="N34" s="18" t="str">
        <f>_xlfn.CONCAT("약 ", ROUND((표1_3[[#This Row],[number of hours powered up :]]/24)/365,1), "년")</f>
        <v>약 5.9년</v>
      </c>
    </row>
    <row r="35" spans="1:14" ht="20" customHeight="1">
      <c r="A35" s="16" t="s">
        <v>54</v>
      </c>
      <c r="B35" s="17" t="s">
        <v>11</v>
      </c>
      <c r="C35" s="17" t="s">
        <v>18</v>
      </c>
      <c r="D35" s="17" t="s">
        <v>39</v>
      </c>
      <c r="E35" s="17" t="s">
        <v>37</v>
      </c>
      <c r="F35" s="17" t="s">
        <v>14</v>
      </c>
      <c r="G35" s="17" t="s">
        <v>15</v>
      </c>
      <c r="H35" s="17" t="s">
        <v>20</v>
      </c>
      <c r="I35" s="18">
        <v>300000</v>
      </c>
      <c r="J35" s="18">
        <v>540128</v>
      </c>
      <c r="K35" s="19">
        <v>52098.77</v>
      </c>
      <c r="L3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1.8004266666666666</v>
      </c>
      <c r="M35" s="18" t="str">
        <f>IF(표1_3[[#This Row],[사용량]]&lt;=60%, "양호", IF(표1_3[[#This Row],[사용량]]&lt;=70%, "교체 권고", IF(표1_3[[#This Row],[사용량]]&lt;=80%, "교체", "긴급 교체")))</f>
        <v>긴급 교체</v>
      </c>
      <c r="N35" s="18" t="str">
        <f>_xlfn.CONCAT("약 ", ROUND((표1_3[[#This Row],[number of hours powered up :]]/24)/365,1), "년")</f>
        <v>약 5.9년</v>
      </c>
    </row>
    <row r="36" spans="1:14" ht="20" customHeight="1">
      <c r="A36" s="16" t="s">
        <v>54</v>
      </c>
      <c r="B36" s="17" t="s">
        <v>28</v>
      </c>
      <c r="C36" s="17" t="s">
        <v>18</v>
      </c>
      <c r="D36" s="17" t="s">
        <v>39</v>
      </c>
      <c r="E36" s="17" t="s">
        <v>37</v>
      </c>
      <c r="F36" s="17" t="s">
        <v>14</v>
      </c>
      <c r="G36" s="17" t="s">
        <v>15</v>
      </c>
      <c r="H36" s="17" t="s">
        <v>20</v>
      </c>
      <c r="I36" s="18">
        <v>300000</v>
      </c>
      <c r="J36" s="18">
        <v>541544</v>
      </c>
      <c r="K36" s="19">
        <v>52099.15</v>
      </c>
      <c r="L3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1.8051466666666667</v>
      </c>
      <c r="M36" s="18" t="str">
        <f>IF(표1_3[[#This Row],[사용량]]&lt;=60%, "양호", IF(표1_3[[#This Row],[사용량]]&lt;=70%, "교체 권고", IF(표1_3[[#This Row],[사용량]]&lt;=80%, "교체", "긴급 교체")))</f>
        <v>긴급 교체</v>
      </c>
      <c r="N36" s="18" t="str">
        <f>_xlfn.CONCAT("약 ", ROUND((표1_3[[#This Row],[number of hours powered up :]]/24)/365,1), "년")</f>
        <v>약 5.9년</v>
      </c>
    </row>
    <row r="37" spans="1:14" ht="20" customHeight="1">
      <c r="A37" s="16" t="s">
        <v>54</v>
      </c>
      <c r="B37" s="17" t="s">
        <v>32</v>
      </c>
      <c r="C37" s="17" t="s">
        <v>18</v>
      </c>
      <c r="D37" s="17" t="s">
        <v>39</v>
      </c>
      <c r="E37" s="17" t="s">
        <v>37</v>
      </c>
      <c r="F37" s="17" t="s">
        <v>14</v>
      </c>
      <c r="G37" s="17" t="s">
        <v>15</v>
      </c>
      <c r="H37" s="17" t="s">
        <v>20</v>
      </c>
      <c r="I37" s="18">
        <v>300000</v>
      </c>
      <c r="J37" s="18">
        <v>542514</v>
      </c>
      <c r="K37" s="19">
        <v>52099.53</v>
      </c>
      <c r="L3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1.8083800000000001</v>
      </c>
      <c r="M37" s="18" t="str">
        <f>IF(표1_3[[#This Row],[사용량]]&lt;=60%, "양호", IF(표1_3[[#This Row],[사용량]]&lt;=70%, "교체 권고", IF(표1_3[[#This Row],[사용량]]&lt;=80%, "교체", "긴급 교체")))</f>
        <v>긴급 교체</v>
      </c>
      <c r="N37" s="18" t="str">
        <f>_xlfn.CONCAT("약 ", ROUND((표1_3[[#This Row],[number of hours powered up :]]/24)/365,1), "년")</f>
        <v>약 5.9년</v>
      </c>
    </row>
    <row r="38" spans="1:14" ht="20" customHeight="1">
      <c r="A38" s="16" t="s">
        <v>54</v>
      </c>
      <c r="B38" s="17" t="s">
        <v>34</v>
      </c>
      <c r="C38" s="17" t="s">
        <v>18</v>
      </c>
      <c r="D38" s="17" t="s">
        <v>39</v>
      </c>
      <c r="E38" s="17" t="s">
        <v>37</v>
      </c>
      <c r="F38" s="17" t="s">
        <v>14</v>
      </c>
      <c r="G38" s="17" t="s">
        <v>15</v>
      </c>
      <c r="H38" s="17" t="s">
        <v>20</v>
      </c>
      <c r="I38" s="18">
        <v>300000</v>
      </c>
      <c r="J38" s="18">
        <v>539010</v>
      </c>
      <c r="K38" s="19">
        <v>52099.57</v>
      </c>
      <c r="L38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1.7967</v>
      </c>
      <c r="M38" s="18" t="str">
        <f>IF(표1_3[[#This Row],[사용량]]&lt;=60%, "양호", IF(표1_3[[#This Row],[사용량]]&lt;=70%, "교체 권고", IF(표1_3[[#This Row],[사용량]]&lt;=80%, "교체", "긴급 교체")))</f>
        <v>긴급 교체</v>
      </c>
      <c r="N38" s="18" t="str">
        <f>_xlfn.CONCAT("약 ", ROUND((표1_3[[#This Row],[number of hours powered up :]]/24)/365,1), "년")</f>
        <v>약 5.9년</v>
      </c>
    </row>
    <row r="39" spans="1:14" ht="20" customHeight="1">
      <c r="A39" s="16" t="s">
        <v>54</v>
      </c>
      <c r="B39" s="17" t="s">
        <v>46</v>
      </c>
      <c r="C39" s="17" t="s">
        <v>18</v>
      </c>
      <c r="D39" s="17" t="s">
        <v>39</v>
      </c>
      <c r="E39" s="17" t="s">
        <v>37</v>
      </c>
      <c r="F39" s="17" t="s">
        <v>14</v>
      </c>
      <c r="G39" s="17" t="s">
        <v>15</v>
      </c>
      <c r="H39" s="17" t="s">
        <v>20</v>
      </c>
      <c r="I39" s="18">
        <v>300000</v>
      </c>
      <c r="J39" s="18">
        <v>534432</v>
      </c>
      <c r="K39" s="19">
        <v>52099.83</v>
      </c>
      <c r="L39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1.7814399999999999</v>
      </c>
      <c r="M39" s="18" t="str">
        <f>IF(표1_3[[#This Row],[사용량]]&lt;=60%, "양호", IF(표1_3[[#This Row],[사용량]]&lt;=70%, "교체 권고", IF(표1_3[[#This Row],[사용량]]&lt;=80%, "교체", "긴급 교체")))</f>
        <v>긴급 교체</v>
      </c>
      <c r="N39" s="18" t="str">
        <f>_xlfn.CONCAT("약 ", ROUND((표1_3[[#This Row],[number of hours powered up :]]/24)/365,1), "년")</f>
        <v>약 5.9년</v>
      </c>
    </row>
    <row r="40" spans="1:14" ht="20" customHeight="1">
      <c r="A40" s="16" t="s">
        <v>56</v>
      </c>
      <c r="B40" s="17" t="s">
        <v>31</v>
      </c>
      <c r="C40" s="18"/>
      <c r="D40" s="17" t="s">
        <v>40</v>
      </c>
      <c r="E40" s="17" t="s">
        <v>41</v>
      </c>
      <c r="F40" s="17" t="s">
        <v>42</v>
      </c>
      <c r="G40" s="17" t="s">
        <v>43</v>
      </c>
      <c r="H40" s="21"/>
      <c r="I40" s="21"/>
      <c r="J40" s="21"/>
      <c r="K40" s="21">
        <v>42</v>
      </c>
      <c r="L40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40" s="18" t="str">
        <f>IF(표1_3[[#This Row],[사용량]]&lt;=60%, "양호", IF(표1_3[[#This Row],[사용량]]&lt;=70%, "교체 권고", IF(표1_3[[#This Row],[사용량]]&lt;=80%, "교체", "긴급 교체")))</f>
        <v>긴급 교체</v>
      </c>
      <c r="N40" s="18" t="str">
        <f>_xlfn.CONCAT("약 ", ROUND((표1_3[[#This Row],[number of hours powered up :]]/24)/365,1), "년")</f>
        <v>약 0년</v>
      </c>
    </row>
    <row r="41" spans="1:14" ht="20" customHeight="1">
      <c r="A41" s="16" t="s">
        <v>56</v>
      </c>
      <c r="B41" s="17" t="s">
        <v>30</v>
      </c>
      <c r="C41" s="18"/>
      <c r="D41" s="17" t="s">
        <v>40</v>
      </c>
      <c r="E41" s="17" t="s">
        <v>41</v>
      </c>
      <c r="F41" s="17" t="s">
        <v>42</v>
      </c>
      <c r="G41" s="17" t="s">
        <v>43</v>
      </c>
      <c r="H41" s="21"/>
      <c r="I41" s="21"/>
      <c r="J41" s="21"/>
      <c r="K41" s="21">
        <v>51787</v>
      </c>
      <c r="L41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41" s="18" t="str">
        <f>IF(표1_3[[#This Row],[사용량]]&lt;=60%, "양호", IF(표1_3[[#This Row],[사용량]]&lt;=70%, "교체 권고", IF(표1_3[[#This Row],[사용량]]&lt;=80%, "교체", "긴급 교체")))</f>
        <v>긴급 교체</v>
      </c>
      <c r="N41" s="18" t="str">
        <f>_xlfn.CONCAT("약 ", ROUND((표1_3[[#This Row],[number of hours powered up :]]/24)/365,1), "년")</f>
        <v>약 5.9년</v>
      </c>
    </row>
    <row r="42" spans="1:14" ht="20" customHeight="1">
      <c r="A42" s="16" t="s">
        <v>56</v>
      </c>
      <c r="B42" s="17" t="s">
        <v>32</v>
      </c>
      <c r="C42" s="17" t="s">
        <v>18</v>
      </c>
      <c r="D42" s="17" t="s">
        <v>39</v>
      </c>
      <c r="E42" s="17" t="s">
        <v>37</v>
      </c>
      <c r="F42" s="17" t="s">
        <v>14</v>
      </c>
      <c r="G42" s="17" t="s">
        <v>15</v>
      </c>
      <c r="H42" s="17" t="s">
        <v>20</v>
      </c>
      <c r="I42" s="18">
        <v>300000</v>
      </c>
      <c r="J42" s="18">
        <v>307459</v>
      </c>
      <c r="K42" s="19">
        <v>52159.18</v>
      </c>
      <c r="L4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1.0248633333333332</v>
      </c>
      <c r="M42" s="18" t="str">
        <f>IF(표1_3[[#This Row],[사용량]]&lt;=60%, "양호", IF(표1_3[[#This Row],[사용량]]&lt;=70%, "교체 권고", IF(표1_3[[#This Row],[사용량]]&lt;=80%, "교체", "긴급 교체")))</f>
        <v>긴급 교체</v>
      </c>
      <c r="N42" s="18" t="str">
        <f>_xlfn.CONCAT("약 ", ROUND((표1_3[[#This Row],[number of hours powered up :]]/24)/365,1), "년")</f>
        <v>약 6년</v>
      </c>
    </row>
    <row r="43" spans="1:14" ht="20" customHeight="1">
      <c r="A43" s="16" t="s">
        <v>56</v>
      </c>
      <c r="B43" s="17" t="s">
        <v>28</v>
      </c>
      <c r="C43" s="17" t="s">
        <v>18</v>
      </c>
      <c r="D43" s="17" t="s">
        <v>39</v>
      </c>
      <c r="E43" s="17" t="s">
        <v>37</v>
      </c>
      <c r="F43" s="17" t="s">
        <v>14</v>
      </c>
      <c r="G43" s="17" t="s">
        <v>15</v>
      </c>
      <c r="H43" s="17" t="s">
        <v>20</v>
      </c>
      <c r="I43" s="18">
        <v>300000</v>
      </c>
      <c r="J43" s="18">
        <v>248315</v>
      </c>
      <c r="K43" s="19">
        <v>52159.25</v>
      </c>
      <c r="L4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0.82771666666666666</v>
      </c>
      <c r="M43" s="18" t="str">
        <f>IF(표1_3[[#This Row],[사용량]]&lt;=60%, "양호", IF(표1_3[[#This Row],[사용량]]&lt;=70%, "교체 권고", IF(표1_3[[#This Row],[사용량]]&lt;=80%, "교체", "긴급 교체")))</f>
        <v>긴급 교체</v>
      </c>
      <c r="N43" s="18" t="str">
        <f>_xlfn.CONCAT("약 ", ROUND((표1_3[[#This Row],[number of hours powered up :]]/24)/365,1), "년")</f>
        <v>약 6년</v>
      </c>
    </row>
    <row r="44" spans="1:14" ht="20" customHeight="1">
      <c r="A44" s="16" t="s">
        <v>56</v>
      </c>
      <c r="B44" s="17" t="s">
        <v>11</v>
      </c>
      <c r="C44" s="17" t="s">
        <v>18</v>
      </c>
      <c r="D44" s="17" t="s">
        <v>39</v>
      </c>
      <c r="E44" s="17" t="s">
        <v>37</v>
      </c>
      <c r="F44" s="17" t="s">
        <v>14</v>
      </c>
      <c r="G44" s="17" t="s">
        <v>15</v>
      </c>
      <c r="H44" s="17" t="s">
        <v>20</v>
      </c>
      <c r="I44" s="18">
        <v>300000</v>
      </c>
      <c r="J44" s="18">
        <v>322471</v>
      </c>
      <c r="K44" s="19">
        <v>52159.28</v>
      </c>
      <c r="L4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1.0749033333333333</v>
      </c>
      <c r="M44" s="18" t="str">
        <f>IF(표1_3[[#This Row],[사용량]]&lt;=60%, "양호", IF(표1_3[[#This Row],[사용량]]&lt;=70%, "교체 권고", IF(표1_3[[#This Row],[사용량]]&lt;=80%, "교체", "긴급 교체")))</f>
        <v>긴급 교체</v>
      </c>
      <c r="N44" s="18" t="str">
        <f>_xlfn.CONCAT("약 ", ROUND((표1_3[[#This Row],[number of hours powered up :]]/24)/365,1), "년")</f>
        <v>약 6년</v>
      </c>
    </row>
    <row r="45" spans="1:14" ht="20" customHeight="1">
      <c r="A45" s="16" t="s">
        <v>56</v>
      </c>
      <c r="B45" s="17" t="s">
        <v>35</v>
      </c>
      <c r="C45" s="17" t="s">
        <v>18</v>
      </c>
      <c r="D45" s="17" t="s">
        <v>39</v>
      </c>
      <c r="E45" s="17" t="s">
        <v>37</v>
      </c>
      <c r="F45" s="17" t="s">
        <v>14</v>
      </c>
      <c r="G45" s="17" t="s">
        <v>15</v>
      </c>
      <c r="H45" s="17" t="s">
        <v>20</v>
      </c>
      <c r="I45" s="18">
        <v>300000</v>
      </c>
      <c r="J45" s="18">
        <v>263945</v>
      </c>
      <c r="K45" s="19">
        <v>52159.37</v>
      </c>
      <c r="L4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0.87981666666666669</v>
      </c>
      <c r="M45" s="18" t="str">
        <f>IF(표1_3[[#This Row],[사용량]]&lt;=60%, "양호", IF(표1_3[[#This Row],[사용량]]&lt;=70%, "교체 권고", IF(표1_3[[#This Row],[사용량]]&lt;=80%, "교체", "긴급 교체")))</f>
        <v>긴급 교체</v>
      </c>
      <c r="N45" s="18" t="str">
        <f>_xlfn.CONCAT("약 ", ROUND((표1_3[[#This Row],[number of hours powered up :]]/24)/365,1), "년")</f>
        <v>약 6년</v>
      </c>
    </row>
    <row r="46" spans="1:14" ht="20" customHeight="1">
      <c r="A46" s="16" t="s">
        <v>56</v>
      </c>
      <c r="B46" s="17" t="s">
        <v>33</v>
      </c>
      <c r="C46" s="17" t="s">
        <v>18</v>
      </c>
      <c r="D46" s="17" t="s">
        <v>39</v>
      </c>
      <c r="E46" s="17" t="s">
        <v>37</v>
      </c>
      <c r="F46" s="17" t="s">
        <v>14</v>
      </c>
      <c r="G46" s="17" t="s">
        <v>15</v>
      </c>
      <c r="H46" s="17" t="s">
        <v>20</v>
      </c>
      <c r="I46" s="18">
        <v>300000</v>
      </c>
      <c r="J46" s="18">
        <v>313978</v>
      </c>
      <c r="K46" s="19">
        <v>52159.42</v>
      </c>
      <c r="L4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1.0465933333333333</v>
      </c>
      <c r="M46" s="18" t="str">
        <f>IF(표1_3[[#This Row],[사용량]]&lt;=60%, "양호", IF(표1_3[[#This Row],[사용량]]&lt;=70%, "교체 권고", IF(표1_3[[#This Row],[사용량]]&lt;=80%, "교체", "긴급 교체")))</f>
        <v>긴급 교체</v>
      </c>
      <c r="N46" s="18" t="str">
        <f>_xlfn.CONCAT("약 ", ROUND((표1_3[[#This Row],[number of hours powered up :]]/24)/365,1), "년")</f>
        <v>약 6년</v>
      </c>
    </row>
    <row r="47" spans="1:14" ht="20" customHeight="1">
      <c r="A47" s="16" t="s">
        <v>56</v>
      </c>
      <c r="B47" s="17" t="s">
        <v>16</v>
      </c>
      <c r="C47" s="17" t="s">
        <v>18</v>
      </c>
      <c r="D47" s="17" t="s">
        <v>39</v>
      </c>
      <c r="E47" s="17" t="s">
        <v>37</v>
      </c>
      <c r="F47" s="17" t="s">
        <v>14</v>
      </c>
      <c r="G47" s="17" t="s">
        <v>15</v>
      </c>
      <c r="H47" s="17" t="s">
        <v>20</v>
      </c>
      <c r="I47" s="18">
        <v>300000</v>
      </c>
      <c r="J47" s="18">
        <v>305222</v>
      </c>
      <c r="K47" s="19">
        <v>52159.43</v>
      </c>
      <c r="L4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1.0174066666666666</v>
      </c>
      <c r="M47" s="18" t="str">
        <f>IF(표1_3[[#This Row],[사용량]]&lt;=60%, "양호", IF(표1_3[[#This Row],[사용량]]&lt;=70%, "교체 권고", IF(표1_3[[#This Row],[사용량]]&lt;=80%, "교체", "긴급 교체")))</f>
        <v>긴급 교체</v>
      </c>
      <c r="N47" s="18" t="str">
        <f>_xlfn.CONCAT("약 ", ROUND((표1_3[[#This Row],[number of hours powered up :]]/24)/365,1), "년")</f>
        <v>약 6년</v>
      </c>
    </row>
    <row r="48" spans="1:14" ht="20" customHeight="1">
      <c r="A48" s="16" t="s">
        <v>56</v>
      </c>
      <c r="B48" s="17" t="s">
        <v>46</v>
      </c>
      <c r="C48" s="17" t="s">
        <v>18</v>
      </c>
      <c r="D48" s="17" t="s">
        <v>39</v>
      </c>
      <c r="E48" s="17" t="s">
        <v>37</v>
      </c>
      <c r="F48" s="17" t="s">
        <v>14</v>
      </c>
      <c r="G48" s="17" t="s">
        <v>15</v>
      </c>
      <c r="H48" s="17" t="s">
        <v>20</v>
      </c>
      <c r="I48" s="18">
        <v>300000</v>
      </c>
      <c r="J48" s="18">
        <v>292025</v>
      </c>
      <c r="K48" s="19">
        <v>52159.53</v>
      </c>
      <c r="L48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0.97341666666666671</v>
      </c>
      <c r="M48" s="18" t="str">
        <f>IF(표1_3[[#This Row],[사용량]]&lt;=60%, "양호", IF(표1_3[[#This Row],[사용량]]&lt;=70%, "교체 권고", IF(표1_3[[#This Row],[사용량]]&lt;=80%, "교체", "긴급 교체")))</f>
        <v>긴급 교체</v>
      </c>
      <c r="N48" s="18" t="str">
        <f>_xlfn.CONCAT("약 ", ROUND((표1_3[[#This Row],[number of hours powered up :]]/24)/365,1), "년")</f>
        <v>약 6년</v>
      </c>
    </row>
    <row r="49" spans="1:14" ht="20" customHeight="1">
      <c r="A49" s="16" t="s">
        <v>56</v>
      </c>
      <c r="B49" s="17" t="s">
        <v>34</v>
      </c>
      <c r="C49" s="17" t="s">
        <v>18</v>
      </c>
      <c r="D49" s="17" t="s">
        <v>39</v>
      </c>
      <c r="E49" s="17" t="s">
        <v>37</v>
      </c>
      <c r="F49" s="17" t="s">
        <v>14</v>
      </c>
      <c r="G49" s="17" t="s">
        <v>15</v>
      </c>
      <c r="H49" s="17" t="s">
        <v>20</v>
      </c>
      <c r="I49" s="18">
        <v>300000</v>
      </c>
      <c r="J49" s="18">
        <v>265293</v>
      </c>
      <c r="K49" s="19">
        <v>52159.53</v>
      </c>
      <c r="L49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0.88431000000000004</v>
      </c>
      <c r="M49" s="18" t="str">
        <f>IF(표1_3[[#This Row],[사용량]]&lt;=60%, "양호", IF(표1_3[[#This Row],[사용량]]&lt;=70%, "교체 권고", IF(표1_3[[#This Row],[사용량]]&lt;=80%, "교체", "긴급 교체")))</f>
        <v>긴급 교체</v>
      </c>
      <c r="N49" s="18" t="str">
        <f>_xlfn.CONCAT("약 ", ROUND((표1_3[[#This Row],[number of hours powered up :]]/24)/365,1), "년")</f>
        <v>약 6년</v>
      </c>
    </row>
    <row r="50" spans="1:14" ht="20" customHeight="1">
      <c r="A50" s="16" t="s">
        <v>57</v>
      </c>
      <c r="B50" s="17" t="s">
        <v>46</v>
      </c>
      <c r="C50" s="17" t="s">
        <v>18</v>
      </c>
      <c r="D50" s="17" t="s">
        <v>39</v>
      </c>
      <c r="E50" s="17" t="s">
        <v>37</v>
      </c>
      <c r="F50" s="17" t="s">
        <v>14</v>
      </c>
      <c r="G50" s="17" t="s">
        <v>15</v>
      </c>
      <c r="H50" s="17" t="s">
        <v>20</v>
      </c>
      <c r="I50" s="18">
        <v>300000</v>
      </c>
      <c r="J50" s="18">
        <v>519909</v>
      </c>
      <c r="K50" s="19">
        <v>52101.77</v>
      </c>
      <c r="L50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1.7330300000000001</v>
      </c>
      <c r="M50" s="18" t="str">
        <f>IF(표1_3[[#This Row],[사용량]]&lt;=60%, "양호", IF(표1_3[[#This Row],[사용량]]&lt;=70%, "교체 권고", IF(표1_3[[#This Row],[사용량]]&lt;=80%, "교체", "긴급 교체")))</f>
        <v>긴급 교체</v>
      </c>
      <c r="N50" s="18" t="str">
        <f>_xlfn.CONCAT("약 ", ROUND((표1_3[[#This Row],[number of hours powered up :]]/24)/365,1), "년")</f>
        <v>약 5.9년</v>
      </c>
    </row>
    <row r="51" spans="1:14" ht="20" customHeight="1">
      <c r="A51" s="16" t="s">
        <v>57</v>
      </c>
      <c r="B51" s="17" t="s">
        <v>16</v>
      </c>
      <c r="C51" s="17" t="s">
        <v>18</v>
      </c>
      <c r="D51" s="17" t="s">
        <v>39</v>
      </c>
      <c r="E51" s="17" t="s">
        <v>37</v>
      </c>
      <c r="F51" s="17" t="s">
        <v>14</v>
      </c>
      <c r="G51" s="17" t="s">
        <v>15</v>
      </c>
      <c r="H51" s="17" t="s">
        <v>20</v>
      </c>
      <c r="I51" s="18">
        <v>300000</v>
      </c>
      <c r="J51" s="18">
        <v>510527</v>
      </c>
      <c r="K51" s="19">
        <v>52101.77</v>
      </c>
      <c r="L51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1.7017566666666666</v>
      </c>
      <c r="M51" s="18" t="str">
        <f>IF(표1_3[[#This Row],[사용량]]&lt;=60%, "양호", IF(표1_3[[#This Row],[사용량]]&lt;=70%, "교체 권고", IF(표1_3[[#This Row],[사용량]]&lt;=80%, "교체", "긴급 교체")))</f>
        <v>긴급 교체</v>
      </c>
      <c r="N51" s="18" t="str">
        <f>_xlfn.CONCAT("약 ", ROUND((표1_3[[#This Row],[number of hours powered up :]]/24)/365,1), "년")</f>
        <v>약 5.9년</v>
      </c>
    </row>
    <row r="52" spans="1:14" ht="20" customHeight="1">
      <c r="A52" s="16" t="s">
        <v>57</v>
      </c>
      <c r="B52" s="17" t="s">
        <v>35</v>
      </c>
      <c r="C52" s="17" t="s">
        <v>18</v>
      </c>
      <c r="D52" s="17" t="s">
        <v>39</v>
      </c>
      <c r="E52" s="17" t="s">
        <v>37</v>
      </c>
      <c r="F52" s="17" t="s">
        <v>14</v>
      </c>
      <c r="G52" s="17" t="s">
        <v>15</v>
      </c>
      <c r="H52" s="17" t="s">
        <v>20</v>
      </c>
      <c r="I52" s="18">
        <v>300000</v>
      </c>
      <c r="J52" s="18">
        <v>505794</v>
      </c>
      <c r="K52" s="19">
        <v>52101.95</v>
      </c>
      <c r="L5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1.68598</v>
      </c>
      <c r="M52" s="18" t="str">
        <f>IF(표1_3[[#This Row],[사용량]]&lt;=60%, "양호", IF(표1_3[[#This Row],[사용량]]&lt;=70%, "교체 권고", IF(표1_3[[#This Row],[사용량]]&lt;=80%, "교체", "긴급 교체")))</f>
        <v>긴급 교체</v>
      </c>
      <c r="N52" s="18" t="str">
        <f>_xlfn.CONCAT("약 ", ROUND((표1_3[[#This Row],[number of hours powered up :]]/24)/365,1), "년")</f>
        <v>약 5.9년</v>
      </c>
    </row>
    <row r="53" spans="1:14" ht="20" customHeight="1">
      <c r="A53" s="16" t="s">
        <v>57</v>
      </c>
      <c r="B53" s="17" t="s">
        <v>11</v>
      </c>
      <c r="C53" s="17" t="s">
        <v>18</v>
      </c>
      <c r="D53" s="17" t="s">
        <v>39</v>
      </c>
      <c r="E53" s="17" t="s">
        <v>37</v>
      </c>
      <c r="F53" s="17" t="s">
        <v>14</v>
      </c>
      <c r="G53" s="17" t="s">
        <v>15</v>
      </c>
      <c r="H53" s="17" t="s">
        <v>20</v>
      </c>
      <c r="I53" s="18">
        <v>300000</v>
      </c>
      <c r="J53" s="18">
        <v>506605</v>
      </c>
      <c r="K53" s="19">
        <v>52102.03</v>
      </c>
      <c r="L5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1.6886833333333333</v>
      </c>
      <c r="M53" s="18" t="str">
        <f>IF(표1_3[[#This Row],[사용량]]&lt;=60%, "양호", IF(표1_3[[#This Row],[사용량]]&lt;=70%, "교체 권고", IF(표1_3[[#This Row],[사용량]]&lt;=80%, "교체", "긴급 교체")))</f>
        <v>긴급 교체</v>
      </c>
      <c r="N53" s="18" t="str">
        <f>_xlfn.CONCAT("약 ", ROUND((표1_3[[#This Row],[number of hours powered up :]]/24)/365,1), "년")</f>
        <v>약 5.9년</v>
      </c>
    </row>
    <row r="54" spans="1:14" ht="20" customHeight="1">
      <c r="A54" s="16" t="s">
        <v>57</v>
      </c>
      <c r="B54" s="17" t="s">
        <v>33</v>
      </c>
      <c r="C54" s="17" t="s">
        <v>18</v>
      </c>
      <c r="D54" s="17" t="s">
        <v>39</v>
      </c>
      <c r="E54" s="17" t="s">
        <v>37</v>
      </c>
      <c r="F54" s="17" t="s">
        <v>14</v>
      </c>
      <c r="G54" s="17" t="s">
        <v>15</v>
      </c>
      <c r="H54" s="17" t="s">
        <v>20</v>
      </c>
      <c r="I54" s="18">
        <v>300000</v>
      </c>
      <c r="J54" s="18">
        <v>513268</v>
      </c>
      <c r="K54" s="19">
        <v>52102.22</v>
      </c>
      <c r="L5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1.7108933333333334</v>
      </c>
      <c r="M54" s="18" t="str">
        <f>IF(표1_3[[#This Row],[사용량]]&lt;=60%, "양호", IF(표1_3[[#This Row],[사용량]]&lt;=70%, "교체 권고", IF(표1_3[[#This Row],[사용량]]&lt;=80%, "교체", "긴급 교체")))</f>
        <v>긴급 교체</v>
      </c>
      <c r="N54" s="18" t="str">
        <f>_xlfn.CONCAT("약 ", ROUND((표1_3[[#This Row],[number of hours powered up :]]/24)/365,1), "년")</f>
        <v>약 5.9년</v>
      </c>
    </row>
    <row r="55" spans="1:14" ht="20" customHeight="1">
      <c r="A55" s="16" t="s">
        <v>57</v>
      </c>
      <c r="B55" s="17" t="s">
        <v>28</v>
      </c>
      <c r="C55" s="17" t="s">
        <v>18</v>
      </c>
      <c r="D55" s="17" t="s">
        <v>39</v>
      </c>
      <c r="E55" s="17" t="s">
        <v>37</v>
      </c>
      <c r="F55" s="17" t="s">
        <v>14</v>
      </c>
      <c r="G55" s="17" t="s">
        <v>15</v>
      </c>
      <c r="H55" s="17" t="s">
        <v>20</v>
      </c>
      <c r="I55" s="18">
        <v>300000</v>
      </c>
      <c r="J55" s="18">
        <v>509239</v>
      </c>
      <c r="K55" s="19">
        <v>52102.28</v>
      </c>
      <c r="L5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1.6974633333333333</v>
      </c>
      <c r="M55" s="18" t="str">
        <f>IF(표1_3[[#This Row],[사용량]]&lt;=60%, "양호", IF(표1_3[[#This Row],[사용량]]&lt;=70%, "교체 권고", IF(표1_3[[#This Row],[사용량]]&lt;=80%, "교체", "긴급 교체")))</f>
        <v>긴급 교체</v>
      </c>
      <c r="N55" s="18" t="str">
        <f>_xlfn.CONCAT("약 ", ROUND((표1_3[[#This Row],[number of hours powered up :]]/24)/365,1), "년")</f>
        <v>약 5.9년</v>
      </c>
    </row>
    <row r="56" spans="1:14" ht="20" customHeight="1">
      <c r="A56" s="16" t="s">
        <v>57</v>
      </c>
      <c r="B56" s="17" t="s">
        <v>32</v>
      </c>
      <c r="C56" s="17" t="s">
        <v>18</v>
      </c>
      <c r="D56" s="17" t="s">
        <v>39</v>
      </c>
      <c r="E56" s="17" t="s">
        <v>37</v>
      </c>
      <c r="F56" s="17" t="s">
        <v>14</v>
      </c>
      <c r="G56" s="17" t="s">
        <v>15</v>
      </c>
      <c r="H56" s="17" t="s">
        <v>20</v>
      </c>
      <c r="I56" s="18">
        <v>300000</v>
      </c>
      <c r="J56" s="18">
        <v>509094</v>
      </c>
      <c r="K56" s="19">
        <v>52102.35</v>
      </c>
      <c r="L5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1.6969799999999999</v>
      </c>
      <c r="M56" s="18" t="str">
        <f>IF(표1_3[[#This Row],[사용량]]&lt;=60%, "양호", IF(표1_3[[#This Row],[사용량]]&lt;=70%, "교체 권고", IF(표1_3[[#This Row],[사용량]]&lt;=80%, "교체", "긴급 교체")))</f>
        <v>긴급 교체</v>
      </c>
      <c r="N56" s="18" t="str">
        <f>_xlfn.CONCAT("약 ", ROUND((표1_3[[#This Row],[number of hours powered up :]]/24)/365,1), "년")</f>
        <v>약 5.9년</v>
      </c>
    </row>
    <row r="57" spans="1:14" ht="20" customHeight="1">
      <c r="A57" s="16" t="s">
        <v>57</v>
      </c>
      <c r="B57" s="17" t="s">
        <v>34</v>
      </c>
      <c r="C57" s="17" t="s">
        <v>18</v>
      </c>
      <c r="D57" s="17" t="s">
        <v>39</v>
      </c>
      <c r="E57" s="17" t="s">
        <v>37</v>
      </c>
      <c r="F57" s="17" t="s">
        <v>14</v>
      </c>
      <c r="G57" s="17" t="s">
        <v>15</v>
      </c>
      <c r="H57" s="17" t="s">
        <v>20</v>
      </c>
      <c r="I57" s="18">
        <v>300000</v>
      </c>
      <c r="J57" s="18">
        <v>510527</v>
      </c>
      <c r="K57" s="19">
        <v>52102.400000000001</v>
      </c>
      <c r="L5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1.7017566666666666</v>
      </c>
      <c r="M57" s="18" t="str">
        <f>IF(표1_3[[#This Row],[사용량]]&lt;=60%, "양호", IF(표1_3[[#This Row],[사용량]]&lt;=70%, "교체 권고", IF(표1_3[[#This Row],[사용량]]&lt;=80%, "교체", "긴급 교체")))</f>
        <v>긴급 교체</v>
      </c>
      <c r="N57" s="18" t="str">
        <f>_xlfn.CONCAT("약 ", ROUND((표1_3[[#This Row],[number of hours powered up :]]/24)/365,1), "년")</f>
        <v>약 5.9년</v>
      </c>
    </row>
    <row r="58" spans="1:14" ht="20" customHeight="1">
      <c r="A58" s="16" t="s">
        <v>57</v>
      </c>
      <c r="B58" s="17" t="s">
        <v>55</v>
      </c>
      <c r="C58" s="18"/>
      <c r="D58" s="17" t="s">
        <v>40</v>
      </c>
      <c r="E58" s="17" t="s">
        <v>41</v>
      </c>
      <c r="F58" s="17" t="s">
        <v>42</v>
      </c>
      <c r="G58" s="17" t="s">
        <v>43</v>
      </c>
      <c r="H58" s="21"/>
      <c r="I58" s="21"/>
      <c r="J58" s="21"/>
      <c r="K58" s="21">
        <v>51749</v>
      </c>
      <c r="L58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58" s="18" t="str">
        <f>IF(표1_3[[#This Row],[사용량]]&lt;=60%, "양호", IF(표1_3[[#This Row],[사용량]]&lt;=70%, "교체 권고", IF(표1_3[[#This Row],[사용량]]&lt;=80%, "교체", "긴급 교체")))</f>
        <v>긴급 교체</v>
      </c>
      <c r="N58" s="18" t="str">
        <f>_xlfn.CONCAT("약 ", ROUND((표1_3[[#This Row],[number of hours powered up :]]/24)/365,1), "년")</f>
        <v>약 5.9년</v>
      </c>
    </row>
    <row r="59" spans="1:14" ht="20" customHeight="1">
      <c r="A59" s="16" t="s">
        <v>57</v>
      </c>
      <c r="B59" s="17" t="s">
        <v>30</v>
      </c>
      <c r="C59" s="18"/>
      <c r="D59" s="17" t="s">
        <v>40</v>
      </c>
      <c r="E59" s="17" t="s">
        <v>41</v>
      </c>
      <c r="F59" s="17" t="s">
        <v>42</v>
      </c>
      <c r="G59" s="17" t="s">
        <v>43</v>
      </c>
      <c r="H59" s="21"/>
      <c r="I59" s="21"/>
      <c r="J59" s="21"/>
      <c r="K59" s="21">
        <v>51750</v>
      </c>
      <c r="L59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59" s="18" t="str">
        <f>IF(표1_3[[#This Row],[사용량]]&lt;=60%, "양호", IF(표1_3[[#This Row],[사용량]]&lt;=70%, "교체 권고", IF(표1_3[[#This Row],[사용량]]&lt;=80%, "교체", "긴급 교체")))</f>
        <v>긴급 교체</v>
      </c>
      <c r="N59" s="18" t="str">
        <f>_xlfn.CONCAT("약 ", ROUND((표1_3[[#This Row],[number of hours powered up :]]/24)/365,1), "년")</f>
        <v>약 5.9년</v>
      </c>
    </row>
    <row r="60" spans="1:14" ht="20" customHeight="1">
      <c r="A60" s="16" t="s">
        <v>45</v>
      </c>
      <c r="B60" s="17" t="s">
        <v>30</v>
      </c>
      <c r="C60" s="17" t="s">
        <v>18</v>
      </c>
      <c r="D60" s="17" t="s">
        <v>39</v>
      </c>
      <c r="E60" s="17" t="s">
        <v>37</v>
      </c>
      <c r="F60" s="17" t="s">
        <v>14</v>
      </c>
      <c r="G60" s="17" t="s">
        <v>15</v>
      </c>
      <c r="H60" s="17" t="s">
        <v>20</v>
      </c>
      <c r="I60" s="18">
        <v>300000</v>
      </c>
      <c r="J60" s="18">
        <v>237039</v>
      </c>
      <c r="K60" s="19">
        <v>52119.47</v>
      </c>
      <c r="L60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0.79013</v>
      </c>
      <c r="M60" s="18" t="str">
        <f>IF(표1_3[[#This Row],[사용량]]&lt;=60%, "양호", IF(표1_3[[#This Row],[사용량]]&lt;=70%, "교체 권고", IF(표1_3[[#This Row],[사용량]]&lt;=80%, "교체", "긴급 교체")))</f>
        <v>교체</v>
      </c>
      <c r="N60" s="18" t="str">
        <f>_xlfn.CONCAT("약 ", ROUND((표1_3[[#This Row],[number of hours powered up :]]/24)/365,1), "년")</f>
        <v>약 5.9년</v>
      </c>
    </row>
    <row r="61" spans="1:14" ht="20" customHeight="1">
      <c r="A61" s="16" t="s">
        <v>45</v>
      </c>
      <c r="B61" s="17" t="s">
        <v>31</v>
      </c>
      <c r="C61" s="17" t="s">
        <v>18</v>
      </c>
      <c r="D61" s="17" t="s">
        <v>39</v>
      </c>
      <c r="E61" s="17" t="s">
        <v>37</v>
      </c>
      <c r="F61" s="17" t="s">
        <v>14</v>
      </c>
      <c r="G61" s="17" t="s">
        <v>15</v>
      </c>
      <c r="H61" s="17" t="s">
        <v>20</v>
      </c>
      <c r="I61" s="18">
        <v>300000</v>
      </c>
      <c r="J61" s="18">
        <v>212244</v>
      </c>
      <c r="K61" s="19">
        <v>52119.73</v>
      </c>
      <c r="L61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0.70748</v>
      </c>
      <c r="M61" s="18" t="str">
        <f>IF(표1_3[[#This Row],[사용량]]&lt;=60%, "양호", IF(표1_3[[#This Row],[사용량]]&lt;=70%, "교체 권고", IF(표1_3[[#This Row],[사용량]]&lt;=80%, "교체", "긴급 교체")))</f>
        <v>교체</v>
      </c>
      <c r="N61" s="18" t="str">
        <f>_xlfn.CONCAT("약 ", ROUND((표1_3[[#This Row],[number of hours powered up :]]/24)/365,1), "년")</f>
        <v>약 5.9년</v>
      </c>
    </row>
    <row r="62" spans="1:14" ht="20" customHeight="1">
      <c r="A62" s="16" t="s">
        <v>45</v>
      </c>
      <c r="B62" s="17" t="s">
        <v>46</v>
      </c>
      <c r="C62" s="17" t="s">
        <v>18</v>
      </c>
      <c r="D62" s="17" t="s">
        <v>39</v>
      </c>
      <c r="E62" s="17" t="s">
        <v>37</v>
      </c>
      <c r="F62" s="17" t="s">
        <v>14</v>
      </c>
      <c r="G62" s="17" t="s">
        <v>15</v>
      </c>
      <c r="H62" s="17" t="s">
        <v>20</v>
      </c>
      <c r="I62" s="18">
        <v>300000</v>
      </c>
      <c r="J62" s="18">
        <v>224600</v>
      </c>
      <c r="K62" s="19">
        <v>52119.78</v>
      </c>
      <c r="L6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0.7486666666666667</v>
      </c>
      <c r="M62" s="18" t="str">
        <f>IF(표1_3[[#This Row],[사용량]]&lt;=60%, "양호", IF(표1_3[[#This Row],[사용량]]&lt;=70%, "교체 권고", IF(표1_3[[#This Row],[사용량]]&lt;=80%, "교체", "긴급 교체")))</f>
        <v>교체</v>
      </c>
      <c r="N62" s="18" t="str">
        <f>_xlfn.CONCAT("약 ", ROUND((표1_3[[#This Row],[number of hours powered up :]]/24)/365,1), "년")</f>
        <v>약 5.9년</v>
      </c>
    </row>
    <row r="63" spans="1:14" ht="20" customHeight="1">
      <c r="A63" s="16" t="s">
        <v>45</v>
      </c>
      <c r="B63" s="17" t="s">
        <v>35</v>
      </c>
      <c r="C63" s="17" t="s">
        <v>18</v>
      </c>
      <c r="D63" s="17" t="s">
        <v>39</v>
      </c>
      <c r="E63" s="17" t="s">
        <v>37</v>
      </c>
      <c r="F63" s="17" t="s">
        <v>14</v>
      </c>
      <c r="G63" s="17" t="s">
        <v>15</v>
      </c>
      <c r="H63" s="17" t="s">
        <v>20</v>
      </c>
      <c r="I63" s="18">
        <v>300000</v>
      </c>
      <c r="J63" s="18">
        <v>234805</v>
      </c>
      <c r="K63" s="19">
        <v>52119.88</v>
      </c>
      <c r="L6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0.78268333333333329</v>
      </c>
      <c r="M63" s="18" t="str">
        <f>IF(표1_3[[#This Row],[사용량]]&lt;=60%, "양호", IF(표1_3[[#This Row],[사용량]]&lt;=70%, "교체 권고", IF(표1_3[[#This Row],[사용량]]&lt;=80%, "교체", "긴급 교체")))</f>
        <v>교체</v>
      </c>
      <c r="N63" s="18" t="str">
        <f>_xlfn.CONCAT("약 ", ROUND((표1_3[[#This Row],[number of hours powered up :]]/24)/365,1), "년")</f>
        <v>약 5.9년</v>
      </c>
    </row>
    <row r="64" spans="1:14" ht="20" customHeight="1">
      <c r="A64" s="16" t="s">
        <v>45</v>
      </c>
      <c r="B64" s="17" t="s">
        <v>11</v>
      </c>
      <c r="C64" s="17" t="s">
        <v>18</v>
      </c>
      <c r="D64" s="17" t="s">
        <v>39</v>
      </c>
      <c r="E64" s="17" t="s">
        <v>37</v>
      </c>
      <c r="F64" s="17" t="s">
        <v>14</v>
      </c>
      <c r="G64" s="17" t="s">
        <v>15</v>
      </c>
      <c r="H64" s="17" t="s">
        <v>20</v>
      </c>
      <c r="I64" s="18">
        <v>300000</v>
      </c>
      <c r="J64" s="18">
        <v>233835</v>
      </c>
      <c r="K64" s="19">
        <v>52119.88</v>
      </c>
      <c r="L6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0.77944999999999998</v>
      </c>
      <c r="M64" s="18" t="str">
        <f>IF(표1_3[[#This Row],[사용량]]&lt;=60%, "양호", IF(표1_3[[#This Row],[사용량]]&lt;=70%, "교체 권고", IF(표1_3[[#This Row],[사용량]]&lt;=80%, "교체", "긴급 교체")))</f>
        <v>교체</v>
      </c>
      <c r="N64" s="18" t="str">
        <f>_xlfn.CONCAT("약 ", ROUND((표1_3[[#This Row],[number of hours powered up :]]/24)/365,1), "년")</f>
        <v>약 5.9년</v>
      </c>
    </row>
    <row r="65" spans="1:14" ht="20" customHeight="1">
      <c r="A65" s="16" t="s">
        <v>45</v>
      </c>
      <c r="B65" s="17" t="s">
        <v>34</v>
      </c>
      <c r="C65" s="17" t="s">
        <v>18</v>
      </c>
      <c r="D65" s="17" t="s">
        <v>39</v>
      </c>
      <c r="E65" s="17" t="s">
        <v>37</v>
      </c>
      <c r="F65" s="17" t="s">
        <v>14</v>
      </c>
      <c r="G65" s="17" t="s">
        <v>15</v>
      </c>
      <c r="H65" s="17" t="s">
        <v>20</v>
      </c>
      <c r="I65" s="18">
        <v>300000</v>
      </c>
      <c r="J65" s="18">
        <v>250982</v>
      </c>
      <c r="K65" s="19">
        <v>52119.92</v>
      </c>
      <c r="L6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0.83660666666666672</v>
      </c>
      <c r="M65" s="18" t="str">
        <f>IF(표1_3[[#This Row],[사용량]]&lt;=60%, "양호", IF(표1_3[[#This Row],[사용량]]&lt;=70%, "교체 권고", IF(표1_3[[#This Row],[사용량]]&lt;=80%, "교체", "긴급 교체")))</f>
        <v>긴급 교체</v>
      </c>
      <c r="N65" s="18" t="str">
        <f>_xlfn.CONCAT("약 ", ROUND((표1_3[[#This Row],[number of hours powered up :]]/24)/365,1), "년")</f>
        <v>약 5.9년</v>
      </c>
    </row>
    <row r="66" spans="1:14" ht="20" customHeight="1">
      <c r="A66" s="16" t="s">
        <v>45</v>
      </c>
      <c r="B66" s="17" t="s">
        <v>33</v>
      </c>
      <c r="C66" s="17" t="s">
        <v>18</v>
      </c>
      <c r="D66" s="17" t="s">
        <v>39</v>
      </c>
      <c r="E66" s="17" t="s">
        <v>37</v>
      </c>
      <c r="F66" s="17" t="s">
        <v>14</v>
      </c>
      <c r="G66" s="17" t="s">
        <v>15</v>
      </c>
      <c r="H66" s="17" t="s">
        <v>20</v>
      </c>
      <c r="I66" s="18">
        <v>300000</v>
      </c>
      <c r="J66" s="18">
        <v>254018</v>
      </c>
      <c r="K66" s="19">
        <v>52120</v>
      </c>
      <c r="L6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0.84672666666666663</v>
      </c>
      <c r="M66" s="18" t="str">
        <f>IF(표1_3[[#This Row],[사용량]]&lt;=60%, "양호", IF(표1_3[[#This Row],[사용량]]&lt;=70%, "교체 권고", IF(표1_3[[#This Row],[사용량]]&lt;=80%, "교체", "긴급 교체")))</f>
        <v>긴급 교체</v>
      </c>
      <c r="N66" s="18" t="str">
        <f>_xlfn.CONCAT("약 ", ROUND((표1_3[[#This Row],[number of hours powered up :]]/24)/365,1), "년")</f>
        <v>약 5.9년</v>
      </c>
    </row>
    <row r="67" spans="1:14" ht="20" customHeight="1">
      <c r="A67" s="16" t="s">
        <v>45</v>
      </c>
      <c r="B67" s="17" t="s">
        <v>32</v>
      </c>
      <c r="C67" s="17" t="s">
        <v>18</v>
      </c>
      <c r="D67" s="17" t="s">
        <v>39</v>
      </c>
      <c r="E67" s="17" t="s">
        <v>37</v>
      </c>
      <c r="F67" s="17" t="s">
        <v>14</v>
      </c>
      <c r="G67" s="17" t="s">
        <v>15</v>
      </c>
      <c r="H67" s="17" t="s">
        <v>20</v>
      </c>
      <c r="I67" s="18">
        <v>300000</v>
      </c>
      <c r="J67" s="18">
        <v>227222</v>
      </c>
      <c r="K67" s="19">
        <v>52120.13</v>
      </c>
      <c r="L6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0.75740666666666667</v>
      </c>
      <c r="M67" s="18" t="str">
        <f>IF(표1_3[[#This Row],[사용량]]&lt;=60%, "양호", IF(표1_3[[#This Row],[사용량]]&lt;=70%, "교체 권고", IF(표1_3[[#This Row],[사용량]]&lt;=80%, "교체", "긴급 교체")))</f>
        <v>교체</v>
      </c>
      <c r="N67" s="18" t="str">
        <f>_xlfn.CONCAT("약 ", ROUND((표1_3[[#This Row],[number of hours powered up :]]/24)/365,1), "년")</f>
        <v>약 5.9년</v>
      </c>
    </row>
    <row r="68" spans="1:14" ht="20" customHeight="1">
      <c r="A68" s="16" t="s">
        <v>45</v>
      </c>
      <c r="B68" s="17" t="s">
        <v>16</v>
      </c>
      <c r="C68" s="17"/>
      <c r="D68" s="17" t="s">
        <v>40</v>
      </c>
      <c r="E68" s="17" t="s">
        <v>41</v>
      </c>
      <c r="F68" s="17" t="s">
        <v>42</v>
      </c>
      <c r="G68" s="17" t="s">
        <v>43</v>
      </c>
      <c r="H68" s="21"/>
      <c r="I68" s="21"/>
      <c r="J68" s="21"/>
      <c r="K68" s="21">
        <v>51767</v>
      </c>
      <c r="L68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68" s="18" t="str">
        <f>IF(표1_3[[#This Row],[사용량]]&lt;=60%, "양호", IF(표1_3[[#This Row],[사용량]]&lt;=70%, "교체 권고", IF(표1_3[[#This Row],[사용량]]&lt;=80%, "교체", "긴급 교체")))</f>
        <v>긴급 교체</v>
      </c>
      <c r="N68" s="18" t="str">
        <f>_xlfn.CONCAT("약 ", ROUND((표1_3[[#This Row],[number of hours powered up :]]/24)/365,1), "년")</f>
        <v>약 5.9년</v>
      </c>
    </row>
    <row r="69" spans="1:14" ht="20" customHeight="1">
      <c r="A69" s="16" t="s">
        <v>45</v>
      </c>
      <c r="B69" s="17" t="s">
        <v>28</v>
      </c>
      <c r="C69" s="17"/>
      <c r="D69" s="17" t="s">
        <v>40</v>
      </c>
      <c r="E69" s="17" t="s">
        <v>41</v>
      </c>
      <c r="F69" s="17" t="s">
        <v>42</v>
      </c>
      <c r="G69" s="17" t="s">
        <v>43</v>
      </c>
      <c r="H69" s="21"/>
      <c r="I69" s="21"/>
      <c r="J69" s="21"/>
      <c r="K69" s="21">
        <v>51764</v>
      </c>
      <c r="L69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69" s="18" t="str">
        <f>IF(표1_3[[#This Row],[사용량]]&lt;=60%, "양호", IF(표1_3[[#This Row],[사용량]]&lt;=70%, "교체 권고", IF(표1_3[[#This Row],[사용량]]&lt;=80%, "교체", "긴급 교체")))</f>
        <v>긴급 교체</v>
      </c>
      <c r="N69" s="18" t="str">
        <f>_xlfn.CONCAT("약 ", ROUND((표1_3[[#This Row],[number of hours powered up :]]/24)/365,1), "년")</f>
        <v>약 5.9년</v>
      </c>
    </row>
    <row r="70" spans="1:14" ht="20" customHeight="1">
      <c r="A70" s="16" t="s">
        <v>47</v>
      </c>
      <c r="B70" s="17" t="s">
        <v>16</v>
      </c>
      <c r="C70" s="17" t="s">
        <v>18</v>
      </c>
      <c r="D70" s="17" t="s">
        <v>39</v>
      </c>
      <c r="E70" s="17" t="s">
        <v>37</v>
      </c>
      <c r="F70" s="17" t="s">
        <v>14</v>
      </c>
      <c r="G70" s="17" t="s">
        <v>15</v>
      </c>
      <c r="H70" s="17" t="s">
        <v>20</v>
      </c>
      <c r="I70" s="18">
        <v>300000</v>
      </c>
      <c r="J70" s="18">
        <v>544224</v>
      </c>
      <c r="K70" s="19">
        <v>52122.47</v>
      </c>
      <c r="L70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1.8140799999999999</v>
      </c>
      <c r="M70" s="18" t="str">
        <f>IF(표1_3[[#This Row],[사용량]]&lt;=60%, "양호", IF(표1_3[[#This Row],[사용량]]&lt;=70%, "교체 권고", IF(표1_3[[#This Row],[사용량]]&lt;=80%, "교체", "긴급 교체")))</f>
        <v>긴급 교체</v>
      </c>
      <c r="N70" s="18" t="str">
        <f>_xlfn.CONCAT("약 ", ROUND((표1_3[[#This Row],[number of hours powered up :]]/24)/365,1), "년")</f>
        <v>약 6년</v>
      </c>
    </row>
    <row r="71" spans="1:14" ht="20" customHeight="1">
      <c r="A71" s="16" t="s">
        <v>47</v>
      </c>
      <c r="B71" s="17" t="s">
        <v>32</v>
      </c>
      <c r="C71" s="17" t="s">
        <v>18</v>
      </c>
      <c r="D71" s="17" t="s">
        <v>39</v>
      </c>
      <c r="E71" s="17" t="s">
        <v>37</v>
      </c>
      <c r="F71" s="17" t="s">
        <v>14</v>
      </c>
      <c r="G71" s="17" t="s">
        <v>15</v>
      </c>
      <c r="H71" s="17" t="s">
        <v>20</v>
      </c>
      <c r="I71" s="18">
        <v>300000</v>
      </c>
      <c r="J71" s="18">
        <v>548262</v>
      </c>
      <c r="K71" s="19">
        <v>52122.68</v>
      </c>
      <c r="L71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1.8275399999999999</v>
      </c>
      <c r="M71" s="18" t="str">
        <f>IF(표1_3[[#This Row],[사용량]]&lt;=60%, "양호", IF(표1_3[[#This Row],[사용량]]&lt;=70%, "교체 권고", IF(표1_3[[#This Row],[사용량]]&lt;=80%, "교체", "긴급 교체")))</f>
        <v>긴급 교체</v>
      </c>
      <c r="N71" s="18" t="str">
        <f>_xlfn.CONCAT("약 ", ROUND((표1_3[[#This Row],[number of hours powered up :]]/24)/365,1), "년")</f>
        <v>약 6년</v>
      </c>
    </row>
    <row r="72" spans="1:14" ht="20" customHeight="1">
      <c r="A72" s="16" t="s">
        <v>47</v>
      </c>
      <c r="B72" s="17" t="s">
        <v>35</v>
      </c>
      <c r="C72" s="17" t="s">
        <v>18</v>
      </c>
      <c r="D72" s="17" t="s">
        <v>39</v>
      </c>
      <c r="E72" s="17" t="s">
        <v>37</v>
      </c>
      <c r="F72" s="17" t="s">
        <v>14</v>
      </c>
      <c r="G72" s="17" t="s">
        <v>15</v>
      </c>
      <c r="H72" s="17" t="s">
        <v>20</v>
      </c>
      <c r="I72" s="18">
        <v>300000</v>
      </c>
      <c r="J72" s="18">
        <v>543641</v>
      </c>
      <c r="K72" s="19">
        <v>52122.8</v>
      </c>
      <c r="L7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1.8121366666666667</v>
      </c>
      <c r="M72" s="18" t="str">
        <f>IF(표1_3[[#This Row],[사용량]]&lt;=60%, "양호", IF(표1_3[[#This Row],[사용량]]&lt;=70%, "교체 권고", IF(표1_3[[#This Row],[사용량]]&lt;=80%, "교체", "긴급 교체")))</f>
        <v>긴급 교체</v>
      </c>
      <c r="N72" s="18" t="str">
        <f>_xlfn.CONCAT("약 ", ROUND((표1_3[[#This Row],[number of hours powered up :]]/24)/365,1), "년")</f>
        <v>약 6년</v>
      </c>
    </row>
    <row r="73" spans="1:14" ht="20" customHeight="1">
      <c r="A73" s="16" t="s">
        <v>47</v>
      </c>
      <c r="B73" s="17" t="s">
        <v>11</v>
      </c>
      <c r="C73" s="17" t="s">
        <v>18</v>
      </c>
      <c r="D73" s="17" t="s">
        <v>39</v>
      </c>
      <c r="E73" s="17" t="s">
        <v>37</v>
      </c>
      <c r="F73" s="17" t="s">
        <v>14</v>
      </c>
      <c r="G73" s="17" t="s">
        <v>15</v>
      </c>
      <c r="H73" s="17" t="s">
        <v>20</v>
      </c>
      <c r="I73" s="18">
        <v>300000</v>
      </c>
      <c r="J73" s="18">
        <v>546581</v>
      </c>
      <c r="K73" s="19">
        <v>52122.82</v>
      </c>
      <c r="L7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1.8219366666666668</v>
      </c>
      <c r="M73" s="18" t="str">
        <f>IF(표1_3[[#This Row],[사용량]]&lt;=60%, "양호", IF(표1_3[[#This Row],[사용량]]&lt;=70%, "교체 권고", IF(표1_3[[#This Row],[사용량]]&lt;=80%, "교체", "긴급 교체")))</f>
        <v>긴급 교체</v>
      </c>
      <c r="N73" s="18" t="str">
        <f>_xlfn.CONCAT("약 ", ROUND((표1_3[[#This Row],[number of hours powered up :]]/24)/365,1), "년")</f>
        <v>약 6년</v>
      </c>
    </row>
    <row r="74" spans="1:14" ht="20" customHeight="1">
      <c r="A74" s="16" t="s">
        <v>47</v>
      </c>
      <c r="B74" s="17" t="s">
        <v>28</v>
      </c>
      <c r="C74" s="17" t="s">
        <v>18</v>
      </c>
      <c r="D74" s="17" t="s">
        <v>39</v>
      </c>
      <c r="E74" s="17" t="s">
        <v>37</v>
      </c>
      <c r="F74" s="17" t="s">
        <v>14</v>
      </c>
      <c r="G74" s="17" t="s">
        <v>15</v>
      </c>
      <c r="H74" s="17" t="s">
        <v>20</v>
      </c>
      <c r="I74" s="18">
        <v>300000</v>
      </c>
      <c r="J74" s="18">
        <v>540394</v>
      </c>
      <c r="K74" s="19">
        <v>52122.87</v>
      </c>
      <c r="L7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1.8013133333333333</v>
      </c>
      <c r="M74" s="18" t="str">
        <f>IF(표1_3[[#This Row],[사용량]]&lt;=60%, "양호", IF(표1_3[[#This Row],[사용량]]&lt;=70%, "교체 권고", IF(표1_3[[#This Row],[사용량]]&lt;=80%, "교체", "긴급 교체")))</f>
        <v>긴급 교체</v>
      </c>
      <c r="N74" s="18" t="str">
        <f>_xlfn.CONCAT("약 ", ROUND((표1_3[[#This Row],[number of hours powered up :]]/24)/365,1), "년")</f>
        <v>약 6년</v>
      </c>
    </row>
    <row r="75" spans="1:14" ht="20" customHeight="1">
      <c r="A75" s="16" t="s">
        <v>47</v>
      </c>
      <c r="B75" s="17" t="s">
        <v>46</v>
      </c>
      <c r="C75" s="17" t="s">
        <v>18</v>
      </c>
      <c r="D75" s="17" t="s">
        <v>39</v>
      </c>
      <c r="E75" s="17" t="s">
        <v>37</v>
      </c>
      <c r="F75" s="17" t="s">
        <v>14</v>
      </c>
      <c r="G75" s="17" t="s">
        <v>15</v>
      </c>
      <c r="H75" s="17" t="s">
        <v>20</v>
      </c>
      <c r="I75" s="18">
        <v>300000</v>
      </c>
      <c r="J75" s="18">
        <v>544236</v>
      </c>
      <c r="K75" s="19">
        <v>52122.9</v>
      </c>
      <c r="L7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1.81412</v>
      </c>
      <c r="M75" s="18" t="str">
        <f>IF(표1_3[[#This Row],[사용량]]&lt;=60%, "양호", IF(표1_3[[#This Row],[사용량]]&lt;=70%, "교체 권고", IF(표1_3[[#This Row],[사용량]]&lt;=80%, "교체", "긴급 교체")))</f>
        <v>긴급 교체</v>
      </c>
      <c r="N75" s="18" t="str">
        <f>_xlfn.CONCAT("약 ", ROUND((표1_3[[#This Row],[number of hours powered up :]]/24)/365,1), "년")</f>
        <v>약 6년</v>
      </c>
    </row>
    <row r="76" spans="1:14" ht="20" customHeight="1">
      <c r="A76" s="16" t="s">
        <v>47</v>
      </c>
      <c r="B76" s="17" t="s">
        <v>34</v>
      </c>
      <c r="C76" s="17" t="s">
        <v>18</v>
      </c>
      <c r="D76" s="17" t="s">
        <v>39</v>
      </c>
      <c r="E76" s="17" t="s">
        <v>37</v>
      </c>
      <c r="F76" s="17" t="s">
        <v>14</v>
      </c>
      <c r="G76" s="17" t="s">
        <v>15</v>
      </c>
      <c r="H76" s="17" t="s">
        <v>20</v>
      </c>
      <c r="I76" s="18">
        <v>300000</v>
      </c>
      <c r="J76" s="18">
        <v>548425</v>
      </c>
      <c r="K76" s="19">
        <v>52122.95</v>
      </c>
      <c r="L7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1.8280833333333333</v>
      </c>
      <c r="M76" s="18" t="str">
        <f>IF(표1_3[[#This Row],[사용량]]&lt;=60%, "양호", IF(표1_3[[#This Row],[사용량]]&lt;=70%, "교체 권고", IF(표1_3[[#This Row],[사용량]]&lt;=80%, "교체", "긴급 교체")))</f>
        <v>긴급 교체</v>
      </c>
      <c r="N76" s="18" t="str">
        <f>_xlfn.CONCAT("약 ", ROUND((표1_3[[#This Row],[number of hours powered up :]]/24)/365,1), "년")</f>
        <v>약 6년</v>
      </c>
    </row>
    <row r="77" spans="1:14" ht="20" customHeight="1">
      <c r="A77" s="16" t="s">
        <v>47</v>
      </c>
      <c r="B77" s="17" t="s">
        <v>33</v>
      </c>
      <c r="C77" s="17" t="s">
        <v>18</v>
      </c>
      <c r="D77" s="17" t="s">
        <v>39</v>
      </c>
      <c r="E77" s="17" t="s">
        <v>37</v>
      </c>
      <c r="F77" s="17" t="s">
        <v>14</v>
      </c>
      <c r="G77" s="17" t="s">
        <v>15</v>
      </c>
      <c r="H77" s="17" t="s">
        <v>20</v>
      </c>
      <c r="I77" s="18">
        <v>300000</v>
      </c>
      <c r="J77" s="18">
        <v>548723</v>
      </c>
      <c r="K77" s="19">
        <v>52123.02</v>
      </c>
      <c r="L7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1.8290766666666667</v>
      </c>
      <c r="M77" s="18" t="str">
        <f>IF(표1_3[[#This Row],[사용량]]&lt;=60%, "양호", IF(표1_3[[#This Row],[사용량]]&lt;=70%, "교체 권고", IF(표1_3[[#This Row],[사용량]]&lt;=80%, "교체", "긴급 교체")))</f>
        <v>긴급 교체</v>
      </c>
      <c r="N77" s="18" t="str">
        <f>_xlfn.CONCAT("약 ", ROUND((표1_3[[#This Row],[number of hours powered up :]]/24)/365,1), "년")</f>
        <v>약 6년</v>
      </c>
    </row>
    <row r="78" spans="1:14" ht="20" customHeight="1">
      <c r="A78" s="16" t="s">
        <v>47</v>
      </c>
      <c r="B78" s="17" t="s">
        <v>30</v>
      </c>
      <c r="C78" s="17"/>
      <c r="D78" s="17" t="s">
        <v>40</v>
      </c>
      <c r="E78" s="17" t="s">
        <v>41</v>
      </c>
      <c r="F78" s="17" t="s">
        <v>42</v>
      </c>
      <c r="G78" s="17" t="s">
        <v>43</v>
      </c>
      <c r="H78" s="21"/>
      <c r="I78" s="21"/>
      <c r="J78" s="21"/>
      <c r="K78" s="21">
        <v>51750</v>
      </c>
      <c r="L78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78" s="18" t="str">
        <f>IF(표1_3[[#This Row],[사용량]]&lt;=60%, "양호", IF(표1_3[[#This Row],[사용량]]&lt;=70%, "교체 권고", IF(표1_3[[#This Row],[사용량]]&lt;=80%, "교체", "긴급 교체")))</f>
        <v>긴급 교체</v>
      </c>
      <c r="N78" s="18" t="str">
        <f>_xlfn.CONCAT("약 ", ROUND((표1_3[[#This Row],[number of hours powered up :]]/24)/365,1), "년")</f>
        <v>약 5.9년</v>
      </c>
    </row>
    <row r="79" spans="1:14" ht="20" customHeight="1">
      <c r="A79" s="16" t="s">
        <v>47</v>
      </c>
      <c r="B79" s="17" t="s">
        <v>31</v>
      </c>
      <c r="C79" s="17"/>
      <c r="D79" s="17" t="s">
        <v>40</v>
      </c>
      <c r="E79" s="17" t="s">
        <v>41</v>
      </c>
      <c r="F79" s="17" t="s">
        <v>42</v>
      </c>
      <c r="G79" s="17" t="s">
        <v>43</v>
      </c>
      <c r="H79" s="21"/>
      <c r="I79" s="21"/>
      <c r="J79" s="21"/>
      <c r="K79" s="21">
        <v>51751</v>
      </c>
      <c r="L79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79" s="18" t="str">
        <f>IF(표1_3[[#This Row],[사용량]]&lt;=60%, "양호", IF(표1_3[[#This Row],[사용량]]&lt;=70%, "교체 권고", IF(표1_3[[#This Row],[사용량]]&lt;=80%, "교체", "긴급 교체")))</f>
        <v>긴급 교체</v>
      </c>
      <c r="N79" s="18" t="str">
        <f>_xlfn.CONCAT("약 ", ROUND((표1_3[[#This Row],[number of hours powered up :]]/24)/365,1), "년")</f>
        <v>약 5.9년</v>
      </c>
    </row>
    <row r="80" spans="1:14" ht="20" customHeight="1">
      <c r="A80" s="16" t="s">
        <v>48</v>
      </c>
      <c r="B80" s="17" t="s">
        <v>32</v>
      </c>
      <c r="C80" s="17" t="s">
        <v>18</v>
      </c>
      <c r="D80" s="17" t="s">
        <v>39</v>
      </c>
      <c r="E80" s="17" t="s">
        <v>37</v>
      </c>
      <c r="F80" s="17" t="s">
        <v>14</v>
      </c>
      <c r="G80" s="17" t="s">
        <v>15</v>
      </c>
      <c r="H80" s="17" t="s">
        <v>20</v>
      </c>
      <c r="I80" s="18">
        <v>300000</v>
      </c>
      <c r="J80" s="18">
        <v>527460</v>
      </c>
      <c r="K80" s="19">
        <v>52119.7</v>
      </c>
      <c r="L80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1.7582</v>
      </c>
      <c r="M80" s="18" t="str">
        <f>IF(표1_3[[#This Row],[사용량]]&lt;=60%, "양호", IF(표1_3[[#This Row],[사용량]]&lt;=70%, "교체 권고", IF(표1_3[[#This Row],[사용량]]&lt;=80%, "교체", "긴급 교체")))</f>
        <v>긴급 교체</v>
      </c>
      <c r="N80" s="18" t="str">
        <f>_xlfn.CONCAT("약 ", ROUND((표1_3[[#This Row],[number of hours powered up :]]/24)/365,1), "년")</f>
        <v>약 5.9년</v>
      </c>
    </row>
    <row r="81" spans="1:14" ht="20" customHeight="1">
      <c r="A81" s="16" t="s">
        <v>48</v>
      </c>
      <c r="B81" s="17" t="s">
        <v>35</v>
      </c>
      <c r="C81" s="17" t="s">
        <v>18</v>
      </c>
      <c r="D81" s="17" t="s">
        <v>39</v>
      </c>
      <c r="E81" s="17" t="s">
        <v>37</v>
      </c>
      <c r="F81" s="17" t="s">
        <v>14</v>
      </c>
      <c r="G81" s="17" t="s">
        <v>15</v>
      </c>
      <c r="H81" s="17" t="s">
        <v>20</v>
      </c>
      <c r="I81" s="18">
        <v>300000</v>
      </c>
      <c r="J81" s="18">
        <v>524480</v>
      </c>
      <c r="K81" s="19">
        <v>52119.73</v>
      </c>
      <c r="L81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1.7482666666666666</v>
      </c>
      <c r="M81" s="18" t="str">
        <f>IF(표1_3[[#This Row],[사용량]]&lt;=60%, "양호", IF(표1_3[[#This Row],[사용량]]&lt;=70%, "교체 권고", IF(표1_3[[#This Row],[사용량]]&lt;=80%, "교체", "긴급 교체")))</f>
        <v>긴급 교체</v>
      </c>
      <c r="N81" s="18" t="str">
        <f>_xlfn.CONCAT("약 ", ROUND((표1_3[[#This Row],[number of hours powered up :]]/24)/365,1), "년")</f>
        <v>약 5.9년</v>
      </c>
    </row>
    <row r="82" spans="1:14" ht="20" customHeight="1">
      <c r="A82" s="16" t="s">
        <v>48</v>
      </c>
      <c r="B82" s="17" t="s">
        <v>11</v>
      </c>
      <c r="C82" s="17" t="s">
        <v>18</v>
      </c>
      <c r="D82" s="17" t="s">
        <v>39</v>
      </c>
      <c r="E82" s="17" t="s">
        <v>37</v>
      </c>
      <c r="F82" s="17" t="s">
        <v>14</v>
      </c>
      <c r="G82" s="17" t="s">
        <v>15</v>
      </c>
      <c r="H82" s="17" t="s">
        <v>20</v>
      </c>
      <c r="I82" s="18">
        <v>300000</v>
      </c>
      <c r="J82" s="18">
        <v>521347</v>
      </c>
      <c r="K82" s="19">
        <v>52119.73</v>
      </c>
      <c r="L8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1.7378233333333333</v>
      </c>
      <c r="M82" s="18" t="str">
        <f>IF(표1_3[[#This Row],[사용량]]&lt;=60%, "양호", IF(표1_3[[#This Row],[사용량]]&lt;=70%, "교체 권고", IF(표1_3[[#This Row],[사용량]]&lt;=80%, "교체", "긴급 교체")))</f>
        <v>긴급 교체</v>
      </c>
      <c r="N82" s="18" t="str">
        <f>_xlfn.CONCAT("약 ", ROUND((표1_3[[#This Row],[number of hours powered up :]]/24)/365,1), "년")</f>
        <v>약 5.9년</v>
      </c>
    </row>
    <row r="83" spans="1:14" ht="20" customHeight="1">
      <c r="A83" s="16" t="s">
        <v>48</v>
      </c>
      <c r="B83" s="17" t="s">
        <v>46</v>
      </c>
      <c r="C83" s="17" t="s">
        <v>18</v>
      </c>
      <c r="D83" s="17" t="s">
        <v>39</v>
      </c>
      <c r="E83" s="17" t="s">
        <v>37</v>
      </c>
      <c r="F83" s="17" t="s">
        <v>14</v>
      </c>
      <c r="G83" s="17" t="s">
        <v>15</v>
      </c>
      <c r="H83" s="17" t="s">
        <v>20</v>
      </c>
      <c r="I83" s="18">
        <v>300000</v>
      </c>
      <c r="J83" s="18">
        <v>528320</v>
      </c>
      <c r="K83" s="19">
        <v>52119.78</v>
      </c>
      <c r="L8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1.7610666666666666</v>
      </c>
      <c r="M83" s="18" t="str">
        <f>IF(표1_3[[#This Row],[사용량]]&lt;=60%, "양호", IF(표1_3[[#This Row],[사용량]]&lt;=70%, "교체 권고", IF(표1_3[[#This Row],[사용량]]&lt;=80%, "교체", "긴급 교체")))</f>
        <v>긴급 교체</v>
      </c>
      <c r="N83" s="18" t="str">
        <f>_xlfn.CONCAT("약 ", ROUND((표1_3[[#This Row],[number of hours powered up :]]/24)/365,1), "년")</f>
        <v>약 5.9년</v>
      </c>
    </row>
    <row r="84" spans="1:14" ht="20" customHeight="1">
      <c r="A84" s="16" t="s">
        <v>48</v>
      </c>
      <c r="B84" s="17" t="s">
        <v>31</v>
      </c>
      <c r="C84" s="17" t="s">
        <v>18</v>
      </c>
      <c r="D84" s="17" t="s">
        <v>39</v>
      </c>
      <c r="E84" s="17" t="s">
        <v>37</v>
      </c>
      <c r="F84" s="17" t="s">
        <v>14</v>
      </c>
      <c r="G84" s="17" t="s">
        <v>15</v>
      </c>
      <c r="H84" s="17" t="s">
        <v>20</v>
      </c>
      <c r="I84" s="18">
        <v>300000</v>
      </c>
      <c r="J84" s="18">
        <v>531673</v>
      </c>
      <c r="K84" s="19">
        <v>52119.83</v>
      </c>
      <c r="L8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1.7722433333333334</v>
      </c>
      <c r="M84" s="18" t="str">
        <f>IF(표1_3[[#This Row],[사용량]]&lt;=60%, "양호", IF(표1_3[[#This Row],[사용량]]&lt;=70%, "교체 권고", IF(표1_3[[#This Row],[사용량]]&lt;=80%, "교체", "긴급 교체")))</f>
        <v>긴급 교체</v>
      </c>
      <c r="N84" s="18" t="str">
        <f>_xlfn.CONCAT("약 ", ROUND((표1_3[[#This Row],[number of hours powered up :]]/24)/365,1), "년")</f>
        <v>약 5.9년</v>
      </c>
    </row>
    <row r="85" spans="1:14" ht="20" customHeight="1">
      <c r="A85" s="16" t="s">
        <v>48</v>
      </c>
      <c r="B85" s="17" t="s">
        <v>34</v>
      </c>
      <c r="C85" s="17" t="s">
        <v>18</v>
      </c>
      <c r="D85" s="17" t="s">
        <v>39</v>
      </c>
      <c r="E85" s="17" t="s">
        <v>37</v>
      </c>
      <c r="F85" s="17" t="s">
        <v>14</v>
      </c>
      <c r="G85" s="17" t="s">
        <v>15</v>
      </c>
      <c r="H85" s="17" t="s">
        <v>20</v>
      </c>
      <c r="I85" s="18">
        <v>300000</v>
      </c>
      <c r="J85" s="18">
        <v>524783</v>
      </c>
      <c r="K85" s="19">
        <v>52119.83</v>
      </c>
      <c r="L8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1.7492766666666666</v>
      </c>
      <c r="M85" s="18" t="str">
        <f>IF(표1_3[[#This Row],[사용량]]&lt;=60%, "양호", IF(표1_3[[#This Row],[사용량]]&lt;=70%, "교체 권고", IF(표1_3[[#This Row],[사용량]]&lt;=80%, "교체", "긴급 교체")))</f>
        <v>긴급 교체</v>
      </c>
      <c r="N85" s="18" t="str">
        <f>_xlfn.CONCAT("약 ", ROUND((표1_3[[#This Row],[number of hours powered up :]]/24)/365,1), "년")</f>
        <v>약 5.9년</v>
      </c>
    </row>
    <row r="86" spans="1:14" ht="20" customHeight="1">
      <c r="A86" s="16" t="s">
        <v>48</v>
      </c>
      <c r="B86" s="17" t="s">
        <v>30</v>
      </c>
      <c r="C86" s="17" t="s">
        <v>18</v>
      </c>
      <c r="D86" s="17" t="s">
        <v>39</v>
      </c>
      <c r="E86" s="17" t="s">
        <v>37</v>
      </c>
      <c r="F86" s="17" t="s">
        <v>14</v>
      </c>
      <c r="G86" s="17" t="s">
        <v>15</v>
      </c>
      <c r="H86" s="17" t="s">
        <v>20</v>
      </c>
      <c r="I86" s="18">
        <v>300000</v>
      </c>
      <c r="J86" s="18">
        <v>522809</v>
      </c>
      <c r="K86" s="19">
        <v>52120</v>
      </c>
      <c r="L8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1.7426966666666666</v>
      </c>
      <c r="M86" s="18" t="str">
        <f>IF(표1_3[[#This Row],[사용량]]&lt;=60%, "양호", IF(표1_3[[#This Row],[사용량]]&lt;=70%, "교체 권고", IF(표1_3[[#This Row],[사용량]]&lt;=80%, "교체", "긴급 교체")))</f>
        <v>긴급 교체</v>
      </c>
      <c r="N86" s="18" t="str">
        <f>_xlfn.CONCAT("약 ", ROUND((표1_3[[#This Row],[number of hours powered up :]]/24)/365,1), "년")</f>
        <v>약 5.9년</v>
      </c>
    </row>
    <row r="87" spans="1:14" ht="20" customHeight="1">
      <c r="A87" s="16" t="s">
        <v>48</v>
      </c>
      <c r="B87" s="17" t="s">
        <v>33</v>
      </c>
      <c r="C87" s="17" t="s">
        <v>18</v>
      </c>
      <c r="D87" s="17" t="s">
        <v>39</v>
      </c>
      <c r="E87" s="17" t="s">
        <v>37</v>
      </c>
      <c r="F87" s="17" t="s">
        <v>14</v>
      </c>
      <c r="G87" s="17" t="s">
        <v>15</v>
      </c>
      <c r="H87" s="17" t="s">
        <v>20</v>
      </c>
      <c r="I87" s="18">
        <v>300000</v>
      </c>
      <c r="J87" s="18">
        <v>530073</v>
      </c>
      <c r="K87" s="19">
        <v>52120.18</v>
      </c>
      <c r="L8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1.76691</v>
      </c>
      <c r="M87" s="18" t="str">
        <f>IF(표1_3[[#This Row],[사용량]]&lt;=60%, "양호", IF(표1_3[[#This Row],[사용량]]&lt;=70%, "교체 권고", IF(표1_3[[#This Row],[사용량]]&lt;=80%, "교체", "긴급 교체")))</f>
        <v>긴급 교체</v>
      </c>
      <c r="N87" s="18" t="str">
        <f>_xlfn.CONCAT("약 ", ROUND((표1_3[[#This Row],[number of hours powered up :]]/24)/365,1), "년")</f>
        <v>약 5.9년</v>
      </c>
    </row>
    <row r="88" spans="1:14" ht="20" customHeight="1">
      <c r="A88" s="16" t="s">
        <v>48</v>
      </c>
      <c r="B88" s="17" t="s">
        <v>16</v>
      </c>
      <c r="C88" s="18"/>
      <c r="D88" s="17" t="s">
        <v>40</v>
      </c>
      <c r="E88" s="17" t="s">
        <v>41</v>
      </c>
      <c r="F88" s="17" t="s">
        <v>42</v>
      </c>
      <c r="G88" s="17" t="s">
        <v>43</v>
      </c>
      <c r="H88" s="21"/>
      <c r="I88" s="21"/>
      <c r="J88" s="21"/>
      <c r="K88" s="21">
        <v>51762</v>
      </c>
      <c r="L88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88" s="18" t="str">
        <f>IF(표1_3[[#This Row],[사용량]]&lt;=60%, "양호", IF(표1_3[[#This Row],[사용량]]&lt;=70%, "교체 권고", IF(표1_3[[#This Row],[사용량]]&lt;=80%, "교체", "긴급 교체")))</f>
        <v>긴급 교체</v>
      </c>
      <c r="N88" s="18" t="str">
        <f>_xlfn.CONCAT("약 ", ROUND((표1_3[[#This Row],[number of hours powered up :]]/24)/365,1), "년")</f>
        <v>약 5.9년</v>
      </c>
    </row>
    <row r="89" spans="1:14" ht="20" customHeight="1">
      <c r="A89" s="16" t="s">
        <v>48</v>
      </c>
      <c r="B89" s="17" t="s">
        <v>28</v>
      </c>
      <c r="C89" s="18"/>
      <c r="D89" s="17" t="s">
        <v>40</v>
      </c>
      <c r="E89" s="17" t="s">
        <v>41</v>
      </c>
      <c r="F89" s="17" t="s">
        <v>42</v>
      </c>
      <c r="G89" s="17" t="s">
        <v>43</v>
      </c>
      <c r="H89" s="21"/>
      <c r="I89" s="21"/>
      <c r="J89" s="21"/>
      <c r="K89" s="21">
        <v>51762</v>
      </c>
      <c r="L89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89" s="18" t="str">
        <f>IF(표1_3[[#This Row],[사용량]]&lt;=60%, "양호", IF(표1_3[[#This Row],[사용량]]&lt;=70%, "교체 권고", IF(표1_3[[#This Row],[사용량]]&lt;=80%, "교체", "긴급 교체")))</f>
        <v>긴급 교체</v>
      </c>
      <c r="N89" s="18" t="str">
        <f>_xlfn.CONCAT("약 ", ROUND((표1_3[[#This Row],[number of hours powered up :]]/24)/365,1), "년")</f>
        <v>약 5.9년</v>
      </c>
    </row>
    <row r="90" spans="1:14" ht="20" customHeight="1">
      <c r="A90" s="16" t="s">
        <v>49</v>
      </c>
      <c r="B90" s="17" t="s">
        <v>34</v>
      </c>
      <c r="C90" s="17" t="s">
        <v>18</v>
      </c>
      <c r="D90" s="17" t="s">
        <v>39</v>
      </c>
      <c r="E90" s="17" t="s">
        <v>37</v>
      </c>
      <c r="F90" s="17" t="s">
        <v>14</v>
      </c>
      <c r="G90" s="17" t="s">
        <v>15</v>
      </c>
      <c r="H90" s="17" t="s">
        <v>20</v>
      </c>
      <c r="I90" s="18">
        <v>300000</v>
      </c>
      <c r="J90" s="18">
        <v>546451</v>
      </c>
      <c r="K90" s="19">
        <v>52122.43</v>
      </c>
      <c r="L90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1.8215033333333333</v>
      </c>
      <c r="M90" s="18" t="str">
        <f>IF(표1_3[[#This Row],[사용량]]&lt;=60%, "양호", IF(표1_3[[#This Row],[사용량]]&lt;=70%, "교체 권고", IF(표1_3[[#This Row],[사용량]]&lt;=80%, "교체", "긴급 교체")))</f>
        <v>긴급 교체</v>
      </c>
      <c r="N90" s="18" t="str">
        <f>_xlfn.CONCAT("약 ", ROUND((표1_3[[#This Row],[number of hours powered up :]]/24)/365,1), "년")</f>
        <v>약 6년</v>
      </c>
    </row>
    <row r="91" spans="1:14" ht="20" customHeight="1">
      <c r="A91" s="16" t="s">
        <v>49</v>
      </c>
      <c r="B91" s="17" t="s">
        <v>11</v>
      </c>
      <c r="C91" s="17" t="s">
        <v>18</v>
      </c>
      <c r="D91" s="17" t="s">
        <v>39</v>
      </c>
      <c r="E91" s="17" t="s">
        <v>37</v>
      </c>
      <c r="F91" s="17" t="s">
        <v>14</v>
      </c>
      <c r="G91" s="17" t="s">
        <v>15</v>
      </c>
      <c r="H91" s="17" t="s">
        <v>20</v>
      </c>
      <c r="I91" s="18">
        <v>300000</v>
      </c>
      <c r="J91" s="18">
        <v>551827</v>
      </c>
      <c r="K91" s="19">
        <v>52122.58</v>
      </c>
      <c r="L91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1.8394233333333334</v>
      </c>
      <c r="M91" s="18" t="str">
        <f>IF(표1_3[[#This Row],[사용량]]&lt;=60%, "양호", IF(표1_3[[#This Row],[사용량]]&lt;=70%, "교체 권고", IF(표1_3[[#This Row],[사용량]]&lt;=80%, "교체", "긴급 교체")))</f>
        <v>긴급 교체</v>
      </c>
      <c r="N91" s="18" t="str">
        <f>_xlfn.CONCAT("약 ", ROUND((표1_3[[#This Row],[number of hours powered up :]]/24)/365,1), "년")</f>
        <v>약 6년</v>
      </c>
    </row>
    <row r="92" spans="1:14" ht="20" customHeight="1">
      <c r="A92" s="16" t="s">
        <v>49</v>
      </c>
      <c r="B92" s="17" t="s">
        <v>30</v>
      </c>
      <c r="C92" s="17" t="s">
        <v>18</v>
      </c>
      <c r="D92" s="17" t="s">
        <v>39</v>
      </c>
      <c r="E92" s="17" t="s">
        <v>37</v>
      </c>
      <c r="F92" s="17" t="s">
        <v>14</v>
      </c>
      <c r="G92" s="17" t="s">
        <v>15</v>
      </c>
      <c r="H92" s="17" t="s">
        <v>20</v>
      </c>
      <c r="I92" s="18">
        <v>300000</v>
      </c>
      <c r="J92" s="18">
        <v>542498</v>
      </c>
      <c r="K92" s="19">
        <v>52122.62</v>
      </c>
      <c r="L9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1.8083266666666666</v>
      </c>
      <c r="M92" s="18" t="str">
        <f>IF(표1_3[[#This Row],[사용량]]&lt;=60%, "양호", IF(표1_3[[#This Row],[사용량]]&lt;=70%, "교체 권고", IF(표1_3[[#This Row],[사용량]]&lt;=80%, "교체", "긴급 교체")))</f>
        <v>긴급 교체</v>
      </c>
      <c r="N92" s="18" t="str">
        <f>_xlfn.CONCAT("약 ", ROUND((표1_3[[#This Row],[number of hours powered up :]]/24)/365,1), "년")</f>
        <v>약 6년</v>
      </c>
    </row>
    <row r="93" spans="1:14" ht="20" customHeight="1">
      <c r="A93" s="16" t="s">
        <v>49</v>
      </c>
      <c r="B93" s="17" t="s">
        <v>16</v>
      </c>
      <c r="C93" s="17" t="s">
        <v>18</v>
      </c>
      <c r="D93" s="17" t="s">
        <v>39</v>
      </c>
      <c r="E93" s="17" t="s">
        <v>37</v>
      </c>
      <c r="F93" s="17" t="s">
        <v>14</v>
      </c>
      <c r="G93" s="17" t="s">
        <v>15</v>
      </c>
      <c r="H93" s="17" t="s">
        <v>20</v>
      </c>
      <c r="I93" s="18">
        <v>300000</v>
      </c>
      <c r="J93" s="18">
        <v>545753</v>
      </c>
      <c r="K93" s="19">
        <v>52122.67</v>
      </c>
      <c r="L9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1.8191766666666667</v>
      </c>
      <c r="M93" s="18" t="str">
        <f>IF(표1_3[[#This Row],[사용량]]&lt;=60%, "양호", IF(표1_3[[#This Row],[사용량]]&lt;=70%, "교체 권고", IF(표1_3[[#This Row],[사용량]]&lt;=80%, "교체", "긴급 교체")))</f>
        <v>긴급 교체</v>
      </c>
      <c r="N93" s="18" t="str">
        <f>_xlfn.CONCAT("약 ", ROUND((표1_3[[#This Row],[number of hours powered up :]]/24)/365,1), "년")</f>
        <v>약 6년</v>
      </c>
    </row>
    <row r="94" spans="1:14" ht="20" customHeight="1">
      <c r="A94" s="16" t="s">
        <v>49</v>
      </c>
      <c r="B94" s="17" t="s">
        <v>28</v>
      </c>
      <c r="C94" s="17" t="s">
        <v>18</v>
      </c>
      <c r="D94" s="17" t="s">
        <v>39</v>
      </c>
      <c r="E94" s="17" t="s">
        <v>37</v>
      </c>
      <c r="F94" s="17" t="s">
        <v>14</v>
      </c>
      <c r="G94" s="17" t="s">
        <v>15</v>
      </c>
      <c r="H94" s="17" t="s">
        <v>20</v>
      </c>
      <c r="I94" s="18">
        <v>300000</v>
      </c>
      <c r="J94" s="18">
        <v>550553</v>
      </c>
      <c r="K94" s="19">
        <v>52122.720000000001</v>
      </c>
      <c r="L9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1.8351766666666667</v>
      </c>
      <c r="M94" s="18" t="str">
        <f>IF(표1_3[[#This Row],[사용량]]&lt;=60%, "양호", IF(표1_3[[#This Row],[사용량]]&lt;=70%, "교체 권고", IF(표1_3[[#This Row],[사용량]]&lt;=80%, "교체", "긴급 교체")))</f>
        <v>긴급 교체</v>
      </c>
      <c r="N94" s="18" t="str">
        <f>_xlfn.CONCAT("약 ", ROUND((표1_3[[#This Row],[number of hours powered up :]]/24)/365,1), "년")</f>
        <v>약 6년</v>
      </c>
    </row>
    <row r="95" spans="1:14" ht="20" customHeight="1">
      <c r="A95" s="16" t="s">
        <v>49</v>
      </c>
      <c r="B95" s="17" t="s">
        <v>46</v>
      </c>
      <c r="C95" s="17" t="s">
        <v>18</v>
      </c>
      <c r="D95" s="17" t="s">
        <v>39</v>
      </c>
      <c r="E95" s="17" t="s">
        <v>37</v>
      </c>
      <c r="F95" s="17" t="s">
        <v>14</v>
      </c>
      <c r="G95" s="17" t="s">
        <v>15</v>
      </c>
      <c r="H95" s="17" t="s">
        <v>20</v>
      </c>
      <c r="I95" s="18">
        <v>300000</v>
      </c>
      <c r="J95" s="18">
        <v>543619</v>
      </c>
      <c r="K95" s="19">
        <v>52122.720000000001</v>
      </c>
      <c r="L9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1.8120633333333334</v>
      </c>
      <c r="M95" s="18" t="str">
        <f>IF(표1_3[[#This Row],[사용량]]&lt;=60%, "양호", IF(표1_3[[#This Row],[사용량]]&lt;=70%, "교체 권고", IF(표1_3[[#This Row],[사용량]]&lt;=80%, "교체", "긴급 교체")))</f>
        <v>긴급 교체</v>
      </c>
      <c r="N95" s="18" t="str">
        <f>_xlfn.CONCAT("약 ", ROUND((표1_3[[#This Row],[number of hours powered up :]]/24)/365,1), "년")</f>
        <v>약 6년</v>
      </c>
    </row>
    <row r="96" spans="1:14" ht="20" customHeight="1">
      <c r="A96" s="16" t="s">
        <v>49</v>
      </c>
      <c r="B96" s="17" t="s">
        <v>35</v>
      </c>
      <c r="C96" s="17" t="s">
        <v>18</v>
      </c>
      <c r="D96" s="17" t="s">
        <v>39</v>
      </c>
      <c r="E96" s="17" t="s">
        <v>37</v>
      </c>
      <c r="F96" s="17" t="s">
        <v>14</v>
      </c>
      <c r="G96" s="17" t="s">
        <v>15</v>
      </c>
      <c r="H96" s="17" t="s">
        <v>20</v>
      </c>
      <c r="I96" s="18">
        <v>300000</v>
      </c>
      <c r="J96" s="18">
        <v>550030</v>
      </c>
      <c r="K96" s="19">
        <v>52122.95</v>
      </c>
      <c r="L9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1.8334333333333332</v>
      </c>
      <c r="M96" s="18" t="str">
        <f>IF(표1_3[[#This Row],[사용량]]&lt;=60%, "양호", IF(표1_3[[#This Row],[사용량]]&lt;=70%, "교체 권고", IF(표1_3[[#This Row],[사용량]]&lt;=80%, "교체", "긴급 교체")))</f>
        <v>긴급 교체</v>
      </c>
      <c r="N96" s="18" t="str">
        <f>_xlfn.CONCAT("약 ", ROUND((표1_3[[#This Row],[number of hours powered up :]]/24)/365,1), "년")</f>
        <v>약 6년</v>
      </c>
    </row>
    <row r="97" spans="1:14" ht="20" customHeight="1">
      <c r="A97" s="16" t="s">
        <v>49</v>
      </c>
      <c r="B97" s="17" t="s">
        <v>31</v>
      </c>
      <c r="C97" s="17" t="s">
        <v>18</v>
      </c>
      <c r="D97" s="17" t="s">
        <v>39</v>
      </c>
      <c r="E97" s="17" t="s">
        <v>37</v>
      </c>
      <c r="F97" s="17" t="s">
        <v>14</v>
      </c>
      <c r="G97" s="17" t="s">
        <v>15</v>
      </c>
      <c r="H97" s="17" t="s">
        <v>20</v>
      </c>
      <c r="I97" s="18">
        <v>300000</v>
      </c>
      <c r="J97" s="18">
        <v>548274</v>
      </c>
      <c r="K97" s="19">
        <v>52123.4</v>
      </c>
      <c r="L9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1.82758</v>
      </c>
      <c r="M97" s="18" t="str">
        <f>IF(표1_3[[#This Row],[사용량]]&lt;=60%, "양호", IF(표1_3[[#This Row],[사용량]]&lt;=70%, "교체 권고", IF(표1_3[[#This Row],[사용량]]&lt;=80%, "교체", "긴급 교체")))</f>
        <v>긴급 교체</v>
      </c>
      <c r="N97" s="18" t="str">
        <f>_xlfn.CONCAT("약 ", ROUND((표1_3[[#This Row],[number of hours powered up :]]/24)/365,1), "년")</f>
        <v>약 6년</v>
      </c>
    </row>
    <row r="98" spans="1:14" ht="20" customHeight="1">
      <c r="A98" s="16" t="s">
        <v>49</v>
      </c>
      <c r="B98" s="17" t="s">
        <v>32</v>
      </c>
      <c r="C98" s="18"/>
      <c r="D98" s="17" t="s">
        <v>40</v>
      </c>
      <c r="E98" s="17" t="s">
        <v>41</v>
      </c>
      <c r="F98" s="17" t="s">
        <v>42</v>
      </c>
      <c r="G98" s="17" t="s">
        <v>43</v>
      </c>
      <c r="H98" s="21"/>
      <c r="I98" s="21"/>
      <c r="J98" s="21"/>
      <c r="K98" s="21">
        <v>51752</v>
      </c>
      <c r="L98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98" s="18" t="str">
        <f>IF(표1_3[[#This Row],[사용량]]&lt;=60%, "양호", IF(표1_3[[#This Row],[사용량]]&lt;=70%, "교체 권고", IF(표1_3[[#This Row],[사용량]]&lt;=80%, "교체", "긴급 교체")))</f>
        <v>긴급 교체</v>
      </c>
      <c r="N98" s="18" t="str">
        <f>_xlfn.CONCAT("약 ", ROUND((표1_3[[#This Row],[number of hours powered up :]]/24)/365,1), "년")</f>
        <v>약 5.9년</v>
      </c>
    </row>
    <row r="99" spans="1:14" ht="20" customHeight="1">
      <c r="A99" s="16" t="s">
        <v>49</v>
      </c>
      <c r="B99" s="17" t="s">
        <v>33</v>
      </c>
      <c r="C99" s="18"/>
      <c r="D99" s="17" t="s">
        <v>40</v>
      </c>
      <c r="E99" s="17" t="s">
        <v>41</v>
      </c>
      <c r="F99" s="17" t="s">
        <v>42</v>
      </c>
      <c r="G99" s="17" t="s">
        <v>43</v>
      </c>
      <c r="H99" s="21"/>
      <c r="I99" s="21"/>
      <c r="J99" s="21"/>
      <c r="K99" s="21">
        <v>51750</v>
      </c>
      <c r="L99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99" s="18" t="str">
        <f>IF(표1_3[[#This Row],[사용량]]&lt;=60%, "양호", IF(표1_3[[#This Row],[사용량]]&lt;=70%, "교체 권고", IF(표1_3[[#This Row],[사용량]]&lt;=80%, "교체", "긴급 교체")))</f>
        <v>긴급 교체</v>
      </c>
      <c r="N99" s="18" t="str">
        <f>_xlfn.CONCAT("약 ", ROUND((표1_3[[#This Row],[number of hours powered up :]]/24)/365,1), "년")</f>
        <v>약 5.9년</v>
      </c>
    </row>
    <row r="100" spans="1:14" ht="20" customHeight="1">
      <c r="A100" s="16" t="s">
        <v>50</v>
      </c>
      <c r="B100" s="17" t="s">
        <v>46</v>
      </c>
      <c r="C100" s="17" t="s">
        <v>18</v>
      </c>
      <c r="D100" s="17" t="s">
        <v>39</v>
      </c>
      <c r="E100" s="17" t="s">
        <v>37</v>
      </c>
      <c r="F100" s="17" t="s">
        <v>14</v>
      </c>
      <c r="G100" s="17" t="s">
        <v>15</v>
      </c>
      <c r="H100" s="17" t="s">
        <v>20</v>
      </c>
      <c r="I100" s="18">
        <v>300000</v>
      </c>
      <c r="J100" s="18">
        <v>566124</v>
      </c>
      <c r="K100" s="19">
        <v>52119.48</v>
      </c>
      <c r="L100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1.8870800000000001</v>
      </c>
      <c r="M100" s="18" t="str">
        <f>IF(표1_3[[#This Row],[사용량]]&lt;=60%, "양호", IF(표1_3[[#This Row],[사용량]]&lt;=70%, "교체 권고", IF(표1_3[[#This Row],[사용량]]&lt;=80%, "교체", "긴급 교체")))</f>
        <v>긴급 교체</v>
      </c>
      <c r="N100" s="18" t="str">
        <f>_xlfn.CONCAT("약 ", ROUND((표1_3[[#This Row],[number of hours powered up :]]/24)/365,1), "년")</f>
        <v>약 5.9년</v>
      </c>
    </row>
    <row r="101" spans="1:14" ht="20" customHeight="1">
      <c r="A101" s="16" t="s">
        <v>50</v>
      </c>
      <c r="B101" s="17" t="s">
        <v>11</v>
      </c>
      <c r="C101" s="17" t="s">
        <v>18</v>
      </c>
      <c r="D101" s="17" t="s">
        <v>39</v>
      </c>
      <c r="E101" s="17" t="s">
        <v>37</v>
      </c>
      <c r="F101" s="17" t="s">
        <v>14</v>
      </c>
      <c r="G101" s="17" t="s">
        <v>15</v>
      </c>
      <c r="H101" s="17" t="s">
        <v>20</v>
      </c>
      <c r="I101" s="18">
        <v>300000</v>
      </c>
      <c r="J101" s="18">
        <v>575946</v>
      </c>
      <c r="K101" s="19">
        <v>52119.5</v>
      </c>
      <c r="L101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1.9198200000000001</v>
      </c>
      <c r="M101" s="18" t="str">
        <f>IF(표1_3[[#This Row],[사용량]]&lt;=60%, "양호", IF(표1_3[[#This Row],[사용량]]&lt;=70%, "교체 권고", IF(표1_3[[#This Row],[사용량]]&lt;=80%, "교체", "긴급 교체")))</f>
        <v>긴급 교체</v>
      </c>
      <c r="N101" s="18" t="str">
        <f>_xlfn.CONCAT("약 ", ROUND((표1_3[[#This Row],[number of hours powered up :]]/24)/365,1), "년")</f>
        <v>약 5.9년</v>
      </c>
    </row>
    <row r="102" spans="1:14" ht="20" customHeight="1">
      <c r="A102" s="16" t="s">
        <v>50</v>
      </c>
      <c r="B102" s="17" t="s">
        <v>30</v>
      </c>
      <c r="C102" s="17" t="s">
        <v>18</v>
      </c>
      <c r="D102" s="17" t="s">
        <v>39</v>
      </c>
      <c r="E102" s="17" t="s">
        <v>37</v>
      </c>
      <c r="F102" s="17" t="s">
        <v>14</v>
      </c>
      <c r="G102" s="17" t="s">
        <v>15</v>
      </c>
      <c r="H102" s="17" t="s">
        <v>20</v>
      </c>
      <c r="I102" s="18">
        <v>300000</v>
      </c>
      <c r="J102" s="18">
        <v>567055</v>
      </c>
      <c r="K102" s="19">
        <v>52119.519999999997</v>
      </c>
      <c r="L10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1.8901833333333333</v>
      </c>
      <c r="M102" s="18" t="str">
        <f>IF(표1_3[[#This Row],[사용량]]&lt;=60%, "양호", IF(표1_3[[#This Row],[사용량]]&lt;=70%, "교체 권고", IF(표1_3[[#This Row],[사용량]]&lt;=80%, "교체", "긴급 교체")))</f>
        <v>긴급 교체</v>
      </c>
      <c r="N102" s="18" t="str">
        <f>_xlfn.CONCAT("약 ", ROUND((표1_3[[#This Row],[number of hours powered up :]]/24)/365,1), "년")</f>
        <v>약 5.9년</v>
      </c>
    </row>
    <row r="103" spans="1:14" ht="20" customHeight="1">
      <c r="A103" s="16" t="s">
        <v>50</v>
      </c>
      <c r="B103" s="17" t="s">
        <v>32</v>
      </c>
      <c r="C103" s="17" t="s">
        <v>18</v>
      </c>
      <c r="D103" s="17" t="s">
        <v>39</v>
      </c>
      <c r="E103" s="17" t="s">
        <v>37</v>
      </c>
      <c r="F103" s="17" t="s">
        <v>14</v>
      </c>
      <c r="G103" s="17" t="s">
        <v>15</v>
      </c>
      <c r="H103" s="17" t="s">
        <v>20</v>
      </c>
      <c r="I103" s="18">
        <v>300000</v>
      </c>
      <c r="J103" s="18">
        <v>572471</v>
      </c>
      <c r="K103" s="19">
        <v>52119.55</v>
      </c>
      <c r="L10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1.9082366666666666</v>
      </c>
      <c r="M103" s="18" t="str">
        <f>IF(표1_3[[#This Row],[사용량]]&lt;=60%, "양호", IF(표1_3[[#This Row],[사용량]]&lt;=70%, "교체 권고", IF(표1_3[[#This Row],[사용량]]&lt;=80%, "교체", "긴급 교체")))</f>
        <v>긴급 교체</v>
      </c>
      <c r="N103" s="18" t="str">
        <f>_xlfn.CONCAT("약 ", ROUND((표1_3[[#This Row],[number of hours powered up :]]/24)/365,1), "년")</f>
        <v>약 5.9년</v>
      </c>
    </row>
    <row r="104" spans="1:14" ht="20" customHeight="1">
      <c r="A104" s="16" t="s">
        <v>50</v>
      </c>
      <c r="B104" s="17" t="s">
        <v>35</v>
      </c>
      <c r="C104" s="17" t="s">
        <v>18</v>
      </c>
      <c r="D104" s="17" t="s">
        <v>39</v>
      </c>
      <c r="E104" s="17" t="s">
        <v>37</v>
      </c>
      <c r="F104" s="17" t="s">
        <v>14</v>
      </c>
      <c r="G104" s="17" t="s">
        <v>15</v>
      </c>
      <c r="H104" s="17" t="s">
        <v>20</v>
      </c>
      <c r="I104" s="18">
        <v>300000</v>
      </c>
      <c r="J104" s="18">
        <v>566084</v>
      </c>
      <c r="K104" s="19">
        <v>52119.6</v>
      </c>
      <c r="L10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1.8869466666666668</v>
      </c>
      <c r="M104" s="18" t="str">
        <f>IF(표1_3[[#This Row],[사용량]]&lt;=60%, "양호", IF(표1_3[[#This Row],[사용량]]&lt;=70%, "교체 권고", IF(표1_3[[#This Row],[사용량]]&lt;=80%, "교체", "긴급 교체")))</f>
        <v>긴급 교체</v>
      </c>
      <c r="N104" s="18" t="str">
        <f>_xlfn.CONCAT("약 ", ROUND((표1_3[[#This Row],[number of hours powered up :]]/24)/365,1), "년")</f>
        <v>약 5.9년</v>
      </c>
    </row>
    <row r="105" spans="1:14" ht="20" customHeight="1">
      <c r="A105" s="16" t="s">
        <v>50</v>
      </c>
      <c r="B105" s="17" t="s">
        <v>31</v>
      </c>
      <c r="C105" s="17" t="s">
        <v>18</v>
      </c>
      <c r="D105" s="17" t="s">
        <v>39</v>
      </c>
      <c r="E105" s="17" t="s">
        <v>37</v>
      </c>
      <c r="F105" s="17" t="s">
        <v>14</v>
      </c>
      <c r="G105" s="17" t="s">
        <v>15</v>
      </c>
      <c r="H105" s="17" t="s">
        <v>20</v>
      </c>
      <c r="I105" s="18">
        <v>300000</v>
      </c>
      <c r="J105" s="18">
        <v>578157</v>
      </c>
      <c r="K105" s="19">
        <v>52119.63</v>
      </c>
      <c r="L10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1.92719</v>
      </c>
      <c r="M105" s="18" t="str">
        <f>IF(표1_3[[#This Row],[사용량]]&lt;=60%, "양호", IF(표1_3[[#This Row],[사용량]]&lt;=70%, "교체 권고", IF(표1_3[[#This Row],[사용량]]&lt;=80%, "교체", "긴급 교체")))</f>
        <v>긴급 교체</v>
      </c>
      <c r="N105" s="18" t="str">
        <f>_xlfn.CONCAT("약 ", ROUND((표1_3[[#This Row],[number of hours powered up :]]/24)/365,1), "년")</f>
        <v>약 5.9년</v>
      </c>
    </row>
    <row r="106" spans="1:14" ht="20" customHeight="1">
      <c r="A106" s="16" t="s">
        <v>50</v>
      </c>
      <c r="B106" s="17" t="s">
        <v>34</v>
      </c>
      <c r="C106" s="17" t="s">
        <v>18</v>
      </c>
      <c r="D106" s="17" t="s">
        <v>39</v>
      </c>
      <c r="E106" s="17" t="s">
        <v>37</v>
      </c>
      <c r="F106" s="17" t="s">
        <v>14</v>
      </c>
      <c r="G106" s="17" t="s">
        <v>15</v>
      </c>
      <c r="H106" s="17" t="s">
        <v>20</v>
      </c>
      <c r="I106" s="18">
        <v>300000</v>
      </c>
      <c r="J106" s="18">
        <v>569016</v>
      </c>
      <c r="K106" s="19">
        <v>52119.67</v>
      </c>
      <c r="L10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1.89672</v>
      </c>
      <c r="M106" s="18" t="str">
        <f>IF(표1_3[[#This Row],[사용량]]&lt;=60%, "양호", IF(표1_3[[#This Row],[사용량]]&lt;=70%, "교체 권고", IF(표1_3[[#This Row],[사용량]]&lt;=80%, "교체", "긴급 교체")))</f>
        <v>긴급 교체</v>
      </c>
      <c r="N106" s="18" t="str">
        <f>_xlfn.CONCAT("약 ", ROUND((표1_3[[#This Row],[number of hours powered up :]]/24)/365,1), "년")</f>
        <v>약 5.9년</v>
      </c>
    </row>
    <row r="107" spans="1:14" ht="20" customHeight="1">
      <c r="A107" s="16" t="s">
        <v>50</v>
      </c>
      <c r="B107" s="17" t="s">
        <v>33</v>
      </c>
      <c r="C107" s="17" t="s">
        <v>18</v>
      </c>
      <c r="D107" s="17" t="s">
        <v>39</v>
      </c>
      <c r="E107" s="17" t="s">
        <v>37</v>
      </c>
      <c r="F107" s="17" t="s">
        <v>14</v>
      </c>
      <c r="G107" s="17" t="s">
        <v>15</v>
      </c>
      <c r="H107" s="17" t="s">
        <v>20</v>
      </c>
      <c r="I107" s="18">
        <v>300000</v>
      </c>
      <c r="J107" s="18">
        <v>576981</v>
      </c>
      <c r="K107" s="19">
        <v>52119.7</v>
      </c>
      <c r="L10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1.92327</v>
      </c>
      <c r="M107" s="18" t="str">
        <f>IF(표1_3[[#This Row],[사용량]]&lt;=60%, "양호", IF(표1_3[[#This Row],[사용량]]&lt;=70%, "교체 권고", IF(표1_3[[#This Row],[사용량]]&lt;=80%, "교체", "긴급 교체")))</f>
        <v>긴급 교체</v>
      </c>
      <c r="N107" s="18" t="str">
        <f>_xlfn.CONCAT("약 ", ROUND((표1_3[[#This Row],[number of hours powered up :]]/24)/365,1), "년")</f>
        <v>약 5.9년</v>
      </c>
    </row>
    <row r="108" spans="1:14" ht="20" customHeight="1">
      <c r="A108" s="16" t="s">
        <v>50</v>
      </c>
      <c r="B108" s="17" t="s">
        <v>16</v>
      </c>
      <c r="C108" s="18"/>
      <c r="D108" s="17" t="s">
        <v>40</v>
      </c>
      <c r="E108" s="17" t="s">
        <v>41</v>
      </c>
      <c r="F108" s="17" t="s">
        <v>42</v>
      </c>
      <c r="G108" s="17" t="s">
        <v>43</v>
      </c>
      <c r="H108" s="21"/>
      <c r="I108" s="21"/>
      <c r="J108" s="21"/>
      <c r="K108" s="21">
        <v>51760</v>
      </c>
      <c r="L108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108" s="18" t="str">
        <f>IF(표1_3[[#This Row],[사용량]]&lt;=60%, "양호", IF(표1_3[[#This Row],[사용량]]&lt;=70%, "교체 권고", IF(표1_3[[#This Row],[사용량]]&lt;=80%, "교체", "긴급 교체")))</f>
        <v>긴급 교체</v>
      </c>
      <c r="N108" s="18" t="str">
        <f>_xlfn.CONCAT("약 ", ROUND((표1_3[[#This Row],[number of hours powered up :]]/24)/365,1), "년")</f>
        <v>약 5.9년</v>
      </c>
    </row>
    <row r="109" spans="1:14" ht="20" customHeight="1">
      <c r="A109" s="16" t="s">
        <v>50</v>
      </c>
      <c r="B109" s="17" t="s">
        <v>28</v>
      </c>
      <c r="C109" s="18"/>
      <c r="D109" s="17" t="s">
        <v>40</v>
      </c>
      <c r="E109" s="17" t="s">
        <v>41</v>
      </c>
      <c r="F109" s="17" t="s">
        <v>42</v>
      </c>
      <c r="G109" s="17" t="s">
        <v>43</v>
      </c>
      <c r="H109" s="21"/>
      <c r="I109" s="21"/>
      <c r="J109" s="21"/>
      <c r="K109" s="21">
        <v>51760</v>
      </c>
      <c r="L109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109" s="18" t="str">
        <f>IF(표1_3[[#This Row],[사용량]]&lt;=60%, "양호", IF(표1_3[[#This Row],[사용량]]&lt;=70%, "교체 권고", IF(표1_3[[#This Row],[사용량]]&lt;=80%, "교체", "긴급 교체")))</f>
        <v>긴급 교체</v>
      </c>
      <c r="N109" s="18" t="str">
        <f>_xlfn.CONCAT("약 ", ROUND((표1_3[[#This Row],[number of hours powered up :]]/24)/365,1), "년")</f>
        <v>약 5.9년</v>
      </c>
    </row>
    <row r="110" spans="1:14" ht="20" customHeight="1">
      <c r="A110" s="16" t="s">
        <v>51</v>
      </c>
      <c r="B110" s="17" t="s">
        <v>16</v>
      </c>
      <c r="C110" s="17" t="s">
        <v>18</v>
      </c>
      <c r="D110" s="17" t="s">
        <v>39</v>
      </c>
      <c r="E110" s="17" t="s">
        <v>37</v>
      </c>
      <c r="F110" s="17" t="s">
        <v>14</v>
      </c>
      <c r="G110" s="17" t="s">
        <v>15</v>
      </c>
      <c r="H110" s="17" t="s">
        <v>20</v>
      </c>
      <c r="I110" s="18">
        <v>300000</v>
      </c>
      <c r="J110" s="18">
        <v>569601</v>
      </c>
      <c r="K110" s="19">
        <v>51999.15</v>
      </c>
      <c r="L110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1.8986700000000001</v>
      </c>
      <c r="M110" s="18" t="str">
        <f>IF(표1_3[[#This Row],[사용량]]&lt;=60%, "양호", IF(표1_3[[#This Row],[사용량]]&lt;=70%, "교체 권고", IF(표1_3[[#This Row],[사용량]]&lt;=80%, "교체", "긴급 교체")))</f>
        <v>긴급 교체</v>
      </c>
      <c r="N110" s="18" t="str">
        <f>_xlfn.CONCAT("약 ", ROUND((표1_3[[#This Row],[number of hours powered up :]]/24)/365,1), "년")</f>
        <v>약 5.9년</v>
      </c>
    </row>
    <row r="111" spans="1:14" ht="20" customHeight="1">
      <c r="A111" s="16" t="s">
        <v>51</v>
      </c>
      <c r="B111" s="17" t="s">
        <v>34</v>
      </c>
      <c r="C111" s="17" t="s">
        <v>18</v>
      </c>
      <c r="D111" s="17" t="s">
        <v>39</v>
      </c>
      <c r="E111" s="17" t="s">
        <v>37</v>
      </c>
      <c r="F111" s="17" t="s">
        <v>14</v>
      </c>
      <c r="G111" s="17" t="s">
        <v>15</v>
      </c>
      <c r="H111" s="17" t="s">
        <v>20</v>
      </c>
      <c r="I111" s="18">
        <v>300000</v>
      </c>
      <c r="J111" s="18">
        <v>576878</v>
      </c>
      <c r="K111" s="19">
        <v>52122.63</v>
      </c>
      <c r="L111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1.9229266666666667</v>
      </c>
      <c r="M111" s="18" t="str">
        <f>IF(표1_3[[#This Row],[사용량]]&lt;=60%, "양호", IF(표1_3[[#This Row],[사용량]]&lt;=70%, "교체 권고", IF(표1_3[[#This Row],[사용량]]&lt;=80%, "교체", "긴급 교체")))</f>
        <v>긴급 교체</v>
      </c>
      <c r="N111" s="18" t="str">
        <f>_xlfn.CONCAT("약 ", ROUND((표1_3[[#This Row],[number of hours powered up :]]/24)/365,1), "년")</f>
        <v>약 6년</v>
      </c>
    </row>
    <row r="112" spans="1:14" ht="20" customHeight="1">
      <c r="A112" s="16" t="s">
        <v>51</v>
      </c>
      <c r="B112" s="17" t="s">
        <v>33</v>
      </c>
      <c r="C112" s="17" t="s">
        <v>18</v>
      </c>
      <c r="D112" s="17" t="s">
        <v>39</v>
      </c>
      <c r="E112" s="17" t="s">
        <v>37</v>
      </c>
      <c r="F112" s="17" t="s">
        <v>14</v>
      </c>
      <c r="G112" s="17" t="s">
        <v>15</v>
      </c>
      <c r="H112" s="17" t="s">
        <v>20</v>
      </c>
      <c r="I112" s="18">
        <v>300000</v>
      </c>
      <c r="J112" s="18">
        <v>566949</v>
      </c>
      <c r="K112" s="19">
        <v>52122.63</v>
      </c>
      <c r="L11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1.8898299999999999</v>
      </c>
      <c r="M112" s="18" t="str">
        <f>IF(표1_3[[#This Row],[사용량]]&lt;=60%, "양호", IF(표1_3[[#This Row],[사용량]]&lt;=70%, "교체 권고", IF(표1_3[[#This Row],[사용량]]&lt;=80%, "교체", "긴급 교체")))</f>
        <v>긴급 교체</v>
      </c>
      <c r="N112" s="18" t="str">
        <f>_xlfn.CONCAT("약 ", ROUND((표1_3[[#This Row],[number of hours powered up :]]/24)/365,1), "년")</f>
        <v>약 6년</v>
      </c>
    </row>
    <row r="113" spans="1:14" ht="20" customHeight="1">
      <c r="A113" s="16" t="s">
        <v>51</v>
      </c>
      <c r="B113" s="17" t="s">
        <v>11</v>
      </c>
      <c r="C113" s="17" t="s">
        <v>18</v>
      </c>
      <c r="D113" s="17" t="s">
        <v>39</v>
      </c>
      <c r="E113" s="17" t="s">
        <v>37</v>
      </c>
      <c r="F113" s="17" t="s">
        <v>14</v>
      </c>
      <c r="G113" s="17" t="s">
        <v>15</v>
      </c>
      <c r="H113" s="17" t="s">
        <v>20</v>
      </c>
      <c r="I113" s="18">
        <v>300000</v>
      </c>
      <c r="J113" s="18">
        <v>565089</v>
      </c>
      <c r="K113" s="19">
        <v>52122.8</v>
      </c>
      <c r="L11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1.8836299999999999</v>
      </c>
      <c r="M113" s="18" t="str">
        <f>IF(표1_3[[#This Row],[사용량]]&lt;=60%, "양호", IF(표1_3[[#This Row],[사용량]]&lt;=70%, "교체 권고", IF(표1_3[[#This Row],[사용량]]&lt;=80%, "교체", "긴급 교체")))</f>
        <v>긴급 교체</v>
      </c>
      <c r="N113" s="18" t="str">
        <f>_xlfn.CONCAT("약 ", ROUND((표1_3[[#This Row],[number of hours powered up :]]/24)/365,1), "년")</f>
        <v>약 6년</v>
      </c>
    </row>
    <row r="114" spans="1:14" ht="20" customHeight="1">
      <c r="A114" s="16" t="s">
        <v>51</v>
      </c>
      <c r="B114" s="17" t="s">
        <v>46</v>
      </c>
      <c r="C114" s="17" t="s">
        <v>18</v>
      </c>
      <c r="D114" s="17" t="s">
        <v>39</v>
      </c>
      <c r="E114" s="17" t="s">
        <v>37</v>
      </c>
      <c r="F114" s="17" t="s">
        <v>14</v>
      </c>
      <c r="G114" s="17" t="s">
        <v>15</v>
      </c>
      <c r="H114" s="17" t="s">
        <v>20</v>
      </c>
      <c r="I114" s="18">
        <v>300000</v>
      </c>
      <c r="J114" s="18">
        <v>571331</v>
      </c>
      <c r="K114" s="19">
        <v>52122.9</v>
      </c>
      <c r="L11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1.9044366666666668</v>
      </c>
      <c r="M114" s="18" t="str">
        <f>IF(표1_3[[#This Row],[사용량]]&lt;=60%, "양호", IF(표1_3[[#This Row],[사용량]]&lt;=70%, "교체 권고", IF(표1_3[[#This Row],[사용량]]&lt;=80%, "교체", "긴급 교체")))</f>
        <v>긴급 교체</v>
      </c>
      <c r="N114" s="18" t="str">
        <f>_xlfn.CONCAT("약 ", ROUND((표1_3[[#This Row],[number of hours powered up :]]/24)/365,1), "년")</f>
        <v>약 6년</v>
      </c>
    </row>
    <row r="115" spans="1:14" ht="20" customHeight="1">
      <c r="A115" s="16" t="s">
        <v>51</v>
      </c>
      <c r="B115" s="17" t="s">
        <v>35</v>
      </c>
      <c r="C115" s="17" t="s">
        <v>18</v>
      </c>
      <c r="D115" s="17" t="s">
        <v>39</v>
      </c>
      <c r="E115" s="17" t="s">
        <v>37</v>
      </c>
      <c r="F115" s="17" t="s">
        <v>14</v>
      </c>
      <c r="G115" s="17" t="s">
        <v>15</v>
      </c>
      <c r="H115" s="17" t="s">
        <v>20</v>
      </c>
      <c r="I115" s="18">
        <v>300000</v>
      </c>
      <c r="J115" s="18">
        <v>573403</v>
      </c>
      <c r="K115" s="19">
        <v>52123.07</v>
      </c>
      <c r="L11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1.9113433333333334</v>
      </c>
      <c r="M115" s="18" t="str">
        <f>IF(표1_3[[#This Row],[사용량]]&lt;=60%, "양호", IF(표1_3[[#This Row],[사용량]]&lt;=70%, "교체 권고", IF(표1_3[[#This Row],[사용량]]&lt;=80%, "교체", "긴급 교체")))</f>
        <v>긴급 교체</v>
      </c>
      <c r="N115" s="18" t="str">
        <f>_xlfn.CONCAT("약 ", ROUND((표1_3[[#This Row],[number of hours powered up :]]/24)/365,1), "년")</f>
        <v>약 6년</v>
      </c>
    </row>
    <row r="116" spans="1:14" ht="20" customHeight="1">
      <c r="A116" s="16" t="s">
        <v>51</v>
      </c>
      <c r="B116" s="17" t="s">
        <v>28</v>
      </c>
      <c r="C116" s="17" t="s">
        <v>18</v>
      </c>
      <c r="D116" s="17" t="s">
        <v>39</v>
      </c>
      <c r="E116" s="17" t="s">
        <v>37</v>
      </c>
      <c r="F116" s="17" t="s">
        <v>14</v>
      </c>
      <c r="G116" s="17" t="s">
        <v>15</v>
      </c>
      <c r="H116" s="17" t="s">
        <v>20</v>
      </c>
      <c r="I116" s="18">
        <v>300000</v>
      </c>
      <c r="J116" s="18">
        <v>577897</v>
      </c>
      <c r="K116" s="19">
        <v>52123.57</v>
      </c>
      <c r="L11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1.9263233333333334</v>
      </c>
      <c r="M116" s="18" t="str">
        <f>IF(표1_3[[#This Row],[사용량]]&lt;=60%, "양호", IF(표1_3[[#This Row],[사용량]]&lt;=70%, "교체 권고", IF(표1_3[[#This Row],[사용량]]&lt;=80%, "교체", "긴급 교체")))</f>
        <v>긴급 교체</v>
      </c>
      <c r="N116" s="18" t="str">
        <f>_xlfn.CONCAT("약 ", ROUND((표1_3[[#This Row],[number of hours powered up :]]/24)/365,1), "년")</f>
        <v>약 6년</v>
      </c>
    </row>
    <row r="117" spans="1:14" ht="20" customHeight="1">
      <c r="A117" s="16" t="s">
        <v>51</v>
      </c>
      <c r="B117" s="17" t="s">
        <v>32</v>
      </c>
      <c r="C117" s="17" t="s">
        <v>18</v>
      </c>
      <c r="D117" s="17" t="s">
        <v>39</v>
      </c>
      <c r="E117" s="17" t="s">
        <v>37</v>
      </c>
      <c r="F117" s="17" t="s">
        <v>14</v>
      </c>
      <c r="G117" s="17" t="s">
        <v>15</v>
      </c>
      <c r="H117" s="17" t="s">
        <v>20</v>
      </c>
      <c r="I117" s="18">
        <v>300000</v>
      </c>
      <c r="J117" s="18">
        <v>569176</v>
      </c>
      <c r="K117" s="19">
        <v>52125.03</v>
      </c>
      <c r="L11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1.8972533333333332</v>
      </c>
      <c r="M117" s="18" t="str">
        <f>IF(표1_3[[#This Row],[사용량]]&lt;=60%, "양호", IF(표1_3[[#This Row],[사용량]]&lt;=70%, "교체 권고", IF(표1_3[[#This Row],[사용량]]&lt;=80%, "교체", "긴급 교체")))</f>
        <v>긴급 교체</v>
      </c>
      <c r="N117" s="18" t="str">
        <f>_xlfn.CONCAT("약 ", ROUND((표1_3[[#This Row],[number of hours powered up :]]/24)/365,1), "년")</f>
        <v>약 6년</v>
      </c>
    </row>
    <row r="118" spans="1:14" ht="20" customHeight="1">
      <c r="A118" s="16" t="s">
        <v>51</v>
      </c>
      <c r="B118" s="17" t="s">
        <v>30</v>
      </c>
      <c r="C118" s="18"/>
      <c r="D118" s="17" t="s">
        <v>40</v>
      </c>
      <c r="E118" s="17" t="s">
        <v>41</v>
      </c>
      <c r="F118" s="17" t="s">
        <v>42</v>
      </c>
      <c r="G118" s="17" t="s">
        <v>43</v>
      </c>
      <c r="H118" s="21"/>
      <c r="I118" s="21"/>
      <c r="J118" s="21"/>
      <c r="K118" s="21">
        <v>51751</v>
      </c>
      <c r="L118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118" s="18" t="str">
        <f>IF(표1_3[[#This Row],[사용량]]&lt;=60%, "양호", IF(표1_3[[#This Row],[사용량]]&lt;=70%, "교체 권고", IF(표1_3[[#This Row],[사용량]]&lt;=80%, "교체", "긴급 교체")))</f>
        <v>긴급 교체</v>
      </c>
      <c r="N118" s="18" t="str">
        <f>_xlfn.CONCAT("약 ", ROUND((표1_3[[#This Row],[number of hours powered up :]]/24)/365,1), "년")</f>
        <v>약 5.9년</v>
      </c>
    </row>
    <row r="119" spans="1:14" ht="20" customHeight="1">
      <c r="A119" s="16" t="s">
        <v>51</v>
      </c>
      <c r="B119" s="17" t="s">
        <v>31</v>
      </c>
      <c r="C119" s="18"/>
      <c r="D119" s="17" t="s">
        <v>40</v>
      </c>
      <c r="E119" s="17" t="s">
        <v>41</v>
      </c>
      <c r="F119" s="17" t="s">
        <v>42</v>
      </c>
      <c r="G119" s="17" t="s">
        <v>43</v>
      </c>
      <c r="H119" s="21"/>
      <c r="I119" s="21"/>
      <c r="J119" s="21"/>
      <c r="K119" s="21">
        <v>51751</v>
      </c>
      <c r="L119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119" s="18" t="str">
        <f>IF(표1_3[[#This Row],[사용량]]&lt;=60%, "양호", IF(표1_3[[#This Row],[사용량]]&lt;=70%, "교체 권고", IF(표1_3[[#This Row],[사용량]]&lt;=80%, "교체", "긴급 교체")))</f>
        <v>긴급 교체</v>
      </c>
      <c r="N119" s="18" t="str">
        <f>_xlfn.CONCAT("약 ", ROUND((표1_3[[#This Row],[number of hours powered up :]]/24)/365,1), "년")</f>
        <v>약 5.9년</v>
      </c>
    </row>
    <row r="120" spans="1:14" ht="20" customHeight="1">
      <c r="A120" s="16" t="s">
        <v>52</v>
      </c>
      <c r="B120" s="17" t="s">
        <v>17</v>
      </c>
      <c r="C120" s="17" t="s">
        <v>18</v>
      </c>
      <c r="D120" s="17" t="s">
        <v>39</v>
      </c>
      <c r="E120" s="17" t="s">
        <v>37</v>
      </c>
      <c r="F120" s="17" t="s">
        <v>14</v>
      </c>
      <c r="G120" s="17" t="s">
        <v>15</v>
      </c>
      <c r="H120" s="17" t="s">
        <v>20</v>
      </c>
      <c r="I120" s="18">
        <v>300000</v>
      </c>
      <c r="J120" s="18">
        <v>358721</v>
      </c>
      <c r="K120" s="19">
        <v>51303.98</v>
      </c>
      <c r="L120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1.1957366666666667</v>
      </c>
      <c r="M120" s="18" t="str">
        <f>IF(표1_3[[#This Row],[사용량]]&lt;=60%, "양호", IF(표1_3[[#This Row],[사용량]]&lt;=70%, "교체 권고", IF(표1_3[[#This Row],[사용량]]&lt;=80%, "교체", "긴급 교체")))</f>
        <v>긴급 교체</v>
      </c>
      <c r="N120" s="18" t="str">
        <f>_xlfn.CONCAT("약 ", ROUND((표1_3[[#This Row],[number of hours powered up :]]/24)/365,1), "년")</f>
        <v>약 5.9년</v>
      </c>
    </row>
    <row r="121" spans="1:14" ht="20" customHeight="1">
      <c r="A121" s="16" t="s">
        <v>52</v>
      </c>
      <c r="B121" s="17" t="s">
        <v>46</v>
      </c>
      <c r="C121" s="17" t="s">
        <v>18</v>
      </c>
      <c r="D121" s="17" t="s">
        <v>39</v>
      </c>
      <c r="E121" s="17" t="s">
        <v>37</v>
      </c>
      <c r="F121" s="17" t="s">
        <v>14</v>
      </c>
      <c r="G121" s="17" t="s">
        <v>15</v>
      </c>
      <c r="H121" s="17" t="s">
        <v>20</v>
      </c>
      <c r="I121" s="18">
        <v>300000</v>
      </c>
      <c r="J121" s="18">
        <v>371966</v>
      </c>
      <c r="K121" s="19">
        <v>52156.480000000003</v>
      </c>
      <c r="L121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1.2398866666666666</v>
      </c>
      <c r="M121" s="18" t="str">
        <f>IF(표1_3[[#This Row],[사용량]]&lt;=60%, "양호", IF(표1_3[[#This Row],[사용량]]&lt;=70%, "교체 권고", IF(표1_3[[#This Row],[사용량]]&lt;=80%, "교체", "긴급 교체")))</f>
        <v>긴급 교체</v>
      </c>
      <c r="N121" s="18" t="str">
        <f>_xlfn.CONCAT("약 ", ROUND((표1_3[[#This Row],[number of hours powered up :]]/24)/365,1), "년")</f>
        <v>약 6년</v>
      </c>
    </row>
    <row r="122" spans="1:14" ht="20" customHeight="1">
      <c r="A122" s="16" t="s">
        <v>52</v>
      </c>
      <c r="B122" s="17" t="s">
        <v>32</v>
      </c>
      <c r="C122" s="17" t="s">
        <v>18</v>
      </c>
      <c r="D122" s="17" t="s">
        <v>39</v>
      </c>
      <c r="E122" s="17" t="s">
        <v>37</v>
      </c>
      <c r="F122" s="17" t="s">
        <v>14</v>
      </c>
      <c r="G122" s="17" t="s">
        <v>15</v>
      </c>
      <c r="H122" s="17" t="s">
        <v>20</v>
      </c>
      <c r="I122" s="18">
        <v>300000</v>
      </c>
      <c r="J122" s="18">
        <v>364512</v>
      </c>
      <c r="K122" s="19">
        <v>52156.57</v>
      </c>
      <c r="L12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1.2150399999999999</v>
      </c>
      <c r="M122" s="18" t="str">
        <f>IF(표1_3[[#This Row],[사용량]]&lt;=60%, "양호", IF(표1_3[[#This Row],[사용량]]&lt;=70%, "교체 권고", IF(표1_3[[#This Row],[사용량]]&lt;=80%, "교체", "긴급 교체")))</f>
        <v>긴급 교체</v>
      </c>
      <c r="N122" s="18" t="str">
        <f>_xlfn.CONCAT("약 ", ROUND((표1_3[[#This Row],[number of hours powered up :]]/24)/365,1), "년")</f>
        <v>약 6년</v>
      </c>
    </row>
    <row r="123" spans="1:14" ht="20" customHeight="1">
      <c r="A123" s="16" t="s">
        <v>52</v>
      </c>
      <c r="B123" s="17" t="s">
        <v>33</v>
      </c>
      <c r="C123" s="17" t="s">
        <v>18</v>
      </c>
      <c r="D123" s="17" t="s">
        <v>39</v>
      </c>
      <c r="E123" s="17" t="s">
        <v>37</v>
      </c>
      <c r="F123" s="17" t="s">
        <v>14</v>
      </c>
      <c r="G123" s="17" t="s">
        <v>15</v>
      </c>
      <c r="H123" s="17" t="s">
        <v>20</v>
      </c>
      <c r="I123" s="18">
        <v>300000</v>
      </c>
      <c r="J123" s="18">
        <v>367980</v>
      </c>
      <c r="K123" s="19">
        <v>52156.58</v>
      </c>
      <c r="L12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1.2265999999999999</v>
      </c>
      <c r="M123" s="18" t="str">
        <f>IF(표1_3[[#This Row],[사용량]]&lt;=60%, "양호", IF(표1_3[[#This Row],[사용량]]&lt;=70%, "교체 권고", IF(표1_3[[#This Row],[사용량]]&lt;=80%, "교체", "긴급 교체")))</f>
        <v>긴급 교체</v>
      </c>
      <c r="N123" s="18" t="str">
        <f>_xlfn.CONCAT("약 ", ROUND((표1_3[[#This Row],[number of hours powered up :]]/24)/365,1), "년")</f>
        <v>약 6년</v>
      </c>
    </row>
    <row r="124" spans="1:14" ht="20" customHeight="1">
      <c r="A124" s="16" t="s">
        <v>52</v>
      </c>
      <c r="B124" s="17" t="s">
        <v>35</v>
      </c>
      <c r="C124" s="17" t="s">
        <v>18</v>
      </c>
      <c r="D124" s="17" t="s">
        <v>39</v>
      </c>
      <c r="E124" s="17" t="s">
        <v>37</v>
      </c>
      <c r="F124" s="17" t="s">
        <v>14</v>
      </c>
      <c r="G124" s="17" t="s">
        <v>15</v>
      </c>
      <c r="H124" s="17" t="s">
        <v>20</v>
      </c>
      <c r="I124" s="18">
        <v>300000</v>
      </c>
      <c r="J124" s="18">
        <v>374216</v>
      </c>
      <c r="K124" s="19">
        <v>52156.75</v>
      </c>
      <c r="L12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1.2473866666666666</v>
      </c>
      <c r="M124" s="18" t="str">
        <f>IF(표1_3[[#This Row],[사용량]]&lt;=60%, "양호", IF(표1_3[[#This Row],[사용량]]&lt;=70%, "교체 권고", IF(표1_3[[#This Row],[사용량]]&lt;=80%, "교체", "긴급 교체")))</f>
        <v>긴급 교체</v>
      </c>
      <c r="N124" s="18" t="str">
        <f>_xlfn.CONCAT("약 ", ROUND((표1_3[[#This Row],[number of hours powered up :]]/24)/365,1), "년")</f>
        <v>약 6년</v>
      </c>
    </row>
    <row r="125" spans="1:14" ht="20" customHeight="1">
      <c r="A125" s="16" t="s">
        <v>52</v>
      </c>
      <c r="B125" s="17" t="s">
        <v>31</v>
      </c>
      <c r="C125" s="17" t="s">
        <v>18</v>
      </c>
      <c r="D125" s="17" t="s">
        <v>39</v>
      </c>
      <c r="E125" s="17" t="s">
        <v>37</v>
      </c>
      <c r="F125" s="17" t="s">
        <v>14</v>
      </c>
      <c r="G125" s="17" t="s">
        <v>15</v>
      </c>
      <c r="H125" s="17" t="s">
        <v>20</v>
      </c>
      <c r="I125" s="18">
        <v>300000</v>
      </c>
      <c r="J125" s="18">
        <v>369109</v>
      </c>
      <c r="K125" s="19">
        <v>52156.77</v>
      </c>
      <c r="L12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1.2303633333333333</v>
      </c>
      <c r="M125" s="18" t="str">
        <f>IF(표1_3[[#This Row],[사용량]]&lt;=60%, "양호", IF(표1_3[[#This Row],[사용량]]&lt;=70%, "교체 권고", IF(표1_3[[#This Row],[사용량]]&lt;=80%, "교체", "긴급 교체")))</f>
        <v>긴급 교체</v>
      </c>
      <c r="N125" s="18" t="str">
        <f>_xlfn.CONCAT("약 ", ROUND((표1_3[[#This Row],[number of hours powered up :]]/24)/365,1), "년")</f>
        <v>약 6년</v>
      </c>
    </row>
    <row r="126" spans="1:14" ht="20" customHeight="1">
      <c r="A126" s="16" t="s">
        <v>52</v>
      </c>
      <c r="B126" s="17" t="s">
        <v>30</v>
      </c>
      <c r="C126" s="17" t="s">
        <v>18</v>
      </c>
      <c r="D126" s="17" t="s">
        <v>39</v>
      </c>
      <c r="E126" s="17" t="s">
        <v>37</v>
      </c>
      <c r="F126" s="17" t="s">
        <v>14</v>
      </c>
      <c r="G126" s="17" t="s">
        <v>15</v>
      </c>
      <c r="H126" s="17" t="s">
        <v>20</v>
      </c>
      <c r="I126" s="18">
        <v>300000</v>
      </c>
      <c r="J126" s="18">
        <v>368872</v>
      </c>
      <c r="K126" s="19">
        <v>52156.88</v>
      </c>
      <c r="L12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1.2295733333333334</v>
      </c>
      <c r="M126" s="18" t="str">
        <f>IF(표1_3[[#This Row],[사용량]]&lt;=60%, "양호", IF(표1_3[[#This Row],[사용량]]&lt;=70%, "교체 권고", IF(표1_3[[#This Row],[사용량]]&lt;=80%, "교체", "긴급 교체")))</f>
        <v>긴급 교체</v>
      </c>
      <c r="N126" s="18" t="str">
        <f>_xlfn.CONCAT("약 ", ROUND((표1_3[[#This Row],[number of hours powered up :]]/24)/365,1), "년")</f>
        <v>약 6년</v>
      </c>
    </row>
    <row r="127" spans="1:14" ht="20" customHeight="1">
      <c r="A127" s="16" t="s">
        <v>52</v>
      </c>
      <c r="B127" s="17" t="s">
        <v>11</v>
      </c>
      <c r="C127" s="17" t="s">
        <v>18</v>
      </c>
      <c r="D127" s="17" t="s">
        <v>39</v>
      </c>
      <c r="E127" s="17" t="s">
        <v>37</v>
      </c>
      <c r="F127" s="17" t="s">
        <v>14</v>
      </c>
      <c r="G127" s="17" t="s">
        <v>15</v>
      </c>
      <c r="H127" s="17" t="s">
        <v>20</v>
      </c>
      <c r="I127" s="18">
        <v>300000</v>
      </c>
      <c r="J127" s="18">
        <v>372022</v>
      </c>
      <c r="K127" s="19">
        <v>52156.92</v>
      </c>
      <c r="L12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1.2400733333333334</v>
      </c>
      <c r="M127" s="18" t="str">
        <f>IF(표1_3[[#This Row],[사용량]]&lt;=60%, "양호", IF(표1_3[[#This Row],[사용량]]&lt;=70%, "교체 권고", IF(표1_3[[#This Row],[사용량]]&lt;=80%, "교체", "긴급 교체")))</f>
        <v>긴급 교체</v>
      </c>
      <c r="N127" s="18" t="str">
        <f>_xlfn.CONCAT("약 ", ROUND((표1_3[[#This Row],[number of hours powered up :]]/24)/365,1), "년")</f>
        <v>약 6년</v>
      </c>
    </row>
    <row r="128" spans="1:14" ht="20" customHeight="1">
      <c r="A128" s="16" t="s">
        <v>52</v>
      </c>
      <c r="B128" s="17" t="s">
        <v>16</v>
      </c>
      <c r="C128" s="18"/>
      <c r="D128" s="17" t="s">
        <v>40</v>
      </c>
      <c r="E128" s="17" t="s">
        <v>41</v>
      </c>
      <c r="F128" s="17" t="s">
        <v>42</v>
      </c>
      <c r="G128" s="17" t="s">
        <v>43</v>
      </c>
      <c r="H128" s="21"/>
      <c r="I128" s="21"/>
      <c r="J128" s="21"/>
      <c r="K128" s="21">
        <v>51794</v>
      </c>
      <c r="L128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128" s="18" t="str">
        <f>IF(표1_3[[#This Row],[사용량]]&lt;=60%, "양호", IF(표1_3[[#This Row],[사용량]]&lt;=70%, "교체 권고", IF(표1_3[[#This Row],[사용량]]&lt;=80%, "교체", "긴급 교체")))</f>
        <v>긴급 교체</v>
      </c>
      <c r="N128" s="18" t="str">
        <f>_xlfn.CONCAT("약 ", ROUND((표1_3[[#This Row],[number of hours powered up :]]/24)/365,1), "년")</f>
        <v>약 5.9년</v>
      </c>
    </row>
    <row r="129" spans="1:14" ht="20" customHeight="1">
      <c r="A129" s="16" t="s">
        <v>52</v>
      </c>
      <c r="B129" s="17" t="s">
        <v>28</v>
      </c>
      <c r="C129" s="18"/>
      <c r="D129" s="17" t="s">
        <v>40</v>
      </c>
      <c r="E129" s="17" t="s">
        <v>41</v>
      </c>
      <c r="F129" s="17" t="s">
        <v>42</v>
      </c>
      <c r="G129" s="17" t="s">
        <v>43</v>
      </c>
      <c r="H129" s="21"/>
      <c r="I129" s="21"/>
      <c r="J129" s="21"/>
      <c r="K129" s="21">
        <v>51800</v>
      </c>
      <c r="L129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129" s="18" t="str">
        <f>IF(표1_3[[#This Row],[사용량]]&lt;=60%, "양호", IF(표1_3[[#This Row],[사용량]]&lt;=70%, "교체 권고", IF(표1_3[[#This Row],[사용량]]&lt;=80%, "교체", "긴급 교체")))</f>
        <v>긴급 교체</v>
      </c>
      <c r="N129" s="18" t="str">
        <f>_xlfn.CONCAT("약 ", ROUND((표1_3[[#This Row],[number of hours powered up :]]/24)/365,1), "년")</f>
        <v>약 5.9년</v>
      </c>
    </row>
    <row r="130" spans="1:14" ht="20" customHeight="1">
      <c r="A130" s="16" t="s">
        <v>53</v>
      </c>
      <c r="B130" s="17" t="s">
        <v>34</v>
      </c>
      <c r="C130" s="17" t="s">
        <v>18</v>
      </c>
      <c r="D130" s="17" t="s">
        <v>39</v>
      </c>
      <c r="E130" s="17" t="s">
        <v>37</v>
      </c>
      <c r="F130" s="17" t="s">
        <v>14</v>
      </c>
      <c r="G130" s="17" t="s">
        <v>15</v>
      </c>
      <c r="H130" s="17" t="s">
        <v>20</v>
      </c>
      <c r="I130" s="18">
        <v>300000</v>
      </c>
      <c r="J130" s="18">
        <v>409768</v>
      </c>
      <c r="K130" s="19">
        <v>52121.47</v>
      </c>
      <c r="L130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1.3658933333333334</v>
      </c>
      <c r="M130" s="18" t="str">
        <f>IF(표1_3[[#This Row],[사용량]]&lt;=60%, "양호", IF(표1_3[[#This Row],[사용량]]&lt;=70%, "교체 권고", IF(표1_3[[#This Row],[사용량]]&lt;=80%, "교체", "긴급 교체")))</f>
        <v>긴급 교체</v>
      </c>
      <c r="N130" s="18" t="str">
        <f>_xlfn.CONCAT("약 ", ROUND((표1_3[[#This Row],[number of hours powered up :]]/24)/365,1), "년")</f>
        <v>약 5.9년</v>
      </c>
    </row>
    <row r="131" spans="1:14" ht="20" customHeight="1">
      <c r="A131" s="16" t="s">
        <v>53</v>
      </c>
      <c r="B131" s="17" t="s">
        <v>32</v>
      </c>
      <c r="C131" s="17" t="s">
        <v>18</v>
      </c>
      <c r="D131" s="17" t="s">
        <v>39</v>
      </c>
      <c r="E131" s="17" t="s">
        <v>37</v>
      </c>
      <c r="F131" s="17" t="s">
        <v>14</v>
      </c>
      <c r="G131" s="17" t="s">
        <v>15</v>
      </c>
      <c r="H131" s="17" t="s">
        <v>20</v>
      </c>
      <c r="I131" s="18">
        <v>300000</v>
      </c>
      <c r="J131" s="18">
        <v>406368</v>
      </c>
      <c r="K131" s="19">
        <v>52122.32</v>
      </c>
      <c r="L131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1.35456</v>
      </c>
      <c r="M131" s="18" t="str">
        <f>IF(표1_3[[#This Row],[사용량]]&lt;=60%, "양호", IF(표1_3[[#This Row],[사용량]]&lt;=70%, "교체 권고", IF(표1_3[[#This Row],[사용량]]&lt;=80%, "교체", "긴급 교체")))</f>
        <v>긴급 교체</v>
      </c>
      <c r="N131" s="18" t="str">
        <f>_xlfn.CONCAT("약 ", ROUND((표1_3[[#This Row],[number of hours powered up :]]/24)/365,1), "년")</f>
        <v>약 6년</v>
      </c>
    </row>
    <row r="132" spans="1:14" ht="20" customHeight="1">
      <c r="A132" s="16" t="s">
        <v>53</v>
      </c>
      <c r="B132" s="17" t="s">
        <v>11</v>
      </c>
      <c r="C132" s="17" t="s">
        <v>18</v>
      </c>
      <c r="D132" s="17" t="s">
        <v>39</v>
      </c>
      <c r="E132" s="17" t="s">
        <v>37</v>
      </c>
      <c r="F132" s="17" t="s">
        <v>14</v>
      </c>
      <c r="G132" s="17" t="s">
        <v>15</v>
      </c>
      <c r="H132" s="17" t="s">
        <v>20</v>
      </c>
      <c r="I132" s="18">
        <v>300000</v>
      </c>
      <c r="J132" s="18">
        <v>417029</v>
      </c>
      <c r="K132" s="19">
        <v>52122.400000000001</v>
      </c>
      <c r="L132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1.3900966666666668</v>
      </c>
      <c r="M132" s="18" t="str">
        <f>IF(표1_3[[#This Row],[사용량]]&lt;=60%, "양호", IF(표1_3[[#This Row],[사용량]]&lt;=70%, "교체 권고", IF(표1_3[[#This Row],[사용량]]&lt;=80%, "교체", "긴급 교체")))</f>
        <v>긴급 교체</v>
      </c>
      <c r="N132" s="18" t="str">
        <f>_xlfn.CONCAT("약 ", ROUND((표1_3[[#This Row],[number of hours powered up :]]/24)/365,1), "년")</f>
        <v>약 6년</v>
      </c>
    </row>
    <row r="133" spans="1:14" ht="20" customHeight="1">
      <c r="A133" s="16" t="s">
        <v>53</v>
      </c>
      <c r="B133" s="17" t="s">
        <v>33</v>
      </c>
      <c r="C133" s="17" t="s">
        <v>18</v>
      </c>
      <c r="D133" s="17" t="s">
        <v>39</v>
      </c>
      <c r="E133" s="17" t="s">
        <v>37</v>
      </c>
      <c r="F133" s="17" t="s">
        <v>14</v>
      </c>
      <c r="G133" s="17" t="s">
        <v>15</v>
      </c>
      <c r="H133" s="17" t="s">
        <v>20</v>
      </c>
      <c r="I133" s="18">
        <v>300000</v>
      </c>
      <c r="J133" s="18">
        <v>415118</v>
      </c>
      <c r="K133" s="19">
        <v>52122.78</v>
      </c>
      <c r="L133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1.3837266666666668</v>
      </c>
      <c r="M133" s="18" t="str">
        <f>IF(표1_3[[#This Row],[사용량]]&lt;=60%, "양호", IF(표1_3[[#This Row],[사용량]]&lt;=70%, "교체 권고", IF(표1_3[[#This Row],[사용량]]&lt;=80%, "교체", "긴급 교체")))</f>
        <v>긴급 교체</v>
      </c>
      <c r="N133" s="18" t="str">
        <f>_xlfn.CONCAT("약 ", ROUND((표1_3[[#This Row],[number of hours powered up :]]/24)/365,1), "년")</f>
        <v>약 6년</v>
      </c>
    </row>
    <row r="134" spans="1:14" ht="20" customHeight="1">
      <c r="A134" s="16" t="s">
        <v>53</v>
      </c>
      <c r="B134" s="17" t="s">
        <v>35</v>
      </c>
      <c r="C134" s="17" t="s">
        <v>18</v>
      </c>
      <c r="D134" s="17" t="s">
        <v>39</v>
      </c>
      <c r="E134" s="17" t="s">
        <v>37</v>
      </c>
      <c r="F134" s="17" t="s">
        <v>14</v>
      </c>
      <c r="G134" s="17" t="s">
        <v>15</v>
      </c>
      <c r="H134" s="17" t="s">
        <v>20</v>
      </c>
      <c r="I134" s="18">
        <v>300000</v>
      </c>
      <c r="J134" s="18">
        <v>405338</v>
      </c>
      <c r="K134" s="19">
        <v>52122.95</v>
      </c>
      <c r="L134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1.3511266666666666</v>
      </c>
      <c r="M134" s="18" t="str">
        <f>IF(표1_3[[#This Row],[사용량]]&lt;=60%, "양호", IF(표1_3[[#This Row],[사용량]]&lt;=70%, "교체 권고", IF(표1_3[[#This Row],[사용량]]&lt;=80%, "교체", "긴급 교체")))</f>
        <v>긴급 교체</v>
      </c>
      <c r="N134" s="18" t="str">
        <f>_xlfn.CONCAT("약 ", ROUND((표1_3[[#This Row],[number of hours powered up :]]/24)/365,1), "년")</f>
        <v>약 6년</v>
      </c>
    </row>
    <row r="135" spans="1:14" ht="20" customHeight="1">
      <c r="A135" s="16" t="s">
        <v>53</v>
      </c>
      <c r="B135" s="17" t="s">
        <v>46</v>
      </c>
      <c r="C135" s="17" t="s">
        <v>18</v>
      </c>
      <c r="D135" s="17" t="s">
        <v>39</v>
      </c>
      <c r="E135" s="17" t="s">
        <v>37</v>
      </c>
      <c r="F135" s="17" t="s">
        <v>14</v>
      </c>
      <c r="G135" s="17" t="s">
        <v>15</v>
      </c>
      <c r="H135" s="17" t="s">
        <v>20</v>
      </c>
      <c r="I135" s="18">
        <v>300000</v>
      </c>
      <c r="J135" s="18">
        <v>411747</v>
      </c>
      <c r="K135" s="19">
        <v>52123.05</v>
      </c>
      <c r="L135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1.37249</v>
      </c>
      <c r="M135" s="18" t="str">
        <f>IF(표1_3[[#This Row],[사용량]]&lt;=60%, "양호", IF(표1_3[[#This Row],[사용량]]&lt;=70%, "교체 권고", IF(표1_3[[#This Row],[사용량]]&lt;=80%, "교체", "긴급 교체")))</f>
        <v>긴급 교체</v>
      </c>
      <c r="N135" s="18" t="str">
        <f>_xlfn.CONCAT("약 ", ROUND((표1_3[[#This Row],[number of hours powered up :]]/24)/365,1), "년")</f>
        <v>약 6년</v>
      </c>
    </row>
    <row r="136" spans="1:14" ht="20" customHeight="1">
      <c r="A136" s="16" t="s">
        <v>53</v>
      </c>
      <c r="B136" s="17" t="s">
        <v>28</v>
      </c>
      <c r="C136" s="17" t="s">
        <v>18</v>
      </c>
      <c r="D136" s="17" t="s">
        <v>39</v>
      </c>
      <c r="E136" s="17" t="s">
        <v>37</v>
      </c>
      <c r="F136" s="17" t="s">
        <v>14</v>
      </c>
      <c r="G136" s="17" t="s">
        <v>15</v>
      </c>
      <c r="H136" s="17" t="s">
        <v>20</v>
      </c>
      <c r="I136" s="18">
        <v>300000</v>
      </c>
      <c r="J136" s="18">
        <v>410907</v>
      </c>
      <c r="K136" s="19">
        <v>52123.28</v>
      </c>
      <c r="L136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1.3696900000000001</v>
      </c>
      <c r="M136" s="18" t="str">
        <f>IF(표1_3[[#This Row],[사용량]]&lt;=60%, "양호", IF(표1_3[[#This Row],[사용량]]&lt;=70%, "교체 권고", IF(표1_3[[#This Row],[사용량]]&lt;=80%, "교체", "긴급 교체")))</f>
        <v>긴급 교체</v>
      </c>
      <c r="N136" s="18" t="str">
        <f>_xlfn.CONCAT("약 ", ROUND((표1_3[[#This Row],[number of hours powered up :]]/24)/365,1), "년")</f>
        <v>약 6년</v>
      </c>
    </row>
    <row r="137" spans="1:14" ht="20" customHeight="1">
      <c r="A137" s="16" t="s">
        <v>53</v>
      </c>
      <c r="B137" s="17" t="s">
        <v>16</v>
      </c>
      <c r="C137" s="17" t="s">
        <v>18</v>
      </c>
      <c r="D137" s="17" t="s">
        <v>39</v>
      </c>
      <c r="E137" s="17" t="s">
        <v>37</v>
      </c>
      <c r="F137" s="17" t="s">
        <v>14</v>
      </c>
      <c r="G137" s="17" t="s">
        <v>15</v>
      </c>
      <c r="H137" s="17" t="s">
        <v>20</v>
      </c>
      <c r="I137" s="18">
        <v>300000</v>
      </c>
      <c r="J137" s="18">
        <v>412809</v>
      </c>
      <c r="K137" s="19">
        <v>52124.45</v>
      </c>
      <c r="L137" s="20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>1.3760300000000001</v>
      </c>
      <c r="M137" s="18" t="str">
        <f>IF(표1_3[[#This Row],[사용량]]&lt;=60%, "양호", IF(표1_3[[#This Row],[사용량]]&lt;=70%, "교체 권고", IF(표1_3[[#This Row],[사용량]]&lt;=80%, "교체", "긴급 교체")))</f>
        <v>긴급 교체</v>
      </c>
      <c r="N137" s="18" t="str">
        <f>_xlfn.CONCAT("약 ", ROUND((표1_3[[#This Row],[number of hours powered up :]]/24)/365,1), "년")</f>
        <v>약 6년</v>
      </c>
    </row>
    <row r="138" spans="1:14" ht="20" customHeight="1">
      <c r="A138" s="16" t="s">
        <v>53</v>
      </c>
      <c r="B138" s="17" t="s">
        <v>30</v>
      </c>
      <c r="C138" s="18"/>
      <c r="D138" s="17" t="s">
        <v>40</v>
      </c>
      <c r="E138" s="17" t="s">
        <v>41</v>
      </c>
      <c r="F138" s="17" t="s">
        <v>42</v>
      </c>
      <c r="G138" s="17" t="s">
        <v>43</v>
      </c>
      <c r="H138" s="21"/>
      <c r="I138" s="21"/>
      <c r="J138" s="21"/>
      <c r="K138" s="21">
        <v>51749</v>
      </c>
      <c r="L138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138" s="18" t="str">
        <f>IF(표1_3[[#This Row],[사용량]]&lt;=60%, "양호", IF(표1_3[[#This Row],[사용량]]&lt;=70%, "교체 권고", IF(표1_3[[#This Row],[사용량]]&lt;=80%, "교체", "긴급 교체")))</f>
        <v>긴급 교체</v>
      </c>
      <c r="N138" s="18" t="str">
        <f>_xlfn.CONCAT("약 ", ROUND((표1_3[[#This Row],[number of hours powered up :]]/24)/365,1), "년")</f>
        <v>약 5.9년</v>
      </c>
    </row>
    <row r="139" spans="1:14" ht="20" customHeight="1">
      <c r="A139" s="16" t="s">
        <v>53</v>
      </c>
      <c r="B139" s="17" t="s">
        <v>31</v>
      </c>
      <c r="C139" s="18"/>
      <c r="D139" s="17" t="s">
        <v>40</v>
      </c>
      <c r="E139" s="17" t="s">
        <v>41</v>
      </c>
      <c r="F139" s="17" t="s">
        <v>42</v>
      </c>
      <c r="G139" s="17" t="s">
        <v>43</v>
      </c>
      <c r="H139" s="21"/>
      <c r="I139" s="21"/>
      <c r="J139" s="21"/>
      <c r="K139" s="21">
        <v>51748</v>
      </c>
      <c r="L139" s="20" t="str">
        <f>IF(OR(ISBLANK(표1_3[[#This Row],[Accumulated load-unload cycles:]]), ISBLANK(표1_3[[#This Row],[Specified load-unload count over device lifetime:]])), "", 표1_3[[#This Row],[Accumulated load-unload cycles:]] / 표1_3[[#This Row],[Specified load-unload count over device lifetime:]])</f>
        <v/>
      </c>
      <c r="M139" s="18" t="str">
        <f>IF(표1_3[[#This Row],[사용량]]&lt;=60%, "양호", IF(표1_3[[#This Row],[사용량]]&lt;=70%, "교체 권고", IF(표1_3[[#This Row],[사용량]]&lt;=80%, "교체", "긴급 교체")))</f>
        <v>긴급 교체</v>
      </c>
      <c r="N139" s="18" t="str">
        <f>_xlfn.CONCAT("약 ", ROUND((표1_3[[#This Row],[number of hours powered up :]]/24)/365,1), "년")</f>
        <v>약 5.9년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5B15-339C-8C4E-80A3-5560E03C9239}">
  <dimension ref="A1:G24"/>
  <sheetViews>
    <sheetView workbookViewId="0">
      <selection activeCell="A23" sqref="A23"/>
    </sheetView>
  </sheetViews>
  <sheetFormatPr baseColWidth="10" defaultRowHeight="13"/>
  <cols>
    <col min="1" max="1" width="38.6640625" bestFit="1" customWidth="1"/>
    <col min="2" max="2" width="18.83203125" bestFit="1" customWidth="1"/>
    <col min="3" max="3" width="19" bestFit="1" customWidth="1"/>
    <col min="4" max="4" width="17.6640625" bestFit="1" customWidth="1"/>
    <col min="5" max="5" width="17.5" bestFit="1" customWidth="1"/>
    <col min="6" max="6" width="17.6640625" bestFit="1" customWidth="1"/>
    <col min="7" max="7" width="8" bestFit="1" customWidth="1"/>
    <col min="8" max="8" width="17.6640625" bestFit="1" customWidth="1"/>
    <col min="9" max="9" width="8" bestFit="1" customWidth="1"/>
    <col min="10" max="10" width="30.5" bestFit="1" customWidth="1"/>
    <col min="11" max="11" width="19.6640625" bestFit="1" customWidth="1"/>
    <col min="12" max="12" width="22.33203125" bestFit="1" customWidth="1"/>
    <col min="13" max="13" width="19.5" bestFit="1" customWidth="1"/>
    <col min="14" max="14" width="6" bestFit="1" customWidth="1"/>
    <col min="15" max="15" width="22" bestFit="1" customWidth="1"/>
    <col min="16" max="16" width="19.6640625" bestFit="1" customWidth="1"/>
    <col min="17" max="17" width="22.33203125" bestFit="1" customWidth="1"/>
    <col min="18" max="19" width="8" bestFit="1" customWidth="1"/>
    <col min="20" max="20" width="9.83203125" bestFit="1" customWidth="1"/>
    <col min="21" max="21" width="6" bestFit="1" customWidth="1"/>
    <col min="22" max="22" width="7" bestFit="1" customWidth="1"/>
    <col min="23" max="26" width="9.83203125" bestFit="1" customWidth="1"/>
    <col min="27" max="27" width="10.1640625" bestFit="1" customWidth="1"/>
    <col min="28" max="28" width="10.6640625" bestFit="1" customWidth="1"/>
    <col min="29" max="29" width="10.1640625" bestFit="1" customWidth="1"/>
    <col min="30" max="30" width="10.6640625" bestFit="1" customWidth="1"/>
    <col min="31" max="31" width="11.5" bestFit="1" customWidth="1"/>
    <col min="32" max="34" width="10.6640625" bestFit="1" customWidth="1"/>
    <col min="35" max="35" width="8" bestFit="1" customWidth="1"/>
    <col min="36" max="36" width="10.6640625" bestFit="1" customWidth="1"/>
    <col min="38" max="38" width="10.6640625" bestFit="1" customWidth="1"/>
    <col min="39" max="39" width="7" bestFit="1" customWidth="1"/>
  </cols>
  <sheetData>
    <row r="1" spans="1:7" ht="20" customHeight="1">
      <c r="A1" s="4" t="s">
        <v>73</v>
      </c>
      <c r="B1" s="4" t="s">
        <v>60</v>
      </c>
      <c r="C1" s="5"/>
      <c r="D1" s="5"/>
      <c r="E1" s="5"/>
      <c r="F1" s="5"/>
      <c r="G1" s="5"/>
    </row>
    <row r="2" spans="1:7" ht="20" customHeight="1">
      <c r="A2" s="4" t="s">
        <v>58</v>
      </c>
      <c r="B2" s="5" t="s">
        <v>39</v>
      </c>
      <c r="C2" s="5" t="s">
        <v>44</v>
      </c>
      <c r="D2" s="5" t="s">
        <v>36</v>
      </c>
      <c r="E2" s="5" t="s">
        <v>27</v>
      </c>
      <c r="F2" s="5" t="s">
        <v>25</v>
      </c>
      <c r="G2" s="5" t="s">
        <v>59</v>
      </c>
    </row>
    <row r="3" spans="1:7" ht="20" customHeight="1">
      <c r="A3" s="6" t="s">
        <v>37</v>
      </c>
      <c r="B3" s="3">
        <v>95</v>
      </c>
      <c r="C3" s="3">
        <v>1</v>
      </c>
      <c r="D3" s="3"/>
      <c r="E3" s="3"/>
      <c r="F3" s="3"/>
      <c r="G3" s="3">
        <v>96</v>
      </c>
    </row>
    <row r="4" spans="1:7" ht="20" customHeight="1">
      <c r="A4" s="7" t="s">
        <v>65</v>
      </c>
      <c r="B4" s="3"/>
      <c r="C4" s="3">
        <v>1</v>
      </c>
      <c r="D4" s="3"/>
      <c r="E4" s="3"/>
      <c r="F4" s="3"/>
      <c r="G4" s="3">
        <v>1</v>
      </c>
    </row>
    <row r="5" spans="1:7" ht="20" customHeight="1">
      <c r="A5" s="8" t="s">
        <v>76</v>
      </c>
      <c r="B5" s="3"/>
      <c r="C5" s="3">
        <v>1</v>
      </c>
      <c r="D5" s="3"/>
      <c r="E5" s="3"/>
      <c r="F5" s="3"/>
      <c r="G5" s="3">
        <v>1</v>
      </c>
    </row>
    <row r="6" spans="1:7" ht="20" customHeight="1">
      <c r="A6" s="7" t="s">
        <v>71</v>
      </c>
      <c r="B6" s="3">
        <v>43</v>
      </c>
      <c r="C6" s="3"/>
      <c r="D6" s="3"/>
      <c r="E6" s="3"/>
      <c r="F6" s="3"/>
      <c r="G6" s="3">
        <v>43</v>
      </c>
    </row>
    <row r="7" spans="1:7" ht="20" customHeight="1">
      <c r="A7" s="8" t="s">
        <v>74</v>
      </c>
      <c r="B7" s="3">
        <v>6</v>
      </c>
      <c r="C7" s="3"/>
      <c r="D7" s="3"/>
      <c r="E7" s="3"/>
      <c r="F7" s="3"/>
      <c r="G7" s="3">
        <v>6</v>
      </c>
    </row>
    <row r="8" spans="1:7" ht="20" customHeight="1">
      <c r="A8" s="8" t="s">
        <v>75</v>
      </c>
      <c r="B8" s="3">
        <v>37</v>
      </c>
      <c r="C8" s="3"/>
      <c r="D8" s="3"/>
      <c r="E8" s="3"/>
      <c r="F8" s="3"/>
      <c r="G8" s="3">
        <v>37</v>
      </c>
    </row>
    <row r="9" spans="1:7" ht="20" customHeight="1">
      <c r="A9" s="7" t="s">
        <v>72</v>
      </c>
      <c r="B9" s="3">
        <v>52</v>
      </c>
      <c r="C9" s="3"/>
      <c r="D9" s="3"/>
      <c r="E9" s="3"/>
      <c r="F9" s="3"/>
      <c r="G9" s="3">
        <v>52</v>
      </c>
    </row>
    <row r="10" spans="1:7" ht="20" customHeight="1">
      <c r="A10" s="8" t="s">
        <v>75</v>
      </c>
      <c r="B10" s="3">
        <v>52</v>
      </c>
      <c r="C10" s="3"/>
      <c r="D10" s="3"/>
      <c r="E10" s="3"/>
      <c r="F10" s="3"/>
      <c r="G10" s="3">
        <v>52</v>
      </c>
    </row>
    <row r="11" spans="1:7" ht="20" customHeight="1">
      <c r="A11" s="6" t="s">
        <v>19</v>
      </c>
      <c r="B11" s="3"/>
      <c r="C11" s="3"/>
      <c r="D11" s="3">
        <v>1</v>
      </c>
      <c r="E11" s="3">
        <v>14</v>
      </c>
      <c r="F11" s="3">
        <v>1</v>
      </c>
      <c r="G11" s="3">
        <v>16</v>
      </c>
    </row>
    <row r="12" spans="1:7" ht="20" customHeight="1">
      <c r="A12" s="7" t="s">
        <v>66</v>
      </c>
      <c r="B12" s="3"/>
      <c r="C12" s="3"/>
      <c r="D12" s="3"/>
      <c r="E12" s="3"/>
      <c r="F12" s="3">
        <v>1</v>
      </c>
      <c r="G12" s="3">
        <v>1</v>
      </c>
    </row>
    <row r="13" spans="1:7" ht="20" customHeight="1">
      <c r="A13" s="8" t="s">
        <v>76</v>
      </c>
      <c r="B13" s="3"/>
      <c r="C13" s="3"/>
      <c r="D13" s="3"/>
      <c r="E13" s="3"/>
      <c r="F13" s="3">
        <v>1</v>
      </c>
      <c r="G13" s="3">
        <v>1</v>
      </c>
    </row>
    <row r="14" spans="1:7" ht="20" customHeight="1">
      <c r="A14" s="7" t="s">
        <v>67</v>
      </c>
      <c r="B14" s="3"/>
      <c r="C14" s="3"/>
      <c r="D14" s="3">
        <v>1</v>
      </c>
      <c r="E14" s="3"/>
      <c r="F14" s="3"/>
      <c r="G14" s="3">
        <v>1</v>
      </c>
    </row>
    <row r="15" spans="1:7" ht="20" customHeight="1">
      <c r="A15" s="8" t="s">
        <v>76</v>
      </c>
      <c r="B15" s="3"/>
      <c r="C15" s="3"/>
      <c r="D15" s="3">
        <v>1</v>
      </c>
      <c r="E15" s="3"/>
      <c r="F15" s="3"/>
      <c r="G15" s="3">
        <v>1</v>
      </c>
    </row>
    <row r="16" spans="1:7" ht="20" customHeight="1">
      <c r="A16" s="7" t="s">
        <v>68</v>
      </c>
      <c r="B16" s="3"/>
      <c r="C16" s="3"/>
      <c r="D16" s="3"/>
      <c r="E16" s="3">
        <v>1</v>
      </c>
      <c r="F16" s="3"/>
      <c r="G16" s="3">
        <v>1</v>
      </c>
    </row>
    <row r="17" spans="1:7" ht="20" customHeight="1">
      <c r="A17" s="8" t="s">
        <v>76</v>
      </c>
      <c r="B17" s="3"/>
      <c r="C17" s="3"/>
      <c r="D17" s="3"/>
      <c r="E17" s="3">
        <v>1</v>
      </c>
      <c r="F17" s="3"/>
      <c r="G17" s="3">
        <v>1</v>
      </c>
    </row>
    <row r="18" spans="1:7" ht="20" customHeight="1">
      <c r="A18" s="7" t="s">
        <v>69</v>
      </c>
      <c r="B18" s="3"/>
      <c r="C18" s="3"/>
      <c r="D18" s="3"/>
      <c r="E18" s="3">
        <v>5</v>
      </c>
      <c r="F18" s="3"/>
      <c r="G18" s="3">
        <v>5</v>
      </c>
    </row>
    <row r="19" spans="1:7" ht="17">
      <c r="A19" s="8" t="s">
        <v>75</v>
      </c>
      <c r="B19" s="3"/>
      <c r="C19" s="3"/>
      <c r="D19" s="3"/>
      <c r="E19" s="3">
        <v>5</v>
      </c>
      <c r="F19" s="3"/>
      <c r="G19" s="3">
        <v>5</v>
      </c>
    </row>
    <row r="20" spans="1:7" ht="17">
      <c r="A20" s="7" t="s">
        <v>70</v>
      </c>
      <c r="B20" s="3"/>
      <c r="C20" s="3"/>
      <c r="D20" s="3"/>
      <c r="E20" s="3">
        <v>1</v>
      </c>
      <c r="F20" s="3"/>
      <c r="G20" s="3">
        <v>1</v>
      </c>
    </row>
    <row r="21" spans="1:7" ht="17">
      <c r="A21" s="8" t="s">
        <v>76</v>
      </c>
      <c r="B21" s="3"/>
      <c r="C21" s="3"/>
      <c r="D21" s="3"/>
      <c r="E21" s="3">
        <v>1</v>
      </c>
      <c r="F21" s="3"/>
      <c r="G21" s="3">
        <v>1</v>
      </c>
    </row>
    <row r="22" spans="1:7" ht="17">
      <c r="A22" s="7" t="s">
        <v>71</v>
      </c>
      <c r="B22" s="3"/>
      <c r="C22" s="3"/>
      <c r="D22" s="3"/>
      <c r="E22" s="3">
        <v>7</v>
      </c>
      <c r="F22" s="3"/>
      <c r="G22" s="3">
        <v>7</v>
      </c>
    </row>
    <row r="23" spans="1:7" ht="17">
      <c r="A23" s="8" t="s">
        <v>76</v>
      </c>
      <c r="B23" s="3"/>
      <c r="C23" s="3"/>
      <c r="D23" s="3"/>
      <c r="E23" s="3">
        <v>7</v>
      </c>
      <c r="F23" s="3"/>
      <c r="G23" s="3">
        <v>7</v>
      </c>
    </row>
    <row r="24" spans="1:7" ht="17">
      <c r="A24" s="6" t="s">
        <v>59</v>
      </c>
      <c r="B24" s="3">
        <v>95</v>
      </c>
      <c r="C24" s="3">
        <v>1</v>
      </c>
      <c r="D24" s="3">
        <v>1</v>
      </c>
      <c r="E24" s="3">
        <v>14</v>
      </c>
      <c r="F24" s="3">
        <v>1</v>
      </c>
      <c r="G24" s="3">
        <v>112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AC77-39CA-E642-9DFD-DD6355F7AE75}">
  <dimension ref="A1:I7"/>
  <sheetViews>
    <sheetView workbookViewId="0">
      <selection activeCell="E21" sqref="E21"/>
    </sheetView>
  </sheetViews>
  <sheetFormatPr baseColWidth="10" defaultRowHeight="13"/>
  <cols>
    <col min="1" max="1" width="41.83203125" customWidth="1"/>
    <col min="2" max="9" width="23.83203125" customWidth="1"/>
  </cols>
  <sheetData>
    <row r="1" spans="1:9" s="15" customFormat="1" ht="25" customHeight="1">
      <c r="A1" s="13" t="s">
        <v>61</v>
      </c>
      <c r="B1" s="13" t="s">
        <v>60</v>
      </c>
      <c r="C1" s="14"/>
      <c r="D1" s="14"/>
      <c r="E1" s="14"/>
      <c r="F1" s="14"/>
      <c r="G1" s="14"/>
      <c r="H1" s="14"/>
      <c r="I1" s="14"/>
    </row>
    <row r="2" spans="1:9" s="15" customFormat="1" ht="25" customHeight="1">
      <c r="A2" s="13" t="s">
        <v>58</v>
      </c>
      <c r="B2" s="14" t="s">
        <v>40</v>
      </c>
      <c r="C2" s="14" t="s">
        <v>39</v>
      </c>
      <c r="D2" s="14" t="s">
        <v>44</v>
      </c>
      <c r="E2" s="14" t="s">
        <v>12</v>
      </c>
      <c r="F2" s="14" t="s">
        <v>36</v>
      </c>
      <c r="G2" s="14" t="s">
        <v>27</v>
      </c>
      <c r="H2" s="14" t="s">
        <v>25</v>
      </c>
      <c r="I2" s="14" t="s">
        <v>59</v>
      </c>
    </row>
    <row r="3" spans="1:9" s="15" customFormat="1" ht="25" customHeight="1">
      <c r="A3" s="14" t="s">
        <v>37</v>
      </c>
      <c r="B3" s="3"/>
      <c r="C3" s="3">
        <v>95</v>
      </c>
      <c r="D3" s="3">
        <v>1</v>
      </c>
      <c r="E3" s="3"/>
      <c r="F3" s="3"/>
      <c r="G3" s="3"/>
      <c r="H3" s="3"/>
      <c r="I3" s="3">
        <v>96</v>
      </c>
    </row>
    <row r="4" spans="1:9" s="15" customFormat="1" ht="25" customHeight="1">
      <c r="A4" s="14" t="s">
        <v>41</v>
      </c>
      <c r="B4" s="3">
        <v>24</v>
      </c>
      <c r="C4" s="3"/>
      <c r="D4" s="3"/>
      <c r="E4" s="3"/>
      <c r="F4" s="3"/>
      <c r="G4" s="3"/>
      <c r="H4" s="3"/>
      <c r="I4" s="3">
        <v>24</v>
      </c>
    </row>
    <row r="5" spans="1:9" s="15" customFormat="1" ht="25" customHeight="1">
      <c r="A5" s="14" t="s">
        <v>13</v>
      </c>
      <c r="B5" s="3"/>
      <c r="C5" s="3"/>
      <c r="D5" s="3"/>
      <c r="E5" s="3">
        <v>2</v>
      </c>
      <c r="F5" s="3"/>
      <c r="G5" s="3"/>
      <c r="H5" s="3"/>
      <c r="I5" s="3">
        <v>2</v>
      </c>
    </row>
    <row r="6" spans="1:9" s="15" customFormat="1" ht="25" customHeight="1">
      <c r="A6" s="14" t="s">
        <v>19</v>
      </c>
      <c r="B6" s="3"/>
      <c r="C6" s="3"/>
      <c r="D6" s="3"/>
      <c r="E6" s="3"/>
      <c r="F6" s="3">
        <v>1</v>
      </c>
      <c r="G6" s="3">
        <v>14</v>
      </c>
      <c r="H6" s="3">
        <v>1</v>
      </c>
      <c r="I6" s="3">
        <v>16</v>
      </c>
    </row>
    <row r="7" spans="1:9" s="15" customFormat="1" ht="25" customHeight="1">
      <c r="A7" s="14" t="s">
        <v>59</v>
      </c>
      <c r="B7" s="3">
        <v>24</v>
      </c>
      <c r="C7" s="3">
        <v>95</v>
      </c>
      <c r="D7" s="3">
        <v>1</v>
      </c>
      <c r="E7" s="3">
        <v>2</v>
      </c>
      <c r="F7" s="3">
        <v>1</v>
      </c>
      <c r="G7" s="3">
        <v>14</v>
      </c>
      <c r="H7" s="3">
        <v>1</v>
      </c>
      <c r="I7" s="3">
        <v>138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시트 1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현기</cp:lastModifiedBy>
  <dcterms:modified xsi:type="dcterms:W3CDTF">2024-02-06T07:58:49Z</dcterms:modified>
</cp:coreProperties>
</file>