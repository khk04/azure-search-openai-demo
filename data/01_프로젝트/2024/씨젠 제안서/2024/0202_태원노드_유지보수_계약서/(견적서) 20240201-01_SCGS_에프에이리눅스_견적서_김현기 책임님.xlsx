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k/Library/CloudStorage/OneDrive-젝사젠주식회사/씨젠 제안서/2024/0202_태원노드_유지보수_계약서/"/>
    </mc:Choice>
  </mc:AlternateContent>
  <xr:revisionPtr revIDLastSave="0" documentId="13_ncr:1_{E3E72DE3-FB52-4548-9EF3-DC4BE5FCE22F}" xr6:coauthVersionLast="47" xr6:coauthVersionMax="47" xr10:uidLastSave="{00000000-0000-0000-0000-000000000000}"/>
  <bookViews>
    <workbookView xWindow="-38400" yWindow="500" windowWidth="38400" windowHeight="21100" activeTab="1" xr2:uid="{00000000-000D-0000-FFFF-FFFF00000000}"/>
  </bookViews>
  <sheets>
    <sheet name="Quote (2)" sheetId="2" r:id="rId1"/>
    <sheet name="Quote" sheetId="1" r:id="rId2"/>
  </sheets>
  <definedNames>
    <definedName name="_xlnm.Print_Area" localSheetId="1">Quote!$A$1:$H$39</definedName>
    <definedName name="_xlnm.Print_Area" localSheetId="0">'Quote (2)'!$A$1:$H$39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  <c r="G13" i="2" s="1"/>
  <c r="F12" i="2"/>
  <c r="G12" i="2" s="1"/>
  <c r="F14" i="2" l="1"/>
  <c r="F15" i="2"/>
  <c r="F16" i="2" s="1"/>
  <c r="C9" i="2" s="1"/>
  <c r="G12" i="1"/>
  <c r="G13" i="1"/>
  <c r="F14" i="1" l="1"/>
  <c r="F15" i="1"/>
  <c r="F16" i="1" s="1"/>
  <c r="C9" i="1" l="1"/>
</calcChain>
</file>

<file path=xl/sharedStrings.xml><?xml version="1.0" encoding="utf-8"?>
<sst xmlns="http://schemas.openxmlformats.org/spreadsheetml/2006/main" count="97" uniqueCount="48">
  <si>
    <t>[ REMARKS ]</t>
  </si>
  <si>
    <t>합계(VAT별도)</t>
    <phoneticPr fontId="1" type="noConversion"/>
  </si>
  <si>
    <t>부가세</t>
    <phoneticPr fontId="1" type="noConversion"/>
  </si>
  <si>
    <t>제안가 합계(VAT포함)</t>
    <phoneticPr fontId="1" type="noConversion"/>
  </si>
  <si>
    <t>견 적 번 호:</t>
    <phoneticPr fontId="4" type="noConversion"/>
  </si>
  <si>
    <t>수         신:</t>
    <phoneticPr fontId="4" type="noConversion"/>
  </si>
  <si>
    <t>No.</t>
    <phoneticPr fontId="1" type="noConversion"/>
  </si>
  <si>
    <t>품명 및 세부사양</t>
    <phoneticPr fontId="1" type="noConversion"/>
  </si>
  <si>
    <t>단가</t>
    <phoneticPr fontId="1" type="noConversion"/>
  </si>
  <si>
    <t>금액</t>
    <phoneticPr fontId="1" type="noConversion"/>
  </si>
  <si>
    <t>비고</t>
    <phoneticPr fontId="1" type="noConversion"/>
  </si>
  <si>
    <t>견   적   서</t>
    <phoneticPr fontId="1" type="noConversion"/>
  </si>
  <si>
    <t>견 적  금 액:</t>
    <phoneticPr fontId="4" type="noConversion"/>
  </si>
  <si>
    <t>당사는 이 견적서상의 가격 및 조건들을 수용하며, 이 견적서를 귀사에 대한 공식 발주서로 대신하는데 동의합니다.</t>
    <phoneticPr fontId="15" type="noConversion"/>
  </si>
  <si>
    <t>ㆍ발주업체 :</t>
    <phoneticPr fontId="15" type="noConversion"/>
  </si>
  <si>
    <t>(아래 빈 공간에 업체의 명판 및 인감을 날인해 주십시오. 명판,직인이 날인되지 않은 경우 정상 발주되지 않을 수 있습니다.)</t>
    <phoneticPr fontId="15" type="noConversion"/>
  </si>
  <si>
    <t>ㆍ배송지 :</t>
    <phoneticPr fontId="15" type="noConversion"/>
  </si>
  <si>
    <t>ㆍ세금계산서 담당자 :</t>
    <phoneticPr fontId="15" type="noConversion"/>
  </si>
  <si>
    <t xml:space="preserve">ㆍ수령인 : </t>
    <phoneticPr fontId="15" type="noConversion"/>
  </si>
  <si>
    <t>(성명)                          (연락처)</t>
  </si>
  <si>
    <t>: 109-86-20739</t>
    <phoneticPr fontId="1" type="noConversion"/>
  </si>
  <si>
    <t>: 에스씨지솔루션즈㈜</t>
    <phoneticPr fontId="1" type="noConversion"/>
  </si>
  <si>
    <t>: 도소매외, 컴퓨터및전기통신기자재외</t>
    <phoneticPr fontId="1" type="noConversion"/>
  </si>
  <si>
    <t>대   표   자</t>
    <phoneticPr fontId="1" type="noConversion"/>
  </si>
  <si>
    <t>주         소</t>
    <phoneticPr fontId="1" type="noConversion"/>
  </si>
  <si>
    <t>업태 및 종목</t>
    <phoneticPr fontId="1" type="noConversion"/>
  </si>
  <si>
    <t>사업자 번호</t>
    <phoneticPr fontId="1" type="noConversion"/>
  </si>
  <si>
    <t>상         호</t>
    <phoneticPr fontId="1" type="noConversion"/>
  </si>
  <si>
    <t>견 적 일 자:</t>
    <phoneticPr fontId="4" type="noConversion"/>
  </si>
  <si>
    <t>참         조:</t>
    <phoneticPr fontId="4" type="noConversion"/>
  </si>
  <si>
    <t>구분(품번)</t>
    <phoneticPr fontId="1" type="noConversion"/>
  </si>
  <si>
    <t>www.scgs.co.kr</t>
    <phoneticPr fontId="1" type="noConversion"/>
  </si>
  <si>
    <t>: 서울시 용산구 원효로 138 (원효로3가)</t>
    <phoneticPr fontId="1" type="noConversion"/>
  </si>
  <si>
    <t>3. 유상유지보수 : 제품 보증에 따름</t>
  </si>
  <si>
    <t>4. 결제 계좌 :</t>
  </si>
  <si>
    <t>: 남 성 능</t>
    <phoneticPr fontId="1" type="noConversion"/>
  </si>
  <si>
    <t>5. 담당자 : 강명우 과장 (010-6542-6504)</t>
    <phoneticPr fontId="1" type="noConversion"/>
  </si>
  <si>
    <t>1. 견적 유효 기간 : 견적일로부터 1주</t>
    <phoneticPr fontId="1" type="noConversion"/>
  </si>
  <si>
    <t>수량</t>
    <phoneticPr fontId="1" type="noConversion"/>
  </si>
  <si>
    <t>6. 해당 견적서는 Seagate 공식 수입사간 거래에서만 사용되며, 해당 가격의 외부 노출은 금합니다.</t>
    <phoneticPr fontId="1" type="noConversion"/>
  </si>
  <si>
    <t>HDD</t>
    <phoneticPr fontId="1" type="noConversion"/>
  </si>
  <si>
    <t>에프에이리눅스㈜</t>
    <phoneticPr fontId="1" type="noConversion"/>
  </si>
  <si>
    <t>2. 결제 조건 : 선 결제</t>
    <phoneticPr fontId="1" type="noConversion"/>
  </si>
  <si>
    <t>Seagate Exos 7E10 SAS/7200/256M (ST10000NM018B, 10TB)</t>
    <phoneticPr fontId="1" type="noConversion"/>
  </si>
  <si>
    <t>Seagate EXOS 7E10 SAS/7200/256M (ST8000NM018B, 8TB)</t>
    <phoneticPr fontId="1" type="noConversion"/>
  </si>
  <si>
    <t>SCGS-24-0201-001</t>
    <phoneticPr fontId="4" type="noConversion"/>
  </si>
  <si>
    <t>김현기 책임님</t>
    <phoneticPr fontId="1" type="noConversion"/>
  </si>
  <si>
    <t>마진율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</si>
</sst>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76" formatCode="_-* #,##0_-;\-* #,##0_-;_-* &quot;-&quot;_-;_-@_-"/>
    <numFmt numFmtId="177" formatCode="yyyy&quot;년&quot;\ m&quot;월&quot;\ d&quot;일&quot;;@"/>
    <numFmt numFmtId="178" formatCode="#,##0_ ;[Red]\-#,##0\ 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color theme="1" tint="0.4999847407452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굴림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Calibri"/>
      <family val="2"/>
    </font>
    <font>
      <sz val="10"/>
      <color rgb="FF9C6500"/>
      <name val="Calibri"/>
      <family val="2"/>
    </font>
    <font>
      <b/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9" fillId="0" borderId="0"/>
    <xf numFmtId="43" fontId="19" fillId="0" borderId="0" applyFont="0" applyFill="0" applyBorder="0" applyAlignment="0" applyProtection="0"/>
    <xf numFmtId="0" fontId="20" fillId="5" borderId="0" applyNumberFormat="0" applyBorder="0" applyAlignment="0" applyProtection="0"/>
  </cellStyleXfs>
  <cellXfs count="68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8" fontId="7" fillId="0" borderId="0" xfId="0" applyNumberFormat="1" applyFont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178" fontId="7" fillId="0" borderId="3" xfId="0" applyNumberFormat="1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178" fontId="7" fillId="0" borderId="8" xfId="0" applyNumberFormat="1" applyFont="1" applyBorder="1">
      <alignment vertical="center"/>
    </xf>
    <xf numFmtId="0" fontId="7" fillId="0" borderId="9" xfId="0" applyFont="1" applyBorder="1">
      <alignment vertical="center"/>
    </xf>
    <xf numFmtId="0" fontId="3" fillId="0" borderId="10" xfId="1" applyFont="1" applyBorder="1" applyAlignment="1">
      <alignment vertical="center"/>
    </xf>
    <xf numFmtId="0" fontId="11" fillId="0" borderId="0" xfId="3" applyFont="1" applyAlignment="1" applyProtection="1">
      <alignment horizontal="right" vertical="center"/>
    </xf>
    <xf numFmtId="176" fontId="7" fillId="0" borderId="0" xfId="5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8" fillId="3" borderId="0" xfId="0" applyFont="1" applyFill="1">
      <alignment vertical="center"/>
    </xf>
    <xf numFmtId="0" fontId="18" fillId="3" borderId="0" xfId="0" applyFont="1" applyFill="1" applyAlignment="1">
      <alignment horizontal="center" vertical="center"/>
    </xf>
    <xf numFmtId="0" fontId="17" fillId="3" borderId="5" xfId="2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6" fillId="3" borderId="0" xfId="2" applyFont="1" applyFill="1" applyAlignment="1">
      <alignment vertical="center"/>
    </xf>
    <xf numFmtId="0" fontId="16" fillId="3" borderId="6" xfId="2" applyFont="1" applyFill="1" applyBorder="1" applyAlignment="1">
      <alignment horizontal="left" vertical="center"/>
    </xf>
    <xf numFmtId="0" fontId="18" fillId="3" borderId="6" xfId="0" applyFont="1" applyFill="1" applyBorder="1">
      <alignment vertical="center"/>
    </xf>
    <xf numFmtId="0" fontId="18" fillId="3" borderId="6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8" fillId="2" borderId="11" xfId="0" applyFont="1" applyFill="1" applyBorder="1" applyAlignment="1">
      <alignment horizontal="center" vertical="center"/>
    </xf>
    <xf numFmtId="178" fontId="7" fillId="0" borderId="0" xfId="0" applyNumberFormat="1" applyFont="1" applyAlignment="1">
      <alignment horizontal="distributed" vertical="center"/>
    </xf>
    <xf numFmtId="0" fontId="3" fillId="0" borderId="0" xfId="1" applyFont="1" applyAlignment="1">
      <alignment horizontal="distributed" vertical="center"/>
    </xf>
    <xf numFmtId="178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16" fillId="0" borderId="5" xfId="0" applyFont="1" applyBorder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7" fillId="0" borderId="0" xfId="12" applyNumberFormat="1" applyFont="1" applyAlignment="1">
      <alignment vertical="center"/>
    </xf>
    <xf numFmtId="176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distributed"/>
    </xf>
    <xf numFmtId="4" fontId="7" fillId="0" borderId="1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78" fontId="21" fillId="0" borderId="1" xfId="0" applyNumberFormat="1" applyFont="1" applyBorder="1" applyAlignment="1">
      <alignment horizontal="center" vertical="center"/>
    </xf>
    <xf numFmtId="176" fontId="21" fillId="4" borderId="1" xfId="5" applyFont="1" applyFill="1" applyBorder="1" applyProtection="1">
      <alignment vertical="center"/>
      <protection hidden="1"/>
    </xf>
    <xf numFmtId="176" fontId="21" fillId="0" borderId="1" xfId="5" applyFont="1" applyBorder="1" applyAlignment="1">
      <alignment vertical="center"/>
    </xf>
    <xf numFmtId="9" fontId="7" fillId="0" borderId="0" xfId="12" applyFont="1">
      <alignment vertical="center"/>
    </xf>
    <xf numFmtId="0" fontId="18" fillId="3" borderId="0" xfId="2" applyFont="1" applyFill="1" applyAlignment="1">
      <alignment horizontal="left" vertical="center"/>
    </xf>
    <xf numFmtId="0" fontId="17" fillId="3" borderId="5" xfId="2" applyFont="1" applyFill="1" applyBorder="1" applyAlignment="1">
      <alignment horizontal="left" vertical="center"/>
    </xf>
    <xf numFmtId="0" fontId="17" fillId="3" borderId="0" xfId="2" applyFont="1" applyFill="1" applyAlignment="1">
      <alignment horizontal="left" vertical="center"/>
    </xf>
    <xf numFmtId="0" fontId="18" fillId="3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right" vertical="center"/>
    </xf>
    <xf numFmtId="0" fontId="16" fillId="3" borderId="5" xfId="2" applyFont="1" applyFill="1" applyBorder="1" applyAlignment="1">
      <alignment horizontal="left" vertical="center"/>
    </xf>
    <xf numFmtId="0" fontId="16" fillId="3" borderId="0" xfId="2" applyFont="1" applyFill="1" applyAlignment="1">
      <alignment horizontal="left" vertical="center"/>
    </xf>
    <xf numFmtId="0" fontId="16" fillId="3" borderId="6" xfId="2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177" fontId="5" fillId="0" borderId="0" xfId="1" applyNumberFormat="1" applyFont="1" applyAlignment="1">
      <alignment horizontal="left" vertical="center"/>
    </xf>
    <xf numFmtId="0" fontId="3" fillId="0" borderId="10" xfId="1" applyFont="1" applyBorder="1" applyAlignment="1">
      <alignment horizontal="left" vertical="center"/>
    </xf>
  </cellXfs>
  <cellStyles count="17">
    <cellStyle name="백분율" xfId="12" builtinId="5"/>
    <cellStyle name="쉼표 [0]" xfId="5" builtinId="6"/>
    <cellStyle name="쉼표 [0] 2" xfId="7" xr:uid="{00000000-0005-0000-0000-000005000000}"/>
    <cellStyle name="쉼표 [0] 2 2" xfId="10" xr:uid="{00000000-0005-0000-0000-000006000000}"/>
    <cellStyle name="쉼표 [0] 3" xfId="8" xr:uid="{00000000-0005-0000-0000-000007000000}"/>
    <cellStyle name="쉼표 [0] 3 2" xfId="11" xr:uid="{00000000-0005-0000-0000-000008000000}"/>
    <cellStyle name="쉼표 [0] 4" xfId="9" xr:uid="{00000000-0005-0000-0000-000009000000}"/>
    <cellStyle name="표준" xfId="0" builtinId="0"/>
    <cellStyle name="표준 2" xfId="2" xr:uid="{00000000-0005-0000-0000-00000B000000}"/>
    <cellStyle name="표준 2 2" xfId="6" xr:uid="{00000000-0005-0000-0000-00000C000000}"/>
    <cellStyle name="표준 3" xfId="13" xr:uid="{00000000-0005-0000-0000-00000D000000}"/>
    <cellStyle name="표준 5" xfId="4" xr:uid="{00000000-0005-0000-0000-00000E000000}"/>
    <cellStyle name="표준_기안_수주품의서외_1009" xfId="1" xr:uid="{00000000-0005-0000-0000-00000F000000}"/>
    <cellStyle name="하이퍼링크" xfId="3" builtinId="8"/>
    <cellStyle name="Comma 49" xfId="15" xr:uid="{00000000-0005-0000-0000-000000000000}"/>
    <cellStyle name="Neutral 10" xfId="16" xr:uid="{00000000-0005-0000-0000-000001000000}"/>
    <cellStyle name="Normal 67" xfId="14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jpe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37</xdr:row>
      <xdr:rowOff>23014</xdr:rowOff>
    </xdr:from>
    <xdr:to>
      <xdr:col>2</xdr:col>
      <xdr:colOff>893685</xdr:colOff>
      <xdr:row>39</xdr:row>
      <xdr:rowOff>35171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5C9E3F-8A5B-A140-8F8C-604E45E25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07" y="9103514"/>
          <a:ext cx="1847678" cy="418557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36</xdr:row>
      <xdr:rowOff>52733</xdr:rowOff>
    </xdr:from>
    <xdr:to>
      <xdr:col>8</xdr:col>
      <xdr:colOff>17588</xdr:colOff>
      <xdr:row>37</xdr:row>
      <xdr:rowOff>44294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E0656800-D010-7543-8D41-9F820BC7191D}"/>
            </a:ext>
          </a:extLst>
        </xdr:cNvPr>
        <xdr:cNvGrpSpPr/>
      </xdr:nvGrpSpPr>
      <xdr:grpSpPr>
        <a:xfrm>
          <a:off x="1130301" y="8942733"/>
          <a:ext cx="9974387" cy="182061"/>
          <a:chOff x="495300" y="7610699"/>
          <a:chExt cx="8123362" cy="163898"/>
        </a:xfrm>
      </xdr:grpSpPr>
      <xdr:pic>
        <xdr:nvPicPr>
          <xdr:cNvPr id="4" name="Picture 4">
            <a:extLst>
              <a:ext uri="{FF2B5EF4-FFF2-40B4-BE49-F238E27FC236}">
                <a16:creationId xmlns:a16="http://schemas.microsoft.com/office/drawing/2014/main" id="{D9B271D5-7F10-C76D-3250-C0655A5DADF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6337953" y="7610699"/>
            <a:ext cx="2280709" cy="163892"/>
          </a:xfrm>
          <a:prstGeom prst="rect">
            <a:avLst/>
          </a:prstGeom>
          <a:noFill/>
        </xdr:spPr>
      </xdr:pic>
      <xdr:cxnSp macro="">
        <xdr:nvCxnSpPr>
          <xdr:cNvPr id="5" name="직선 연결선 9">
            <a:extLst>
              <a:ext uri="{FF2B5EF4-FFF2-40B4-BE49-F238E27FC236}">
                <a16:creationId xmlns:a16="http://schemas.microsoft.com/office/drawing/2014/main" id="{DD9F413A-8E95-4FC5-7CBB-A17A9F2CA46B}"/>
              </a:ext>
            </a:extLst>
          </xdr:cNvPr>
          <xdr:cNvCxnSpPr/>
        </xdr:nvCxnSpPr>
        <xdr:spPr>
          <a:xfrm>
            <a:off x="495300" y="7774597"/>
            <a:ext cx="810577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28575</xdr:colOff>
      <xdr:row>0</xdr:row>
      <xdr:rowOff>66675</xdr:rowOff>
    </xdr:from>
    <xdr:to>
      <xdr:col>8</xdr:col>
      <xdr:colOff>9525</xdr:colOff>
      <xdr:row>1</xdr:row>
      <xdr:rowOff>29514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B3A0D2AB-01E3-D448-A549-D0714B693723}"/>
            </a:ext>
          </a:extLst>
        </xdr:cNvPr>
        <xdr:cNvGrpSpPr/>
      </xdr:nvGrpSpPr>
      <xdr:grpSpPr>
        <a:xfrm>
          <a:off x="193675" y="66675"/>
          <a:ext cx="10902950" cy="229539"/>
          <a:chOff x="180975" y="503886"/>
          <a:chExt cx="8429625" cy="229539"/>
        </a:xfrm>
      </xdr:grpSpPr>
      <xdr:cxnSp macro="">
        <xdr:nvCxnSpPr>
          <xdr:cNvPr id="7" name="직선 연결선 11">
            <a:extLst>
              <a:ext uri="{FF2B5EF4-FFF2-40B4-BE49-F238E27FC236}">
                <a16:creationId xmlns:a16="http://schemas.microsoft.com/office/drawing/2014/main" id="{3E572606-5A3A-B92F-4E18-F3BDA5F536F8}"/>
              </a:ext>
            </a:extLst>
          </xdr:cNvPr>
          <xdr:cNvCxnSpPr/>
        </xdr:nvCxnSpPr>
        <xdr:spPr>
          <a:xfrm>
            <a:off x="180975" y="733425"/>
            <a:ext cx="842962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8" name="Picture 2">
            <a:extLst>
              <a:ext uri="{FF2B5EF4-FFF2-40B4-BE49-F238E27FC236}">
                <a16:creationId xmlns:a16="http://schemas.microsoft.com/office/drawing/2014/main" id="{A6655214-D630-72A0-E829-5CC09716771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25000"/>
                    </a14:imgEffect>
                    <a14:imgEffect>
                      <a14:brightnessContrast bright="20000" contrast="-40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xdr:blipFill>
        <xdr:spPr bwMode="auto">
          <a:xfrm>
            <a:off x="180975" y="503886"/>
            <a:ext cx="1133475" cy="219249"/>
          </a:xfrm>
          <a:prstGeom prst="rect">
            <a:avLst/>
          </a:prstGeom>
          <a:noFill/>
        </xdr:spPr>
      </xdr:pic>
    </xdr:grp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3</xdr:row>
      <xdr:rowOff>200025</xdr:rowOff>
    </xdr:to>
    <xdr:pic>
      <xdr:nvPicPr>
        <xdr:cNvPr id="9" name="Picture 3" descr="사용인감">
          <a:extLst>
            <a:ext uri="{FF2B5EF4-FFF2-40B4-BE49-F238E27FC236}">
              <a16:creationId xmlns:a16="http://schemas.microsoft.com/office/drawing/2014/main" id="{6D7E9DEA-74DD-2442-B03D-35F263630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6800" y="609600"/>
          <a:ext cx="0" cy="45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11207</xdr:colOff>
      <xdr:row>37</xdr:row>
      <xdr:rowOff>23014</xdr:rowOff>
    </xdr:from>
    <xdr:to>
      <xdr:col>2</xdr:col>
      <xdr:colOff>893685</xdr:colOff>
      <xdr:row>39</xdr:row>
      <xdr:rowOff>35171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5" y="10623779"/>
          <a:ext cx="1861200" cy="393157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36</xdr:row>
      <xdr:rowOff>52733</xdr:rowOff>
    </xdr:from>
    <xdr:to>
      <xdr:col>8</xdr:col>
      <xdr:colOff>17588</xdr:colOff>
      <xdr:row>37</xdr:row>
      <xdr:rowOff>44294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30301" y="8942733"/>
          <a:ext cx="9974387" cy="182061"/>
          <a:chOff x="495300" y="7610699"/>
          <a:chExt cx="8123362" cy="163898"/>
        </a:xfrm>
      </xdr:grpSpPr>
      <xdr:pic>
        <xdr:nvPicPr>
          <xdr:cNvPr id="9" name="Picture 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6337953" y="7610699"/>
            <a:ext cx="2280709" cy="163892"/>
          </a:xfrm>
          <a:prstGeom prst="rect">
            <a:avLst/>
          </a:prstGeom>
          <a:noFill/>
        </xdr:spPr>
      </xdr:pic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495300" y="7774597"/>
            <a:ext cx="810577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28575</xdr:colOff>
      <xdr:row>0</xdr:row>
      <xdr:rowOff>66675</xdr:rowOff>
    </xdr:from>
    <xdr:to>
      <xdr:col>8</xdr:col>
      <xdr:colOff>9525</xdr:colOff>
      <xdr:row>1</xdr:row>
      <xdr:rowOff>29514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93675" y="66675"/>
          <a:ext cx="10902950" cy="229539"/>
          <a:chOff x="180975" y="503886"/>
          <a:chExt cx="8429625" cy="229539"/>
        </a:xfrm>
      </xdr:grpSpPr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180975" y="733425"/>
            <a:ext cx="8429625" cy="0"/>
          </a:xfrm>
          <a:prstGeom prst="line">
            <a:avLst/>
          </a:prstGeom>
          <a:ln w="15875"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pic>
        <xdr:nvPicPr>
          <xdr:cNvPr id="13" name="Picture 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sharpenSoften amount="25000"/>
                    </a14:imgEffect>
                    <a14:imgEffect>
                      <a14:brightnessContrast bright="20000" contrast="-40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xdr:blipFill>
        <xdr:spPr bwMode="auto">
          <a:xfrm>
            <a:off x="180975" y="503886"/>
            <a:ext cx="1133475" cy="219249"/>
          </a:xfrm>
          <a:prstGeom prst="rect">
            <a:avLst/>
          </a:prstGeom>
          <a:noFill/>
        </xdr:spPr>
      </xdr:pic>
    </xdr:grp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3</xdr:row>
      <xdr:rowOff>200025</xdr:rowOff>
    </xdr:to>
    <xdr:pic>
      <xdr:nvPicPr>
        <xdr:cNvPr id="15" name="Picture 3" descr="사용인감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1323975"/>
          <a:ext cx="6572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5340-1AE6-ED4D-B4BF-8FA98A9C975B}">
  <sheetPr>
    <pageSetUpPr fitToPage="1"/>
  </sheetPr>
  <dimension ref="B1:O39"/>
  <sheetViews>
    <sheetView showGridLines="0" view="pageBreakPreview" zoomScaleNormal="100" zoomScaleSheetLayoutView="100" workbookViewId="0">
      <selection activeCell="F16" sqref="F16:G16"/>
    </sheetView>
  </sheetViews>
  <sheetFormatPr baseColWidth="10" defaultColWidth="9" defaultRowHeight="15"/>
  <cols>
    <col min="1" max="1" width="2.1640625" style="3" customWidth="1"/>
    <col min="2" max="2" width="12.6640625" style="3" customWidth="1"/>
    <col min="3" max="3" width="17" style="3" customWidth="1"/>
    <col min="4" max="4" width="65.5" style="3" customWidth="1"/>
    <col min="5" max="5" width="10.33203125" style="4" customWidth="1"/>
    <col min="6" max="6" width="13" style="4" customWidth="1"/>
    <col min="7" max="7" width="13.6640625" style="4" bestFit="1" customWidth="1"/>
    <col min="8" max="8" width="11.1640625" style="3" customWidth="1"/>
    <col min="9" max="9" width="10.6640625" style="3" customWidth="1"/>
    <col min="10" max="11" width="9.6640625" style="3" bestFit="1" customWidth="1"/>
    <col min="12" max="16384" width="9" style="3"/>
  </cols>
  <sheetData>
    <row r="1" spans="2:15" ht="21" customHeight="1">
      <c r="H1" s="16"/>
    </row>
    <row r="2" spans="2:15" ht="27">
      <c r="B2" s="65" t="s">
        <v>11</v>
      </c>
      <c r="C2" s="65"/>
      <c r="D2" s="65"/>
      <c r="E2" s="65"/>
      <c r="F2" s="65"/>
      <c r="G2" s="65"/>
      <c r="H2" s="65"/>
    </row>
    <row r="3" spans="2:15" ht="20" customHeight="1">
      <c r="B3" s="1"/>
      <c r="C3" s="66"/>
      <c r="D3" s="66"/>
      <c r="E3" s="20"/>
      <c r="F3" s="20"/>
      <c r="G3" s="20"/>
      <c r="H3" s="20"/>
    </row>
    <row r="4" spans="2:15" ht="20" customHeight="1">
      <c r="B4" s="38" t="s">
        <v>4</v>
      </c>
      <c r="C4" s="18" t="s">
        <v>45</v>
      </c>
      <c r="D4" s="19"/>
      <c r="E4" s="37" t="s">
        <v>26</v>
      </c>
      <c r="F4" s="39" t="s">
        <v>20</v>
      </c>
    </row>
    <row r="5" spans="2:15" ht="20" customHeight="1">
      <c r="B5" s="38" t="s">
        <v>28</v>
      </c>
      <c r="C5" s="66">
        <v>45323</v>
      </c>
      <c r="D5" s="66"/>
      <c r="E5" s="46" t="s">
        <v>27</v>
      </c>
      <c r="F5" s="39" t="s">
        <v>21</v>
      </c>
    </row>
    <row r="6" spans="2:15" ht="20" customHeight="1">
      <c r="B6" s="38" t="s">
        <v>5</v>
      </c>
      <c r="C6" s="18" t="s">
        <v>41</v>
      </c>
      <c r="D6" s="18"/>
      <c r="E6" s="37" t="s">
        <v>23</v>
      </c>
      <c r="F6" s="39" t="s">
        <v>35</v>
      </c>
    </row>
    <row r="7" spans="2:15" ht="20" customHeight="1">
      <c r="B7" s="38" t="s">
        <v>29</v>
      </c>
      <c r="C7" s="18" t="s">
        <v>46</v>
      </c>
      <c r="D7" s="18"/>
      <c r="E7" s="37" t="s">
        <v>24</v>
      </c>
      <c r="F7" s="39" t="s">
        <v>32</v>
      </c>
    </row>
    <row r="8" spans="2:15" ht="20" customHeight="1">
      <c r="B8" s="1"/>
      <c r="C8" s="18"/>
      <c r="D8" s="18"/>
      <c r="E8" s="37" t="s">
        <v>25</v>
      </c>
      <c r="F8" s="40" t="s">
        <v>22</v>
      </c>
      <c r="G8" s="21"/>
      <c r="H8" s="20"/>
    </row>
    <row r="9" spans="2:15" ht="20" customHeight="1" thickBot="1">
      <c r="B9" s="15" t="s">
        <v>12</v>
      </c>
      <c r="C9" s="67" t="str">
        <f>TEXT(F16,"一金[DBNum4][$-412]G/표준원整")&amp;"  (\"&amp;(FIXED(F16,0)&amp;", VAT포함)")</f>
        <v>一金사천이백사십오만일천이백원整  (\42,451,200, VAT포함)</v>
      </c>
      <c r="D9" s="67"/>
      <c r="E9" s="67"/>
    </row>
    <row r="10" spans="2:15" ht="12" customHeight="1" thickTop="1">
      <c r="H10" s="43"/>
    </row>
    <row r="11" spans="2:15" s="2" customFormat="1" ht="20" customHeight="1">
      <c r="B11" s="32" t="s">
        <v>6</v>
      </c>
      <c r="C11" s="36" t="s">
        <v>30</v>
      </c>
      <c r="D11" s="33" t="s">
        <v>7</v>
      </c>
      <c r="E11" s="34" t="s">
        <v>38</v>
      </c>
      <c r="F11" s="34" t="s">
        <v>8</v>
      </c>
      <c r="G11" s="34" t="s">
        <v>9</v>
      </c>
      <c r="H11" s="33" t="s">
        <v>10</v>
      </c>
    </row>
    <row r="12" spans="2:15" ht="26.25" customHeight="1">
      <c r="B12" s="49">
        <v>1</v>
      </c>
      <c r="C12" s="50" t="s">
        <v>40</v>
      </c>
      <c r="D12" s="48" t="s">
        <v>43</v>
      </c>
      <c r="E12" s="51">
        <v>88</v>
      </c>
      <c r="F12" s="52">
        <f>(Quote!F12*'Quote (2)'!G21)+Quote!F12</f>
        <v>384000</v>
      </c>
      <c r="G12" s="53">
        <f>SUM(F12*E12)</f>
        <v>33792000</v>
      </c>
      <c r="H12" s="47"/>
      <c r="K12" s="17"/>
      <c r="L12" s="17"/>
      <c r="M12" s="44"/>
      <c r="N12" s="45"/>
      <c r="O12" s="44"/>
    </row>
    <row r="13" spans="2:15" ht="26.25" customHeight="1">
      <c r="B13" s="49">
        <v>2</v>
      </c>
      <c r="C13" s="50" t="s">
        <v>40</v>
      </c>
      <c r="D13" s="48" t="s">
        <v>44</v>
      </c>
      <c r="E13" s="51">
        <v>16</v>
      </c>
      <c r="F13" s="52">
        <f>(Quote!F13*'Quote (2)'!G21)+Quote!F13</f>
        <v>300000</v>
      </c>
      <c r="G13" s="53">
        <f>SUM(F13*E13)</f>
        <v>4800000</v>
      </c>
      <c r="H13" s="47"/>
      <c r="K13" s="17"/>
      <c r="L13" s="17"/>
      <c r="M13" s="44"/>
      <c r="N13" s="45"/>
      <c r="O13" s="44"/>
    </row>
    <row r="14" spans="2:15" ht="20" customHeight="1">
      <c r="B14" s="60" t="s">
        <v>1</v>
      </c>
      <c r="C14" s="60"/>
      <c r="D14" s="60"/>
      <c r="E14" s="60"/>
      <c r="F14" s="61">
        <f>SUM(G12:G13)</f>
        <v>38592000</v>
      </c>
      <c r="G14" s="61"/>
      <c r="H14" s="35"/>
      <c r="J14" s="17"/>
    </row>
    <row r="15" spans="2:15" ht="20" customHeight="1">
      <c r="B15" s="60" t="s">
        <v>2</v>
      </c>
      <c r="C15" s="60"/>
      <c r="D15" s="60"/>
      <c r="E15" s="60"/>
      <c r="F15" s="61">
        <f>F14*10%</f>
        <v>3859200</v>
      </c>
      <c r="G15" s="61"/>
      <c r="H15" s="35"/>
    </row>
    <row r="16" spans="2:15" ht="20" customHeight="1">
      <c r="B16" s="60" t="s">
        <v>3</v>
      </c>
      <c r="C16" s="60"/>
      <c r="D16" s="60"/>
      <c r="E16" s="60"/>
      <c r="F16" s="61">
        <f>SUM(F14:G15)</f>
        <v>42451200</v>
      </c>
      <c r="G16" s="61"/>
      <c r="H16" s="35"/>
    </row>
    <row r="17" spans="2:9" ht="16" customHeight="1">
      <c r="B17" s="5" t="s">
        <v>0</v>
      </c>
      <c r="C17" s="6"/>
      <c r="D17" s="6"/>
      <c r="E17" s="7"/>
      <c r="F17" s="7"/>
      <c r="G17" s="7"/>
      <c r="H17" s="8"/>
    </row>
    <row r="18" spans="2:9" ht="16" customHeight="1">
      <c r="B18" s="9" t="s">
        <v>37</v>
      </c>
      <c r="H18" s="10"/>
    </row>
    <row r="19" spans="2:9" ht="16" customHeight="1">
      <c r="B19" s="9" t="s">
        <v>42</v>
      </c>
      <c r="H19" s="10"/>
    </row>
    <row r="20" spans="2:9" ht="16" customHeight="1">
      <c r="B20" s="9" t="s">
        <v>33</v>
      </c>
      <c r="H20" s="10"/>
    </row>
    <row r="21" spans="2:9" ht="16" customHeight="1">
      <c r="B21" s="9" t="s">
        <v>34</v>
      </c>
      <c r="F21" s="4" t="s">
        <v>47</v>
      </c>
      <c r="G21" s="54">
        <v>0.2</v>
      </c>
      <c r="H21" s="10"/>
    </row>
    <row r="22" spans="2:9" ht="16" customHeight="1">
      <c r="B22" s="9" t="s">
        <v>36</v>
      </c>
      <c r="H22" s="10"/>
    </row>
    <row r="23" spans="2:9" ht="16" customHeight="1">
      <c r="B23" s="41" t="s">
        <v>39</v>
      </c>
      <c r="H23" s="10"/>
    </row>
    <row r="24" spans="2:9" ht="16" customHeight="1">
      <c r="B24" s="41"/>
      <c r="H24" s="10"/>
    </row>
    <row r="25" spans="2:9" ht="20" customHeight="1">
      <c r="B25" s="62" t="s">
        <v>13</v>
      </c>
      <c r="C25" s="63"/>
      <c r="D25" s="63"/>
      <c r="E25" s="63"/>
      <c r="F25" s="63"/>
      <c r="G25" s="63"/>
      <c r="H25" s="64"/>
      <c r="I25" s="28"/>
    </row>
    <row r="26" spans="2:9" ht="20" customHeight="1">
      <c r="B26" s="22"/>
      <c r="C26" s="23"/>
      <c r="D26" s="23"/>
      <c r="F26" s="23"/>
      <c r="G26" s="23"/>
      <c r="H26" s="29"/>
      <c r="I26" s="28"/>
    </row>
    <row r="27" spans="2:9" ht="20" customHeight="1">
      <c r="B27" s="26" t="s">
        <v>16</v>
      </c>
      <c r="C27" s="55"/>
      <c r="D27" s="55"/>
      <c r="E27" s="55"/>
      <c r="F27" s="55"/>
      <c r="G27" s="55"/>
      <c r="H27" s="30"/>
      <c r="I27" s="25"/>
    </row>
    <row r="28" spans="2:9" ht="20" customHeight="1">
      <c r="B28" s="26" t="s">
        <v>18</v>
      </c>
      <c r="C28" s="55" t="s">
        <v>19</v>
      </c>
      <c r="D28" s="55"/>
      <c r="E28" s="55"/>
      <c r="F28" s="55"/>
      <c r="G28" s="55"/>
      <c r="H28" s="30"/>
      <c r="I28" s="25"/>
    </row>
    <row r="29" spans="2:9" ht="20" customHeight="1">
      <c r="B29" s="56" t="s">
        <v>17</v>
      </c>
      <c r="C29" s="57"/>
      <c r="D29" s="55"/>
      <c r="E29" s="55"/>
      <c r="F29" s="55"/>
      <c r="G29" s="55"/>
      <c r="H29" s="30"/>
      <c r="I29" s="25"/>
    </row>
    <row r="30" spans="2:9" ht="20" customHeight="1">
      <c r="B30" s="26" t="s">
        <v>14</v>
      </c>
      <c r="C30" s="58" t="s">
        <v>15</v>
      </c>
      <c r="D30" s="58"/>
      <c r="E30" s="58"/>
      <c r="F30" s="58"/>
      <c r="G30" s="58"/>
      <c r="H30" s="59"/>
      <c r="I30" s="24"/>
    </row>
    <row r="31" spans="2:9" ht="20" customHeight="1">
      <c r="B31" s="26"/>
      <c r="C31" s="27"/>
      <c r="D31" s="27"/>
      <c r="E31" s="27"/>
      <c r="F31" s="27"/>
      <c r="G31" s="27"/>
      <c r="H31" s="31"/>
      <c r="I31" s="27"/>
    </row>
    <row r="32" spans="2:9" ht="20" customHeight="1">
      <c r="B32" s="26"/>
      <c r="C32" s="27"/>
      <c r="D32" s="27"/>
      <c r="E32" s="27"/>
      <c r="F32" s="27"/>
      <c r="G32" s="27"/>
      <c r="H32" s="31"/>
      <c r="I32" s="27"/>
    </row>
    <row r="33" spans="2:9" ht="20" customHeight="1">
      <c r="B33" s="26"/>
      <c r="C33" s="27"/>
      <c r="D33" s="27"/>
      <c r="E33" s="27"/>
      <c r="F33" s="27"/>
      <c r="G33" s="27"/>
      <c r="H33" s="31"/>
      <c r="I33" s="27"/>
    </row>
    <row r="34" spans="2:9" ht="20" customHeight="1">
      <c r="B34" s="26"/>
      <c r="C34" s="27"/>
      <c r="D34" s="27"/>
      <c r="E34" s="27"/>
      <c r="F34" s="27"/>
      <c r="G34" s="27"/>
      <c r="H34" s="31"/>
      <c r="I34" s="27"/>
    </row>
    <row r="35" spans="2:9" ht="20" customHeight="1">
      <c r="B35" s="26"/>
      <c r="C35" s="27"/>
      <c r="D35" s="27"/>
      <c r="E35" s="27"/>
      <c r="F35" s="27"/>
      <c r="G35" s="27"/>
      <c r="H35" s="31"/>
      <c r="I35" s="27"/>
    </row>
    <row r="36" spans="2:9" ht="20" customHeight="1">
      <c r="B36" s="11"/>
      <c r="C36" s="12"/>
      <c r="D36" s="12"/>
      <c r="E36" s="13"/>
      <c r="F36" s="13"/>
      <c r="G36" s="13"/>
      <c r="H36" s="14"/>
    </row>
    <row r="39" spans="2:9" ht="17">
      <c r="G39" s="3"/>
      <c r="H39" s="42" t="s">
        <v>31</v>
      </c>
    </row>
  </sheetData>
  <mergeCells count="16">
    <mergeCell ref="B2:H2"/>
    <mergeCell ref="C3:D3"/>
    <mergeCell ref="C5:D5"/>
    <mergeCell ref="C9:E9"/>
    <mergeCell ref="B14:E14"/>
    <mergeCell ref="F14:G14"/>
    <mergeCell ref="C28:G28"/>
    <mergeCell ref="B29:C29"/>
    <mergeCell ref="D29:G29"/>
    <mergeCell ref="C30:H30"/>
    <mergeCell ref="B15:E15"/>
    <mergeCell ref="F15:G15"/>
    <mergeCell ref="B16:E16"/>
    <mergeCell ref="F16:G16"/>
    <mergeCell ref="B25:H25"/>
    <mergeCell ref="C27:G27"/>
  </mergeCells>
  <phoneticPr fontId="1" type="noConversion"/>
  <printOptions horizontalCentered="1"/>
  <pageMargins left="0.11811023622047245" right="0.11811023622047245" top="0.59055118110236227" bottom="0.39370078740157483" header="0.39370078740157483" footer="0.19685039370078741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39"/>
  <sheetViews>
    <sheetView showGridLines="0" tabSelected="1" view="pageBreakPreview" zoomScaleNormal="100" zoomScaleSheetLayoutView="100" workbookViewId="0">
      <selection activeCell="B26" sqref="B26"/>
    </sheetView>
  </sheetViews>
  <sheetFormatPr baseColWidth="10" defaultColWidth="9" defaultRowHeight="15"/>
  <cols>
    <col min="1" max="1" width="2.1640625" style="3" customWidth="1"/>
    <col min="2" max="2" width="12.6640625" style="3" customWidth="1"/>
    <col min="3" max="3" width="17" style="3" customWidth="1"/>
    <col min="4" max="4" width="65.5" style="3" customWidth="1"/>
    <col min="5" max="5" width="10.33203125" style="4" customWidth="1"/>
    <col min="6" max="6" width="13" style="4" customWidth="1"/>
    <col min="7" max="7" width="13.6640625" style="4" bestFit="1" customWidth="1"/>
    <col min="8" max="8" width="11.1640625" style="3" customWidth="1"/>
    <col min="9" max="9" width="10.6640625" style="3" customWidth="1"/>
    <col min="10" max="11" width="9.6640625" style="3" bestFit="1" customWidth="1"/>
    <col min="12" max="16384" width="9" style="3"/>
  </cols>
  <sheetData>
    <row r="1" spans="2:15" ht="21" customHeight="1">
      <c r="H1" s="16"/>
    </row>
    <row r="2" spans="2:15" ht="27">
      <c r="B2" s="65" t="s">
        <v>11</v>
      </c>
      <c r="C2" s="65"/>
      <c r="D2" s="65"/>
      <c r="E2" s="65"/>
      <c r="F2" s="65"/>
      <c r="G2" s="65"/>
      <c r="H2" s="65"/>
    </row>
    <row r="3" spans="2:15" ht="20" customHeight="1">
      <c r="B3" s="1"/>
      <c r="C3" s="66"/>
      <c r="D3" s="66"/>
      <c r="E3" s="20"/>
      <c r="F3" s="20"/>
      <c r="G3" s="20"/>
      <c r="H3" s="20"/>
    </row>
    <row r="4" spans="2:15" ht="20" customHeight="1">
      <c r="B4" s="38" t="s">
        <v>4</v>
      </c>
      <c r="C4" s="18" t="s">
        <v>45</v>
      </c>
      <c r="D4" s="19"/>
      <c r="E4" s="37" t="s">
        <v>26</v>
      </c>
      <c r="F4" s="39" t="s">
        <v>20</v>
      </c>
    </row>
    <row r="5" spans="2:15" ht="20" customHeight="1">
      <c r="B5" s="38" t="s">
        <v>28</v>
      </c>
      <c r="C5" s="66">
        <v>45323</v>
      </c>
      <c r="D5" s="66"/>
      <c r="E5" s="46" t="s">
        <v>27</v>
      </c>
      <c r="F5" s="39" t="s">
        <v>21</v>
      </c>
    </row>
    <row r="6" spans="2:15" ht="20" customHeight="1">
      <c r="B6" s="38" t="s">
        <v>5</v>
      </c>
      <c r="C6" s="18" t="s">
        <v>41</v>
      </c>
      <c r="D6" s="18"/>
      <c r="E6" s="37" t="s">
        <v>23</v>
      </c>
      <c r="F6" s="39" t="s">
        <v>35</v>
      </c>
    </row>
    <row r="7" spans="2:15" ht="20" customHeight="1">
      <c r="B7" s="38" t="s">
        <v>29</v>
      </c>
      <c r="C7" s="18" t="s">
        <v>46</v>
      </c>
      <c r="D7" s="18"/>
      <c r="E7" s="37" t="s">
        <v>24</v>
      </c>
      <c r="F7" s="39" t="s">
        <v>32</v>
      </c>
    </row>
    <row r="8" spans="2:15" ht="20" customHeight="1">
      <c r="B8" s="1"/>
      <c r="C8" s="18"/>
      <c r="D8" s="18"/>
      <c r="E8" s="37" t="s">
        <v>25</v>
      </c>
      <c r="F8" s="40" t="s">
        <v>22</v>
      </c>
      <c r="G8" s="21"/>
      <c r="H8" s="20"/>
    </row>
    <row r="9" spans="2:15" ht="20" customHeight="1" thickBot="1">
      <c r="B9" s="15" t="s">
        <v>12</v>
      </c>
      <c r="C9" s="67" t="str">
        <f>TEXT(F16,"一金[DBNum4][$-412]G/표준원整")&amp;"  (\"&amp;(FIXED(F16,0)&amp;", VAT포함)")</f>
        <v>一金삼천오백삼십칠만육천원整  (\35,376,000, VAT포함)</v>
      </c>
      <c r="D9" s="67"/>
      <c r="E9" s="67"/>
    </row>
    <row r="10" spans="2:15" ht="12" customHeight="1" thickTop="1">
      <c r="H10" s="43"/>
    </row>
    <row r="11" spans="2:15" s="2" customFormat="1" ht="20" customHeight="1">
      <c r="B11" s="32" t="s">
        <v>6</v>
      </c>
      <c r="C11" s="36" t="s">
        <v>30</v>
      </c>
      <c r="D11" s="33" t="s">
        <v>7</v>
      </c>
      <c r="E11" s="34" t="s">
        <v>38</v>
      </c>
      <c r="F11" s="34" t="s">
        <v>8</v>
      </c>
      <c r="G11" s="34" t="s">
        <v>9</v>
      </c>
      <c r="H11" s="33" t="s">
        <v>10</v>
      </c>
    </row>
    <row r="12" spans="2:15" ht="26.25" customHeight="1">
      <c r="B12" s="49">
        <v>1</v>
      </c>
      <c r="C12" s="50" t="s">
        <v>40</v>
      </c>
      <c r="D12" s="48" t="s">
        <v>43</v>
      </c>
      <c r="E12" s="51">
        <v>88</v>
      </c>
      <c r="F12" s="52">
        <v>320000</v>
      </c>
      <c r="G12" s="53">
        <f>SUM(F12*E12)</f>
        <v>28160000</v>
      </c>
      <c r="H12" s="47"/>
      <c r="K12" s="17"/>
      <c r="L12" s="17"/>
      <c r="M12" s="44"/>
      <c r="N12" s="45"/>
      <c r="O12" s="44"/>
    </row>
    <row r="13" spans="2:15" ht="26.25" customHeight="1">
      <c r="B13" s="49">
        <v>2</v>
      </c>
      <c r="C13" s="50" t="s">
        <v>40</v>
      </c>
      <c r="D13" s="48" t="s">
        <v>44</v>
      </c>
      <c r="E13" s="51">
        <v>16</v>
      </c>
      <c r="F13" s="52">
        <v>250000</v>
      </c>
      <c r="G13" s="53">
        <f>SUM(F13*E13)</f>
        <v>4000000</v>
      </c>
      <c r="H13" s="47"/>
      <c r="K13" s="17"/>
      <c r="L13" s="17"/>
      <c r="M13" s="44"/>
      <c r="N13" s="45"/>
      <c r="O13" s="44"/>
    </row>
    <row r="14" spans="2:15" ht="20" customHeight="1">
      <c r="B14" s="60" t="s">
        <v>1</v>
      </c>
      <c r="C14" s="60"/>
      <c r="D14" s="60"/>
      <c r="E14" s="60"/>
      <c r="F14" s="61">
        <f>SUM(G12:G13)</f>
        <v>32160000</v>
      </c>
      <c r="G14" s="61"/>
      <c r="H14" s="35"/>
      <c r="J14" s="17"/>
    </row>
    <row r="15" spans="2:15" ht="20" customHeight="1">
      <c r="B15" s="60" t="s">
        <v>2</v>
      </c>
      <c r="C15" s="60"/>
      <c r="D15" s="60"/>
      <c r="E15" s="60"/>
      <c r="F15" s="61">
        <f>F14*10%</f>
        <v>3216000</v>
      </c>
      <c r="G15" s="61"/>
      <c r="H15" s="35"/>
    </row>
    <row r="16" spans="2:15" ht="20" customHeight="1">
      <c r="B16" s="60" t="s">
        <v>3</v>
      </c>
      <c r="C16" s="60"/>
      <c r="D16" s="60"/>
      <c r="E16" s="60"/>
      <c r="F16" s="61">
        <f>SUM(F14:G15)</f>
        <v>35376000</v>
      </c>
      <c r="G16" s="61"/>
      <c r="H16" s="35"/>
    </row>
    <row r="17" spans="2:9" ht="16" customHeight="1">
      <c r="B17" s="5" t="s">
        <v>0</v>
      </c>
      <c r="C17" s="6"/>
      <c r="D17" s="6"/>
      <c r="E17" s="7"/>
      <c r="F17" s="7"/>
      <c r="G17" s="7"/>
      <c r="H17" s="8"/>
    </row>
    <row r="18" spans="2:9" ht="16" customHeight="1">
      <c r="B18" s="9" t="s">
        <v>37</v>
      </c>
      <c r="H18" s="10"/>
    </row>
    <row r="19" spans="2:9" ht="16" customHeight="1">
      <c r="B19" s="9" t="s">
        <v>42</v>
      </c>
      <c r="H19" s="10"/>
    </row>
    <row r="20" spans="2:9" ht="16" customHeight="1">
      <c r="B20" s="9" t="s">
        <v>33</v>
      </c>
      <c r="H20" s="10"/>
    </row>
    <row r="21" spans="2:9" ht="16" customHeight="1">
      <c r="B21" s="9" t="s">
        <v>34</v>
      </c>
      <c r="H21" s="10"/>
    </row>
    <row r="22" spans="2:9" ht="16" customHeight="1">
      <c r="B22" s="9" t="s">
        <v>36</v>
      </c>
      <c r="H22" s="10"/>
    </row>
    <row r="23" spans="2:9" ht="16" customHeight="1">
      <c r="B23" s="41" t="s">
        <v>39</v>
      </c>
      <c r="H23" s="10"/>
    </row>
    <row r="24" spans="2:9" ht="16" customHeight="1">
      <c r="B24" s="41"/>
      <c r="H24" s="10"/>
    </row>
    <row r="25" spans="2:9" ht="20" customHeight="1">
      <c r="B25" s="62" t="s">
        <v>13</v>
      </c>
      <c r="C25" s="63"/>
      <c r="D25" s="63"/>
      <c r="E25" s="63"/>
      <c r="F25" s="63"/>
      <c r="G25" s="63"/>
      <c r="H25" s="64"/>
      <c r="I25" s="28"/>
    </row>
    <row r="26" spans="2:9" ht="20" customHeight="1">
      <c r="B26" s="22"/>
      <c r="C26" s="23"/>
      <c r="D26" s="23"/>
      <c r="F26" s="23"/>
      <c r="G26" s="23"/>
      <c r="H26" s="29"/>
      <c r="I26" s="28"/>
    </row>
    <row r="27" spans="2:9" ht="20" customHeight="1">
      <c r="B27" s="26" t="s">
        <v>16</v>
      </c>
      <c r="C27" s="55"/>
      <c r="D27" s="55"/>
      <c r="E27" s="55"/>
      <c r="F27" s="55"/>
      <c r="G27" s="55"/>
      <c r="H27" s="30"/>
      <c r="I27" s="25"/>
    </row>
    <row r="28" spans="2:9" ht="20" customHeight="1">
      <c r="B28" s="26" t="s">
        <v>18</v>
      </c>
      <c r="C28" s="55" t="s">
        <v>19</v>
      </c>
      <c r="D28" s="55"/>
      <c r="E28" s="55"/>
      <c r="F28" s="55"/>
      <c r="G28" s="55"/>
      <c r="H28" s="30"/>
      <c r="I28" s="25"/>
    </row>
    <row r="29" spans="2:9" ht="20" customHeight="1">
      <c r="B29" s="56" t="s">
        <v>17</v>
      </c>
      <c r="C29" s="57"/>
      <c r="D29" s="55"/>
      <c r="E29" s="55"/>
      <c r="F29" s="55"/>
      <c r="G29" s="55"/>
      <c r="H29" s="30"/>
      <c r="I29" s="25"/>
    </row>
    <row r="30" spans="2:9" ht="20" customHeight="1">
      <c r="B30" s="26" t="s">
        <v>14</v>
      </c>
      <c r="C30" s="58" t="s">
        <v>15</v>
      </c>
      <c r="D30" s="58"/>
      <c r="E30" s="58"/>
      <c r="F30" s="58"/>
      <c r="G30" s="58"/>
      <c r="H30" s="59"/>
      <c r="I30" s="24"/>
    </row>
    <row r="31" spans="2:9" ht="20" customHeight="1">
      <c r="B31" s="26"/>
      <c r="C31" s="27"/>
      <c r="D31" s="27"/>
      <c r="E31" s="27"/>
      <c r="F31" s="27"/>
      <c r="G31" s="27"/>
      <c r="H31" s="31"/>
      <c r="I31" s="27"/>
    </row>
    <row r="32" spans="2:9" ht="20" customHeight="1">
      <c r="B32" s="26"/>
      <c r="C32" s="27"/>
      <c r="D32" s="27"/>
      <c r="E32" s="27"/>
      <c r="F32" s="27"/>
      <c r="G32" s="27"/>
      <c r="H32" s="31"/>
      <c r="I32" s="27"/>
    </row>
    <row r="33" spans="2:9" ht="20" customHeight="1">
      <c r="B33" s="26"/>
      <c r="C33" s="27"/>
      <c r="D33" s="27"/>
      <c r="E33" s="27"/>
      <c r="F33" s="27"/>
      <c r="G33" s="27"/>
      <c r="H33" s="31"/>
      <c r="I33" s="27"/>
    </row>
    <row r="34" spans="2:9" ht="20" customHeight="1">
      <c r="B34" s="26"/>
      <c r="C34" s="27"/>
      <c r="D34" s="27"/>
      <c r="E34" s="27"/>
      <c r="F34" s="27"/>
      <c r="G34" s="27"/>
      <c r="H34" s="31"/>
      <c r="I34" s="27"/>
    </row>
    <row r="35" spans="2:9" ht="20" customHeight="1">
      <c r="B35" s="26"/>
      <c r="C35" s="27"/>
      <c r="D35" s="27"/>
      <c r="E35" s="27"/>
      <c r="F35" s="27"/>
      <c r="G35" s="27"/>
      <c r="H35" s="31"/>
      <c r="I35" s="27"/>
    </row>
    <row r="36" spans="2:9" ht="20" customHeight="1">
      <c r="B36" s="11"/>
      <c r="C36" s="12"/>
      <c r="D36" s="12"/>
      <c r="E36" s="13"/>
      <c r="F36" s="13"/>
      <c r="G36" s="13"/>
      <c r="H36" s="14"/>
    </row>
    <row r="39" spans="2:9" ht="17">
      <c r="G39" s="3"/>
      <c r="H39" s="42" t="s">
        <v>31</v>
      </c>
    </row>
  </sheetData>
  <mergeCells count="16">
    <mergeCell ref="B2:H2"/>
    <mergeCell ref="C9:E9"/>
    <mergeCell ref="C3:D3"/>
    <mergeCell ref="C5:D5"/>
    <mergeCell ref="B25:H25"/>
    <mergeCell ref="F16:G16"/>
    <mergeCell ref="B14:E14"/>
    <mergeCell ref="B15:E15"/>
    <mergeCell ref="B16:E16"/>
    <mergeCell ref="F14:G14"/>
    <mergeCell ref="F15:G15"/>
    <mergeCell ref="C30:H30"/>
    <mergeCell ref="C27:G27"/>
    <mergeCell ref="C28:G28"/>
    <mergeCell ref="B29:C29"/>
    <mergeCell ref="D29:G29"/>
  </mergeCells>
  <phoneticPr fontId="1" type="noConversion"/>
  <printOptions horizontalCentered="1"/>
  <pageMargins left="0.11811023622047245" right="0.11811023622047245" top="0.59055118110236227" bottom="0.39370078740157483" header="0.39370078740157483" footer="0.19685039370078741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Quote (2)</vt:lpstr>
      <vt:lpstr>Quote</vt:lpstr>
      <vt:lpstr>Quote!Print_Area</vt:lpstr>
      <vt:lpstr>'Quote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DBCNI</dc:creator>
  <cp:lastModifiedBy>김 현기</cp:lastModifiedBy>
  <cp:lastPrinted>2023-02-02T01:12:19Z</cp:lastPrinted>
  <dcterms:created xsi:type="dcterms:W3CDTF">2014-08-26T01:18:12Z</dcterms:created>
  <dcterms:modified xsi:type="dcterms:W3CDTF">2024-02-05T06:57:06Z</dcterms:modified>
</cp:coreProperties>
</file>