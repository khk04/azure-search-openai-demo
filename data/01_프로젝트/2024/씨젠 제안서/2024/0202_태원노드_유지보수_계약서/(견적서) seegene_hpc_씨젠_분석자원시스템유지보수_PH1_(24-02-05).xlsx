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4"/>
  <workbookPr/>
  <mc:AlternateContent xmlns:mc="http://schemas.openxmlformats.org/markup-compatibility/2006">
    <mc:Choice Requires="x15">
      <x15ac:absPath xmlns:x15ac="http://schemas.microsoft.com/office/spreadsheetml/2010/11/ac" url="/Users/khk/Library/CloudStorage/OneDrive-젝사젠주식회사/씨젠 제안서/2024/0202_태원노드_유지보수_계약서/"/>
    </mc:Choice>
  </mc:AlternateContent>
  <xr:revisionPtr revIDLastSave="0" documentId="13_ncr:1_{3B2FA410-F8D0-F14B-95BB-3E98B7760988}" xr6:coauthVersionLast="47" xr6:coauthVersionMax="47" xr10:uidLastSave="{00000000-0000-0000-0000-000000000000}"/>
  <bookViews>
    <workbookView xWindow="0" yWindow="500" windowWidth="38400" windowHeight="21100" xr2:uid="{00000000-000D-0000-FFFF-FFFF00000000}"/>
  </bookViews>
  <sheets>
    <sheet name="견적" sheetId="2" r:id="rId1"/>
  </sheets>
  <definedNames>
    <definedName name="_xlnm.Print_Area" localSheetId="0">견적!$A$1:$H$118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1">
      <go:sheetsCustomData xmlns:go="http://customooxmlschemas.google.com/" r:id="rId5" roundtripDataSignature="AMtx7mgw7bgpGbguO0OmDOXFFG7V0cklkQ=="/>
    </ext>
  </extLst>
</workbook>
</file>

<file path=xl/calcChain.xml><?xml version="1.0" encoding="utf-8"?>
<calcChain xmlns="http://schemas.openxmlformats.org/spreadsheetml/2006/main">
  <c r="H42" i="2" l="1"/>
  <c r="H43" i="2"/>
  <c r="G86" i="2"/>
  <c r="G17" i="2"/>
  <c r="H17" i="2" s="1"/>
  <c r="G51" i="2"/>
  <c r="H51" i="2" s="1"/>
  <c r="E115" i="2" l="1"/>
  <c r="H86" i="2"/>
  <c r="H115" i="2" s="1"/>
  <c r="D14" i="2" l="1"/>
  <c r="D15" i="2"/>
</calcChain>
</file>

<file path=xl/sharedStrings.xml><?xml version="1.0" encoding="utf-8"?>
<sst xmlns="http://schemas.openxmlformats.org/spreadsheetml/2006/main" count="140" uniqueCount="87">
  <si>
    <t>NO</t>
  </si>
  <si>
    <t>견     적     서</t>
    <phoneticPr fontId="9" type="noConversion"/>
  </si>
  <si>
    <t>(주)씨젠</t>
    <phoneticPr fontId="11" type="noConversion"/>
  </si>
  <si>
    <t xml:space="preserve">  에프에이리눅스 주식회사    오  재  경</t>
    <phoneticPr fontId="11" type="noConversion"/>
  </si>
  <si>
    <t xml:space="preserve">  (16006)  경기도 의왕시 포일동 653</t>
    <phoneticPr fontId="11" type="noConversion"/>
  </si>
  <si>
    <t>T E L</t>
    <phoneticPr fontId="13" type="noConversion"/>
  </si>
  <si>
    <t xml:space="preserve">              인덕원IT밸리 B동 1001호</t>
    <phoneticPr fontId="11" type="noConversion"/>
  </si>
  <si>
    <t>F A X</t>
    <phoneticPr fontId="13" type="noConversion"/>
  </si>
  <si>
    <t xml:space="preserve">  TEL/FAX : 02-572-9527 / 070-7862-5155</t>
    <phoneticPr fontId="11" type="noConversion"/>
  </si>
  <si>
    <t>견적일자</t>
    <phoneticPr fontId="11" type="noConversion"/>
  </si>
  <si>
    <t xml:space="preserve">  담  당 : 박문식 이사</t>
    <phoneticPr fontId="11" type="noConversion"/>
  </si>
  <si>
    <t>견적번호</t>
    <phoneticPr fontId="11" type="noConversion"/>
  </si>
  <si>
    <t xml:space="preserve">  연락처 : 070-7862-5148/010-9429-7998</t>
    <phoneticPr fontId="11" type="noConversion"/>
  </si>
  <si>
    <t>유효기간</t>
    <phoneticPr fontId="11" type="noConversion"/>
  </si>
  <si>
    <t xml:space="preserve">  E-mail : boggle70@falinux.com</t>
    <phoneticPr fontId="11" type="noConversion"/>
  </si>
  <si>
    <t>견    적    명</t>
    <phoneticPr fontId="11" type="noConversion"/>
  </si>
  <si>
    <t>납           기</t>
    <phoneticPr fontId="11" type="noConversion"/>
  </si>
  <si>
    <t>합  계  금  액</t>
    <phoneticPr fontId="9" type="noConversion"/>
  </si>
  <si>
    <t>품         명</t>
    <phoneticPr fontId="9" type="noConversion"/>
  </si>
  <si>
    <t>규   격</t>
    <phoneticPr fontId="9" type="noConversion"/>
  </si>
  <si>
    <t>수 량</t>
    <phoneticPr fontId="9" type="noConversion"/>
  </si>
  <si>
    <t>단    가</t>
    <phoneticPr fontId="9" type="noConversion"/>
  </si>
  <si>
    <t>금    액</t>
    <phoneticPr fontId="9" type="noConversion"/>
  </si>
  <si>
    <t>합            계</t>
    <phoneticPr fontId="9" type="noConversion"/>
  </si>
  <si>
    <r>
      <rPr>
        <sz val="11"/>
        <rFont val="Calibri"/>
        <family val="2"/>
        <scheme val="minor"/>
      </rPr>
      <t>발주 후 최대 30일</t>
    </r>
    <phoneticPr fontId="5" type="noConversion"/>
  </si>
  <si>
    <t>긴급기술지원 서비스</t>
    <phoneticPr fontId="5" type="noConversion"/>
  </si>
  <si>
    <t xml:space="preserve"> 시스템의 운영 및 유지관리 서비스 비상주 지원 (원격 지원)</t>
    <phoneticPr fontId="5" type="noConversion"/>
  </si>
  <si>
    <t xml:space="preserve"> - 원격지원을 위한 원격시스템의 보안 점검</t>
    <phoneticPr fontId="5" type="noConversion"/>
  </si>
  <si>
    <t xml:space="preserve"> - SMTP 를 이용한 유지관리 알림서비스 구축 (HDD, 특정 지정 프로세스 등)</t>
    <phoneticPr fontId="5" type="noConversion"/>
  </si>
  <si>
    <t xml:space="preserve"> - Script 를 이용한 One Step Server Down 구축</t>
    <phoneticPr fontId="5" type="noConversion"/>
  </si>
  <si>
    <t>하드웨어 및 소프트웨어 설치 및 교육 지원</t>
    <phoneticPr fontId="5" type="noConversion"/>
  </si>
  <si>
    <r>
      <t xml:space="preserve"> - </t>
    </r>
    <r>
      <rPr>
        <sz val="11"/>
        <color theme="1"/>
        <rFont val="Malgun Gothic"/>
        <family val="2"/>
        <charset val="129"/>
      </rPr>
      <t>Open Library, Tool, Language 등 별도의 라이선스가 필요로 하지 않는 요청 SW 설치</t>
    </r>
    <phoneticPr fontId="5" type="noConversion"/>
  </si>
  <si>
    <t xml:space="preserve"> - 분기 1회 클러스터 운영 교육, 장비운영 교육 제공</t>
    <phoneticPr fontId="5" type="noConversion"/>
  </si>
  <si>
    <t xml:space="preserve"> - 운영체제 버전 관리 (양사 별도 협의)</t>
    <phoneticPr fontId="5" type="noConversion"/>
  </si>
  <si>
    <t xml:space="preserve"> 월 1회 원격 및 현장 정기점검 제공 (리포트 제출)</t>
    <phoneticPr fontId="5" type="noConversion"/>
  </si>
  <si>
    <r>
      <t xml:space="preserve"> - </t>
    </r>
    <r>
      <rPr>
        <sz val="11"/>
        <color theme="1"/>
        <rFont val="Malgun Gothic"/>
        <family val="2"/>
        <charset val="129"/>
      </rPr>
      <t>인프라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Malgun Gothic"/>
        <family val="2"/>
        <charset val="129"/>
      </rPr>
      <t>운영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Malgun Gothic"/>
        <family val="2"/>
        <charset val="129"/>
      </rPr>
      <t>컨설팅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Malgun Gothic"/>
        <family val="2"/>
        <charset val="129"/>
      </rPr>
      <t>제공</t>
    </r>
    <phoneticPr fontId="5" type="noConversion"/>
  </si>
  <si>
    <t xml:space="preserve"> - 하드웨어 이상유무 (CPU, Memory, HDD, PowerSupply, Mainboard 등 H/W 상태 확인)</t>
    <phoneticPr fontId="5" type="noConversion"/>
  </si>
  <si>
    <t xml:space="preserve"> - 시스템 로그 분석을 통한 오류 예측 및 기술지원</t>
    <phoneticPr fontId="5" type="noConversion"/>
  </si>
  <si>
    <t xml:space="preserve"> - 클러스터 작동 이상유무</t>
    <phoneticPr fontId="5" type="noConversion"/>
  </si>
  <si>
    <t xml:space="preserve"> - 펌웨어 이상 유무 (업그레이드 필요 시 업그레이드 지원)</t>
    <phoneticPr fontId="5" type="noConversion"/>
  </si>
  <si>
    <t xml:space="preserve"> - 네트워크 리소스 및 통신 이상 유무 체크</t>
    <phoneticPr fontId="5" type="noConversion"/>
  </si>
  <si>
    <t xml:space="preserve"> - 장비 단위 이력표 제공, 장애 발생 시 장애 처리 보고서 제공</t>
    <phoneticPr fontId="5" type="noConversion"/>
  </si>
  <si>
    <t xml:space="preserve"> - 파일시스템 사용률 체크 및 월간 사용률 분석 그래프 제공</t>
    <phoneticPr fontId="5" type="noConversion"/>
  </si>
  <si>
    <r>
      <t xml:space="preserve"> -  </t>
    </r>
    <r>
      <rPr>
        <sz val="11"/>
        <rFont val="Malgun Gothic"/>
        <family val="2"/>
      </rPr>
      <t>리소스</t>
    </r>
    <r>
      <rPr>
        <sz val="11"/>
        <rFont val="Calibri"/>
        <family val="2"/>
        <scheme val="minor"/>
      </rPr>
      <t xml:space="preserve"> </t>
    </r>
    <r>
      <rPr>
        <sz val="11"/>
        <rFont val="Malgun Gothic"/>
        <family val="2"/>
      </rPr>
      <t>사용률</t>
    </r>
    <r>
      <rPr>
        <sz val="11"/>
        <rFont val="Calibri"/>
        <family val="2"/>
        <scheme val="minor"/>
      </rPr>
      <t xml:space="preserve"> </t>
    </r>
    <r>
      <rPr>
        <sz val="11"/>
        <rFont val="Malgun Gothic"/>
        <family val="2"/>
      </rPr>
      <t>체크</t>
    </r>
    <r>
      <rPr>
        <sz val="11"/>
        <rFont val="Calibri"/>
        <family val="2"/>
        <scheme val="minor"/>
      </rPr>
      <t xml:space="preserve"> </t>
    </r>
    <r>
      <rPr>
        <sz val="11"/>
        <rFont val="Malgun Gothic"/>
        <family val="2"/>
      </rPr>
      <t>및</t>
    </r>
    <r>
      <rPr>
        <sz val="11"/>
        <rFont val="Calibri"/>
        <family val="2"/>
        <scheme val="minor"/>
      </rPr>
      <t xml:space="preserve"> </t>
    </r>
    <r>
      <rPr>
        <sz val="11"/>
        <rFont val="Malgun Gothic"/>
        <family val="2"/>
      </rPr>
      <t>월간</t>
    </r>
    <r>
      <rPr>
        <sz val="11"/>
        <rFont val="Calibri"/>
        <family val="2"/>
        <scheme val="minor"/>
      </rPr>
      <t xml:space="preserve"> </t>
    </r>
    <r>
      <rPr>
        <sz val="11"/>
        <rFont val="Malgun Gothic"/>
        <family val="2"/>
      </rPr>
      <t>사용률</t>
    </r>
    <r>
      <rPr>
        <sz val="11"/>
        <rFont val="Calibri"/>
        <family val="2"/>
        <scheme val="minor"/>
      </rPr>
      <t xml:space="preserve"> </t>
    </r>
    <r>
      <rPr>
        <sz val="11"/>
        <rFont val="Malgun Gothic"/>
        <family val="2"/>
      </rPr>
      <t>분석</t>
    </r>
    <r>
      <rPr>
        <sz val="11"/>
        <rFont val="Calibri"/>
        <family val="2"/>
        <scheme val="minor"/>
      </rPr>
      <t xml:space="preserve"> </t>
    </r>
    <r>
      <rPr>
        <sz val="11"/>
        <rFont val="Malgun Gothic"/>
        <family val="2"/>
      </rPr>
      <t>그래프</t>
    </r>
    <r>
      <rPr>
        <sz val="11"/>
        <rFont val="Calibri"/>
        <family val="2"/>
        <scheme val="minor"/>
      </rPr>
      <t xml:space="preserve"> </t>
    </r>
    <r>
      <rPr>
        <sz val="11"/>
        <rFont val="Malgun Gothic"/>
        <family val="2"/>
      </rPr>
      <t>제공</t>
    </r>
    <phoneticPr fontId="5" type="noConversion"/>
  </si>
  <si>
    <r>
      <rPr>
        <b/>
        <sz val="11"/>
        <color theme="1"/>
        <rFont val="Malgun Gothic"/>
        <family val="2"/>
        <charset val="129"/>
      </rPr>
      <t>장애</t>
    </r>
    <r>
      <rPr>
        <b/>
        <sz val="11"/>
        <color theme="1"/>
        <rFont val="Calibri"/>
        <family val="2"/>
      </rPr>
      <t xml:space="preserve"> </t>
    </r>
    <r>
      <rPr>
        <b/>
        <sz val="11"/>
        <color theme="1"/>
        <rFont val="Malgun Gothic"/>
        <family val="2"/>
        <charset val="129"/>
      </rPr>
      <t>파트</t>
    </r>
    <r>
      <rPr>
        <b/>
        <sz val="11"/>
        <color theme="1"/>
        <rFont val="Calibri"/>
        <family val="2"/>
      </rPr>
      <t xml:space="preserve"> </t>
    </r>
    <r>
      <rPr>
        <b/>
        <sz val="11"/>
        <color theme="1"/>
        <rFont val="Malgun Gothic"/>
        <family val="2"/>
        <charset val="129"/>
      </rPr>
      <t>교체</t>
    </r>
    <r>
      <rPr>
        <b/>
        <sz val="11"/>
        <color theme="1"/>
        <rFont val="Calibri"/>
        <family val="2"/>
      </rPr>
      <t xml:space="preserve"> </t>
    </r>
    <r>
      <rPr>
        <b/>
        <sz val="11"/>
        <color theme="1"/>
        <rFont val="Malgun Gothic"/>
        <family val="2"/>
        <charset val="129"/>
      </rPr>
      <t>서</t>
    </r>
    <r>
      <rPr>
        <b/>
        <sz val="11"/>
        <color theme="1"/>
        <rFont val="Calibri"/>
        <family val="2"/>
      </rPr>
      <t>비스</t>
    </r>
    <phoneticPr fontId="5" type="noConversion"/>
  </si>
  <si>
    <r>
      <t xml:space="preserve"> - CPU, Memory, PowerSupply, RAID Part, HDD </t>
    </r>
    <r>
      <rPr>
        <sz val="11"/>
        <color theme="1"/>
        <rFont val="Malgun Gothic"/>
        <family val="2"/>
        <charset val="129"/>
      </rPr>
      <t>품목</t>
    </r>
    <phoneticPr fontId="5" type="noConversion"/>
  </si>
  <si>
    <t xml:space="preserve">  - 대상 장비의 장애시 장애파트 교체 서비스 제공</t>
    <phoneticPr fontId="5" type="noConversion"/>
  </si>
  <si>
    <t>클러스터</t>
    <phoneticPr fontId="5" type="noConversion"/>
  </si>
  <si>
    <t>데이타베이스</t>
    <phoneticPr fontId="5" type="noConversion"/>
  </si>
  <si>
    <t>백업</t>
    <phoneticPr fontId="5" type="noConversion"/>
  </si>
  <si>
    <t>네트워크</t>
    <phoneticPr fontId="5" type="noConversion"/>
  </si>
  <si>
    <t xml:space="preserve"> 백업 서버(dpos,sgbackup) 2식</t>
    <phoneticPr fontId="5" type="noConversion"/>
  </si>
  <si>
    <t xml:space="preserve"> 56G 초고속 네트워크 스위치 1식</t>
    <phoneticPr fontId="5" type="noConversion"/>
  </si>
  <si>
    <t xml:space="preserve"> 서버 21 식, 스토리지 16식, 네트워크 1식</t>
    <phoneticPr fontId="5" type="noConversion"/>
  </si>
  <si>
    <t>합계</t>
    <phoneticPr fontId="5" type="noConversion"/>
  </si>
  <si>
    <r>
      <t xml:space="preserve">Supermicro </t>
    </r>
    <r>
      <rPr>
        <b/>
        <sz val="11"/>
        <color theme="1"/>
        <rFont val="Malgun Gothic"/>
        <family val="2"/>
        <charset val="129"/>
      </rPr>
      <t>클러스터</t>
    </r>
    <r>
      <rPr>
        <b/>
        <sz val="11"/>
        <color theme="1"/>
        <rFont val="Calibri"/>
        <family val="2"/>
      </rPr>
      <t xml:space="preserve"> </t>
    </r>
    <r>
      <rPr>
        <b/>
        <sz val="11"/>
        <color theme="1"/>
        <rFont val="Malgun Gothic"/>
        <family val="2"/>
        <charset val="129"/>
      </rPr>
      <t>분석자원</t>
    </r>
    <r>
      <rPr>
        <b/>
        <sz val="11"/>
        <color theme="1"/>
        <rFont val="Calibri"/>
        <family val="2"/>
      </rPr>
      <t xml:space="preserve"> </t>
    </r>
    <r>
      <rPr>
        <b/>
        <sz val="11"/>
        <color theme="1"/>
        <rFont val="Malgun Gothic"/>
        <family val="2"/>
        <charset val="129"/>
      </rPr>
      <t>시스템</t>
    </r>
    <r>
      <rPr>
        <b/>
        <sz val="11"/>
        <color theme="1"/>
        <rFont val="Calibri"/>
        <family val="2"/>
      </rPr>
      <t xml:space="preserve"> </t>
    </r>
    <r>
      <rPr>
        <b/>
        <sz val="11"/>
        <color theme="1"/>
        <rFont val="Malgun Gothic"/>
        <family val="2"/>
        <charset val="129"/>
      </rPr>
      <t>유지보수</t>
    </r>
    <r>
      <rPr>
        <b/>
        <sz val="11"/>
        <color theme="1"/>
        <rFont val="Calibri"/>
        <family val="2"/>
      </rPr>
      <t xml:space="preserve"> (12</t>
    </r>
    <r>
      <rPr>
        <b/>
        <sz val="11"/>
        <color theme="1"/>
        <rFont val="Malgun Gothic"/>
        <family val="2"/>
        <charset val="129"/>
      </rPr>
      <t>개월</t>
    </r>
    <r>
      <rPr>
        <b/>
        <sz val="11"/>
        <color theme="1"/>
        <rFont val="Calibri"/>
        <family val="2"/>
      </rPr>
      <t>)</t>
    </r>
    <phoneticPr fontId="5" type="noConversion"/>
  </si>
  <si>
    <r>
      <t xml:space="preserve">  </t>
    </r>
    <r>
      <rPr>
        <b/>
        <sz val="11"/>
        <rFont val="Malgun Gothic"/>
        <family val="2"/>
      </rPr>
      <t xml:space="preserve"> ※ 장애파트에 대한 부품 비용 별도</t>
    </r>
    <phoneticPr fontId="5" type="noConversion"/>
  </si>
  <si>
    <r>
      <t xml:space="preserve">   </t>
    </r>
    <r>
      <rPr>
        <b/>
        <sz val="11"/>
        <rFont val="Malgun Gothic"/>
        <family val="2"/>
      </rPr>
      <t>※</t>
    </r>
    <r>
      <rPr>
        <b/>
        <sz val="11"/>
        <rFont val="Calibri"/>
        <family val="2"/>
        <scheme val="minor"/>
      </rPr>
      <t xml:space="preserve"> </t>
    </r>
    <r>
      <rPr>
        <b/>
        <sz val="11"/>
        <rFont val="Malgun Gothic"/>
        <family val="2"/>
      </rPr>
      <t>유지보수</t>
    </r>
    <r>
      <rPr>
        <b/>
        <sz val="11"/>
        <rFont val="Calibri"/>
        <family val="2"/>
        <scheme val="minor"/>
      </rPr>
      <t xml:space="preserve"> </t>
    </r>
    <r>
      <rPr>
        <b/>
        <sz val="11"/>
        <rFont val="Malgun Gothic"/>
        <family val="2"/>
      </rPr>
      <t>장비</t>
    </r>
    <r>
      <rPr>
        <b/>
        <sz val="11"/>
        <rFont val="Calibri"/>
        <family val="2"/>
        <scheme val="minor"/>
      </rPr>
      <t xml:space="preserve"> </t>
    </r>
    <r>
      <rPr>
        <b/>
        <sz val="11"/>
        <rFont val="Malgun Gothic"/>
        <family val="2"/>
      </rPr>
      <t>리스트</t>
    </r>
    <phoneticPr fontId="5" type="noConversion"/>
  </si>
  <si>
    <t>NIC</t>
    <phoneticPr fontId="5" type="noConversion"/>
  </si>
  <si>
    <t>Cables</t>
    <phoneticPr fontId="5" type="noConversion"/>
  </si>
  <si>
    <t>개발서버</t>
    <phoneticPr fontId="5" type="noConversion"/>
  </si>
  <si>
    <r>
      <rPr>
        <sz val="11"/>
        <rFont val="Malgun Gothic"/>
        <family val="2"/>
      </rPr>
      <t>개발서버</t>
    </r>
    <r>
      <rPr>
        <sz val="11"/>
        <rFont val="Calibri"/>
        <family val="3"/>
        <charset val="129"/>
        <scheme val="minor"/>
      </rPr>
      <t>(마스터)</t>
    </r>
    <phoneticPr fontId="5" type="noConversion"/>
  </si>
  <si>
    <t>받으실분</t>
    <phoneticPr fontId="11" type="noConversion"/>
  </si>
  <si>
    <r>
      <rPr>
        <sz val="11"/>
        <rFont val="Calibri"/>
        <family val="3"/>
        <charset val="129"/>
        <scheme val="minor"/>
      </rPr>
      <t>김성조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차장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귀하</t>
    </r>
  </si>
  <si>
    <r>
      <rPr>
        <sz val="11"/>
        <rFont val="Calibri"/>
        <family val="3"/>
        <charset val="129"/>
        <scheme val="minor"/>
      </rPr>
      <t>견적일로부터</t>
    </r>
    <r>
      <rPr>
        <sz val="11"/>
        <rFont val="Calibri"/>
        <family val="2"/>
        <scheme val="minor"/>
      </rPr>
      <t xml:space="preserve"> 15</t>
    </r>
    <r>
      <rPr>
        <sz val="11"/>
        <rFont val="Calibri"/>
        <family val="3"/>
        <charset val="129"/>
        <scheme val="minor"/>
      </rPr>
      <t>일</t>
    </r>
    <phoneticPr fontId="11" type="noConversion"/>
  </si>
  <si>
    <t xml:space="preserve">  02-2195-6266 / 010-8682-1192</t>
    <phoneticPr fontId="5" type="noConversion"/>
  </si>
  <si>
    <r>
      <t xml:space="preserve">Supermicro SYS-1029P-WTR </t>
    </r>
    <r>
      <rPr>
        <b/>
        <sz val="11"/>
        <color theme="1"/>
        <rFont val="Malgun Gothic"/>
        <family val="2"/>
        <charset val="129"/>
      </rPr>
      <t>서버</t>
    </r>
    <r>
      <rPr>
        <b/>
        <sz val="11"/>
        <color theme="1"/>
        <rFont val="Calibri"/>
        <family val="2"/>
      </rPr>
      <t xml:space="preserve"> </t>
    </r>
    <r>
      <rPr>
        <b/>
        <sz val="11"/>
        <color theme="1"/>
        <rFont val="Malgun Gothic"/>
        <family val="2"/>
        <charset val="129"/>
      </rPr>
      <t>유지보수</t>
    </r>
    <r>
      <rPr>
        <b/>
        <sz val="11"/>
        <color theme="1"/>
        <rFont val="Calibri"/>
        <family val="2"/>
      </rPr>
      <t xml:space="preserve">  (12</t>
    </r>
    <r>
      <rPr>
        <b/>
        <sz val="11"/>
        <color theme="1"/>
        <rFont val="Malgun Gothic"/>
        <family val="2"/>
        <charset val="129"/>
      </rPr>
      <t>개월</t>
    </r>
    <r>
      <rPr>
        <b/>
        <sz val="11"/>
        <color theme="1"/>
        <rFont val="Calibri"/>
        <family val="2"/>
      </rPr>
      <t>)</t>
    </r>
    <phoneticPr fontId="5" type="noConversion"/>
  </si>
  <si>
    <r>
      <t xml:space="preserve">supermicro SYS-2049-TR4, 6019P-S1-001 </t>
    </r>
    <r>
      <rPr>
        <b/>
        <sz val="11"/>
        <color theme="1"/>
        <rFont val="Malgun Gothic"/>
        <family val="2"/>
        <charset val="129"/>
      </rPr>
      <t>서버</t>
    </r>
    <r>
      <rPr>
        <b/>
        <sz val="11"/>
        <color theme="1"/>
        <rFont val="Calibri"/>
        <family val="2"/>
      </rPr>
      <t xml:space="preserve"> </t>
    </r>
    <r>
      <rPr>
        <b/>
        <sz val="11"/>
        <color theme="1"/>
        <rFont val="Malgun Gothic"/>
        <family val="2"/>
        <charset val="129"/>
      </rPr>
      <t>유지보수</t>
    </r>
    <r>
      <rPr>
        <b/>
        <sz val="11"/>
        <color theme="1"/>
        <rFont val="Calibri"/>
        <family val="2"/>
      </rPr>
      <t xml:space="preserve"> (12</t>
    </r>
    <r>
      <rPr>
        <b/>
        <sz val="11"/>
        <color theme="1"/>
        <rFont val="Malgun Gothic"/>
        <family val="2"/>
        <charset val="129"/>
      </rPr>
      <t>개월</t>
    </r>
    <r>
      <rPr>
        <b/>
        <sz val="11"/>
        <color theme="1"/>
        <rFont val="Calibri"/>
        <family val="2"/>
      </rPr>
      <t>)</t>
    </r>
    <phoneticPr fontId="5" type="noConversion"/>
  </si>
  <si>
    <r>
      <t xml:space="preserve">  </t>
    </r>
    <r>
      <rPr>
        <sz val="11"/>
        <color theme="1"/>
        <rFont val="Malgun Gothic"/>
        <family val="2"/>
        <charset val="129"/>
      </rPr>
      <t>※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Malgun Gothic"/>
        <family val="2"/>
        <charset val="129"/>
      </rPr>
      <t>업무일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Malgun Gothic"/>
        <family val="2"/>
        <charset val="129"/>
      </rPr>
      <t>기준</t>
    </r>
    <r>
      <rPr>
        <sz val="11"/>
        <color theme="1"/>
        <rFont val="Calibri"/>
        <family val="2"/>
      </rPr>
      <t xml:space="preserve">,  </t>
    </r>
    <r>
      <rPr>
        <sz val="11"/>
        <color theme="1"/>
        <rFont val="Malgun Gothic"/>
        <family val="2"/>
        <charset val="129"/>
      </rPr>
      <t>일부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Malgun Gothic"/>
        <family val="2"/>
        <charset val="129"/>
      </rPr>
      <t>장애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Malgun Gothic"/>
        <family val="2"/>
        <charset val="129"/>
      </rPr>
      <t>상황에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Malgun Gothic"/>
        <family val="2"/>
        <charset val="129"/>
      </rPr>
      <t>따라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Malgun Gothic"/>
        <family val="2"/>
        <charset val="129"/>
      </rPr>
      <t>담당자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Malgun Gothic"/>
        <family val="2"/>
        <charset val="129"/>
      </rPr>
      <t>협의</t>
    </r>
    <phoneticPr fontId="5" type="noConversion"/>
  </si>
  <si>
    <r>
      <t xml:space="preserve"> -  4H 1</t>
    </r>
    <r>
      <rPr>
        <sz val="11"/>
        <color theme="1"/>
        <rFont val="Malgun Gothic"/>
        <family val="2"/>
        <charset val="129"/>
      </rPr>
      <t>차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Malgun Gothic"/>
        <family val="2"/>
        <charset val="129"/>
      </rPr>
      <t>대응</t>
    </r>
    <r>
      <rPr>
        <sz val="11"/>
        <color theme="1"/>
        <rFont val="Calibri"/>
        <family val="2"/>
      </rPr>
      <t xml:space="preserve"> , 24H 2</t>
    </r>
    <r>
      <rPr>
        <sz val="11"/>
        <color theme="1"/>
        <rFont val="Malgun Gothic"/>
        <family val="2"/>
        <charset val="129"/>
      </rPr>
      <t>차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Malgun Gothic"/>
        <family val="2"/>
        <charset val="129"/>
      </rPr>
      <t xml:space="preserve">현장지원, </t>
    </r>
    <r>
      <rPr>
        <sz val="11"/>
        <color theme="1"/>
        <rFont val="Calibri"/>
        <family val="2"/>
      </rPr>
      <t>72H 3</t>
    </r>
    <r>
      <rPr>
        <sz val="11"/>
        <color theme="1"/>
        <rFont val="Malgun Gothic"/>
        <family val="2"/>
        <charset val="129"/>
      </rPr>
      <t>차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Malgun Gothic"/>
        <family val="2"/>
        <charset val="129"/>
      </rPr>
      <t>원상복구</t>
    </r>
    <phoneticPr fontId="5" type="noConversion"/>
  </si>
  <si>
    <r>
      <t xml:space="preserve"> </t>
    </r>
    <r>
      <rPr>
        <sz val="11"/>
        <rFont val="Malgun Gothic"/>
        <family val="2"/>
      </rPr>
      <t>Supermicro SYS-2049U-TR4 총 4식 (OLAF00~02, OLAFLOGIN00)</t>
    </r>
    <phoneticPr fontId="5" type="noConversion"/>
  </si>
  <si>
    <r>
      <t xml:space="preserve">Supermicro SSG-110P-NTR10 총 1 </t>
    </r>
    <r>
      <rPr>
        <sz val="11"/>
        <rFont val="Malgun Gothic"/>
        <family val="2"/>
      </rPr>
      <t>식</t>
    </r>
    <r>
      <rPr>
        <sz val="11"/>
        <rFont val="Calibri"/>
        <family val="2"/>
        <scheme val="minor"/>
      </rPr>
      <t xml:space="preserve"> (GENIEMGMT01)</t>
    </r>
    <phoneticPr fontId="5" type="noConversion"/>
  </si>
  <si>
    <r>
      <rPr>
        <sz val="10"/>
        <rFont val="Malgun Gothic"/>
        <family val="2"/>
      </rPr>
      <t>마스터</t>
    </r>
    <r>
      <rPr>
        <sz val="10"/>
        <rFont val="Calibri"/>
        <family val="2"/>
        <scheme val="minor"/>
      </rPr>
      <t xml:space="preserve"> </t>
    </r>
    <r>
      <rPr>
        <sz val="10"/>
        <rFont val="Malgun Gothic"/>
        <family val="2"/>
      </rPr>
      <t>서버</t>
    </r>
    <r>
      <rPr>
        <sz val="10"/>
        <rFont val="Calibri"/>
        <family val="2"/>
        <scheme val="minor"/>
      </rPr>
      <t>(dpom) 1</t>
    </r>
    <r>
      <rPr>
        <sz val="10"/>
        <rFont val="Malgun Gothic"/>
        <family val="2"/>
      </rPr>
      <t>식</t>
    </r>
    <r>
      <rPr>
        <sz val="10"/>
        <rFont val="Calibri"/>
        <family val="2"/>
        <scheme val="minor"/>
      </rPr>
      <t xml:space="preserve"> , </t>
    </r>
    <r>
      <rPr>
        <sz val="10"/>
        <rFont val="Malgun Gothic"/>
        <family val="2"/>
      </rPr>
      <t>연산</t>
    </r>
    <r>
      <rPr>
        <sz val="10"/>
        <rFont val="Calibri"/>
        <family val="2"/>
        <scheme val="minor"/>
      </rPr>
      <t xml:space="preserve"> </t>
    </r>
    <r>
      <rPr>
        <sz val="10"/>
        <rFont val="Malgun Gothic"/>
        <family val="2"/>
      </rPr>
      <t>노드</t>
    </r>
    <r>
      <rPr>
        <sz val="10"/>
        <rFont val="Calibri"/>
        <family val="2"/>
        <scheme val="minor"/>
      </rPr>
      <t xml:space="preserve">(dponode) + </t>
    </r>
    <r>
      <rPr>
        <sz val="10"/>
        <rFont val="Malgun Gothic"/>
        <family val="2"/>
      </rPr>
      <t>연산</t>
    </r>
    <r>
      <rPr>
        <sz val="10"/>
        <rFont val="Calibri"/>
        <family val="2"/>
        <scheme val="minor"/>
      </rPr>
      <t xml:space="preserve"> </t>
    </r>
    <r>
      <rPr>
        <sz val="10"/>
        <rFont val="Malgun Gothic"/>
        <family val="2"/>
      </rPr>
      <t>노드</t>
    </r>
    <r>
      <rPr>
        <sz val="10"/>
        <rFont val="Calibri"/>
        <family val="2"/>
        <scheme val="minor"/>
      </rPr>
      <t xml:space="preserve"> </t>
    </r>
    <r>
      <rPr>
        <sz val="10"/>
        <rFont val="Malgun Gothic"/>
        <family val="2"/>
      </rPr>
      <t>스토리지</t>
    </r>
    <r>
      <rPr>
        <sz val="10"/>
        <rFont val="Calibri"/>
        <family val="2"/>
        <scheme val="minor"/>
      </rPr>
      <t xml:space="preserve"> 12</t>
    </r>
    <r>
      <rPr>
        <sz val="10"/>
        <rFont val="Malgun Gothic"/>
        <family val="2"/>
      </rPr>
      <t>식</t>
    </r>
    <phoneticPr fontId="5" type="noConversion"/>
  </si>
  <si>
    <r>
      <rPr>
        <sz val="8"/>
        <rFont val="Malgun Gothic"/>
        <family val="2"/>
      </rPr>
      <t>데이터베이스</t>
    </r>
    <r>
      <rPr>
        <sz val="8"/>
        <rFont val="Calibri"/>
        <family val="2"/>
        <scheme val="minor"/>
      </rPr>
      <t xml:space="preserve"> </t>
    </r>
    <r>
      <rPr>
        <sz val="8"/>
        <rFont val="Malgun Gothic"/>
        <family val="2"/>
      </rPr>
      <t>서버</t>
    </r>
    <r>
      <rPr>
        <sz val="8"/>
        <rFont val="Calibri"/>
        <family val="2"/>
        <scheme val="minor"/>
      </rPr>
      <t>(dpodb) 4</t>
    </r>
    <r>
      <rPr>
        <sz val="8"/>
        <rFont val="Malgun Gothic"/>
        <family val="2"/>
      </rPr>
      <t>식</t>
    </r>
    <r>
      <rPr>
        <sz val="8"/>
        <rFont val="Calibri"/>
        <family val="2"/>
        <scheme val="minor"/>
      </rPr>
      <t xml:space="preserve"> + </t>
    </r>
    <r>
      <rPr>
        <sz val="8"/>
        <rFont val="Malgun Gothic"/>
        <family val="2"/>
      </rPr>
      <t>스토리지</t>
    </r>
    <r>
      <rPr>
        <sz val="8"/>
        <rFont val="Calibri"/>
        <family val="2"/>
        <scheme val="minor"/>
      </rPr>
      <t xml:space="preserve"> 2</t>
    </r>
    <r>
      <rPr>
        <sz val="8"/>
        <rFont val="Malgun Gothic"/>
        <family val="2"/>
      </rPr>
      <t>식, 데이터베이스</t>
    </r>
    <r>
      <rPr>
        <sz val="8"/>
        <rFont val="Calibri"/>
        <family val="2"/>
        <scheme val="minor"/>
      </rPr>
      <t xml:space="preserve">  </t>
    </r>
    <r>
      <rPr>
        <sz val="8"/>
        <rFont val="Malgun Gothic"/>
        <family val="2"/>
      </rPr>
      <t>서버</t>
    </r>
    <r>
      <rPr>
        <sz val="8"/>
        <rFont val="Calibri"/>
        <family val="2"/>
        <scheme val="minor"/>
      </rPr>
      <t>(rsdb) 2</t>
    </r>
    <r>
      <rPr>
        <sz val="8"/>
        <rFont val="Malgun Gothic"/>
        <family val="2"/>
      </rPr>
      <t>식</t>
    </r>
    <r>
      <rPr>
        <sz val="8"/>
        <rFont val="Calibri"/>
        <family val="2"/>
        <scheme val="minor"/>
      </rPr>
      <t xml:space="preserve"> +  </t>
    </r>
    <r>
      <rPr>
        <sz val="8"/>
        <rFont val="Malgun Gothic"/>
        <family val="2"/>
      </rPr>
      <t>스토리지</t>
    </r>
    <r>
      <rPr>
        <sz val="8"/>
        <rFont val="Calibri"/>
        <family val="2"/>
        <scheme val="minor"/>
      </rPr>
      <t xml:space="preserve"> 2</t>
    </r>
    <r>
      <rPr>
        <sz val="8"/>
        <rFont val="Malgun Gothic"/>
        <family val="2"/>
      </rPr>
      <t>식</t>
    </r>
    <phoneticPr fontId="5" type="noConversion"/>
  </si>
  <si>
    <r>
      <t xml:space="preserve">Supermicro SYS-1029P-WTR </t>
    </r>
    <r>
      <rPr>
        <sz val="9"/>
        <rFont val="Malgun Gothic"/>
        <family val="2"/>
      </rPr>
      <t>총</t>
    </r>
    <r>
      <rPr>
        <sz val="9"/>
        <rFont val="Calibri"/>
        <family val="2"/>
        <scheme val="minor"/>
      </rPr>
      <t xml:space="preserve"> 13</t>
    </r>
    <r>
      <rPr>
        <sz val="9"/>
        <rFont val="Malgun Gothic"/>
        <family val="2"/>
      </rPr>
      <t>식</t>
    </r>
    <r>
      <rPr>
        <sz val="9"/>
        <rFont val="Calibri"/>
        <family val="2"/>
        <scheme val="minor"/>
      </rPr>
      <t xml:space="preserve"> (GENIEAPI00~05,OLAFAPI00~05, GENINELOGIN01)</t>
    </r>
    <phoneticPr fontId="5" type="noConversion"/>
  </si>
  <si>
    <t>Mellanox MCP 1600-C003E30L 100Gbs EDR 3M Cable 1개</t>
    <phoneticPr fontId="5" type="noConversion"/>
  </si>
  <si>
    <t>Mellanox MFA1A00-E010 IB EDR 100Gbs QSFP 10M Cables 4개</t>
    <phoneticPr fontId="5" type="noConversion"/>
  </si>
  <si>
    <t>Mellanox MFA1S00-H010 IB HDR 200Gbs QSFP56 10M Cables 9개</t>
    <phoneticPr fontId="5" type="noConversion"/>
  </si>
  <si>
    <t>Mellanox MCX555A-ECAT ConnectX-5 VPI CardEDR IB(100Gb/s) 5개</t>
    <phoneticPr fontId="5" type="noConversion"/>
  </si>
  <si>
    <r>
      <t>Mellanox MCX653106A-HDAT-SP VPI CardHDR IB(200Gb/s) 9</t>
    </r>
    <r>
      <rPr>
        <sz val="11"/>
        <rFont val="Malgun Gothic"/>
        <family val="2"/>
      </rPr>
      <t>개</t>
    </r>
    <phoneticPr fontId="5" type="noConversion"/>
  </si>
  <si>
    <r>
      <t xml:space="preserve"> </t>
    </r>
    <r>
      <rPr>
        <sz val="11"/>
        <rFont val="Malgun Gothic"/>
        <family val="2"/>
      </rPr>
      <t>서버</t>
    </r>
    <r>
      <rPr>
        <sz val="11"/>
        <rFont val="Calibri"/>
        <family val="2"/>
        <scheme val="minor"/>
      </rPr>
      <t xml:space="preserve"> 14 </t>
    </r>
    <r>
      <rPr>
        <sz val="11"/>
        <rFont val="Malgun Gothic"/>
        <family val="2"/>
      </rPr>
      <t>식</t>
    </r>
    <r>
      <rPr>
        <sz val="11"/>
        <rFont val="Calibri"/>
        <family val="2"/>
        <scheme val="minor"/>
      </rPr>
      <t>, NIC 14</t>
    </r>
    <r>
      <rPr>
        <sz val="11"/>
        <rFont val="Malgun Gothic"/>
        <family val="2"/>
      </rPr>
      <t>개</t>
    </r>
    <r>
      <rPr>
        <sz val="11"/>
        <rFont val="Calibri"/>
        <family val="2"/>
        <scheme val="minor"/>
      </rPr>
      <t>, Cable 14개</t>
    </r>
    <phoneticPr fontId="5" type="noConversion"/>
  </si>
  <si>
    <t xml:space="preserve"> Mellanox MCX555A-ECAT ConnectX-5 VPI CardEDR IB(100Gb/s) 4 개</t>
    <phoneticPr fontId="5" type="noConversion"/>
  </si>
  <si>
    <r>
      <t xml:space="preserve"> </t>
    </r>
    <r>
      <rPr>
        <sz val="11"/>
        <rFont val="Malgun Gothic"/>
        <family val="2"/>
      </rPr>
      <t>서버</t>
    </r>
    <r>
      <rPr>
        <sz val="11"/>
        <rFont val="Calibri"/>
        <family val="2"/>
        <scheme val="minor"/>
      </rPr>
      <t xml:space="preserve"> 4 </t>
    </r>
    <r>
      <rPr>
        <sz val="11"/>
        <rFont val="Malgun Gothic"/>
        <family val="2"/>
      </rPr>
      <t>식</t>
    </r>
    <r>
      <rPr>
        <sz val="11"/>
        <rFont val="Calibri"/>
        <family val="2"/>
        <scheme val="minor"/>
      </rPr>
      <t>, NIC 4</t>
    </r>
    <r>
      <rPr>
        <sz val="11"/>
        <rFont val="Malgun Gothic"/>
        <family val="2"/>
      </rPr>
      <t>개</t>
    </r>
    <r>
      <rPr>
        <sz val="11"/>
        <rFont val="Calibri"/>
        <family val="2"/>
        <scheme val="minor"/>
      </rPr>
      <t>, Cable 4</t>
    </r>
    <r>
      <rPr>
        <sz val="11"/>
        <rFont val="Calibri"/>
        <family val="3"/>
        <charset val="129"/>
        <scheme val="minor"/>
      </rPr>
      <t xml:space="preserve"> 개</t>
    </r>
    <phoneticPr fontId="5" type="noConversion"/>
  </si>
  <si>
    <r>
      <t xml:space="preserve">  - dponode 1 ~ 12 </t>
    </r>
    <r>
      <rPr>
        <sz val="11"/>
        <color theme="1"/>
        <rFont val="Malgun Gothic"/>
        <family val="2"/>
        <charset val="129"/>
      </rPr>
      <t>하드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Malgun Gothic"/>
        <family val="2"/>
        <charset val="129"/>
      </rPr>
      <t>디스크</t>
    </r>
    <r>
      <rPr>
        <sz val="11"/>
        <color theme="1"/>
        <rFont val="Calibri"/>
        <family val="2"/>
      </rPr>
      <t xml:space="preserve"> Seagate Exos 7E10 SAS/7200/256M (ST10000NM018B, 10TB) X 88</t>
    </r>
    <phoneticPr fontId="5" type="noConversion"/>
  </si>
  <si>
    <r>
      <t xml:space="preserve">  - DPODB1,2 </t>
    </r>
    <r>
      <rPr>
        <sz val="11"/>
        <color theme="1"/>
        <rFont val="Malgun Gothic"/>
        <family val="2"/>
        <charset val="129"/>
      </rPr>
      <t>하드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Malgun Gothic"/>
        <family val="2"/>
        <charset val="129"/>
      </rPr>
      <t>디스크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Malgun Gothic"/>
        <family val="2"/>
        <charset val="129"/>
      </rPr>
      <t>Seagate EXOS 7E10 SAS/7200/256M (ST8000NM018B, 8TB)</t>
    </r>
    <r>
      <rPr>
        <sz val="11"/>
        <color theme="1"/>
        <rFont val="Calibri"/>
        <family val="2"/>
      </rPr>
      <t xml:space="preserve"> X 16</t>
    </r>
    <phoneticPr fontId="5" type="noConversion"/>
  </si>
  <si>
    <t>PH1-24020501</t>
    <phoneticPr fontId="5" type="noConversion"/>
  </si>
  <si>
    <r>
      <rPr>
        <sz val="10"/>
        <rFont val="Malgun Gothic"/>
        <family val="2"/>
      </rPr>
      <t>분석자원 시스템 유지보수</t>
    </r>
    <r>
      <rPr>
        <sz val="10"/>
        <rFont val="Calibri"/>
        <family val="2"/>
        <scheme val="minor"/>
      </rPr>
      <t xml:space="preserve"> (12</t>
    </r>
    <r>
      <rPr>
        <sz val="10"/>
        <rFont val="Malgun Gothic"/>
        <family val="2"/>
      </rPr>
      <t>개월</t>
    </r>
    <r>
      <rPr>
        <sz val="11"/>
        <rFont val="Calibri"/>
        <family val="3"/>
        <charset val="129"/>
        <scheme val="minor"/>
      </rPr>
      <t xml:space="preserve"> 24.03.1 ~ 25.02.28)</t>
    </r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</si>
</sst>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_-&quot;₩&quot;* #,##0_-;\-&quot;₩&quot;* #,##0_-;_-&quot;₩&quot;* &quot;-&quot;_-;_-@_-"/>
    <numFmt numFmtId="177" formatCode="_-* #,##0_-;\-* #,##0_-;_-* &quot;-&quot;_-;_-@_-"/>
    <numFmt numFmtId="178" formatCode="_-&quot;₩&quot;* #,##0_-;\-&quot;₩&quot;* #,##0_-;_-&quot;₩&quot;* &quot;-&quot;_-;_-@"/>
    <numFmt numFmtId="179" formatCode="_-* #,##0_-;\-* #,##0_-;_-* &quot;-&quot;_-;_-@"/>
  </numFmts>
  <fonts count="40">
    <font>
      <sz val="11"/>
      <color theme="1"/>
      <name val="Arial"/>
    </font>
    <font>
      <sz val="11"/>
      <name val="Arial"/>
      <family val="2"/>
    </font>
    <font>
      <sz val="11"/>
      <color theme="1"/>
      <name val="Calibri"/>
      <family val="2"/>
    </font>
    <font>
      <b/>
      <sz val="10"/>
      <color theme="1"/>
      <name val="Calibri"/>
      <family val="2"/>
    </font>
    <font>
      <b/>
      <sz val="11"/>
      <color theme="1"/>
      <name val="Calibri"/>
      <family val="2"/>
    </font>
    <font>
      <sz val="8"/>
      <name val="나눔명조"/>
      <family val="3"/>
      <charset val="129"/>
    </font>
    <font>
      <sz val="11"/>
      <name val="돋움"/>
      <family val="3"/>
      <charset val="129"/>
    </font>
    <font>
      <sz val="11"/>
      <name val="굴림체"/>
      <family val="3"/>
      <charset val="129"/>
    </font>
    <font>
      <b/>
      <sz val="20"/>
      <name val="Calibri"/>
      <family val="3"/>
      <charset val="129"/>
      <scheme val="major"/>
    </font>
    <font>
      <sz val="11"/>
      <name val="Times New Roman"/>
      <family val="1"/>
    </font>
    <font>
      <sz val="10"/>
      <name val="Calibri"/>
      <family val="3"/>
      <charset val="129"/>
      <scheme val="minor"/>
    </font>
    <font>
      <sz val="8"/>
      <name val="돋움"/>
      <family val="3"/>
      <charset val="129"/>
    </font>
    <font>
      <sz val="11"/>
      <name val="Calibri"/>
      <family val="3"/>
      <charset val="129"/>
      <scheme val="minor"/>
    </font>
    <font>
      <b/>
      <sz val="11"/>
      <name val="Times New Roman"/>
      <family val="1"/>
    </font>
    <font>
      <b/>
      <sz val="11"/>
      <name val="굴림"/>
      <family val="3"/>
      <charset val="129"/>
    </font>
    <font>
      <b/>
      <sz val="11"/>
      <name val="Calibri"/>
      <family val="3"/>
      <charset val="129"/>
      <scheme val="minor"/>
    </font>
    <font>
      <b/>
      <sz val="10"/>
      <name val="굴림체"/>
      <family val="3"/>
      <charset val="129"/>
    </font>
    <font>
      <b/>
      <sz val="11"/>
      <name val="굴림체"/>
      <family val="3"/>
      <charset val="129"/>
    </font>
    <font>
      <sz val="11"/>
      <color theme="1"/>
      <name val="Calibri"/>
      <family val="2"/>
      <scheme val="minor"/>
    </font>
    <font>
      <sz val="9"/>
      <name val="굴림체"/>
      <family val="3"/>
      <charset val="129"/>
    </font>
    <font>
      <sz val="11"/>
      <color theme="1"/>
      <name val="Calibri"/>
      <family val="3"/>
      <charset val="129"/>
      <scheme val="minor"/>
    </font>
    <font>
      <b/>
      <sz val="11"/>
      <color theme="1"/>
      <name val="Malgun Gothic"/>
      <family val="2"/>
      <charset val="129"/>
    </font>
    <font>
      <sz val="11"/>
      <color theme="1"/>
      <name val="Malgun Gothic"/>
      <family val="2"/>
      <charset val="129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charset val="129"/>
      <scheme val="minor"/>
    </font>
    <font>
      <sz val="11"/>
      <name val="Malgun Gothic"/>
      <family val="2"/>
    </font>
    <font>
      <sz val="11"/>
      <color theme="1"/>
      <name val="Calibri"/>
      <family val="2"/>
      <charset val="129"/>
    </font>
    <font>
      <b/>
      <sz val="11"/>
      <name val="Malgun Gothic"/>
      <family val="2"/>
    </font>
    <font>
      <sz val="10"/>
      <name val="Malgun Gothic"/>
      <family val="2"/>
    </font>
    <font>
      <sz val="10"/>
      <name val="Calibri"/>
      <family val="2"/>
      <scheme val="minor"/>
    </font>
    <font>
      <sz val="9"/>
      <name val="Malgun Gothic"/>
      <family val="2"/>
    </font>
    <font>
      <sz val="9"/>
      <name val="Calibri"/>
      <family val="2"/>
      <scheme val="minor"/>
    </font>
    <font>
      <sz val="9"/>
      <name val="Calibri"/>
      <family val="3"/>
      <charset val="129"/>
      <scheme val="minor"/>
    </font>
    <font>
      <sz val="8"/>
      <name val="Calibri"/>
      <family val="3"/>
      <charset val="129"/>
      <scheme val="minor"/>
    </font>
    <font>
      <sz val="8"/>
      <name val="Malgun Gothic"/>
      <family val="2"/>
    </font>
    <font>
      <sz val="10"/>
      <name val="Calibri"/>
      <family val="2"/>
      <charset val="129"/>
      <scheme val="minor"/>
    </font>
    <font>
      <sz val="8"/>
      <name val="Calibri"/>
      <family val="2"/>
      <charset val="129"/>
      <scheme val="minor"/>
    </font>
    <font>
      <sz val="8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92D050"/>
        <bgColor indexed="64"/>
      </patternFill>
    </fill>
  </fills>
  <borders count="44">
    <border>
      <left/>
      <right/>
      <top/>
      <bottom/>
      <diagonal/>
    </border>
    <border>
      <left/>
      <right/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hair">
        <color rgb="FF000000"/>
      </top>
      <bottom/>
      <diagonal/>
    </border>
    <border>
      <left style="hair">
        <color rgb="FF000000"/>
      </left>
      <right/>
      <top/>
      <bottom style="hair">
        <color rgb="FF000000"/>
      </bottom>
      <diagonal/>
    </border>
    <border>
      <left/>
      <right/>
      <top/>
      <bottom style="hair">
        <color rgb="FF000000"/>
      </bottom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6">
    <xf numFmtId="0" fontId="0" fillId="0" borderId="0"/>
    <xf numFmtId="0" fontId="6" fillId="0" borderId="0">
      <alignment vertical="center"/>
    </xf>
    <xf numFmtId="177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0" fontId="18" fillId="0" borderId="0"/>
    <xf numFmtId="0" fontId="20" fillId="0" borderId="0">
      <alignment vertical="center"/>
    </xf>
  </cellStyleXfs>
  <cellXfs count="196">
    <xf numFmtId="0" fontId="0" fillId="0" borderId="0" xfId="0"/>
    <xf numFmtId="179" fontId="4" fillId="0" borderId="2" xfId="0" applyNumberFormat="1" applyFont="1" applyBorder="1" applyAlignment="1">
      <alignment vertical="center"/>
    </xf>
    <xf numFmtId="0" fontId="7" fillId="0" borderId="0" xfId="1" applyFont="1">
      <alignment vertical="center"/>
    </xf>
    <xf numFmtId="0" fontId="10" fillId="0" borderId="11" xfId="1" applyFont="1" applyBorder="1" applyAlignment="1" applyProtection="1">
      <alignment horizontal="left" vertical="center"/>
      <protection locked="0"/>
    </xf>
    <xf numFmtId="0" fontId="17" fillId="0" borderId="12" xfId="1" applyFont="1" applyBorder="1" applyAlignment="1">
      <alignment horizontal="center" vertical="center"/>
    </xf>
    <xf numFmtId="0" fontId="17" fillId="0" borderId="12" xfId="1" applyFont="1" applyBorder="1" applyAlignment="1">
      <alignment horizontal="centerContinuous" vertical="center"/>
    </xf>
    <xf numFmtId="0" fontId="12" fillId="0" borderId="8" xfId="1" applyFont="1" applyBorder="1" applyAlignment="1">
      <alignment horizontal="center" vertical="center"/>
    </xf>
    <xf numFmtId="177" fontId="15" fillId="0" borderId="8" xfId="3" applyNumberFormat="1" applyFont="1" applyFill="1" applyBorder="1" applyAlignment="1">
      <alignment vertical="center"/>
    </xf>
    <xf numFmtId="0" fontId="6" fillId="0" borderId="0" xfId="1">
      <alignment vertical="center"/>
    </xf>
    <xf numFmtId="177" fontId="7" fillId="0" borderId="0" xfId="1" applyNumberFormat="1" applyFont="1">
      <alignment vertical="center"/>
    </xf>
    <xf numFmtId="0" fontId="15" fillId="0" borderId="8" xfId="1" applyFont="1" applyBorder="1" applyAlignment="1">
      <alignment horizontal="center" vertical="center"/>
    </xf>
    <xf numFmtId="0" fontId="15" fillId="0" borderId="0" xfId="1" applyFont="1">
      <alignment vertical="center"/>
    </xf>
    <xf numFmtId="9" fontId="7" fillId="0" borderId="0" xfId="1" applyNumberFormat="1" applyFont="1">
      <alignment vertical="center"/>
    </xf>
    <xf numFmtId="0" fontId="20" fillId="0" borderId="0" xfId="5">
      <alignment vertical="center"/>
    </xf>
    <xf numFmtId="0" fontId="20" fillId="0" borderId="0" xfId="5" applyAlignment="1">
      <alignment horizontal="center" vertical="center"/>
    </xf>
    <xf numFmtId="177" fontId="20" fillId="0" borderId="0" xfId="5" applyNumberFormat="1">
      <alignment vertical="center"/>
    </xf>
    <xf numFmtId="3" fontId="20" fillId="0" borderId="0" xfId="5" applyNumberFormat="1">
      <alignment vertical="center"/>
    </xf>
    <xf numFmtId="0" fontId="7" fillId="0" borderId="17" xfId="1" applyFont="1" applyBorder="1">
      <alignment vertical="center"/>
    </xf>
    <xf numFmtId="0" fontId="20" fillId="0" borderId="17" xfId="5" applyBorder="1" applyAlignment="1">
      <alignment horizontal="center" vertical="center"/>
    </xf>
    <xf numFmtId="177" fontId="20" fillId="0" borderId="17" xfId="5" applyNumberFormat="1" applyBorder="1">
      <alignment vertical="center"/>
    </xf>
    <xf numFmtId="0" fontId="6" fillId="0" borderId="17" xfId="1" applyBorder="1">
      <alignment vertical="center"/>
    </xf>
    <xf numFmtId="179" fontId="23" fillId="0" borderId="2" xfId="0" applyNumberFormat="1" applyFont="1" applyBorder="1" applyAlignment="1">
      <alignment vertical="center"/>
    </xf>
    <xf numFmtId="177" fontId="24" fillId="0" borderId="0" xfId="1" applyNumberFormat="1" applyFont="1">
      <alignment vertical="center"/>
    </xf>
    <xf numFmtId="179" fontId="24" fillId="0" borderId="0" xfId="1" applyNumberFormat="1" applyFont="1">
      <alignment vertical="center"/>
    </xf>
    <xf numFmtId="0" fontId="15" fillId="0" borderId="0" xfId="1" applyFont="1" applyAlignment="1">
      <alignment horizontal="center" vertical="center"/>
    </xf>
    <xf numFmtId="0" fontId="12" fillId="0" borderId="0" xfId="1" applyFont="1" applyAlignment="1">
      <alignment horizontal="center" vertical="center"/>
    </xf>
    <xf numFmtId="177" fontId="15" fillId="0" borderId="0" xfId="3" applyNumberFormat="1" applyFont="1" applyFill="1" applyBorder="1" applyAlignment="1">
      <alignment vertical="center"/>
    </xf>
    <xf numFmtId="0" fontId="6" fillId="0" borderId="9" xfId="1" applyBorder="1">
      <alignment vertical="center"/>
    </xf>
    <xf numFmtId="177" fontId="15" fillId="4" borderId="12" xfId="3" applyNumberFormat="1" applyFont="1" applyFill="1" applyBorder="1" applyAlignment="1">
      <alignment vertical="center"/>
    </xf>
    <xf numFmtId="0" fontId="7" fillId="0" borderId="28" xfId="1" applyFont="1" applyBorder="1">
      <alignment vertical="center"/>
    </xf>
    <xf numFmtId="0" fontId="7" fillId="0" borderId="29" xfId="1" applyFont="1" applyBorder="1">
      <alignment vertical="center"/>
    </xf>
    <xf numFmtId="14" fontId="7" fillId="0" borderId="29" xfId="1" applyNumberFormat="1" applyFont="1" applyBorder="1">
      <alignment vertical="center"/>
    </xf>
    <xf numFmtId="0" fontId="7" fillId="0" borderId="30" xfId="1" applyFont="1" applyBorder="1">
      <alignment vertical="center"/>
    </xf>
    <xf numFmtId="0" fontId="8" fillId="0" borderId="31" xfId="1" applyFont="1" applyBorder="1" applyAlignment="1">
      <alignment horizontal="centerContinuous" vertical="center"/>
    </xf>
    <xf numFmtId="0" fontId="7" fillId="0" borderId="0" xfId="1" applyFont="1" applyAlignment="1">
      <alignment horizontal="centerContinuous" vertical="center"/>
    </xf>
    <xf numFmtId="0" fontId="7" fillId="0" borderId="32" xfId="1" applyFont="1" applyBorder="1" applyAlignment="1">
      <alignment horizontal="centerContinuous" vertical="center"/>
    </xf>
    <xf numFmtId="0" fontId="9" fillId="0" borderId="31" xfId="1" applyFont="1" applyBorder="1" applyAlignment="1" applyProtection="1">
      <alignment horizontal="centerContinuous" vertical="center"/>
      <protection locked="0"/>
    </xf>
    <xf numFmtId="0" fontId="9" fillId="0" borderId="0" xfId="1" applyFont="1" applyAlignment="1" applyProtection="1">
      <alignment horizontal="centerContinuous" vertical="center"/>
      <protection locked="0"/>
    </xf>
    <xf numFmtId="0" fontId="9" fillId="0" borderId="0" xfId="1" applyFont="1" applyAlignment="1">
      <alignment horizontal="centerContinuous" vertical="center"/>
    </xf>
    <xf numFmtId="0" fontId="9" fillId="0" borderId="32" xfId="1" applyFont="1" applyBorder="1" applyAlignment="1">
      <alignment horizontal="centerContinuous" vertical="center"/>
    </xf>
    <xf numFmtId="0" fontId="10" fillId="0" borderId="27" xfId="1" applyFont="1" applyBorder="1" applyAlignment="1" applyProtection="1">
      <alignment horizontal="left" vertical="center"/>
      <protection locked="0"/>
    </xf>
    <xf numFmtId="0" fontId="10" fillId="0" borderId="0" xfId="1" applyFont="1">
      <alignment vertical="center"/>
    </xf>
    <xf numFmtId="0" fontId="10" fillId="0" borderId="32" xfId="1" applyFont="1" applyBorder="1">
      <alignment vertical="center"/>
    </xf>
    <xf numFmtId="0" fontId="17" fillId="0" borderId="34" xfId="1" applyFont="1" applyBorder="1" applyAlignment="1">
      <alignment horizontal="center" vertical="center"/>
    </xf>
    <xf numFmtId="0" fontId="17" fillId="0" borderId="33" xfId="1" applyFont="1" applyBorder="1" applyAlignment="1">
      <alignment horizontal="center" vertical="center"/>
    </xf>
    <xf numFmtId="177" fontId="15" fillId="4" borderId="33" xfId="3" applyNumberFormat="1" applyFont="1" applyFill="1" applyBorder="1" applyAlignment="1">
      <alignment vertical="center"/>
    </xf>
    <xf numFmtId="0" fontId="4" fillId="0" borderId="39" xfId="0" applyFont="1" applyBorder="1" applyAlignment="1">
      <alignment horizontal="center" vertical="center"/>
    </xf>
    <xf numFmtId="0" fontId="3" fillId="0" borderId="6" xfId="0" applyFont="1" applyBorder="1" applyAlignment="1">
      <alignment vertical="center"/>
    </xf>
    <xf numFmtId="0" fontId="3" fillId="0" borderId="7" xfId="0" applyFont="1" applyBorder="1" applyAlignment="1">
      <alignment vertical="center"/>
    </xf>
    <xf numFmtId="0" fontId="3" fillId="0" borderId="10" xfId="0" applyFont="1" applyBorder="1" applyAlignment="1">
      <alignment vertical="center"/>
    </xf>
    <xf numFmtId="0" fontId="3" fillId="0" borderId="16" xfId="0" applyFont="1" applyBorder="1" applyAlignment="1">
      <alignment vertical="center"/>
    </xf>
    <xf numFmtId="179" fontId="4" fillId="0" borderId="22" xfId="0" applyNumberFormat="1" applyFont="1" applyBorder="1" applyAlignment="1">
      <alignment vertical="center"/>
    </xf>
    <xf numFmtId="179" fontId="4" fillId="0" borderId="24" xfId="0" applyNumberFormat="1" applyFont="1" applyBorder="1" applyAlignment="1">
      <alignment vertical="center"/>
    </xf>
    <xf numFmtId="177" fontId="15" fillId="0" borderId="37" xfId="3" applyNumberFormat="1" applyFont="1" applyFill="1" applyBorder="1" applyAlignment="1">
      <alignment vertical="center"/>
    </xf>
    <xf numFmtId="177" fontId="15" fillId="0" borderId="41" xfId="3" applyNumberFormat="1" applyFont="1" applyFill="1" applyBorder="1" applyAlignment="1">
      <alignment vertical="center"/>
    </xf>
    <xf numFmtId="0" fontId="15" fillId="0" borderId="25" xfId="1" applyFont="1" applyBorder="1" applyAlignment="1">
      <alignment horizontal="center" vertical="center"/>
    </xf>
    <xf numFmtId="0" fontId="15" fillId="0" borderId="4" xfId="1" applyFont="1" applyBorder="1" applyAlignment="1">
      <alignment horizontal="center" vertical="center"/>
    </xf>
    <xf numFmtId="0" fontId="15" fillId="0" borderId="5" xfId="1" applyFont="1" applyBorder="1" applyAlignment="1">
      <alignment horizontal="center" vertical="center"/>
    </xf>
    <xf numFmtId="0" fontId="15" fillId="0" borderId="27" xfId="1" applyFont="1" applyBorder="1" applyAlignment="1">
      <alignment horizontal="center" vertical="center"/>
    </xf>
    <xf numFmtId="0" fontId="15" fillId="0" borderId="11" xfId="1" applyFont="1" applyBorder="1" applyAlignment="1">
      <alignment horizontal="center" vertical="center"/>
    </xf>
    <xf numFmtId="0" fontId="15" fillId="0" borderId="16" xfId="1" applyFont="1" applyBorder="1" applyAlignment="1">
      <alignment horizontal="center" vertical="center"/>
    </xf>
    <xf numFmtId="0" fontId="15" fillId="0" borderId="40" xfId="1" applyFont="1" applyBorder="1" applyAlignment="1">
      <alignment horizontal="center" vertical="center"/>
    </xf>
    <xf numFmtId="0" fontId="15" fillId="0" borderId="15" xfId="1" applyFont="1" applyBorder="1" applyAlignment="1">
      <alignment horizontal="center" vertical="center"/>
    </xf>
    <xf numFmtId="0" fontId="12" fillId="0" borderId="40" xfId="1" applyFont="1" applyBorder="1" applyAlignment="1">
      <alignment horizontal="center" vertical="center"/>
    </xf>
    <xf numFmtId="0" fontId="12" fillId="0" borderId="15" xfId="1" applyFont="1" applyBorder="1" applyAlignment="1">
      <alignment horizontal="center" vertical="center"/>
    </xf>
    <xf numFmtId="0" fontId="26" fillId="0" borderId="40" xfId="1" applyFont="1" applyBorder="1" applyAlignment="1">
      <alignment horizontal="center" vertical="center"/>
    </xf>
    <xf numFmtId="0" fontId="26" fillId="0" borderId="15" xfId="1" applyFont="1" applyBorder="1" applyAlignment="1">
      <alignment horizontal="center" vertical="center"/>
    </xf>
    <xf numFmtId="0" fontId="27" fillId="0" borderId="40" xfId="1" applyFont="1" applyBorder="1" applyAlignment="1">
      <alignment horizontal="center" vertical="center"/>
    </xf>
    <xf numFmtId="0" fontId="27" fillId="0" borderId="15" xfId="1" applyFont="1" applyBorder="1" applyAlignment="1">
      <alignment horizontal="center" vertical="center"/>
    </xf>
    <xf numFmtId="178" fontId="2" fillId="0" borderId="13" xfId="0" applyNumberFormat="1" applyFont="1" applyBorder="1" applyAlignment="1">
      <alignment horizontal="left" vertical="center" wrapText="1"/>
    </xf>
    <xf numFmtId="178" fontId="2" fillId="0" borderId="14" xfId="0" applyNumberFormat="1" applyFont="1" applyBorder="1" applyAlignment="1">
      <alignment horizontal="left" vertical="center" wrapText="1"/>
    </xf>
    <xf numFmtId="178" fontId="2" fillId="0" borderId="15" xfId="0" applyNumberFormat="1" applyFont="1" applyBorder="1" applyAlignment="1">
      <alignment horizontal="left" vertical="center" wrapText="1"/>
    </xf>
    <xf numFmtId="178" fontId="2" fillId="0" borderId="13" xfId="0" quotePrefix="1" applyNumberFormat="1" applyFont="1" applyBorder="1" applyAlignment="1">
      <alignment horizontal="left" vertical="center" wrapText="1"/>
    </xf>
    <xf numFmtId="178" fontId="2" fillId="0" borderId="14" xfId="0" quotePrefix="1" applyNumberFormat="1" applyFont="1" applyBorder="1" applyAlignment="1">
      <alignment horizontal="left" vertical="center" wrapText="1"/>
    </xf>
    <xf numFmtId="178" fontId="2" fillId="0" borderId="15" xfId="0" quotePrefix="1" applyNumberFormat="1" applyFont="1" applyBorder="1" applyAlignment="1">
      <alignment horizontal="left" vertical="center" wrapText="1"/>
    </xf>
    <xf numFmtId="178" fontId="21" fillId="0" borderId="13" xfId="0" applyNumberFormat="1" applyFont="1" applyBorder="1" applyAlignment="1">
      <alignment horizontal="left" vertical="center" wrapText="1"/>
    </xf>
    <xf numFmtId="178" fontId="21" fillId="0" borderId="14" xfId="0" applyNumberFormat="1" applyFont="1" applyBorder="1" applyAlignment="1">
      <alignment horizontal="left" vertical="center" wrapText="1"/>
    </xf>
    <xf numFmtId="178" fontId="21" fillId="0" borderId="15" xfId="0" applyNumberFormat="1" applyFont="1" applyBorder="1" applyAlignment="1">
      <alignment horizontal="left" vertical="center" wrapText="1"/>
    </xf>
    <xf numFmtId="178" fontId="2" fillId="0" borderId="12" xfId="0" applyNumberFormat="1" applyFont="1" applyBorder="1" applyAlignment="1">
      <alignment horizontal="left" vertical="center" wrapText="1"/>
    </xf>
    <xf numFmtId="178" fontId="4" fillId="5" borderId="34" xfId="0" applyNumberFormat="1" applyFont="1" applyFill="1" applyBorder="1" applyAlignment="1">
      <alignment horizontal="center" vertical="center" wrapText="1"/>
    </xf>
    <xf numFmtId="178" fontId="4" fillId="5" borderId="12" xfId="0" applyNumberFormat="1" applyFont="1" applyFill="1" applyBorder="1" applyAlignment="1">
      <alignment horizontal="center" vertical="center" wrapText="1"/>
    </xf>
    <xf numFmtId="176" fontId="12" fillId="0" borderId="13" xfId="2" applyNumberFormat="1" applyFont="1" applyBorder="1" applyAlignment="1">
      <alignment horizontal="left" vertical="center" wrapText="1"/>
    </xf>
    <xf numFmtId="176" fontId="12" fillId="0" borderId="15" xfId="2" applyNumberFormat="1" applyFont="1" applyBorder="1" applyAlignment="1">
      <alignment horizontal="left" vertical="center" wrapText="1"/>
    </xf>
    <xf numFmtId="0" fontId="15" fillId="0" borderId="40" xfId="1" applyFont="1" applyBorder="1" applyAlignment="1">
      <alignment horizontal="left" vertical="center"/>
    </xf>
    <xf numFmtId="0" fontId="15" fillId="0" borderId="14" xfId="1" applyFont="1" applyBorder="1" applyAlignment="1">
      <alignment horizontal="left" vertical="center"/>
    </xf>
    <xf numFmtId="0" fontId="15" fillId="0" borderId="15" xfId="1" applyFont="1" applyBorder="1" applyAlignment="1">
      <alignment horizontal="left" vertical="center"/>
    </xf>
    <xf numFmtId="0" fontId="25" fillId="0" borderId="12" xfId="1" applyFont="1" applyBorder="1" applyAlignment="1" applyProtection="1">
      <alignment horizontal="center" vertical="center"/>
      <protection locked="0"/>
    </xf>
    <xf numFmtId="0" fontId="10" fillId="2" borderId="34" xfId="1" applyFont="1" applyFill="1" applyBorder="1" applyAlignment="1" applyProtection="1">
      <alignment horizontal="center" vertical="center"/>
      <protection locked="0"/>
    </xf>
    <xf numFmtId="0" fontId="10" fillId="2" borderId="12" xfId="1" applyFont="1" applyFill="1" applyBorder="1" applyAlignment="1" applyProtection="1">
      <alignment horizontal="center" vertical="center"/>
      <protection locked="0"/>
    </xf>
    <xf numFmtId="0" fontId="14" fillId="0" borderId="34" xfId="1" applyFont="1" applyBorder="1" applyAlignment="1" applyProtection="1">
      <alignment horizontal="center" vertical="center"/>
      <protection locked="0"/>
    </xf>
    <xf numFmtId="0" fontId="14" fillId="0" borderId="12" xfId="1" applyFont="1" applyBorder="1" applyAlignment="1" applyProtection="1">
      <alignment horizontal="center" vertical="center"/>
      <protection locked="0"/>
    </xf>
    <xf numFmtId="0" fontId="12" fillId="0" borderId="12" xfId="1" quotePrefix="1" applyFont="1" applyBorder="1" applyAlignment="1" applyProtection="1">
      <alignment horizontal="left" vertical="center" indent="1"/>
      <protection locked="0"/>
    </xf>
    <xf numFmtId="0" fontId="12" fillId="0" borderId="12" xfId="1" applyFont="1" applyBorder="1" applyAlignment="1" applyProtection="1">
      <alignment horizontal="left" vertical="center" indent="1"/>
      <protection locked="0"/>
    </xf>
    <xf numFmtId="0" fontId="12" fillId="0" borderId="33" xfId="1" applyFont="1" applyBorder="1" applyAlignment="1" applyProtection="1">
      <alignment horizontal="left" vertical="center" indent="1"/>
      <protection locked="0"/>
    </xf>
    <xf numFmtId="0" fontId="10" fillId="0" borderId="12" xfId="1" applyFont="1" applyBorder="1" applyAlignment="1">
      <alignment horizontal="left" vertical="center"/>
    </xf>
    <xf numFmtId="0" fontId="10" fillId="0" borderId="33" xfId="1" applyFont="1" applyBorder="1" applyAlignment="1">
      <alignment horizontal="left" vertical="center"/>
    </xf>
    <xf numFmtId="0" fontId="10" fillId="0" borderId="12" xfId="1" applyFont="1" applyBorder="1" applyAlignment="1" applyProtection="1">
      <alignment horizontal="left" vertical="center"/>
      <protection locked="0"/>
    </xf>
    <xf numFmtId="0" fontId="10" fillId="0" borderId="33" xfId="1" applyFont="1" applyBorder="1" applyAlignment="1" applyProtection="1">
      <alignment horizontal="left" vertical="center"/>
      <protection locked="0"/>
    </xf>
    <xf numFmtId="14" fontId="25" fillId="0" borderId="12" xfId="1" applyNumberFormat="1" applyFont="1" applyBorder="1" applyAlignment="1" applyProtection="1">
      <alignment horizontal="center" vertical="center"/>
      <protection locked="0"/>
    </xf>
    <xf numFmtId="0" fontId="19" fillId="0" borderId="31" xfId="1" quotePrefix="1" applyFont="1" applyBorder="1" applyAlignment="1">
      <alignment horizontal="left" vertical="center"/>
    </xf>
    <xf numFmtId="0" fontId="19" fillId="0" borderId="0" xfId="1" quotePrefix="1" applyFont="1" applyAlignment="1">
      <alignment horizontal="left" vertical="center"/>
    </xf>
    <xf numFmtId="0" fontId="19" fillId="0" borderId="32" xfId="1" quotePrefix="1" applyFont="1" applyBorder="1" applyAlignment="1">
      <alignment horizontal="left" vertical="center"/>
    </xf>
    <xf numFmtId="0" fontId="19" fillId="0" borderId="42" xfId="1" applyFont="1" applyBorder="1">
      <alignment vertical="center"/>
    </xf>
    <xf numFmtId="0" fontId="19" fillId="0" borderId="17" xfId="1" applyFont="1" applyBorder="1">
      <alignment vertical="center"/>
    </xf>
    <xf numFmtId="0" fontId="19" fillId="0" borderId="43" xfId="1" applyFont="1" applyBorder="1">
      <alignment vertical="center"/>
    </xf>
    <xf numFmtId="0" fontId="1" fillId="0" borderId="12" xfId="0" applyFont="1" applyBorder="1"/>
    <xf numFmtId="178" fontId="21" fillId="0" borderId="12" xfId="0" applyNumberFormat="1" applyFont="1" applyBorder="1" applyAlignment="1">
      <alignment horizontal="left" vertical="center" wrapText="1"/>
    </xf>
    <xf numFmtId="0" fontId="15" fillId="0" borderId="34" xfId="1" applyFont="1" applyBorder="1" applyAlignment="1">
      <alignment horizontal="left" vertical="center"/>
    </xf>
    <xf numFmtId="0" fontId="15" fillId="0" borderId="12" xfId="1" applyFont="1" applyBorder="1" applyAlignment="1">
      <alignment horizontal="left" vertical="center"/>
    </xf>
    <xf numFmtId="178" fontId="4" fillId="0" borderId="12" xfId="0" applyNumberFormat="1" applyFont="1" applyBorder="1" applyAlignment="1">
      <alignment horizontal="left" vertical="center" wrapText="1"/>
    </xf>
    <xf numFmtId="176" fontId="12" fillId="0" borderId="12" xfId="2" applyNumberFormat="1" applyFont="1" applyBorder="1" applyAlignment="1">
      <alignment horizontal="left" vertical="center" wrapText="1"/>
    </xf>
    <xf numFmtId="178" fontId="4" fillId="0" borderId="13" xfId="0" quotePrefix="1" applyNumberFormat="1" applyFont="1" applyBorder="1" applyAlignment="1">
      <alignment horizontal="left" vertical="center" wrapText="1"/>
    </xf>
    <xf numFmtId="178" fontId="4" fillId="0" borderId="14" xfId="0" quotePrefix="1" applyNumberFormat="1" applyFont="1" applyBorder="1" applyAlignment="1">
      <alignment horizontal="left" vertical="center" wrapText="1"/>
    </xf>
    <xf numFmtId="178" fontId="4" fillId="0" borderId="15" xfId="0" quotePrefix="1" applyNumberFormat="1" applyFont="1" applyBorder="1" applyAlignment="1">
      <alignment horizontal="left" vertical="center" wrapText="1"/>
    </xf>
    <xf numFmtId="178" fontId="2" fillId="0" borderId="1" xfId="0" applyNumberFormat="1" applyFont="1" applyBorder="1" applyAlignment="1">
      <alignment horizontal="left" vertical="center" wrapText="1"/>
    </xf>
    <xf numFmtId="178" fontId="2" fillId="0" borderId="18" xfId="0" applyNumberFormat="1" applyFont="1" applyBorder="1" applyAlignment="1">
      <alignment horizontal="left" vertical="center" wrapText="1"/>
    </xf>
    <xf numFmtId="178" fontId="28" fillId="0" borderId="19" xfId="0" applyNumberFormat="1" applyFont="1" applyBorder="1" applyAlignment="1">
      <alignment horizontal="left" vertical="center" wrapText="1"/>
    </xf>
    <xf numFmtId="0" fontId="1" fillId="0" borderId="20" xfId="0" applyFont="1" applyBorder="1"/>
    <xf numFmtId="0" fontId="1" fillId="0" borderId="21" xfId="0" applyFont="1" applyBorder="1"/>
    <xf numFmtId="176" fontId="37" fillId="0" borderId="12" xfId="2" applyNumberFormat="1" applyFont="1" applyBorder="1" applyAlignment="1">
      <alignment horizontal="left" vertical="center" wrapText="1"/>
    </xf>
    <xf numFmtId="176" fontId="10" fillId="0" borderId="12" xfId="2" applyNumberFormat="1" applyFont="1" applyBorder="1" applyAlignment="1">
      <alignment horizontal="left" vertical="center" wrapText="1"/>
    </xf>
    <xf numFmtId="176" fontId="38" fillId="0" borderId="12" xfId="2" applyNumberFormat="1" applyFont="1" applyBorder="1" applyAlignment="1">
      <alignment horizontal="left" vertical="center" wrapText="1"/>
    </xf>
    <xf numFmtId="176" fontId="35" fillId="0" borderId="12" xfId="2" applyNumberFormat="1" applyFont="1" applyBorder="1" applyAlignment="1">
      <alignment horizontal="left" vertical="center" wrapText="1"/>
    </xf>
    <xf numFmtId="178" fontId="4" fillId="0" borderId="12" xfId="0" quotePrefix="1" applyNumberFormat="1" applyFont="1" applyBorder="1" applyAlignment="1">
      <alignment horizontal="left" vertical="center" wrapText="1"/>
    </xf>
    <xf numFmtId="178" fontId="2" fillId="0" borderId="12" xfId="0" quotePrefix="1" applyNumberFormat="1" applyFont="1" applyBorder="1" applyAlignment="1">
      <alignment horizontal="left" vertical="center" wrapText="1"/>
    </xf>
    <xf numFmtId="0" fontId="4" fillId="0" borderId="36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  <xf numFmtId="0" fontId="4" fillId="0" borderId="39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177" fontId="15" fillId="0" borderId="35" xfId="3" applyNumberFormat="1" applyFont="1" applyFill="1" applyBorder="1" applyAlignment="1">
      <alignment horizontal="center" vertical="center"/>
    </xf>
    <xf numFmtId="177" fontId="15" fillId="0" borderId="37" xfId="3" applyNumberFormat="1" applyFont="1" applyFill="1" applyBorder="1" applyAlignment="1">
      <alignment horizontal="center" vertical="center"/>
    </xf>
    <xf numFmtId="0" fontId="27" fillId="0" borderId="25" xfId="1" applyFont="1" applyBorder="1" applyAlignment="1">
      <alignment horizontal="center" vertical="center"/>
    </xf>
    <xf numFmtId="0" fontId="27" fillId="0" borderId="5" xfId="1" applyFont="1" applyBorder="1" applyAlignment="1">
      <alignment horizontal="center" vertical="center"/>
    </xf>
    <xf numFmtId="0" fontId="27" fillId="0" borderId="27" xfId="1" applyFont="1" applyBorder="1" applyAlignment="1">
      <alignment horizontal="center" vertical="center"/>
    </xf>
    <xf numFmtId="0" fontId="27" fillId="0" borderId="16" xfId="1" applyFont="1" applyBorder="1" applyAlignment="1">
      <alignment horizontal="center" vertical="center"/>
    </xf>
    <xf numFmtId="0" fontId="15" fillId="6" borderId="40" xfId="1" applyFont="1" applyFill="1" applyBorder="1" applyAlignment="1">
      <alignment horizontal="left" vertical="center"/>
    </xf>
    <xf numFmtId="0" fontId="15" fillId="6" borderId="14" xfId="1" applyFont="1" applyFill="1" applyBorder="1" applyAlignment="1">
      <alignment horizontal="left" vertical="center"/>
    </xf>
    <xf numFmtId="0" fontId="15" fillId="6" borderId="15" xfId="1" applyFont="1" applyFill="1" applyBorder="1" applyAlignment="1">
      <alignment horizontal="left" vertical="center"/>
    </xf>
    <xf numFmtId="176" fontId="34" fillId="0" borderId="13" xfId="2" applyNumberFormat="1" applyFont="1" applyBorder="1" applyAlignment="1">
      <alignment horizontal="left" vertical="center" wrapText="1"/>
    </xf>
    <xf numFmtId="176" fontId="34" fillId="0" borderId="15" xfId="2" applyNumberFormat="1" applyFont="1" applyBorder="1" applyAlignment="1">
      <alignment horizontal="left" vertical="center" wrapText="1"/>
    </xf>
    <xf numFmtId="0" fontId="12" fillId="0" borderId="25" xfId="1" applyFont="1" applyBorder="1" applyAlignment="1">
      <alignment horizontal="center" vertical="center"/>
    </xf>
    <xf numFmtId="0" fontId="12" fillId="0" borderId="5" xfId="1" applyFont="1" applyBorder="1" applyAlignment="1">
      <alignment horizontal="center" vertical="center"/>
    </xf>
    <xf numFmtId="0" fontId="12" fillId="0" borderId="27" xfId="1" applyFont="1" applyBorder="1" applyAlignment="1">
      <alignment horizontal="center" vertical="center"/>
    </xf>
    <xf numFmtId="0" fontId="12" fillId="0" borderId="16" xfId="1" applyFont="1" applyBorder="1" applyAlignment="1">
      <alignment horizontal="center" vertical="center"/>
    </xf>
    <xf numFmtId="178" fontId="4" fillId="0" borderId="13" xfId="0" applyNumberFormat="1" applyFont="1" applyBorder="1" applyAlignment="1">
      <alignment horizontal="left" vertical="center" wrapText="1"/>
    </xf>
    <xf numFmtId="178" fontId="4" fillId="0" borderId="14" xfId="0" applyNumberFormat="1" applyFont="1" applyBorder="1" applyAlignment="1">
      <alignment horizontal="left" vertical="center" wrapText="1"/>
    </xf>
    <xf numFmtId="178" fontId="4" fillId="0" borderId="15" xfId="0" applyNumberFormat="1" applyFont="1" applyBorder="1" applyAlignment="1">
      <alignment horizontal="left" vertical="center" wrapText="1"/>
    </xf>
    <xf numFmtId="0" fontId="15" fillId="6" borderId="34" xfId="1" applyFont="1" applyFill="1" applyBorder="1" applyAlignment="1">
      <alignment horizontal="left" vertical="center"/>
    </xf>
    <xf numFmtId="0" fontId="15" fillId="6" borderId="12" xfId="1" applyFont="1" applyFill="1" applyBorder="1" applyAlignment="1">
      <alignment horizontal="left" vertical="center"/>
    </xf>
    <xf numFmtId="0" fontId="4" fillId="0" borderId="34" xfId="0" applyFont="1" applyBorder="1" applyAlignment="1">
      <alignment horizontal="center" vertical="center"/>
    </xf>
    <xf numFmtId="0" fontId="17" fillId="4" borderId="40" xfId="1" applyFont="1" applyFill="1" applyBorder="1" applyAlignment="1">
      <alignment horizontal="center" vertical="center"/>
    </xf>
    <xf numFmtId="0" fontId="17" fillId="4" borderId="14" xfId="1" applyFont="1" applyFill="1" applyBorder="1" applyAlignment="1">
      <alignment horizontal="center" vertical="center"/>
    </xf>
    <xf numFmtId="0" fontId="17" fillId="4" borderId="15" xfId="1" applyFont="1" applyFill="1" applyBorder="1" applyAlignment="1">
      <alignment horizontal="center" vertical="center"/>
    </xf>
    <xf numFmtId="0" fontId="15" fillId="0" borderId="3" xfId="1" applyFont="1" applyBorder="1" applyAlignment="1">
      <alignment horizontal="center" vertical="center"/>
    </xf>
    <xf numFmtId="0" fontId="15" fillId="0" borderId="10" xfId="1" applyFont="1" applyBorder="1" applyAlignment="1">
      <alignment horizontal="center" vertical="center"/>
    </xf>
    <xf numFmtId="177" fontId="15" fillId="0" borderId="23" xfId="3" applyNumberFormat="1" applyFont="1" applyFill="1" applyBorder="1" applyAlignment="1">
      <alignment horizontal="center" vertical="center"/>
    </xf>
    <xf numFmtId="177" fontId="15" fillId="0" borderId="24" xfId="3" applyNumberFormat="1" applyFont="1" applyFill="1" applyBorder="1" applyAlignment="1">
      <alignment horizontal="center" vertical="center"/>
    </xf>
    <xf numFmtId="177" fontId="15" fillId="0" borderId="41" xfId="3" applyNumberFormat="1" applyFont="1" applyFill="1" applyBorder="1" applyAlignment="1">
      <alignment horizontal="center" vertical="center"/>
    </xf>
    <xf numFmtId="0" fontId="7" fillId="4" borderId="13" xfId="1" applyFont="1" applyFill="1" applyBorder="1" applyAlignment="1">
      <alignment horizontal="center" vertical="center"/>
    </xf>
    <xf numFmtId="0" fontId="7" fillId="4" borderId="15" xfId="1" applyFont="1" applyFill="1" applyBorder="1" applyAlignment="1">
      <alignment horizontal="center" vertical="center"/>
    </xf>
    <xf numFmtId="0" fontId="25" fillId="0" borderId="13" xfId="1" applyFont="1" applyBorder="1" applyAlignment="1" applyProtection="1">
      <alignment horizontal="center" vertical="center"/>
      <protection locked="0"/>
    </xf>
    <xf numFmtId="0" fontId="25" fillId="0" borderId="15" xfId="1" applyFont="1" applyBorder="1" applyAlignment="1" applyProtection="1">
      <alignment horizontal="center" vertical="center"/>
      <protection locked="0"/>
    </xf>
    <xf numFmtId="0" fontId="10" fillId="2" borderId="25" xfId="1" applyFont="1" applyFill="1" applyBorder="1" applyAlignment="1" applyProtection="1">
      <alignment horizontal="center" vertical="center"/>
      <protection locked="0"/>
    </xf>
    <xf numFmtId="0" fontId="10" fillId="2" borderId="5" xfId="1" applyFont="1" applyFill="1" applyBorder="1" applyAlignment="1" applyProtection="1">
      <alignment horizontal="center" vertical="center"/>
      <protection locked="0"/>
    </xf>
    <xf numFmtId="0" fontId="10" fillId="2" borderId="27" xfId="1" applyFont="1" applyFill="1" applyBorder="1" applyAlignment="1" applyProtection="1">
      <alignment horizontal="center" vertical="center"/>
      <protection locked="0"/>
    </xf>
    <xf numFmtId="0" fontId="10" fillId="2" borderId="16" xfId="1" applyFont="1" applyFill="1" applyBorder="1" applyAlignment="1" applyProtection="1">
      <alignment horizontal="center" vertical="center"/>
      <protection locked="0"/>
    </xf>
    <xf numFmtId="0" fontId="15" fillId="0" borderId="6" xfId="1" applyFont="1" applyBorder="1" applyAlignment="1">
      <alignment horizontal="center" vertical="center"/>
    </xf>
    <xf numFmtId="0" fontId="15" fillId="0" borderId="7" xfId="1" applyFont="1" applyBorder="1" applyAlignment="1">
      <alignment horizontal="center" vertical="center"/>
    </xf>
    <xf numFmtId="3" fontId="15" fillId="0" borderId="23" xfId="1" applyNumberFormat="1" applyFont="1" applyBorder="1" applyAlignment="1">
      <alignment horizontal="center" vertical="center"/>
    </xf>
    <xf numFmtId="3" fontId="15" fillId="0" borderId="22" xfId="1" applyNumberFormat="1" applyFont="1" applyBorder="1" applyAlignment="1">
      <alignment horizontal="center" vertical="center"/>
    </xf>
    <xf numFmtId="3" fontId="15" fillId="0" borderId="24" xfId="1" applyNumberFormat="1" applyFont="1" applyBorder="1" applyAlignment="1">
      <alignment horizontal="center" vertical="center"/>
    </xf>
    <xf numFmtId="3" fontId="15" fillId="0" borderId="35" xfId="1" applyNumberFormat="1" applyFont="1" applyBorder="1" applyAlignment="1">
      <alignment horizontal="center" vertical="center"/>
    </xf>
    <xf numFmtId="3" fontId="15" fillId="0" borderId="37" xfId="1" applyNumberFormat="1" applyFont="1" applyBorder="1" applyAlignment="1">
      <alignment horizontal="center" vertical="center"/>
    </xf>
    <xf numFmtId="3" fontId="15" fillId="0" borderId="41" xfId="1" applyNumberFormat="1" applyFont="1" applyBorder="1" applyAlignment="1">
      <alignment horizontal="center" vertical="center"/>
    </xf>
    <xf numFmtId="0" fontId="12" fillId="0" borderId="31" xfId="1" applyFont="1" applyBorder="1" applyAlignment="1">
      <alignment horizontal="center" vertical="center"/>
    </xf>
    <xf numFmtId="0" fontId="12" fillId="0" borderId="7" xfId="1" applyFont="1" applyBorder="1" applyAlignment="1">
      <alignment horizontal="center" vertical="center"/>
    </xf>
    <xf numFmtId="0" fontId="14" fillId="0" borderId="25" xfId="1" applyFont="1" applyBorder="1" applyAlignment="1">
      <alignment horizontal="center" vertical="center"/>
    </xf>
    <xf numFmtId="0" fontId="14" fillId="0" borderId="4" xfId="1" applyFont="1" applyBorder="1" applyAlignment="1">
      <alignment horizontal="center" vertical="center"/>
    </xf>
    <xf numFmtId="0" fontId="14" fillId="0" borderId="5" xfId="1" applyFont="1" applyBorder="1" applyAlignment="1">
      <alignment horizontal="center" vertical="center"/>
    </xf>
    <xf numFmtId="0" fontId="14" fillId="0" borderId="27" xfId="1" applyFont="1" applyBorder="1" applyAlignment="1">
      <alignment horizontal="center" vertical="center"/>
    </xf>
    <xf numFmtId="0" fontId="14" fillId="0" borderId="11" xfId="1" applyFont="1" applyBorder="1" applyAlignment="1">
      <alignment horizontal="center" vertical="center"/>
    </xf>
    <xf numFmtId="0" fontId="14" fillId="0" borderId="16" xfId="1" applyFont="1" applyBorder="1" applyAlignment="1">
      <alignment horizontal="center" vertical="center"/>
    </xf>
    <xf numFmtId="177" fontId="16" fillId="3" borderId="13" xfId="1" applyNumberFormat="1" applyFont="1" applyFill="1" applyBorder="1" applyAlignment="1">
      <alignment horizontal="left" vertical="center"/>
    </xf>
    <xf numFmtId="0" fontId="16" fillId="3" borderId="14" xfId="1" applyFont="1" applyFill="1" applyBorder="1" applyAlignment="1">
      <alignment horizontal="left" vertical="center"/>
    </xf>
    <xf numFmtId="0" fontId="16" fillId="3" borderId="26" xfId="1" applyFont="1" applyFill="1" applyBorder="1" applyAlignment="1">
      <alignment horizontal="left" vertical="center"/>
    </xf>
    <xf numFmtId="178" fontId="4" fillId="5" borderId="40" xfId="0" applyNumberFormat="1" applyFont="1" applyFill="1" applyBorder="1" applyAlignment="1">
      <alignment horizontal="center" vertical="center" wrapText="1"/>
    </xf>
    <xf numFmtId="178" fontId="4" fillId="5" borderId="14" xfId="0" applyNumberFormat="1" applyFont="1" applyFill="1" applyBorder="1" applyAlignment="1">
      <alignment horizontal="center" vertical="center" wrapText="1"/>
    </xf>
    <xf numFmtId="178" fontId="4" fillId="5" borderId="15" xfId="0" applyNumberFormat="1" applyFont="1" applyFill="1" applyBorder="1" applyAlignment="1">
      <alignment horizontal="center" vertical="center" wrapText="1"/>
    </xf>
    <xf numFmtId="0" fontId="15" fillId="6" borderId="31" xfId="1" applyFont="1" applyFill="1" applyBorder="1" applyAlignment="1">
      <alignment horizontal="left" vertical="center"/>
    </xf>
    <xf numFmtId="0" fontId="15" fillId="6" borderId="0" xfId="1" applyFont="1" applyFill="1" applyAlignment="1">
      <alignment horizontal="left" vertical="center"/>
    </xf>
    <xf numFmtId="178" fontId="4" fillId="5" borderId="25" xfId="0" applyNumberFormat="1" applyFont="1" applyFill="1" applyBorder="1" applyAlignment="1">
      <alignment horizontal="center" vertical="center" wrapText="1"/>
    </xf>
    <xf numFmtId="178" fontId="4" fillId="5" borderId="4" xfId="0" applyNumberFormat="1" applyFont="1" applyFill="1" applyBorder="1" applyAlignment="1">
      <alignment horizontal="center" vertical="center" wrapText="1"/>
    </xf>
    <xf numFmtId="176" fontId="12" fillId="0" borderId="14" xfId="2" applyNumberFormat="1" applyFont="1" applyBorder="1" applyAlignment="1">
      <alignment horizontal="left" vertical="center" wrapText="1"/>
    </xf>
  </cellXfs>
  <cellStyles count="6">
    <cellStyle name="쉼표 [0] 2" xfId="2" xr:uid="{EBA65B51-4CCE-C84C-A8A2-2DDE833BE9AB}"/>
    <cellStyle name="통화 [0] 2" xfId="3" xr:uid="{4D9DE639-F319-1C49-A805-3EF54592F7A6}"/>
    <cellStyle name="표준" xfId="0" builtinId="0"/>
    <cellStyle name="표준 2" xfId="1" xr:uid="{E0E9B868-3430-2143-8988-2CBBF7851284}"/>
    <cellStyle name="표준 2 2" xfId="5" xr:uid="{F8C5C929-2622-EF44-BFA7-4700DE9D92E5}"/>
    <cellStyle name="표준 3" xfId="4" xr:uid="{ED274B70-3BBB-9847-AD03-40692D58647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80010</xdr:colOff>
      <xdr:row>1</xdr:row>
      <xdr:rowOff>0</xdr:rowOff>
    </xdr:from>
    <xdr:to>
      <xdr:col>8</xdr:col>
      <xdr:colOff>0</xdr:colOff>
      <xdr:row>1</xdr:row>
      <xdr:rowOff>0</xdr:rowOff>
    </xdr:to>
    <xdr:sp macro="" textlink="">
      <xdr:nvSpPr>
        <xdr:cNvPr id="2" name="Text 56">
          <a:extLst>
            <a:ext uri="{FF2B5EF4-FFF2-40B4-BE49-F238E27FC236}">
              <a16:creationId xmlns:a16="http://schemas.microsoft.com/office/drawing/2014/main" id="{BD31AE25-5588-734F-9CA3-790FBEC13381}"/>
            </a:ext>
          </a:extLst>
        </xdr:cNvPr>
        <xdr:cNvSpPr txBox="1">
          <a:spLocks noChangeArrowheads="1"/>
        </xdr:cNvSpPr>
      </xdr:nvSpPr>
      <xdr:spPr bwMode="auto">
        <a:xfrm>
          <a:off x="3826510" y="190500"/>
          <a:ext cx="3009323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체"/>
              <a:ea typeface="굴림체"/>
            </a:rPr>
            <a:t> 위와 같이 견적합니다</a:t>
          </a: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.</a:t>
          </a:r>
        </a:p>
        <a:p>
          <a:pPr algn="l" rtl="0">
            <a:defRPr sz="1000"/>
          </a:pPr>
          <a:endParaRPr lang="en-US" altLang="ko-KR" sz="1100" b="0" i="0" strike="noStrike">
            <a:solidFill>
              <a:srgbClr val="000000"/>
            </a:solidFill>
            <a:latin typeface="굴림체"/>
            <a:ea typeface="굴림체"/>
          </a:endParaRPr>
        </a:p>
        <a:p>
          <a:pPr algn="l" rtl="0">
            <a:defRPr sz="1000"/>
          </a:pP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                   199  .    .    .</a:t>
          </a:r>
        </a:p>
      </xdr:txBody>
    </xdr:sp>
    <xdr:clientData/>
  </xdr:twoCellAnchor>
  <xdr:twoCellAnchor>
    <xdr:from>
      <xdr:col>5</xdr:col>
      <xdr:colOff>80010</xdr:colOff>
      <xdr:row>1</xdr:row>
      <xdr:rowOff>0</xdr:rowOff>
    </xdr:from>
    <xdr:to>
      <xdr:col>8</xdr:col>
      <xdr:colOff>0</xdr:colOff>
      <xdr:row>1</xdr:row>
      <xdr:rowOff>0</xdr:rowOff>
    </xdr:to>
    <xdr:sp macro="" textlink="">
      <xdr:nvSpPr>
        <xdr:cNvPr id="3" name="Text 92">
          <a:extLst>
            <a:ext uri="{FF2B5EF4-FFF2-40B4-BE49-F238E27FC236}">
              <a16:creationId xmlns:a16="http://schemas.microsoft.com/office/drawing/2014/main" id="{D030833B-49EC-4C4C-8D53-BDCEDBA79C84}"/>
            </a:ext>
          </a:extLst>
        </xdr:cNvPr>
        <xdr:cNvSpPr txBox="1">
          <a:spLocks noChangeArrowheads="1"/>
        </xdr:cNvSpPr>
      </xdr:nvSpPr>
      <xdr:spPr bwMode="auto">
        <a:xfrm>
          <a:off x="3826510" y="190500"/>
          <a:ext cx="3009323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체"/>
              <a:ea typeface="굴림체"/>
            </a:rPr>
            <a:t> 위와 같이 견적합니다</a:t>
          </a: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.</a:t>
          </a:r>
        </a:p>
        <a:p>
          <a:pPr algn="l" rtl="0">
            <a:defRPr sz="1000"/>
          </a:pPr>
          <a:endParaRPr lang="en-US" altLang="ko-KR" sz="1100" b="0" i="0" strike="noStrike">
            <a:solidFill>
              <a:srgbClr val="000000"/>
            </a:solidFill>
            <a:latin typeface="굴림체"/>
            <a:ea typeface="굴림체"/>
          </a:endParaRPr>
        </a:p>
        <a:p>
          <a:pPr algn="l" rtl="0">
            <a:defRPr sz="1000"/>
          </a:pP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                   199  .    .    .</a:t>
          </a:r>
        </a:p>
      </xdr:txBody>
    </xdr:sp>
    <xdr:clientData/>
  </xdr:twoCellAnchor>
  <xdr:twoCellAnchor>
    <xdr:from>
      <xdr:col>5</xdr:col>
      <xdr:colOff>80010</xdr:colOff>
      <xdr:row>1</xdr:row>
      <xdr:rowOff>0</xdr:rowOff>
    </xdr:from>
    <xdr:to>
      <xdr:col>8</xdr:col>
      <xdr:colOff>0</xdr:colOff>
      <xdr:row>1</xdr:row>
      <xdr:rowOff>0</xdr:rowOff>
    </xdr:to>
    <xdr:sp macro="" textlink="">
      <xdr:nvSpPr>
        <xdr:cNvPr id="4" name="Text 51">
          <a:extLst>
            <a:ext uri="{FF2B5EF4-FFF2-40B4-BE49-F238E27FC236}">
              <a16:creationId xmlns:a16="http://schemas.microsoft.com/office/drawing/2014/main" id="{CDDAB3B5-3AEE-4E44-AE22-DD88FC8DC4CC}"/>
            </a:ext>
          </a:extLst>
        </xdr:cNvPr>
        <xdr:cNvSpPr txBox="1">
          <a:spLocks noChangeArrowheads="1"/>
        </xdr:cNvSpPr>
      </xdr:nvSpPr>
      <xdr:spPr bwMode="auto">
        <a:xfrm>
          <a:off x="3826510" y="190500"/>
          <a:ext cx="3009323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체"/>
              <a:ea typeface="굴림체"/>
            </a:rPr>
            <a:t> 위와 같이 견적합니다</a:t>
          </a: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.</a:t>
          </a:r>
        </a:p>
        <a:p>
          <a:pPr algn="l" rtl="0">
            <a:defRPr sz="1000"/>
          </a:pPr>
          <a:endParaRPr lang="en-US" altLang="ko-KR" sz="1100" b="0" i="0" strike="noStrike">
            <a:solidFill>
              <a:srgbClr val="000000"/>
            </a:solidFill>
            <a:latin typeface="굴림체"/>
            <a:ea typeface="굴림체"/>
          </a:endParaRPr>
        </a:p>
        <a:p>
          <a:pPr algn="l" rtl="0">
            <a:defRPr sz="1000"/>
          </a:pP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                   199  .    .    .</a:t>
          </a:r>
        </a:p>
      </xdr:txBody>
    </xdr:sp>
    <xdr:clientData/>
  </xdr:twoCellAnchor>
  <xdr:twoCellAnchor>
    <xdr:from>
      <xdr:col>5</xdr:col>
      <xdr:colOff>80010</xdr:colOff>
      <xdr:row>1</xdr:row>
      <xdr:rowOff>0</xdr:rowOff>
    </xdr:from>
    <xdr:to>
      <xdr:col>8</xdr:col>
      <xdr:colOff>0</xdr:colOff>
      <xdr:row>1</xdr:row>
      <xdr:rowOff>0</xdr:rowOff>
    </xdr:to>
    <xdr:sp macro="" textlink="">
      <xdr:nvSpPr>
        <xdr:cNvPr id="5" name="Text 51">
          <a:extLst>
            <a:ext uri="{FF2B5EF4-FFF2-40B4-BE49-F238E27FC236}">
              <a16:creationId xmlns:a16="http://schemas.microsoft.com/office/drawing/2014/main" id="{0A90F2B8-26A7-004A-9C21-6D49757DA62D}"/>
            </a:ext>
          </a:extLst>
        </xdr:cNvPr>
        <xdr:cNvSpPr txBox="1">
          <a:spLocks noChangeArrowheads="1"/>
        </xdr:cNvSpPr>
      </xdr:nvSpPr>
      <xdr:spPr bwMode="auto">
        <a:xfrm>
          <a:off x="3826510" y="190500"/>
          <a:ext cx="3009323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체"/>
              <a:ea typeface="굴림체"/>
            </a:rPr>
            <a:t> 위와 같이 견적합니다</a:t>
          </a: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.</a:t>
          </a:r>
        </a:p>
        <a:p>
          <a:pPr algn="l" rtl="0">
            <a:defRPr sz="1000"/>
          </a:pPr>
          <a:endParaRPr lang="en-US" altLang="ko-KR" sz="1100" b="0" i="0" strike="noStrike">
            <a:solidFill>
              <a:srgbClr val="000000"/>
            </a:solidFill>
            <a:latin typeface="굴림체"/>
            <a:ea typeface="굴림체"/>
          </a:endParaRPr>
        </a:p>
        <a:p>
          <a:pPr algn="l" rtl="0">
            <a:defRPr sz="1000"/>
          </a:pP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                   199  .    .    .</a:t>
          </a:r>
        </a:p>
      </xdr:txBody>
    </xdr:sp>
    <xdr:clientData/>
  </xdr:twoCellAnchor>
  <xdr:twoCellAnchor>
    <xdr:from>
      <xdr:col>5</xdr:col>
      <xdr:colOff>80010</xdr:colOff>
      <xdr:row>1</xdr:row>
      <xdr:rowOff>0</xdr:rowOff>
    </xdr:from>
    <xdr:to>
      <xdr:col>8</xdr:col>
      <xdr:colOff>0</xdr:colOff>
      <xdr:row>1</xdr:row>
      <xdr:rowOff>0</xdr:rowOff>
    </xdr:to>
    <xdr:sp macro="" textlink="">
      <xdr:nvSpPr>
        <xdr:cNvPr id="6" name="Text 51">
          <a:extLst>
            <a:ext uri="{FF2B5EF4-FFF2-40B4-BE49-F238E27FC236}">
              <a16:creationId xmlns:a16="http://schemas.microsoft.com/office/drawing/2014/main" id="{6CC6ADA6-D5F0-F948-9AF4-16A1472B2F85}"/>
            </a:ext>
          </a:extLst>
        </xdr:cNvPr>
        <xdr:cNvSpPr txBox="1">
          <a:spLocks noChangeArrowheads="1"/>
        </xdr:cNvSpPr>
      </xdr:nvSpPr>
      <xdr:spPr bwMode="auto">
        <a:xfrm>
          <a:off x="3826510" y="190500"/>
          <a:ext cx="3009323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체"/>
              <a:ea typeface="굴림체"/>
            </a:rPr>
            <a:t> 위와 같이 견적합니다</a:t>
          </a: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.</a:t>
          </a:r>
        </a:p>
        <a:p>
          <a:pPr algn="l" rtl="0">
            <a:defRPr sz="1000"/>
          </a:pPr>
          <a:endParaRPr lang="en-US" altLang="ko-KR" sz="1100" b="0" i="0" strike="noStrike">
            <a:solidFill>
              <a:srgbClr val="000000"/>
            </a:solidFill>
            <a:latin typeface="굴림체"/>
            <a:ea typeface="굴림체"/>
          </a:endParaRPr>
        </a:p>
        <a:p>
          <a:pPr algn="l" rtl="0">
            <a:defRPr sz="1000"/>
          </a:pP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                   199  .    .    .</a:t>
          </a:r>
        </a:p>
      </xdr:txBody>
    </xdr:sp>
    <xdr:clientData/>
  </xdr:twoCellAnchor>
  <xdr:twoCellAnchor>
    <xdr:from>
      <xdr:col>5</xdr:col>
      <xdr:colOff>80010</xdr:colOff>
      <xdr:row>1</xdr:row>
      <xdr:rowOff>0</xdr:rowOff>
    </xdr:from>
    <xdr:to>
      <xdr:col>8</xdr:col>
      <xdr:colOff>0</xdr:colOff>
      <xdr:row>1</xdr:row>
      <xdr:rowOff>0</xdr:rowOff>
    </xdr:to>
    <xdr:sp macro="" textlink="">
      <xdr:nvSpPr>
        <xdr:cNvPr id="7" name="Text 51">
          <a:extLst>
            <a:ext uri="{FF2B5EF4-FFF2-40B4-BE49-F238E27FC236}">
              <a16:creationId xmlns:a16="http://schemas.microsoft.com/office/drawing/2014/main" id="{3447DB73-65D1-334E-804B-ACCB7A3C6D87}"/>
            </a:ext>
          </a:extLst>
        </xdr:cNvPr>
        <xdr:cNvSpPr txBox="1">
          <a:spLocks noChangeArrowheads="1"/>
        </xdr:cNvSpPr>
      </xdr:nvSpPr>
      <xdr:spPr bwMode="auto">
        <a:xfrm>
          <a:off x="3826510" y="190500"/>
          <a:ext cx="3009323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체"/>
              <a:ea typeface="굴림체"/>
            </a:rPr>
            <a:t> 위와 같이 견적합니다</a:t>
          </a: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.</a:t>
          </a:r>
        </a:p>
        <a:p>
          <a:pPr algn="l" rtl="0">
            <a:defRPr sz="1000"/>
          </a:pPr>
          <a:endParaRPr lang="en-US" altLang="ko-KR" sz="1100" b="0" i="0" strike="noStrike">
            <a:solidFill>
              <a:srgbClr val="000000"/>
            </a:solidFill>
            <a:latin typeface="굴림체"/>
            <a:ea typeface="굴림체"/>
          </a:endParaRPr>
        </a:p>
        <a:p>
          <a:pPr algn="l" rtl="0">
            <a:defRPr sz="1000"/>
          </a:pP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                   199  .    .    .</a:t>
          </a:r>
        </a:p>
      </xdr:txBody>
    </xdr:sp>
    <xdr:clientData/>
  </xdr:twoCellAnchor>
  <xdr:twoCellAnchor>
    <xdr:from>
      <xdr:col>5</xdr:col>
      <xdr:colOff>80010</xdr:colOff>
      <xdr:row>1</xdr:row>
      <xdr:rowOff>0</xdr:rowOff>
    </xdr:from>
    <xdr:to>
      <xdr:col>8</xdr:col>
      <xdr:colOff>0</xdr:colOff>
      <xdr:row>1</xdr:row>
      <xdr:rowOff>0</xdr:rowOff>
    </xdr:to>
    <xdr:sp macro="" textlink="">
      <xdr:nvSpPr>
        <xdr:cNvPr id="8" name="Text 51">
          <a:extLst>
            <a:ext uri="{FF2B5EF4-FFF2-40B4-BE49-F238E27FC236}">
              <a16:creationId xmlns:a16="http://schemas.microsoft.com/office/drawing/2014/main" id="{8AE07B63-54DD-D24B-BC78-FC876004569E}"/>
            </a:ext>
          </a:extLst>
        </xdr:cNvPr>
        <xdr:cNvSpPr txBox="1">
          <a:spLocks noChangeArrowheads="1"/>
        </xdr:cNvSpPr>
      </xdr:nvSpPr>
      <xdr:spPr bwMode="auto">
        <a:xfrm>
          <a:off x="3826510" y="190500"/>
          <a:ext cx="3009323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체"/>
              <a:ea typeface="굴림체"/>
            </a:rPr>
            <a:t> 위와 같이 견적합니다</a:t>
          </a: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.</a:t>
          </a:r>
        </a:p>
        <a:p>
          <a:pPr algn="l" rtl="0">
            <a:defRPr sz="1000"/>
          </a:pPr>
          <a:endParaRPr lang="en-US" altLang="ko-KR" sz="1100" b="0" i="0" strike="noStrike">
            <a:solidFill>
              <a:srgbClr val="000000"/>
            </a:solidFill>
            <a:latin typeface="굴림체"/>
            <a:ea typeface="굴림체"/>
          </a:endParaRPr>
        </a:p>
        <a:p>
          <a:pPr algn="l" rtl="0">
            <a:defRPr sz="1000"/>
          </a:pP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                   199  .    .    .</a:t>
          </a:r>
        </a:p>
      </xdr:txBody>
    </xdr:sp>
    <xdr:clientData/>
  </xdr:twoCellAnchor>
  <xdr:twoCellAnchor>
    <xdr:from>
      <xdr:col>5</xdr:col>
      <xdr:colOff>80010</xdr:colOff>
      <xdr:row>1</xdr:row>
      <xdr:rowOff>0</xdr:rowOff>
    </xdr:from>
    <xdr:to>
      <xdr:col>8</xdr:col>
      <xdr:colOff>0</xdr:colOff>
      <xdr:row>1</xdr:row>
      <xdr:rowOff>0</xdr:rowOff>
    </xdr:to>
    <xdr:sp macro="" textlink="">
      <xdr:nvSpPr>
        <xdr:cNvPr id="9" name="Text 51">
          <a:extLst>
            <a:ext uri="{FF2B5EF4-FFF2-40B4-BE49-F238E27FC236}">
              <a16:creationId xmlns:a16="http://schemas.microsoft.com/office/drawing/2014/main" id="{F946C2D2-3154-7242-9115-5289483CE932}"/>
            </a:ext>
          </a:extLst>
        </xdr:cNvPr>
        <xdr:cNvSpPr txBox="1">
          <a:spLocks noChangeArrowheads="1"/>
        </xdr:cNvSpPr>
      </xdr:nvSpPr>
      <xdr:spPr bwMode="auto">
        <a:xfrm>
          <a:off x="3826510" y="190500"/>
          <a:ext cx="3009323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체"/>
              <a:ea typeface="굴림체"/>
            </a:rPr>
            <a:t> 위와 같이 견적합니다</a:t>
          </a: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.</a:t>
          </a:r>
        </a:p>
        <a:p>
          <a:pPr algn="l" rtl="0">
            <a:defRPr sz="1000"/>
          </a:pPr>
          <a:endParaRPr lang="en-US" altLang="ko-KR" sz="1100" b="0" i="0" strike="noStrike">
            <a:solidFill>
              <a:srgbClr val="000000"/>
            </a:solidFill>
            <a:latin typeface="굴림체"/>
            <a:ea typeface="굴림체"/>
          </a:endParaRPr>
        </a:p>
        <a:p>
          <a:pPr algn="l" rtl="0">
            <a:defRPr sz="1000"/>
          </a:pP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                   199  .    .    .</a:t>
          </a:r>
        </a:p>
      </xdr:txBody>
    </xdr:sp>
    <xdr:clientData/>
  </xdr:twoCellAnchor>
  <xdr:twoCellAnchor>
    <xdr:from>
      <xdr:col>5</xdr:col>
      <xdr:colOff>80010</xdr:colOff>
      <xdr:row>1</xdr:row>
      <xdr:rowOff>0</xdr:rowOff>
    </xdr:from>
    <xdr:to>
      <xdr:col>8</xdr:col>
      <xdr:colOff>0</xdr:colOff>
      <xdr:row>1</xdr:row>
      <xdr:rowOff>0</xdr:rowOff>
    </xdr:to>
    <xdr:sp macro="" textlink="">
      <xdr:nvSpPr>
        <xdr:cNvPr id="10" name="Text 51">
          <a:extLst>
            <a:ext uri="{FF2B5EF4-FFF2-40B4-BE49-F238E27FC236}">
              <a16:creationId xmlns:a16="http://schemas.microsoft.com/office/drawing/2014/main" id="{29FB050A-DB2B-A142-B10B-DA878808B4DB}"/>
            </a:ext>
          </a:extLst>
        </xdr:cNvPr>
        <xdr:cNvSpPr txBox="1">
          <a:spLocks noChangeArrowheads="1"/>
        </xdr:cNvSpPr>
      </xdr:nvSpPr>
      <xdr:spPr bwMode="auto">
        <a:xfrm>
          <a:off x="3826510" y="190500"/>
          <a:ext cx="3009323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체"/>
              <a:ea typeface="굴림체"/>
            </a:rPr>
            <a:t> 위와 같이 견적합니다</a:t>
          </a: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.</a:t>
          </a:r>
        </a:p>
        <a:p>
          <a:pPr algn="l" rtl="0">
            <a:defRPr sz="1000"/>
          </a:pPr>
          <a:endParaRPr lang="en-US" altLang="ko-KR" sz="1100" b="0" i="0" strike="noStrike">
            <a:solidFill>
              <a:srgbClr val="000000"/>
            </a:solidFill>
            <a:latin typeface="굴림체"/>
            <a:ea typeface="굴림체"/>
          </a:endParaRPr>
        </a:p>
        <a:p>
          <a:pPr algn="l" rtl="0">
            <a:defRPr sz="1000"/>
          </a:pP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                   199  .    .    .</a:t>
          </a:r>
        </a:p>
      </xdr:txBody>
    </xdr:sp>
    <xdr:clientData/>
  </xdr:twoCellAnchor>
  <xdr:twoCellAnchor>
    <xdr:from>
      <xdr:col>5</xdr:col>
      <xdr:colOff>80010</xdr:colOff>
      <xdr:row>1</xdr:row>
      <xdr:rowOff>0</xdr:rowOff>
    </xdr:from>
    <xdr:to>
      <xdr:col>8</xdr:col>
      <xdr:colOff>0</xdr:colOff>
      <xdr:row>1</xdr:row>
      <xdr:rowOff>0</xdr:rowOff>
    </xdr:to>
    <xdr:sp macro="" textlink="">
      <xdr:nvSpPr>
        <xdr:cNvPr id="11" name="Text 51">
          <a:extLst>
            <a:ext uri="{FF2B5EF4-FFF2-40B4-BE49-F238E27FC236}">
              <a16:creationId xmlns:a16="http://schemas.microsoft.com/office/drawing/2014/main" id="{91E1993B-1A79-B14D-AC4C-6D6E757B56C9}"/>
            </a:ext>
          </a:extLst>
        </xdr:cNvPr>
        <xdr:cNvSpPr txBox="1">
          <a:spLocks noChangeArrowheads="1"/>
        </xdr:cNvSpPr>
      </xdr:nvSpPr>
      <xdr:spPr bwMode="auto">
        <a:xfrm>
          <a:off x="3826510" y="190500"/>
          <a:ext cx="3009323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체"/>
              <a:ea typeface="굴림체"/>
            </a:rPr>
            <a:t> 위와 같이 견적합니다</a:t>
          </a: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.</a:t>
          </a:r>
        </a:p>
        <a:p>
          <a:pPr algn="l" rtl="0">
            <a:defRPr sz="1000"/>
          </a:pPr>
          <a:endParaRPr lang="en-US" altLang="ko-KR" sz="1100" b="0" i="0" strike="noStrike">
            <a:solidFill>
              <a:srgbClr val="000000"/>
            </a:solidFill>
            <a:latin typeface="굴림체"/>
            <a:ea typeface="굴림체"/>
          </a:endParaRPr>
        </a:p>
        <a:p>
          <a:pPr algn="l" rtl="0">
            <a:defRPr sz="1000"/>
          </a:pP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                   199  .    .    .</a:t>
          </a:r>
        </a:p>
      </xdr:txBody>
    </xdr:sp>
    <xdr:clientData/>
  </xdr:twoCellAnchor>
  <xdr:twoCellAnchor>
    <xdr:from>
      <xdr:col>5</xdr:col>
      <xdr:colOff>80010</xdr:colOff>
      <xdr:row>1</xdr:row>
      <xdr:rowOff>0</xdr:rowOff>
    </xdr:from>
    <xdr:to>
      <xdr:col>8</xdr:col>
      <xdr:colOff>0</xdr:colOff>
      <xdr:row>1</xdr:row>
      <xdr:rowOff>0</xdr:rowOff>
    </xdr:to>
    <xdr:sp macro="" textlink="">
      <xdr:nvSpPr>
        <xdr:cNvPr id="12" name="Text 51">
          <a:extLst>
            <a:ext uri="{FF2B5EF4-FFF2-40B4-BE49-F238E27FC236}">
              <a16:creationId xmlns:a16="http://schemas.microsoft.com/office/drawing/2014/main" id="{B96EAA46-48B6-6D49-9CEA-0A79FE5A5DD9}"/>
            </a:ext>
          </a:extLst>
        </xdr:cNvPr>
        <xdr:cNvSpPr txBox="1">
          <a:spLocks noChangeArrowheads="1"/>
        </xdr:cNvSpPr>
      </xdr:nvSpPr>
      <xdr:spPr bwMode="auto">
        <a:xfrm>
          <a:off x="3826510" y="190500"/>
          <a:ext cx="3009323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체"/>
              <a:ea typeface="굴림체"/>
            </a:rPr>
            <a:t> 위와 같이 견적합니다</a:t>
          </a: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.</a:t>
          </a:r>
        </a:p>
        <a:p>
          <a:pPr algn="l" rtl="0">
            <a:defRPr sz="1000"/>
          </a:pPr>
          <a:endParaRPr lang="en-US" altLang="ko-KR" sz="1100" b="0" i="0" strike="noStrike">
            <a:solidFill>
              <a:srgbClr val="000000"/>
            </a:solidFill>
            <a:latin typeface="굴림체"/>
            <a:ea typeface="굴림체"/>
          </a:endParaRPr>
        </a:p>
        <a:p>
          <a:pPr algn="l" rtl="0">
            <a:defRPr sz="1000"/>
          </a:pP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                   199  .    .    .</a:t>
          </a:r>
        </a:p>
      </xdr:txBody>
    </xdr:sp>
    <xdr:clientData/>
  </xdr:twoCellAnchor>
  <xdr:twoCellAnchor>
    <xdr:from>
      <xdr:col>5</xdr:col>
      <xdr:colOff>80010</xdr:colOff>
      <xdr:row>1</xdr:row>
      <xdr:rowOff>0</xdr:rowOff>
    </xdr:from>
    <xdr:to>
      <xdr:col>8</xdr:col>
      <xdr:colOff>0</xdr:colOff>
      <xdr:row>1</xdr:row>
      <xdr:rowOff>0</xdr:rowOff>
    </xdr:to>
    <xdr:sp macro="" textlink="">
      <xdr:nvSpPr>
        <xdr:cNvPr id="13" name="Text 51">
          <a:extLst>
            <a:ext uri="{FF2B5EF4-FFF2-40B4-BE49-F238E27FC236}">
              <a16:creationId xmlns:a16="http://schemas.microsoft.com/office/drawing/2014/main" id="{579A160F-A9BA-F34C-80B2-7F3A80303631}"/>
            </a:ext>
          </a:extLst>
        </xdr:cNvPr>
        <xdr:cNvSpPr txBox="1">
          <a:spLocks noChangeArrowheads="1"/>
        </xdr:cNvSpPr>
      </xdr:nvSpPr>
      <xdr:spPr bwMode="auto">
        <a:xfrm>
          <a:off x="3826510" y="190500"/>
          <a:ext cx="3009323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체"/>
              <a:ea typeface="굴림체"/>
            </a:rPr>
            <a:t> 위와 같이 견적합니다</a:t>
          </a: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.</a:t>
          </a:r>
        </a:p>
        <a:p>
          <a:pPr algn="l" rtl="0">
            <a:defRPr sz="1000"/>
          </a:pPr>
          <a:endParaRPr lang="en-US" altLang="ko-KR" sz="1100" b="0" i="0" strike="noStrike">
            <a:solidFill>
              <a:srgbClr val="000000"/>
            </a:solidFill>
            <a:latin typeface="굴림체"/>
            <a:ea typeface="굴림체"/>
          </a:endParaRPr>
        </a:p>
        <a:p>
          <a:pPr algn="l" rtl="0">
            <a:defRPr sz="1000"/>
          </a:pP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                   199  .    .    .</a:t>
          </a:r>
        </a:p>
      </xdr:txBody>
    </xdr:sp>
    <xdr:clientData/>
  </xdr:twoCellAnchor>
  <xdr:twoCellAnchor>
    <xdr:from>
      <xdr:col>5</xdr:col>
      <xdr:colOff>80010</xdr:colOff>
      <xdr:row>1</xdr:row>
      <xdr:rowOff>0</xdr:rowOff>
    </xdr:from>
    <xdr:to>
      <xdr:col>8</xdr:col>
      <xdr:colOff>0</xdr:colOff>
      <xdr:row>1</xdr:row>
      <xdr:rowOff>0</xdr:rowOff>
    </xdr:to>
    <xdr:sp macro="" textlink="">
      <xdr:nvSpPr>
        <xdr:cNvPr id="14" name="Text 51">
          <a:extLst>
            <a:ext uri="{FF2B5EF4-FFF2-40B4-BE49-F238E27FC236}">
              <a16:creationId xmlns:a16="http://schemas.microsoft.com/office/drawing/2014/main" id="{330C3F70-D211-2D40-8B01-F9209F3BDAD4}"/>
            </a:ext>
          </a:extLst>
        </xdr:cNvPr>
        <xdr:cNvSpPr txBox="1">
          <a:spLocks noChangeArrowheads="1"/>
        </xdr:cNvSpPr>
      </xdr:nvSpPr>
      <xdr:spPr bwMode="auto">
        <a:xfrm>
          <a:off x="3826510" y="190500"/>
          <a:ext cx="3009323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체"/>
              <a:ea typeface="굴림체"/>
            </a:rPr>
            <a:t> 위와 같이 견적합니다</a:t>
          </a: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.</a:t>
          </a:r>
        </a:p>
        <a:p>
          <a:pPr algn="l" rtl="0">
            <a:defRPr sz="1000"/>
          </a:pPr>
          <a:endParaRPr lang="en-US" altLang="ko-KR" sz="1100" b="0" i="0" strike="noStrike">
            <a:solidFill>
              <a:srgbClr val="000000"/>
            </a:solidFill>
            <a:latin typeface="굴림체"/>
            <a:ea typeface="굴림체"/>
          </a:endParaRPr>
        </a:p>
        <a:p>
          <a:pPr algn="l" rtl="0">
            <a:defRPr sz="1000"/>
          </a:pP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                   199  .    .    .</a:t>
          </a:r>
        </a:p>
      </xdr:txBody>
    </xdr:sp>
    <xdr:clientData/>
  </xdr:twoCellAnchor>
  <xdr:twoCellAnchor>
    <xdr:from>
      <xdr:col>5</xdr:col>
      <xdr:colOff>80010</xdr:colOff>
      <xdr:row>1</xdr:row>
      <xdr:rowOff>0</xdr:rowOff>
    </xdr:from>
    <xdr:to>
      <xdr:col>8</xdr:col>
      <xdr:colOff>0</xdr:colOff>
      <xdr:row>1</xdr:row>
      <xdr:rowOff>0</xdr:rowOff>
    </xdr:to>
    <xdr:sp macro="" textlink="">
      <xdr:nvSpPr>
        <xdr:cNvPr id="15" name="Text 51">
          <a:extLst>
            <a:ext uri="{FF2B5EF4-FFF2-40B4-BE49-F238E27FC236}">
              <a16:creationId xmlns:a16="http://schemas.microsoft.com/office/drawing/2014/main" id="{05DC02F7-FB0B-724F-8AFB-6C8B4215AD9B}"/>
            </a:ext>
          </a:extLst>
        </xdr:cNvPr>
        <xdr:cNvSpPr txBox="1">
          <a:spLocks noChangeArrowheads="1"/>
        </xdr:cNvSpPr>
      </xdr:nvSpPr>
      <xdr:spPr bwMode="auto">
        <a:xfrm>
          <a:off x="3826510" y="190500"/>
          <a:ext cx="3009323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체"/>
              <a:ea typeface="굴림체"/>
            </a:rPr>
            <a:t> 위와 같이 견적합니다</a:t>
          </a: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.</a:t>
          </a:r>
        </a:p>
        <a:p>
          <a:pPr algn="l" rtl="0">
            <a:defRPr sz="1000"/>
          </a:pPr>
          <a:endParaRPr lang="en-US" altLang="ko-KR" sz="1100" b="0" i="0" strike="noStrike">
            <a:solidFill>
              <a:srgbClr val="000000"/>
            </a:solidFill>
            <a:latin typeface="굴림체"/>
            <a:ea typeface="굴림체"/>
          </a:endParaRPr>
        </a:p>
        <a:p>
          <a:pPr algn="l" rtl="0">
            <a:defRPr sz="1000"/>
          </a:pP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                   199  .    .    .</a:t>
          </a:r>
        </a:p>
      </xdr:txBody>
    </xdr:sp>
    <xdr:clientData/>
  </xdr:twoCellAnchor>
  <xdr:twoCellAnchor>
    <xdr:from>
      <xdr:col>5</xdr:col>
      <xdr:colOff>80010</xdr:colOff>
      <xdr:row>1</xdr:row>
      <xdr:rowOff>0</xdr:rowOff>
    </xdr:from>
    <xdr:to>
      <xdr:col>8</xdr:col>
      <xdr:colOff>0</xdr:colOff>
      <xdr:row>1</xdr:row>
      <xdr:rowOff>0</xdr:rowOff>
    </xdr:to>
    <xdr:sp macro="" textlink="">
      <xdr:nvSpPr>
        <xdr:cNvPr id="16" name="Text 51">
          <a:extLst>
            <a:ext uri="{FF2B5EF4-FFF2-40B4-BE49-F238E27FC236}">
              <a16:creationId xmlns:a16="http://schemas.microsoft.com/office/drawing/2014/main" id="{FDC776FB-4FE5-004B-ABFE-C62532279D1E}"/>
            </a:ext>
          </a:extLst>
        </xdr:cNvPr>
        <xdr:cNvSpPr txBox="1">
          <a:spLocks noChangeArrowheads="1"/>
        </xdr:cNvSpPr>
      </xdr:nvSpPr>
      <xdr:spPr bwMode="auto">
        <a:xfrm>
          <a:off x="3826510" y="190500"/>
          <a:ext cx="3009323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체"/>
              <a:ea typeface="굴림체"/>
            </a:rPr>
            <a:t> 위와 같이 견적합니다</a:t>
          </a: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.</a:t>
          </a:r>
        </a:p>
        <a:p>
          <a:pPr algn="l" rtl="0">
            <a:defRPr sz="1000"/>
          </a:pPr>
          <a:endParaRPr lang="en-US" altLang="ko-KR" sz="1100" b="0" i="0" strike="noStrike">
            <a:solidFill>
              <a:srgbClr val="000000"/>
            </a:solidFill>
            <a:latin typeface="굴림체"/>
            <a:ea typeface="굴림체"/>
          </a:endParaRPr>
        </a:p>
        <a:p>
          <a:pPr algn="l" rtl="0">
            <a:defRPr sz="1000"/>
          </a:pP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                   199  .    .    .</a:t>
          </a:r>
        </a:p>
      </xdr:txBody>
    </xdr:sp>
    <xdr:clientData/>
  </xdr:twoCellAnchor>
  <xdr:twoCellAnchor>
    <xdr:from>
      <xdr:col>5</xdr:col>
      <xdr:colOff>80010</xdr:colOff>
      <xdr:row>1</xdr:row>
      <xdr:rowOff>0</xdr:rowOff>
    </xdr:from>
    <xdr:to>
      <xdr:col>8</xdr:col>
      <xdr:colOff>0</xdr:colOff>
      <xdr:row>1</xdr:row>
      <xdr:rowOff>0</xdr:rowOff>
    </xdr:to>
    <xdr:sp macro="" textlink="">
      <xdr:nvSpPr>
        <xdr:cNvPr id="17" name="Text 55">
          <a:extLst>
            <a:ext uri="{FF2B5EF4-FFF2-40B4-BE49-F238E27FC236}">
              <a16:creationId xmlns:a16="http://schemas.microsoft.com/office/drawing/2014/main" id="{0FCB29CD-7A9F-F547-9786-27B974970DA3}"/>
            </a:ext>
          </a:extLst>
        </xdr:cNvPr>
        <xdr:cNvSpPr txBox="1">
          <a:spLocks noChangeArrowheads="1"/>
        </xdr:cNvSpPr>
      </xdr:nvSpPr>
      <xdr:spPr bwMode="auto">
        <a:xfrm>
          <a:off x="3826510" y="190500"/>
          <a:ext cx="3009323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체"/>
              <a:ea typeface="굴림체"/>
            </a:rPr>
            <a:t> 위와 같이 견적합니다</a:t>
          </a: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.</a:t>
          </a:r>
        </a:p>
        <a:p>
          <a:pPr algn="l" rtl="0">
            <a:defRPr sz="1000"/>
          </a:pPr>
          <a:endParaRPr lang="en-US" altLang="ko-KR" sz="1100" b="0" i="0" strike="noStrike">
            <a:solidFill>
              <a:srgbClr val="000000"/>
            </a:solidFill>
            <a:latin typeface="굴림체"/>
            <a:ea typeface="굴림체"/>
          </a:endParaRPr>
        </a:p>
        <a:p>
          <a:pPr algn="l" rtl="0">
            <a:defRPr sz="1000"/>
          </a:pP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                   199  .    .    .</a:t>
          </a:r>
        </a:p>
      </xdr:txBody>
    </xdr:sp>
    <xdr:clientData/>
  </xdr:twoCellAnchor>
  <xdr:twoCellAnchor>
    <xdr:from>
      <xdr:col>5</xdr:col>
      <xdr:colOff>80010</xdr:colOff>
      <xdr:row>1</xdr:row>
      <xdr:rowOff>0</xdr:rowOff>
    </xdr:from>
    <xdr:to>
      <xdr:col>8</xdr:col>
      <xdr:colOff>0</xdr:colOff>
      <xdr:row>1</xdr:row>
      <xdr:rowOff>0</xdr:rowOff>
    </xdr:to>
    <xdr:sp macro="" textlink="">
      <xdr:nvSpPr>
        <xdr:cNvPr id="18" name="Text 56">
          <a:extLst>
            <a:ext uri="{FF2B5EF4-FFF2-40B4-BE49-F238E27FC236}">
              <a16:creationId xmlns:a16="http://schemas.microsoft.com/office/drawing/2014/main" id="{C826FD39-742D-F741-AB4D-CE10FDD9AF9A}"/>
            </a:ext>
          </a:extLst>
        </xdr:cNvPr>
        <xdr:cNvSpPr txBox="1">
          <a:spLocks noChangeArrowheads="1"/>
        </xdr:cNvSpPr>
      </xdr:nvSpPr>
      <xdr:spPr bwMode="auto">
        <a:xfrm>
          <a:off x="3826510" y="190500"/>
          <a:ext cx="3009323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체"/>
              <a:ea typeface="굴림체"/>
            </a:rPr>
            <a:t> 위와 같이 견적합니다</a:t>
          </a: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.</a:t>
          </a:r>
        </a:p>
        <a:p>
          <a:pPr algn="l" rtl="0">
            <a:defRPr sz="1000"/>
          </a:pPr>
          <a:endParaRPr lang="en-US" altLang="ko-KR" sz="1100" b="0" i="0" strike="noStrike">
            <a:solidFill>
              <a:srgbClr val="000000"/>
            </a:solidFill>
            <a:latin typeface="굴림체"/>
            <a:ea typeface="굴림체"/>
          </a:endParaRPr>
        </a:p>
        <a:p>
          <a:pPr algn="l" rtl="0">
            <a:defRPr sz="1000"/>
          </a:pP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                   199  .    .    .</a:t>
          </a:r>
        </a:p>
      </xdr:txBody>
    </xdr:sp>
    <xdr:clientData/>
  </xdr:twoCellAnchor>
  <xdr:twoCellAnchor>
    <xdr:from>
      <xdr:col>5</xdr:col>
      <xdr:colOff>80010</xdr:colOff>
      <xdr:row>1</xdr:row>
      <xdr:rowOff>0</xdr:rowOff>
    </xdr:from>
    <xdr:to>
      <xdr:col>8</xdr:col>
      <xdr:colOff>0</xdr:colOff>
      <xdr:row>1</xdr:row>
      <xdr:rowOff>0</xdr:rowOff>
    </xdr:to>
    <xdr:sp macro="" textlink="">
      <xdr:nvSpPr>
        <xdr:cNvPr id="19" name="Text 92">
          <a:extLst>
            <a:ext uri="{FF2B5EF4-FFF2-40B4-BE49-F238E27FC236}">
              <a16:creationId xmlns:a16="http://schemas.microsoft.com/office/drawing/2014/main" id="{A54BCF93-FC8A-7D44-A23B-9797CEC2DA9D}"/>
            </a:ext>
          </a:extLst>
        </xdr:cNvPr>
        <xdr:cNvSpPr txBox="1">
          <a:spLocks noChangeArrowheads="1"/>
        </xdr:cNvSpPr>
      </xdr:nvSpPr>
      <xdr:spPr bwMode="auto">
        <a:xfrm>
          <a:off x="3826510" y="190500"/>
          <a:ext cx="3009323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체"/>
              <a:ea typeface="굴림체"/>
            </a:rPr>
            <a:t> 위와 같이 견적합니다</a:t>
          </a: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.</a:t>
          </a:r>
        </a:p>
        <a:p>
          <a:pPr algn="l" rtl="0">
            <a:defRPr sz="1000"/>
          </a:pPr>
          <a:endParaRPr lang="en-US" altLang="ko-KR" sz="1100" b="0" i="0" strike="noStrike">
            <a:solidFill>
              <a:srgbClr val="000000"/>
            </a:solidFill>
            <a:latin typeface="굴림체"/>
            <a:ea typeface="굴림체"/>
          </a:endParaRPr>
        </a:p>
        <a:p>
          <a:pPr algn="l" rtl="0">
            <a:defRPr sz="1000"/>
          </a:pP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                   199  .    .    .</a:t>
          </a:r>
        </a:p>
      </xdr:txBody>
    </xdr:sp>
    <xdr:clientData/>
  </xdr:twoCellAnchor>
  <xdr:twoCellAnchor>
    <xdr:from>
      <xdr:col>5</xdr:col>
      <xdr:colOff>80010</xdr:colOff>
      <xdr:row>1</xdr:row>
      <xdr:rowOff>0</xdr:rowOff>
    </xdr:from>
    <xdr:to>
      <xdr:col>8</xdr:col>
      <xdr:colOff>0</xdr:colOff>
      <xdr:row>1</xdr:row>
      <xdr:rowOff>0</xdr:rowOff>
    </xdr:to>
    <xdr:sp macro="" textlink="">
      <xdr:nvSpPr>
        <xdr:cNvPr id="20" name="Text 51">
          <a:extLst>
            <a:ext uri="{FF2B5EF4-FFF2-40B4-BE49-F238E27FC236}">
              <a16:creationId xmlns:a16="http://schemas.microsoft.com/office/drawing/2014/main" id="{B08E4115-9361-8140-A73E-9C0AB89377D5}"/>
            </a:ext>
          </a:extLst>
        </xdr:cNvPr>
        <xdr:cNvSpPr txBox="1">
          <a:spLocks noChangeArrowheads="1"/>
        </xdr:cNvSpPr>
      </xdr:nvSpPr>
      <xdr:spPr bwMode="auto">
        <a:xfrm>
          <a:off x="3826510" y="190500"/>
          <a:ext cx="3009323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체"/>
              <a:ea typeface="굴림체"/>
            </a:rPr>
            <a:t> 위와 같이 견적합니다</a:t>
          </a: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.</a:t>
          </a:r>
        </a:p>
        <a:p>
          <a:pPr algn="l" rtl="0">
            <a:defRPr sz="1000"/>
          </a:pPr>
          <a:endParaRPr lang="en-US" altLang="ko-KR" sz="1100" b="0" i="0" strike="noStrike">
            <a:solidFill>
              <a:srgbClr val="000000"/>
            </a:solidFill>
            <a:latin typeface="굴림체"/>
            <a:ea typeface="굴림체"/>
          </a:endParaRPr>
        </a:p>
        <a:p>
          <a:pPr algn="l" rtl="0">
            <a:defRPr sz="1000"/>
          </a:pP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                   199  .    .    .</a:t>
          </a:r>
        </a:p>
      </xdr:txBody>
    </xdr:sp>
    <xdr:clientData/>
  </xdr:twoCellAnchor>
  <xdr:twoCellAnchor>
    <xdr:from>
      <xdr:col>5</xdr:col>
      <xdr:colOff>80010</xdr:colOff>
      <xdr:row>1</xdr:row>
      <xdr:rowOff>0</xdr:rowOff>
    </xdr:from>
    <xdr:to>
      <xdr:col>8</xdr:col>
      <xdr:colOff>0</xdr:colOff>
      <xdr:row>1</xdr:row>
      <xdr:rowOff>0</xdr:rowOff>
    </xdr:to>
    <xdr:sp macro="" textlink="">
      <xdr:nvSpPr>
        <xdr:cNvPr id="21" name="Text 51">
          <a:extLst>
            <a:ext uri="{FF2B5EF4-FFF2-40B4-BE49-F238E27FC236}">
              <a16:creationId xmlns:a16="http://schemas.microsoft.com/office/drawing/2014/main" id="{69892D8C-B8DE-244C-986C-F8CE07ECE38C}"/>
            </a:ext>
          </a:extLst>
        </xdr:cNvPr>
        <xdr:cNvSpPr txBox="1">
          <a:spLocks noChangeArrowheads="1"/>
        </xdr:cNvSpPr>
      </xdr:nvSpPr>
      <xdr:spPr bwMode="auto">
        <a:xfrm>
          <a:off x="3826510" y="190500"/>
          <a:ext cx="3009323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체"/>
              <a:ea typeface="굴림체"/>
            </a:rPr>
            <a:t> 위와 같이 견적합니다</a:t>
          </a: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.</a:t>
          </a:r>
        </a:p>
        <a:p>
          <a:pPr algn="l" rtl="0">
            <a:defRPr sz="1000"/>
          </a:pPr>
          <a:endParaRPr lang="en-US" altLang="ko-KR" sz="1100" b="0" i="0" strike="noStrike">
            <a:solidFill>
              <a:srgbClr val="000000"/>
            </a:solidFill>
            <a:latin typeface="굴림체"/>
            <a:ea typeface="굴림체"/>
          </a:endParaRPr>
        </a:p>
        <a:p>
          <a:pPr algn="l" rtl="0">
            <a:defRPr sz="1000"/>
          </a:pP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                   199  .    .    .</a:t>
          </a:r>
        </a:p>
      </xdr:txBody>
    </xdr:sp>
    <xdr:clientData/>
  </xdr:twoCellAnchor>
  <xdr:twoCellAnchor>
    <xdr:from>
      <xdr:col>5</xdr:col>
      <xdr:colOff>80010</xdr:colOff>
      <xdr:row>1</xdr:row>
      <xdr:rowOff>0</xdr:rowOff>
    </xdr:from>
    <xdr:to>
      <xdr:col>8</xdr:col>
      <xdr:colOff>0</xdr:colOff>
      <xdr:row>1</xdr:row>
      <xdr:rowOff>0</xdr:rowOff>
    </xdr:to>
    <xdr:sp macro="" textlink="">
      <xdr:nvSpPr>
        <xdr:cNvPr id="22" name="Text 51">
          <a:extLst>
            <a:ext uri="{FF2B5EF4-FFF2-40B4-BE49-F238E27FC236}">
              <a16:creationId xmlns:a16="http://schemas.microsoft.com/office/drawing/2014/main" id="{CA581E46-713D-9B49-8F4D-94062A7AE45A}"/>
            </a:ext>
          </a:extLst>
        </xdr:cNvPr>
        <xdr:cNvSpPr txBox="1">
          <a:spLocks noChangeArrowheads="1"/>
        </xdr:cNvSpPr>
      </xdr:nvSpPr>
      <xdr:spPr bwMode="auto">
        <a:xfrm>
          <a:off x="3826510" y="190500"/>
          <a:ext cx="3009323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체"/>
              <a:ea typeface="굴림체"/>
            </a:rPr>
            <a:t> 위와 같이 견적합니다</a:t>
          </a: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.</a:t>
          </a:r>
        </a:p>
        <a:p>
          <a:pPr algn="l" rtl="0">
            <a:defRPr sz="1000"/>
          </a:pPr>
          <a:endParaRPr lang="en-US" altLang="ko-KR" sz="1100" b="0" i="0" strike="noStrike">
            <a:solidFill>
              <a:srgbClr val="000000"/>
            </a:solidFill>
            <a:latin typeface="굴림체"/>
            <a:ea typeface="굴림체"/>
          </a:endParaRPr>
        </a:p>
        <a:p>
          <a:pPr algn="l" rtl="0">
            <a:defRPr sz="1000"/>
          </a:pP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                   199  .    .    .</a:t>
          </a:r>
        </a:p>
      </xdr:txBody>
    </xdr:sp>
    <xdr:clientData/>
  </xdr:twoCellAnchor>
  <xdr:twoCellAnchor>
    <xdr:from>
      <xdr:col>5</xdr:col>
      <xdr:colOff>80010</xdr:colOff>
      <xdr:row>1</xdr:row>
      <xdr:rowOff>0</xdr:rowOff>
    </xdr:from>
    <xdr:to>
      <xdr:col>8</xdr:col>
      <xdr:colOff>0</xdr:colOff>
      <xdr:row>1</xdr:row>
      <xdr:rowOff>0</xdr:rowOff>
    </xdr:to>
    <xdr:sp macro="" textlink="">
      <xdr:nvSpPr>
        <xdr:cNvPr id="23" name="Text 51">
          <a:extLst>
            <a:ext uri="{FF2B5EF4-FFF2-40B4-BE49-F238E27FC236}">
              <a16:creationId xmlns:a16="http://schemas.microsoft.com/office/drawing/2014/main" id="{927769C5-F041-8242-BC8A-10A6BB4A0800}"/>
            </a:ext>
          </a:extLst>
        </xdr:cNvPr>
        <xdr:cNvSpPr txBox="1">
          <a:spLocks noChangeArrowheads="1"/>
        </xdr:cNvSpPr>
      </xdr:nvSpPr>
      <xdr:spPr bwMode="auto">
        <a:xfrm>
          <a:off x="3826510" y="190500"/>
          <a:ext cx="3009323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체"/>
              <a:ea typeface="굴림체"/>
            </a:rPr>
            <a:t> 위와 같이 견적합니다</a:t>
          </a: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.</a:t>
          </a:r>
        </a:p>
        <a:p>
          <a:pPr algn="l" rtl="0">
            <a:defRPr sz="1000"/>
          </a:pPr>
          <a:endParaRPr lang="en-US" altLang="ko-KR" sz="1100" b="0" i="0" strike="noStrike">
            <a:solidFill>
              <a:srgbClr val="000000"/>
            </a:solidFill>
            <a:latin typeface="굴림체"/>
            <a:ea typeface="굴림체"/>
          </a:endParaRPr>
        </a:p>
        <a:p>
          <a:pPr algn="l" rtl="0">
            <a:defRPr sz="1000"/>
          </a:pP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                   199  .    .    .</a:t>
          </a:r>
        </a:p>
      </xdr:txBody>
    </xdr:sp>
    <xdr:clientData/>
  </xdr:twoCellAnchor>
  <xdr:twoCellAnchor>
    <xdr:from>
      <xdr:col>5</xdr:col>
      <xdr:colOff>80010</xdr:colOff>
      <xdr:row>1</xdr:row>
      <xdr:rowOff>0</xdr:rowOff>
    </xdr:from>
    <xdr:to>
      <xdr:col>8</xdr:col>
      <xdr:colOff>0</xdr:colOff>
      <xdr:row>1</xdr:row>
      <xdr:rowOff>0</xdr:rowOff>
    </xdr:to>
    <xdr:sp macro="" textlink="">
      <xdr:nvSpPr>
        <xdr:cNvPr id="24" name="Text 51">
          <a:extLst>
            <a:ext uri="{FF2B5EF4-FFF2-40B4-BE49-F238E27FC236}">
              <a16:creationId xmlns:a16="http://schemas.microsoft.com/office/drawing/2014/main" id="{E1ADB40C-6030-354B-ACA0-82B83D686BA3}"/>
            </a:ext>
          </a:extLst>
        </xdr:cNvPr>
        <xdr:cNvSpPr txBox="1">
          <a:spLocks noChangeArrowheads="1"/>
        </xdr:cNvSpPr>
      </xdr:nvSpPr>
      <xdr:spPr bwMode="auto">
        <a:xfrm>
          <a:off x="3826510" y="190500"/>
          <a:ext cx="3009323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체"/>
              <a:ea typeface="굴림체"/>
            </a:rPr>
            <a:t> 위와 같이 견적합니다</a:t>
          </a: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.</a:t>
          </a:r>
        </a:p>
        <a:p>
          <a:pPr algn="l" rtl="0">
            <a:defRPr sz="1000"/>
          </a:pPr>
          <a:endParaRPr lang="en-US" altLang="ko-KR" sz="1100" b="0" i="0" strike="noStrike">
            <a:solidFill>
              <a:srgbClr val="000000"/>
            </a:solidFill>
            <a:latin typeface="굴림체"/>
            <a:ea typeface="굴림체"/>
          </a:endParaRPr>
        </a:p>
        <a:p>
          <a:pPr algn="l" rtl="0">
            <a:defRPr sz="1000"/>
          </a:pP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                   199  .    .    .</a:t>
          </a:r>
        </a:p>
      </xdr:txBody>
    </xdr:sp>
    <xdr:clientData/>
  </xdr:twoCellAnchor>
  <xdr:twoCellAnchor>
    <xdr:from>
      <xdr:col>5</xdr:col>
      <xdr:colOff>80010</xdr:colOff>
      <xdr:row>1</xdr:row>
      <xdr:rowOff>0</xdr:rowOff>
    </xdr:from>
    <xdr:to>
      <xdr:col>8</xdr:col>
      <xdr:colOff>0</xdr:colOff>
      <xdr:row>1</xdr:row>
      <xdr:rowOff>0</xdr:rowOff>
    </xdr:to>
    <xdr:sp macro="" textlink="">
      <xdr:nvSpPr>
        <xdr:cNvPr id="25" name="Text 51">
          <a:extLst>
            <a:ext uri="{FF2B5EF4-FFF2-40B4-BE49-F238E27FC236}">
              <a16:creationId xmlns:a16="http://schemas.microsoft.com/office/drawing/2014/main" id="{0BD1AFE2-2BA7-9B4F-A27D-A2F832B643B3}"/>
            </a:ext>
          </a:extLst>
        </xdr:cNvPr>
        <xdr:cNvSpPr txBox="1">
          <a:spLocks noChangeArrowheads="1"/>
        </xdr:cNvSpPr>
      </xdr:nvSpPr>
      <xdr:spPr bwMode="auto">
        <a:xfrm>
          <a:off x="3826510" y="190500"/>
          <a:ext cx="3009323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체"/>
              <a:ea typeface="굴림체"/>
            </a:rPr>
            <a:t> 위와 같이 견적합니다</a:t>
          </a: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.</a:t>
          </a:r>
        </a:p>
        <a:p>
          <a:pPr algn="l" rtl="0">
            <a:defRPr sz="1000"/>
          </a:pPr>
          <a:endParaRPr lang="en-US" altLang="ko-KR" sz="1100" b="0" i="0" strike="noStrike">
            <a:solidFill>
              <a:srgbClr val="000000"/>
            </a:solidFill>
            <a:latin typeface="굴림체"/>
            <a:ea typeface="굴림체"/>
          </a:endParaRPr>
        </a:p>
        <a:p>
          <a:pPr algn="l" rtl="0">
            <a:defRPr sz="1000"/>
          </a:pP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                   199  .    .    .</a:t>
          </a:r>
        </a:p>
      </xdr:txBody>
    </xdr:sp>
    <xdr:clientData/>
  </xdr:twoCellAnchor>
  <xdr:twoCellAnchor>
    <xdr:from>
      <xdr:col>5</xdr:col>
      <xdr:colOff>80010</xdr:colOff>
      <xdr:row>1</xdr:row>
      <xdr:rowOff>0</xdr:rowOff>
    </xdr:from>
    <xdr:to>
      <xdr:col>8</xdr:col>
      <xdr:colOff>0</xdr:colOff>
      <xdr:row>1</xdr:row>
      <xdr:rowOff>0</xdr:rowOff>
    </xdr:to>
    <xdr:sp macro="" textlink="">
      <xdr:nvSpPr>
        <xdr:cNvPr id="26" name="Text 51">
          <a:extLst>
            <a:ext uri="{FF2B5EF4-FFF2-40B4-BE49-F238E27FC236}">
              <a16:creationId xmlns:a16="http://schemas.microsoft.com/office/drawing/2014/main" id="{EC77C298-C04E-5044-8158-952D322F5FF6}"/>
            </a:ext>
          </a:extLst>
        </xdr:cNvPr>
        <xdr:cNvSpPr txBox="1">
          <a:spLocks noChangeArrowheads="1"/>
        </xdr:cNvSpPr>
      </xdr:nvSpPr>
      <xdr:spPr bwMode="auto">
        <a:xfrm>
          <a:off x="3826510" y="190500"/>
          <a:ext cx="3009323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체"/>
              <a:ea typeface="굴림체"/>
            </a:rPr>
            <a:t> 위와 같이 견적합니다</a:t>
          </a: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.</a:t>
          </a:r>
        </a:p>
        <a:p>
          <a:pPr algn="l" rtl="0">
            <a:defRPr sz="1000"/>
          </a:pPr>
          <a:endParaRPr lang="en-US" altLang="ko-KR" sz="1100" b="0" i="0" strike="noStrike">
            <a:solidFill>
              <a:srgbClr val="000000"/>
            </a:solidFill>
            <a:latin typeface="굴림체"/>
            <a:ea typeface="굴림체"/>
          </a:endParaRPr>
        </a:p>
        <a:p>
          <a:pPr algn="l" rtl="0">
            <a:defRPr sz="1000"/>
          </a:pP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                   199  .    .    .</a:t>
          </a:r>
        </a:p>
      </xdr:txBody>
    </xdr:sp>
    <xdr:clientData/>
  </xdr:twoCellAnchor>
  <xdr:twoCellAnchor>
    <xdr:from>
      <xdr:col>5</xdr:col>
      <xdr:colOff>80010</xdr:colOff>
      <xdr:row>1</xdr:row>
      <xdr:rowOff>0</xdr:rowOff>
    </xdr:from>
    <xdr:to>
      <xdr:col>8</xdr:col>
      <xdr:colOff>0</xdr:colOff>
      <xdr:row>1</xdr:row>
      <xdr:rowOff>0</xdr:rowOff>
    </xdr:to>
    <xdr:sp macro="" textlink="">
      <xdr:nvSpPr>
        <xdr:cNvPr id="27" name="Text 51">
          <a:extLst>
            <a:ext uri="{FF2B5EF4-FFF2-40B4-BE49-F238E27FC236}">
              <a16:creationId xmlns:a16="http://schemas.microsoft.com/office/drawing/2014/main" id="{D4D304EF-CF42-574F-8DE7-0DE27503DA43}"/>
            </a:ext>
          </a:extLst>
        </xdr:cNvPr>
        <xdr:cNvSpPr txBox="1">
          <a:spLocks noChangeArrowheads="1"/>
        </xdr:cNvSpPr>
      </xdr:nvSpPr>
      <xdr:spPr bwMode="auto">
        <a:xfrm>
          <a:off x="3826510" y="190500"/>
          <a:ext cx="3009323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체"/>
              <a:ea typeface="굴림체"/>
            </a:rPr>
            <a:t> 위와 같이 견적합니다</a:t>
          </a: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.</a:t>
          </a:r>
        </a:p>
        <a:p>
          <a:pPr algn="l" rtl="0">
            <a:defRPr sz="1000"/>
          </a:pPr>
          <a:endParaRPr lang="en-US" altLang="ko-KR" sz="1100" b="0" i="0" strike="noStrike">
            <a:solidFill>
              <a:srgbClr val="000000"/>
            </a:solidFill>
            <a:latin typeface="굴림체"/>
            <a:ea typeface="굴림체"/>
          </a:endParaRPr>
        </a:p>
        <a:p>
          <a:pPr algn="l" rtl="0">
            <a:defRPr sz="1000"/>
          </a:pP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                   199  .    .    .</a:t>
          </a:r>
        </a:p>
      </xdr:txBody>
    </xdr:sp>
    <xdr:clientData/>
  </xdr:twoCellAnchor>
  <xdr:twoCellAnchor>
    <xdr:from>
      <xdr:col>5</xdr:col>
      <xdr:colOff>80010</xdr:colOff>
      <xdr:row>1</xdr:row>
      <xdr:rowOff>0</xdr:rowOff>
    </xdr:from>
    <xdr:to>
      <xdr:col>8</xdr:col>
      <xdr:colOff>0</xdr:colOff>
      <xdr:row>1</xdr:row>
      <xdr:rowOff>0</xdr:rowOff>
    </xdr:to>
    <xdr:sp macro="" textlink="">
      <xdr:nvSpPr>
        <xdr:cNvPr id="28" name="Text 51">
          <a:extLst>
            <a:ext uri="{FF2B5EF4-FFF2-40B4-BE49-F238E27FC236}">
              <a16:creationId xmlns:a16="http://schemas.microsoft.com/office/drawing/2014/main" id="{EA923028-4CA8-E846-B437-3BD254C36135}"/>
            </a:ext>
          </a:extLst>
        </xdr:cNvPr>
        <xdr:cNvSpPr txBox="1">
          <a:spLocks noChangeArrowheads="1"/>
        </xdr:cNvSpPr>
      </xdr:nvSpPr>
      <xdr:spPr bwMode="auto">
        <a:xfrm>
          <a:off x="3826510" y="190500"/>
          <a:ext cx="3009323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체"/>
              <a:ea typeface="굴림체"/>
            </a:rPr>
            <a:t> 위와 같이 견적합니다</a:t>
          </a: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.</a:t>
          </a:r>
        </a:p>
        <a:p>
          <a:pPr algn="l" rtl="0">
            <a:defRPr sz="1000"/>
          </a:pPr>
          <a:endParaRPr lang="en-US" altLang="ko-KR" sz="1100" b="0" i="0" strike="noStrike">
            <a:solidFill>
              <a:srgbClr val="000000"/>
            </a:solidFill>
            <a:latin typeface="굴림체"/>
            <a:ea typeface="굴림체"/>
          </a:endParaRPr>
        </a:p>
        <a:p>
          <a:pPr algn="l" rtl="0">
            <a:defRPr sz="1000"/>
          </a:pP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                   199  .    .    .</a:t>
          </a:r>
        </a:p>
      </xdr:txBody>
    </xdr:sp>
    <xdr:clientData/>
  </xdr:twoCellAnchor>
  <xdr:twoCellAnchor>
    <xdr:from>
      <xdr:col>5</xdr:col>
      <xdr:colOff>80010</xdr:colOff>
      <xdr:row>1</xdr:row>
      <xdr:rowOff>0</xdr:rowOff>
    </xdr:from>
    <xdr:to>
      <xdr:col>8</xdr:col>
      <xdr:colOff>0</xdr:colOff>
      <xdr:row>1</xdr:row>
      <xdr:rowOff>0</xdr:rowOff>
    </xdr:to>
    <xdr:sp macro="" textlink="">
      <xdr:nvSpPr>
        <xdr:cNvPr id="29" name="Text 51">
          <a:extLst>
            <a:ext uri="{FF2B5EF4-FFF2-40B4-BE49-F238E27FC236}">
              <a16:creationId xmlns:a16="http://schemas.microsoft.com/office/drawing/2014/main" id="{5726B037-3FC1-A848-9D66-A0B93C44D91F}"/>
            </a:ext>
          </a:extLst>
        </xdr:cNvPr>
        <xdr:cNvSpPr txBox="1">
          <a:spLocks noChangeArrowheads="1"/>
        </xdr:cNvSpPr>
      </xdr:nvSpPr>
      <xdr:spPr bwMode="auto">
        <a:xfrm>
          <a:off x="3826510" y="190500"/>
          <a:ext cx="3009323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체"/>
              <a:ea typeface="굴림체"/>
            </a:rPr>
            <a:t> 위와 같이 견적합니다</a:t>
          </a: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.</a:t>
          </a:r>
        </a:p>
        <a:p>
          <a:pPr algn="l" rtl="0">
            <a:defRPr sz="1000"/>
          </a:pPr>
          <a:endParaRPr lang="en-US" altLang="ko-KR" sz="1100" b="0" i="0" strike="noStrike">
            <a:solidFill>
              <a:srgbClr val="000000"/>
            </a:solidFill>
            <a:latin typeface="굴림체"/>
            <a:ea typeface="굴림체"/>
          </a:endParaRPr>
        </a:p>
        <a:p>
          <a:pPr algn="l" rtl="0">
            <a:defRPr sz="1000"/>
          </a:pP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                   199  .    .    .</a:t>
          </a:r>
        </a:p>
      </xdr:txBody>
    </xdr:sp>
    <xdr:clientData/>
  </xdr:twoCellAnchor>
  <xdr:twoCellAnchor>
    <xdr:from>
      <xdr:col>5</xdr:col>
      <xdr:colOff>80010</xdr:colOff>
      <xdr:row>1</xdr:row>
      <xdr:rowOff>0</xdr:rowOff>
    </xdr:from>
    <xdr:to>
      <xdr:col>8</xdr:col>
      <xdr:colOff>0</xdr:colOff>
      <xdr:row>1</xdr:row>
      <xdr:rowOff>0</xdr:rowOff>
    </xdr:to>
    <xdr:sp macro="" textlink="">
      <xdr:nvSpPr>
        <xdr:cNvPr id="30" name="Text 51">
          <a:extLst>
            <a:ext uri="{FF2B5EF4-FFF2-40B4-BE49-F238E27FC236}">
              <a16:creationId xmlns:a16="http://schemas.microsoft.com/office/drawing/2014/main" id="{AF721F5F-B95C-014A-9604-BE307E7076D3}"/>
            </a:ext>
          </a:extLst>
        </xdr:cNvPr>
        <xdr:cNvSpPr txBox="1">
          <a:spLocks noChangeArrowheads="1"/>
        </xdr:cNvSpPr>
      </xdr:nvSpPr>
      <xdr:spPr bwMode="auto">
        <a:xfrm>
          <a:off x="3826510" y="190500"/>
          <a:ext cx="3009323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체"/>
              <a:ea typeface="굴림체"/>
            </a:rPr>
            <a:t> 위와 같이 견적합니다</a:t>
          </a: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.</a:t>
          </a:r>
        </a:p>
        <a:p>
          <a:pPr algn="l" rtl="0">
            <a:defRPr sz="1000"/>
          </a:pPr>
          <a:endParaRPr lang="en-US" altLang="ko-KR" sz="1100" b="0" i="0" strike="noStrike">
            <a:solidFill>
              <a:srgbClr val="000000"/>
            </a:solidFill>
            <a:latin typeface="굴림체"/>
            <a:ea typeface="굴림체"/>
          </a:endParaRPr>
        </a:p>
        <a:p>
          <a:pPr algn="l" rtl="0">
            <a:defRPr sz="1000"/>
          </a:pP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                   199  .    .    .</a:t>
          </a:r>
        </a:p>
      </xdr:txBody>
    </xdr:sp>
    <xdr:clientData/>
  </xdr:twoCellAnchor>
  <xdr:twoCellAnchor>
    <xdr:from>
      <xdr:col>3</xdr:col>
      <xdr:colOff>60960</xdr:colOff>
      <xdr:row>1</xdr:row>
      <xdr:rowOff>0</xdr:rowOff>
    </xdr:from>
    <xdr:to>
      <xdr:col>3</xdr:col>
      <xdr:colOff>658015</xdr:colOff>
      <xdr:row>1</xdr:row>
      <xdr:rowOff>0</xdr:rowOff>
    </xdr:to>
    <xdr:sp macro="" textlink="">
      <xdr:nvSpPr>
        <xdr:cNvPr id="31" name="Text Box 32">
          <a:extLst>
            <a:ext uri="{FF2B5EF4-FFF2-40B4-BE49-F238E27FC236}">
              <a16:creationId xmlns:a16="http://schemas.microsoft.com/office/drawing/2014/main" id="{56F60051-B915-6D47-92D9-21BDECBF83BC}"/>
            </a:ext>
          </a:extLst>
        </xdr:cNvPr>
        <xdr:cNvSpPr txBox="1">
          <a:spLocks noChangeArrowheads="1"/>
        </xdr:cNvSpPr>
      </xdr:nvSpPr>
      <xdr:spPr bwMode="auto">
        <a:xfrm>
          <a:off x="2232660" y="190500"/>
          <a:ext cx="59705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en-US" altLang="ko-KR" sz="800" b="0" i="0" strike="noStrike">
              <a:solidFill>
                <a:srgbClr val="000000"/>
              </a:solidFill>
              <a:latin typeface="굴림체"/>
              <a:ea typeface="굴림체"/>
            </a:rPr>
            <a:t>95.11.18</a:t>
          </a:r>
        </a:p>
      </xdr:txBody>
    </xdr:sp>
    <xdr:clientData/>
  </xdr:twoCellAnchor>
  <xdr:twoCellAnchor>
    <xdr:from>
      <xdr:col>4</xdr:col>
      <xdr:colOff>22860</xdr:colOff>
      <xdr:row>1</xdr:row>
      <xdr:rowOff>0</xdr:rowOff>
    </xdr:from>
    <xdr:to>
      <xdr:col>6</xdr:col>
      <xdr:colOff>103</xdr:colOff>
      <xdr:row>1</xdr:row>
      <xdr:rowOff>0</xdr:rowOff>
    </xdr:to>
    <xdr:sp macro="" textlink="">
      <xdr:nvSpPr>
        <xdr:cNvPr id="32" name="Text Box 33">
          <a:extLst>
            <a:ext uri="{FF2B5EF4-FFF2-40B4-BE49-F238E27FC236}">
              <a16:creationId xmlns:a16="http://schemas.microsoft.com/office/drawing/2014/main" id="{79766A47-3360-1E49-8D6B-CE5C39A92D7C}"/>
            </a:ext>
          </a:extLst>
        </xdr:cNvPr>
        <xdr:cNvSpPr txBox="1">
          <a:spLocks noChangeArrowheads="1"/>
        </xdr:cNvSpPr>
      </xdr:nvSpPr>
      <xdr:spPr bwMode="auto">
        <a:xfrm>
          <a:off x="3375660" y="190500"/>
          <a:ext cx="751943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en-US" altLang="ko-KR" sz="800" b="0" i="0" strike="noStrike">
              <a:solidFill>
                <a:srgbClr val="000000"/>
              </a:solidFill>
              <a:latin typeface="굴림체"/>
              <a:ea typeface="굴림체"/>
            </a:rPr>
            <a:t>97. 6. 2</a:t>
          </a:r>
        </a:p>
      </xdr:txBody>
    </xdr:sp>
    <xdr:clientData/>
  </xdr:twoCellAnchor>
  <xdr:twoCellAnchor>
    <xdr:from>
      <xdr:col>6</xdr:col>
      <xdr:colOff>102870</xdr:colOff>
      <xdr:row>1</xdr:row>
      <xdr:rowOff>0</xdr:rowOff>
    </xdr:from>
    <xdr:to>
      <xdr:col>6</xdr:col>
      <xdr:colOff>553371</xdr:colOff>
      <xdr:row>1</xdr:row>
      <xdr:rowOff>0</xdr:rowOff>
    </xdr:to>
    <xdr:sp macro="" textlink="">
      <xdr:nvSpPr>
        <xdr:cNvPr id="33" name="Text Box 34">
          <a:extLst>
            <a:ext uri="{FF2B5EF4-FFF2-40B4-BE49-F238E27FC236}">
              <a16:creationId xmlns:a16="http://schemas.microsoft.com/office/drawing/2014/main" id="{12A86599-F234-2140-B940-D67F02AD0F92}"/>
            </a:ext>
          </a:extLst>
        </xdr:cNvPr>
        <xdr:cNvSpPr txBox="1">
          <a:spLocks noChangeArrowheads="1"/>
        </xdr:cNvSpPr>
      </xdr:nvSpPr>
      <xdr:spPr bwMode="auto">
        <a:xfrm>
          <a:off x="4230370" y="190500"/>
          <a:ext cx="450501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en-US" altLang="ko-KR" sz="800" b="0" i="0" strike="noStrike">
              <a:solidFill>
                <a:srgbClr val="000000"/>
              </a:solidFill>
              <a:latin typeface="굴림체"/>
              <a:ea typeface="굴림체"/>
            </a:rPr>
            <a:t>97.12.31</a:t>
          </a:r>
        </a:p>
      </xdr:txBody>
    </xdr:sp>
    <xdr:clientData/>
  </xdr:twoCellAnchor>
  <xdr:twoCellAnchor>
    <xdr:from>
      <xdr:col>1</xdr:col>
      <xdr:colOff>186042</xdr:colOff>
      <xdr:row>112</xdr:row>
      <xdr:rowOff>14654</xdr:rowOff>
    </xdr:from>
    <xdr:to>
      <xdr:col>3</xdr:col>
      <xdr:colOff>2736673</xdr:colOff>
      <xdr:row>113</xdr:row>
      <xdr:rowOff>78399</xdr:rowOff>
    </xdr:to>
    <xdr:sp macro="" textlink="">
      <xdr:nvSpPr>
        <xdr:cNvPr id="34" name="TextBox 33">
          <a:extLst>
            <a:ext uri="{FF2B5EF4-FFF2-40B4-BE49-F238E27FC236}">
              <a16:creationId xmlns:a16="http://schemas.microsoft.com/office/drawing/2014/main" id="{01814C86-1EDE-6D4B-B18C-6AC42AABA85D}"/>
            </a:ext>
          </a:extLst>
        </xdr:cNvPr>
        <xdr:cNvSpPr txBox="1"/>
      </xdr:nvSpPr>
      <xdr:spPr>
        <a:xfrm>
          <a:off x="449811" y="23182385"/>
          <a:ext cx="5049112" cy="26157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altLang="ko-KR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-------- </a:t>
          </a:r>
          <a:r>
            <a:rPr lang="en-US" altLang="ko-KR" sz="1200" b="1"/>
            <a:t> </a:t>
          </a:r>
          <a:r>
            <a:rPr lang="ko-KR" altLang="en-US" sz="1200" b="1"/>
            <a:t>이     하     여     백 </a:t>
          </a:r>
          <a:r>
            <a:rPr lang="en-US" altLang="ko-KR" sz="1200" b="1" baseline="0"/>
            <a:t>  --------</a:t>
          </a:r>
          <a:endParaRPr lang="en-US" altLang="ko-KR" sz="1200" b="1"/>
        </a:p>
      </xdr:txBody>
    </xdr:sp>
    <xdr:clientData/>
  </xdr:twoCellAnchor>
  <xdr:twoCellAnchor editAs="oneCell">
    <xdr:from>
      <xdr:col>6</xdr:col>
      <xdr:colOff>668765</xdr:colOff>
      <xdr:row>116</xdr:row>
      <xdr:rowOff>50823</xdr:rowOff>
    </xdr:from>
    <xdr:to>
      <xdr:col>7</xdr:col>
      <xdr:colOff>870191</xdr:colOff>
      <xdr:row>117</xdr:row>
      <xdr:rowOff>70635</xdr:rowOff>
    </xdr:to>
    <xdr:pic>
      <xdr:nvPicPr>
        <xdr:cNvPr id="35" name="그림 34">
          <a:extLst>
            <a:ext uri="{FF2B5EF4-FFF2-40B4-BE49-F238E27FC236}">
              <a16:creationId xmlns:a16="http://schemas.microsoft.com/office/drawing/2014/main" id="{CE55A6DF-2175-5241-89FE-B86A08C95E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23376" y="25274434"/>
          <a:ext cx="1231537" cy="1962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7</xdr:col>
      <xdr:colOff>83343</xdr:colOff>
      <xdr:row>0</xdr:row>
      <xdr:rowOff>28575</xdr:rowOff>
    </xdr:from>
    <xdr:to>
      <xdr:col>8</xdr:col>
      <xdr:colOff>1</xdr:colOff>
      <xdr:row>2</xdr:row>
      <xdr:rowOff>248383</xdr:rowOff>
    </xdr:to>
    <xdr:grpSp>
      <xdr:nvGrpSpPr>
        <xdr:cNvPr id="36" name="그룹 35">
          <a:extLst>
            <a:ext uri="{FF2B5EF4-FFF2-40B4-BE49-F238E27FC236}">
              <a16:creationId xmlns:a16="http://schemas.microsoft.com/office/drawing/2014/main" id="{666BF2E6-B19C-134D-A69C-0F565493EE94}"/>
            </a:ext>
          </a:extLst>
        </xdr:cNvPr>
        <xdr:cNvGrpSpPr/>
      </xdr:nvGrpSpPr>
      <xdr:grpSpPr>
        <a:xfrm>
          <a:off x="7686410" y="28575"/>
          <a:ext cx="932658" cy="702408"/>
          <a:chOff x="5920154" y="21981"/>
          <a:chExt cx="644769" cy="703385"/>
        </a:xfrm>
      </xdr:grpSpPr>
      <xdr:pic>
        <xdr:nvPicPr>
          <xdr:cNvPr id="37" name="그림 36">
            <a:extLst>
              <a:ext uri="{FF2B5EF4-FFF2-40B4-BE49-F238E27FC236}">
                <a16:creationId xmlns:a16="http://schemas.microsoft.com/office/drawing/2014/main" id="{D176027D-6C2F-574A-B2C7-430916685766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6005922" y="21981"/>
            <a:ext cx="472249" cy="571500"/>
          </a:xfrm>
          <a:prstGeom prst="rect">
            <a:avLst/>
          </a:prstGeom>
        </xdr:spPr>
      </xdr:pic>
      <xdr:sp macro="" textlink="">
        <xdr:nvSpPr>
          <xdr:cNvPr id="38" name="TextBox 37">
            <a:extLst>
              <a:ext uri="{FF2B5EF4-FFF2-40B4-BE49-F238E27FC236}">
                <a16:creationId xmlns:a16="http://schemas.microsoft.com/office/drawing/2014/main" id="{8D64D9E4-AA69-C647-8717-2E245CAB6234}"/>
              </a:ext>
            </a:extLst>
          </xdr:cNvPr>
          <xdr:cNvSpPr txBox="1"/>
        </xdr:nvSpPr>
        <xdr:spPr>
          <a:xfrm>
            <a:off x="5920154" y="578827"/>
            <a:ext cx="644769" cy="146539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ko-KR" sz="800" b="1"/>
              <a:t>ISO 9001</a:t>
            </a:r>
            <a:endParaRPr lang="ko-KR" altLang="en-US" sz="800" b="1"/>
          </a:p>
        </xdr:txBody>
      </xdr:sp>
    </xdr:grpSp>
    <xdr:clientData/>
  </xdr:twoCellAnchor>
  <xdr:twoCellAnchor editAs="oneCell">
    <xdr:from>
      <xdr:col>7</xdr:col>
      <xdr:colOff>694895</xdr:colOff>
      <xdr:row>2</xdr:row>
      <xdr:rowOff>163999</xdr:rowOff>
    </xdr:from>
    <xdr:to>
      <xdr:col>8</xdr:col>
      <xdr:colOff>94392</xdr:colOff>
      <xdr:row>4</xdr:row>
      <xdr:rowOff>139269</xdr:rowOff>
    </xdr:to>
    <xdr:pic>
      <xdr:nvPicPr>
        <xdr:cNvPr id="39" name="그림 2">
          <a:extLst>
            <a:ext uri="{FF2B5EF4-FFF2-40B4-BE49-F238E27FC236}">
              <a16:creationId xmlns:a16="http://schemas.microsoft.com/office/drawing/2014/main" id="{53C343B2-7F45-429C-BBE7-6561EA1A71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4706302">
          <a:off x="7980136" y="748789"/>
          <a:ext cx="426203" cy="4234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D649B6-0E14-5647-A1E6-DDDF6245F46B}">
  <sheetPr>
    <tabColor rgb="FFFF0000"/>
    <pageSetUpPr fitToPage="1"/>
  </sheetPr>
  <dimension ref="A1:P142"/>
  <sheetViews>
    <sheetView tabSelected="1" zoomScale="150" zoomScaleNormal="150" zoomScaleSheetLayoutView="70" workbookViewId="0">
      <selection activeCell="I20" sqref="I20"/>
    </sheetView>
  </sheetViews>
  <sheetFormatPr baseColWidth="10" defaultColWidth="9" defaultRowHeight="14"/>
  <cols>
    <col min="1" max="1" width="3.5" style="2" customWidth="1"/>
    <col min="2" max="2" width="16.1640625" style="2" customWidth="1"/>
    <col min="3" max="3" width="16.6640625" style="2" customWidth="1"/>
    <col min="4" max="4" width="43.1640625" style="2" customWidth="1"/>
    <col min="5" max="5" width="2.6640625" style="2" customWidth="1"/>
    <col min="6" max="6" width="3.83203125" style="2" customWidth="1"/>
    <col min="7" max="7" width="13.5" style="2" customWidth="1"/>
    <col min="8" max="8" width="13.33203125" style="2" customWidth="1"/>
    <col min="9" max="9" width="14.1640625" style="8" customWidth="1"/>
    <col min="10" max="10" width="44.83203125" style="8" bestFit="1" customWidth="1"/>
    <col min="11" max="11" width="17.6640625" style="8" customWidth="1"/>
    <col min="12" max="12" width="16.1640625" style="8" customWidth="1"/>
    <col min="13" max="13" width="7" style="8" bestFit="1" customWidth="1"/>
    <col min="14" max="14" width="44.83203125" style="8" bestFit="1" customWidth="1"/>
    <col min="15" max="15" width="15.33203125" style="8" bestFit="1" customWidth="1"/>
    <col min="16" max="16384" width="9" style="8"/>
  </cols>
  <sheetData>
    <row r="1" spans="1:8" s="2" customFormat="1" ht="14" customHeight="1">
      <c r="A1" s="29"/>
      <c r="B1" s="30"/>
      <c r="C1" s="30"/>
      <c r="D1" s="31"/>
      <c r="E1" s="30"/>
      <c r="F1" s="30"/>
      <c r="G1" s="30"/>
      <c r="H1" s="32"/>
    </row>
    <row r="2" spans="1:8" s="2" customFormat="1" ht="30.75" customHeight="1">
      <c r="A2" s="33" t="s">
        <v>1</v>
      </c>
      <c r="B2" s="34"/>
      <c r="C2" s="34"/>
      <c r="D2" s="34"/>
      <c r="E2" s="34"/>
      <c r="F2" s="34"/>
      <c r="G2" s="34"/>
      <c r="H2" s="35"/>
    </row>
    <row r="3" spans="1:8" s="2" customFormat="1" ht="14" customHeight="1">
      <c r="A3" s="36"/>
      <c r="B3" s="37"/>
      <c r="C3" s="37"/>
      <c r="D3" s="37"/>
      <c r="E3" s="38"/>
      <c r="F3" s="38"/>
      <c r="G3" s="38"/>
      <c r="H3" s="39"/>
    </row>
    <row r="4" spans="1:8" s="2" customFormat="1" ht="20" customHeight="1">
      <c r="A4" s="165" t="s">
        <v>62</v>
      </c>
      <c r="B4" s="166"/>
      <c r="C4" s="86" t="s">
        <v>2</v>
      </c>
      <c r="D4" s="86"/>
      <c r="E4" s="94" t="s">
        <v>3</v>
      </c>
      <c r="F4" s="94"/>
      <c r="G4" s="94"/>
      <c r="H4" s="95"/>
    </row>
    <row r="5" spans="1:8" s="2" customFormat="1" ht="20" customHeight="1">
      <c r="A5" s="167"/>
      <c r="B5" s="168"/>
      <c r="C5" s="86" t="s">
        <v>63</v>
      </c>
      <c r="D5" s="86"/>
      <c r="E5" s="96" t="s">
        <v>4</v>
      </c>
      <c r="F5" s="96"/>
      <c r="G5" s="96"/>
      <c r="H5" s="97"/>
    </row>
    <row r="6" spans="1:8" s="2" customFormat="1" ht="20" customHeight="1">
      <c r="A6" s="87" t="s">
        <v>5</v>
      </c>
      <c r="B6" s="88"/>
      <c r="C6" s="86" t="s">
        <v>65</v>
      </c>
      <c r="D6" s="86"/>
      <c r="E6" s="94" t="s">
        <v>6</v>
      </c>
      <c r="F6" s="94"/>
      <c r="G6" s="94"/>
      <c r="H6" s="95"/>
    </row>
    <row r="7" spans="1:8" s="2" customFormat="1" ht="20" customHeight="1">
      <c r="A7" s="87" t="s">
        <v>7</v>
      </c>
      <c r="B7" s="88"/>
      <c r="C7" s="163"/>
      <c r="D7" s="164"/>
      <c r="E7" s="94" t="s">
        <v>8</v>
      </c>
      <c r="F7" s="94"/>
      <c r="G7" s="94"/>
      <c r="H7" s="95"/>
    </row>
    <row r="8" spans="1:8" s="2" customFormat="1" ht="20" customHeight="1">
      <c r="A8" s="87" t="s">
        <v>9</v>
      </c>
      <c r="B8" s="88"/>
      <c r="C8" s="98">
        <v>45327</v>
      </c>
      <c r="D8" s="86"/>
      <c r="E8" s="94" t="s">
        <v>10</v>
      </c>
      <c r="F8" s="94"/>
      <c r="G8" s="94"/>
      <c r="H8" s="95"/>
    </row>
    <row r="9" spans="1:8" s="2" customFormat="1" ht="20" customHeight="1">
      <c r="A9" s="87" t="s">
        <v>11</v>
      </c>
      <c r="B9" s="88"/>
      <c r="C9" s="86" t="s">
        <v>85</v>
      </c>
      <c r="D9" s="86"/>
      <c r="E9" s="94" t="s">
        <v>12</v>
      </c>
      <c r="F9" s="94"/>
      <c r="G9" s="94"/>
      <c r="H9" s="95"/>
    </row>
    <row r="10" spans="1:8" s="2" customFormat="1" ht="20" customHeight="1">
      <c r="A10" s="87" t="s">
        <v>13</v>
      </c>
      <c r="B10" s="88"/>
      <c r="C10" s="86" t="s">
        <v>64</v>
      </c>
      <c r="D10" s="86"/>
      <c r="E10" s="94" t="s">
        <v>14</v>
      </c>
      <c r="F10" s="94"/>
      <c r="G10" s="94"/>
      <c r="H10" s="95"/>
    </row>
    <row r="11" spans="1:8" s="2" customFormat="1" ht="5" customHeight="1">
      <c r="A11" s="40"/>
      <c r="B11" s="3"/>
      <c r="C11" s="3"/>
      <c r="D11" s="3"/>
      <c r="E11" s="25"/>
      <c r="F11" s="41"/>
      <c r="G11" s="41"/>
      <c r="H11" s="42"/>
    </row>
    <row r="12" spans="1:8" s="2" customFormat="1" ht="20" customHeight="1">
      <c r="A12" s="89" t="s">
        <v>15</v>
      </c>
      <c r="B12" s="90"/>
      <c r="C12" s="90"/>
      <c r="D12" s="91" t="s">
        <v>86</v>
      </c>
      <c r="E12" s="92"/>
      <c r="F12" s="92"/>
      <c r="G12" s="92"/>
      <c r="H12" s="93"/>
    </row>
    <row r="13" spans="1:8" s="2" customFormat="1" ht="20" customHeight="1">
      <c r="A13" s="89" t="s">
        <v>16</v>
      </c>
      <c r="B13" s="90"/>
      <c r="C13" s="90"/>
      <c r="D13" s="91" t="s">
        <v>24</v>
      </c>
      <c r="E13" s="92"/>
      <c r="F13" s="92"/>
      <c r="G13" s="92"/>
      <c r="H13" s="93"/>
    </row>
    <row r="14" spans="1:8" s="2" customFormat="1" ht="20" customHeight="1">
      <c r="A14" s="179" t="s">
        <v>17</v>
      </c>
      <c r="B14" s="180"/>
      <c r="C14" s="181"/>
      <c r="D14" s="185" t="str">
        <f>TEXT(H115,"일금 [DBNum4][$-412]G/표준원정(")&amp;TEXT(H115,"###,### - VAT별도 )")</f>
        <v>일금 일억이천이백오십구만이천원정(122,592,000 - VAT별도 )</v>
      </c>
      <c r="E14" s="186"/>
      <c r="F14" s="186"/>
      <c r="G14" s="186"/>
      <c r="H14" s="187"/>
    </row>
    <row r="15" spans="1:8" s="2" customFormat="1" ht="20" customHeight="1">
      <c r="A15" s="182"/>
      <c r="B15" s="183"/>
      <c r="C15" s="184"/>
      <c r="D15" s="185" t="str">
        <f>TEXT(H115+(H115/10),"일금 [DBNum4][$-412]G/표준원정(")&amp;TEXT(H115+(H115/10),"###,### - VAT포함 )")</f>
        <v>일금 일억삼천사백팔십오만일천이백원정(134,851,200 - VAT포함 )</v>
      </c>
      <c r="E15" s="186"/>
      <c r="F15" s="186"/>
      <c r="G15" s="186"/>
      <c r="H15" s="187"/>
    </row>
    <row r="16" spans="1:8" s="2" customFormat="1" ht="20" customHeight="1">
      <c r="A16" s="43" t="s">
        <v>0</v>
      </c>
      <c r="B16" s="5" t="s">
        <v>18</v>
      </c>
      <c r="C16" s="5"/>
      <c r="D16" s="4" t="s">
        <v>19</v>
      </c>
      <c r="E16" s="5" t="s">
        <v>20</v>
      </c>
      <c r="F16" s="5"/>
      <c r="G16" s="4" t="s">
        <v>21</v>
      </c>
      <c r="H16" s="44" t="s">
        <v>22</v>
      </c>
    </row>
    <row r="17" spans="1:15" s="2" customFormat="1" ht="16" customHeight="1">
      <c r="A17" s="193" t="s">
        <v>55</v>
      </c>
      <c r="B17" s="194"/>
      <c r="C17" s="194"/>
      <c r="D17" s="194"/>
      <c r="E17" s="128">
        <v>1</v>
      </c>
      <c r="F17" s="129"/>
      <c r="G17" s="132">
        <f>47800000-3000000</f>
        <v>44800000</v>
      </c>
      <c r="H17" s="132">
        <f>E17*G17</f>
        <v>44800000</v>
      </c>
    </row>
    <row r="18" spans="1:15" s="2" customFormat="1" ht="16" customHeight="1">
      <c r="A18" s="125">
        <v>1</v>
      </c>
      <c r="B18" s="109" t="s">
        <v>25</v>
      </c>
      <c r="C18" s="105"/>
      <c r="D18" s="105"/>
      <c r="E18" s="130"/>
      <c r="F18" s="131"/>
      <c r="G18" s="133"/>
      <c r="H18" s="133"/>
      <c r="J18" s="8"/>
      <c r="K18" s="1"/>
      <c r="M18" s="9"/>
      <c r="O18" s="21"/>
    </row>
    <row r="19" spans="1:15" s="2" customFormat="1" ht="16" customHeight="1">
      <c r="A19" s="126"/>
      <c r="B19" s="78" t="s">
        <v>69</v>
      </c>
      <c r="C19" s="105"/>
      <c r="D19" s="105"/>
      <c r="E19" s="130"/>
      <c r="F19" s="131"/>
      <c r="G19" s="133"/>
      <c r="H19" s="133"/>
      <c r="M19" s="9"/>
      <c r="O19" s="22"/>
    </row>
    <row r="20" spans="1:15" s="2" customFormat="1" ht="16" customHeight="1">
      <c r="A20" s="127"/>
      <c r="B20" s="78" t="s">
        <v>68</v>
      </c>
      <c r="C20" s="105"/>
      <c r="D20" s="105"/>
      <c r="E20" s="130"/>
      <c r="F20" s="131"/>
      <c r="G20" s="133"/>
      <c r="H20" s="133"/>
      <c r="K20" s="1"/>
      <c r="M20" s="9"/>
      <c r="O20" s="21"/>
    </row>
    <row r="21" spans="1:15" s="2" customFormat="1" ht="16" customHeight="1">
      <c r="A21" s="125">
        <v>2</v>
      </c>
      <c r="B21" s="123" t="s">
        <v>44</v>
      </c>
      <c r="C21" s="105"/>
      <c r="D21" s="105"/>
      <c r="E21" s="130"/>
      <c r="F21" s="131"/>
      <c r="G21" s="133"/>
      <c r="H21" s="133"/>
      <c r="K21" s="1"/>
      <c r="O21" s="22"/>
    </row>
    <row r="22" spans="1:15" s="2" customFormat="1" ht="16" customHeight="1">
      <c r="A22" s="126"/>
      <c r="B22" s="78" t="s">
        <v>45</v>
      </c>
      <c r="C22" s="105"/>
      <c r="D22" s="105"/>
      <c r="E22" s="130"/>
      <c r="F22" s="131"/>
      <c r="G22" s="133"/>
      <c r="H22" s="133"/>
      <c r="O22" s="21"/>
    </row>
    <row r="23" spans="1:15" s="2" customFormat="1" ht="16" customHeight="1">
      <c r="A23" s="127"/>
      <c r="B23" s="78" t="s">
        <v>46</v>
      </c>
      <c r="C23" s="105"/>
      <c r="D23" s="105"/>
      <c r="E23" s="130"/>
      <c r="F23" s="131"/>
      <c r="G23" s="133"/>
      <c r="H23" s="133"/>
      <c r="K23" s="1"/>
      <c r="O23" s="22"/>
    </row>
    <row r="24" spans="1:15" s="2" customFormat="1" ht="16" customHeight="1">
      <c r="A24" s="125">
        <v>3</v>
      </c>
      <c r="B24" s="123" t="s">
        <v>26</v>
      </c>
      <c r="C24" s="105"/>
      <c r="D24" s="105"/>
      <c r="E24" s="130"/>
      <c r="F24" s="131"/>
      <c r="G24" s="133"/>
      <c r="H24" s="133"/>
      <c r="J24" s="114"/>
      <c r="K24" s="114"/>
      <c r="L24" s="114"/>
    </row>
    <row r="25" spans="1:15" s="2" customFormat="1" ht="16" customHeight="1">
      <c r="A25" s="126"/>
      <c r="B25" s="124" t="s">
        <v>27</v>
      </c>
      <c r="C25" s="105"/>
      <c r="D25" s="105"/>
      <c r="E25" s="130"/>
      <c r="F25" s="131"/>
      <c r="G25" s="133"/>
      <c r="H25" s="133"/>
      <c r="J25" s="115"/>
      <c r="K25" s="115"/>
      <c r="L25" s="115"/>
      <c r="O25" s="23"/>
    </row>
    <row r="26" spans="1:15" s="2" customFormat="1" ht="16" customHeight="1">
      <c r="A26" s="126"/>
      <c r="B26" s="78" t="s">
        <v>28</v>
      </c>
      <c r="C26" s="78"/>
      <c r="D26" s="78"/>
      <c r="E26" s="130"/>
      <c r="F26" s="131"/>
      <c r="G26" s="133"/>
      <c r="H26" s="133"/>
      <c r="J26" s="116"/>
      <c r="K26" s="117"/>
      <c r="L26" s="118"/>
    </row>
    <row r="27" spans="1:15" s="2" customFormat="1" ht="16" customHeight="1">
      <c r="A27" s="127"/>
      <c r="B27" s="78" t="s">
        <v>29</v>
      </c>
      <c r="C27" s="105"/>
      <c r="D27" s="105"/>
      <c r="E27" s="130"/>
      <c r="F27" s="131"/>
      <c r="G27" s="133"/>
      <c r="H27" s="133"/>
    </row>
    <row r="28" spans="1:15" s="2" customFormat="1" ht="16" customHeight="1">
      <c r="A28" s="125">
        <v>4</v>
      </c>
      <c r="B28" s="106" t="s">
        <v>30</v>
      </c>
      <c r="C28" s="105"/>
      <c r="D28" s="105"/>
      <c r="E28" s="130"/>
      <c r="F28" s="131"/>
      <c r="G28" s="133"/>
      <c r="H28" s="133"/>
    </row>
    <row r="29" spans="1:15" s="2" customFormat="1" ht="16" customHeight="1">
      <c r="A29" s="126"/>
      <c r="B29" s="78" t="s">
        <v>31</v>
      </c>
      <c r="C29" s="105"/>
      <c r="D29" s="105"/>
      <c r="E29" s="130"/>
      <c r="F29" s="131"/>
      <c r="G29" s="133"/>
      <c r="H29" s="133"/>
    </row>
    <row r="30" spans="1:15" s="2" customFormat="1" ht="16" customHeight="1">
      <c r="A30" s="126"/>
      <c r="B30" s="78" t="s">
        <v>32</v>
      </c>
      <c r="C30" s="105"/>
      <c r="D30" s="105"/>
      <c r="E30" s="130"/>
      <c r="F30" s="131"/>
      <c r="G30" s="133"/>
      <c r="H30" s="133"/>
    </row>
    <row r="31" spans="1:15" s="2" customFormat="1" ht="16" customHeight="1">
      <c r="A31" s="127"/>
      <c r="B31" s="78" t="s">
        <v>33</v>
      </c>
      <c r="C31" s="78"/>
      <c r="D31" s="78"/>
      <c r="E31" s="130"/>
      <c r="F31" s="131"/>
      <c r="G31" s="133"/>
      <c r="H31" s="133"/>
    </row>
    <row r="32" spans="1:15" s="2" customFormat="1" ht="16" customHeight="1">
      <c r="A32" s="125">
        <v>5</v>
      </c>
      <c r="B32" s="109" t="s">
        <v>34</v>
      </c>
      <c r="C32" s="105"/>
      <c r="D32" s="105"/>
      <c r="E32" s="130"/>
      <c r="F32" s="131"/>
      <c r="G32" s="133"/>
      <c r="H32" s="133"/>
      <c r="J32" s="8"/>
    </row>
    <row r="33" spans="1:16" s="2" customFormat="1" ht="16" customHeight="1">
      <c r="A33" s="126"/>
      <c r="B33" s="78" t="s">
        <v>35</v>
      </c>
      <c r="C33" s="105"/>
      <c r="D33" s="105"/>
      <c r="E33" s="130"/>
      <c r="F33" s="131"/>
      <c r="G33" s="133"/>
      <c r="H33" s="133"/>
      <c r="J33" s="8"/>
    </row>
    <row r="34" spans="1:16" s="2" customFormat="1" ht="16" customHeight="1">
      <c r="A34" s="126"/>
      <c r="B34" s="78" t="s">
        <v>36</v>
      </c>
      <c r="C34" s="105"/>
      <c r="D34" s="105"/>
      <c r="E34" s="130"/>
      <c r="F34" s="131"/>
      <c r="G34" s="133"/>
      <c r="H34" s="133"/>
      <c r="J34" s="8"/>
    </row>
    <row r="35" spans="1:16" s="2" customFormat="1" ht="16" customHeight="1">
      <c r="A35" s="126"/>
      <c r="B35" s="78" t="s">
        <v>37</v>
      </c>
      <c r="C35" s="105"/>
      <c r="D35" s="105"/>
      <c r="E35" s="130"/>
      <c r="F35" s="131"/>
      <c r="G35" s="133"/>
      <c r="H35" s="133"/>
      <c r="J35" s="8"/>
    </row>
    <row r="36" spans="1:16" s="2" customFormat="1" ht="16" customHeight="1">
      <c r="A36" s="126"/>
      <c r="B36" s="78" t="s">
        <v>38</v>
      </c>
      <c r="C36" s="105"/>
      <c r="D36" s="105"/>
      <c r="E36" s="130"/>
      <c r="F36" s="131"/>
      <c r="G36" s="133"/>
      <c r="H36" s="133"/>
      <c r="J36" s="8"/>
    </row>
    <row r="37" spans="1:16" s="2" customFormat="1" ht="16" customHeight="1">
      <c r="A37" s="126"/>
      <c r="B37" s="78" t="s">
        <v>39</v>
      </c>
      <c r="C37" s="105"/>
      <c r="D37" s="105"/>
      <c r="E37" s="130"/>
      <c r="F37" s="131"/>
      <c r="G37" s="133"/>
      <c r="H37" s="133"/>
      <c r="J37" s="8"/>
    </row>
    <row r="38" spans="1:16" s="2" customFormat="1" ht="16" customHeight="1">
      <c r="A38" s="126"/>
      <c r="B38" s="78" t="s">
        <v>40</v>
      </c>
      <c r="C38" s="105"/>
      <c r="D38" s="105"/>
      <c r="E38" s="130"/>
      <c r="F38" s="131"/>
      <c r="G38" s="133"/>
      <c r="H38" s="133"/>
      <c r="J38" s="8"/>
    </row>
    <row r="39" spans="1:16" s="2" customFormat="1" ht="16" customHeight="1">
      <c r="A39" s="126"/>
      <c r="B39" s="78" t="s">
        <v>41</v>
      </c>
      <c r="C39" s="105"/>
      <c r="D39" s="105"/>
      <c r="E39" s="130"/>
      <c r="F39" s="131"/>
      <c r="G39" s="133"/>
      <c r="H39" s="133"/>
      <c r="J39" s="8"/>
    </row>
    <row r="40" spans="1:16" s="2" customFormat="1" ht="16" customHeight="1">
      <c r="A40" s="126"/>
      <c r="B40" s="78" t="s">
        <v>42</v>
      </c>
      <c r="C40" s="105"/>
      <c r="D40" s="105"/>
      <c r="E40" s="130"/>
      <c r="F40" s="131"/>
      <c r="G40" s="133"/>
      <c r="H40" s="133"/>
      <c r="J40" s="8"/>
    </row>
    <row r="41" spans="1:16" s="2" customFormat="1" ht="16" customHeight="1">
      <c r="A41" s="127"/>
      <c r="B41" s="78" t="s">
        <v>43</v>
      </c>
      <c r="C41" s="105"/>
      <c r="D41" s="105"/>
      <c r="E41" s="130"/>
      <c r="F41" s="131"/>
      <c r="G41" s="133"/>
      <c r="H41" s="133"/>
      <c r="M41" s="10"/>
      <c r="N41" s="6"/>
      <c r="O41" s="7"/>
      <c r="P41" s="7"/>
    </row>
    <row r="42" spans="1:16" s="2" customFormat="1" ht="16" customHeight="1">
      <c r="A42" s="46">
        <v>6</v>
      </c>
      <c r="B42" s="69" t="s">
        <v>83</v>
      </c>
      <c r="C42" s="70"/>
      <c r="D42" s="71"/>
      <c r="E42" s="130">
        <v>88</v>
      </c>
      <c r="F42" s="131"/>
      <c r="G42" s="53">
        <v>384000</v>
      </c>
      <c r="H42" s="53">
        <f>G42*E42</f>
        <v>33792000</v>
      </c>
      <c r="M42" s="24"/>
      <c r="N42" s="25"/>
      <c r="O42" s="26"/>
      <c r="P42" s="26"/>
    </row>
    <row r="43" spans="1:16" s="2" customFormat="1" ht="16" customHeight="1">
      <c r="A43" s="46">
        <v>7</v>
      </c>
      <c r="B43" s="69" t="s">
        <v>84</v>
      </c>
      <c r="C43" s="70"/>
      <c r="D43" s="71"/>
      <c r="E43" s="130">
        <v>16</v>
      </c>
      <c r="F43" s="131"/>
      <c r="G43" s="53">
        <v>300000</v>
      </c>
      <c r="H43" s="53">
        <f>G43*E43</f>
        <v>4800000</v>
      </c>
      <c r="M43" s="24"/>
      <c r="N43" s="25"/>
      <c r="O43" s="26"/>
      <c r="P43" s="26"/>
    </row>
    <row r="44" spans="1:16" s="2" customFormat="1" ht="16" customHeight="1">
      <c r="A44" s="107" t="s">
        <v>56</v>
      </c>
      <c r="B44" s="108"/>
      <c r="C44" s="108"/>
      <c r="D44" s="108"/>
      <c r="E44" s="47"/>
      <c r="F44" s="48"/>
      <c r="G44" s="51"/>
      <c r="H44" s="53"/>
      <c r="M44" s="24"/>
      <c r="N44" s="25"/>
      <c r="O44" s="26"/>
      <c r="P44" s="26"/>
    </row>
    <row r="45" spans="1:16" s="2" customFormat="1" ht="16" customHeight="1">
      <c r="A45" s="191" t="s">
        <v>57</v>
      </c>
      <c r="B45" s="192"/>
      <c r="C45" s="192"/>
      <c r="D45" s="192"/>
      <c r="E45" s="47"/>
      <c r="F45" s="48"/>
      <c r="G45" s="51"/>
      <c r="H45" s="53"/>
      <c r="M45" s="24"/>
      <c r="N45" s="25"/>
      <c r="O45" s="26"/>
      <c r="P45" s="26"/>
    </row>
    <row r="46" spans="1:16" s="2" customFormat="1" ht="16" customHeight="1">
      <c r="A46" s="63" t="s">
        <v>47</v>
      </c>
      <c r="B46" s="64"/>
      <c r="C46" s="119" t="s">
        <v>72</v>
      </c>
      <c r="D46" s="120"/>
      <c r="E46" s="47"/>
      <c r="F46" s="48"/>
      <c r="G46" s="51"/>
      <c r="H46" s="53"/>
      <c r="M46" s="24"/>
      <c r="N46" s="25"/>
      <c r="O46" s="26"/>
      <c r="P46" s="26"/>
    </row>
    <row r="47" spans="1:16" s="2" customFormat="1" ht="16" customHeight="1">
      <c r="A47" s="63" t="s">
        <v>48</v>
      </c>
      <c r="B47" s="64"/>
      <c r="C47" s="121" t="s">
        <v>73</v>
      </c>
      <c r="D47" s="122"/>
      <c r="E47" s="47"/>
      <c r="F47" s="48"/>
      <c r="G47" s="51"/>
      <c r="H47" s="53"/>
      <c r="M47" s="24"/>
      <c r="N47" s="25"/>
      <c r="O47" s="26"/>
      <c r="P47" s="26"/>
    </row>
    <row r="48" spans="1:16" s="2" customFormat="1" ht="16" customHeight="1">
      <c r="A48" s="63" t="s">
        <v>49</v>
      </c>
      <c r="B48" s="64"/>
      <c r="C48" s="119" t="s">
        <v>51</v>
      </c>
      <c r="D48" s="120"/>
      <c r="E48" s="47"/>
      <c r="F48" s="48"/>
      <c r="G48" s="51"/>
      <c r="H48" s="53"/>
      <c r="M48" s="24"/>
      <c r="N48" s="25"/>
      <c r="O48" s="26"/>
      <c r="P48" s="26"/>
    </row>
    <row r="49" spans="1:16" s="2" customFormat="1" ht="16" customHeight="1">
      <c r="A49" s="63" t="s">
        <v>50</v>
      </c>
      <c r="B49" s="64"/>
      <c r="C49" s="119" t="s">
        <v>52</v>
      </c>
      <c r="D49" s="120"/>
      <c r="E49" s="47"/>
      <c r="F49" s="48"/>
      <c r="G49" s="51"/>
      <c r="H49" s="53"/>
      <c r="M49" s="24"/>
      <c r="N49" s="25"/>
      <c r="O49" s="26"/>
      <c r="P49" s="26"/>
    </row>
    <row r="50" spans="1:16" s="2" customFormat="1" ht="16" customHeight="1">
      <c r="A50" s="61" t="s">
        <v>54</v>
      </c>
      <c r="B50" s="62"/>
      <c r="C50" s="119" t="s">
        <v>53</v>
      </c>
      <c r="D50" s="120"/>
      <c r="E50" s="49"/>
      <c r="F50" s="50"/>
      <c r="G50" s="52"/>
      <c r="H50" s="54"/>
      <c r="M50" s="24"/>
      <c r="N50" s="25"/>
      <c r="O50" s="26"/>
      <c r="P50" s="26"/>
    </row>
    <row r="51" spans="1:16" s="2" customFormat="1" ht="16" customHeight="1">
      <c r="A51" s="188" t="s">
        <v>66</v>
      </c>
      <c r="B51" s="189"/>
      <c r="C51" s="189"/>
      <c r="D51" s="190"/>
      <c r="E51" s="156">
        <v>1</v>
      </c>
      <c r="F51" s="57"/>
      <c r="G51" s="171">
        <f>31000000-3000000</f>
        <v>28000000</v>
      </c>
      <c r="H51" s="174">
        <f>E51*G51</f>
        <v>28000000</v>
      </c>
      <c r="M51" s="24"/>
      <c r="N51" s="25"/>
      <c r="O51" s="26"/>
      <c r="P51" s="26"/>
    </row>
    <row r="52" spans="1:16" s="2" customFormat="1" ht="16" customHeight="1">
      <c r="A52" s="125">
        <v>1</v>
      </c>
      <c r="B52" s="109" t="s">
        <v>25</v>
      </c>
      <c r="C52" s="105"/>
      <c r="D52" s="105"/>
      <c r="E52" s="169"/>
      <c r="F52" s="170"/>
      <c r="G52" s="172"/>
      <c r="H52" s="175"/>
      <c r="M52" s="24"/>
      <c r="N52" s="25"/>
      <c r="O52" s="26"/>
      <c r="P52" s="26"/>
    </row>
    <row r="53" spans="1:16" s="2" customFormat="1" ht="16" customHeight="1">
      <c r="A53" s="126"/>
      <c r="B53" s="78" t="s">
        <v>69</v>
      </c>
      <c r="C53" s="105"/>
      <c r="D53" s="105"/>
      <c r="E53" s="169"/>
      <c r="F53" s="170"/>
      <c r="G53" s="172"/>
      <c r="H53" s="175"/>
      <c r="M53" s="24"/>
      <c r="N53" s="25"/>
      <c r="O53" s="26"/>
      <c r="P53" s="26"/>
    </row>
    <row r="54" spans="1:16" s="2" customFormat="1" ht="16" customHeight="1">
      <c r="A54" s="127"/>
      <c r="B54" s="78" t="s">
        <v>68</v>
      </c>
      <c r="C54" s="105"/>
      <c r="D54" s="105"/>
      <c r="E54" s="169"/>
      <c r="F54" s="170"/>
      <c r="G54" s="172"/>
      <c r="H54" s="175"/>
      <c r="M54" s="24"/>
      <c r="N54" s="25"/>
      <c r="O54" s="26"/>
      <c r="P54" s="26"/>
    </row>
    <row r="55" spans="1:16" s="2" customFormat="1" ht="16" customHeight="1">
      <c r="A55" s="125">
        <v>2</v>
      </c>
      <c r="B55" s="111" t="s">
        <v>44</v>
      </c>
      <c r="C55" s="112"/>
      <c r="D55" s="113"/>
      <c r="E55" s="169"/>
      <c r="F55" s="170"/>
      <c r="G55" s="172"/>
      <c r="H55" s="175"/>
      <c r="M55" s="24"/>
      <c r="N55" s="25"/>
      <c r="O55" s="26"/>
      <c r="P55" s="26"/>
    </row>
    <row r="56" spans="1:16" s="2" customFormat="1" ht="16" customHeight="1">
      <c r="A56" s="126"/>
      <c r="B56" s="69" t="s">
        <v>45</v>
      </c>
      <c r="C56" s="70"/>
      <c r="D56" s="71"/>
      <c r="E56" s="169"/>
      <c r="F56" s="170"/>
      <c r="G56" s="172"/>
      <c r="H56" s="175"/>
      <c r="M56" s="24"/>
      <c r="N56" s="25"/>
      <c r="O56" s="26"/>
      <c r="P56" s="26"/>
    </row>
    <row r="57" spans="1:16" s="2" customFormat="1" ht="16" customHeight="1">
      <c r="A57" s="127"/>
      <c r="B57" s="69" t="s">
        <v>46</v>
      </c>
      <c r="C57" s="70"/>
      <c r="D57" s="71"/>
      <c r="E57" s="169"/>
      <c r="F57" s="170"/>
      <c r="G57" s="172"/>
      <c r="H57" s="175"/>
      <c r="M57" s="24"/>
      <c r="N57" s="25"/>
      <c r="O57" s="26"/>
      <c r="P57" s="26"/>
    </row>
    <row r="58" spans="1:16" s="2" customFormat="1" ht="16" customHeight="1">
      <c r="A58" s="125">
        <v>3</v>
      </c>
      <c r="B58" s="111" t="s">
        <v>26</v>
      </c>
      <c r="C58" s="112"/>
      <c r="D58" s="113"/>
      <c r="E58" s="169"/>
      <c r="F58" s="170"/>
      <c r="G58" s="172"/>
      <c r="H58" s="175"/>
      <c r="M58" s="24"/>
      <c r="N58" s="25"/>
      <c r="O58" s="26"/>
      <c r="P58" s="26"/>
    </row>
    <row r="59" spans="1:16" s="2" customFormat="1" ht="16" customHeight="1">
      <c r="A59" s="126"/>
      <c r="B59" s="72" t="s">
        <v>27</v>
      </c>
      <c r="C59" s="73"/>
      <c r="D59" s="74"/>
      <c r="E59" s="169"/>
      <c r="F59" s="170"/>
      <c r="G59" s="172"/>
      <c r="H59" s="175"/>
      <c r="M59" s="24"/>
      <c r="N59" s="25"/>
      <c r="O59" s="26"/>
      <c r="P59" s="26"/>
    </row>
    <row r="60" spans="1:16" s="2" customFormat="1" ht="16" customHeight="1">
      <c r="A60" s="126"/>
      <c r="B60" s="69" t="s">
        <v>28</v>
      </c>
      <c r="C60" s="70"/>
      <c r="D60" s="71"/>
      <c r="E60" s="169"/>
      <c r="F60" s="170"/>
      <c r="G60" s="172"/>
      <c r="H60" s="175"/>
      <c r="M60" s="24"/>
      <c r="N60" s="25"/>
      <c r="O60" s="26"/>
      <c r="P60" s="26"/>
    </row>
    <row r="61" spans="1:16" s="2" customFormat="1" ht="16" customHeight="1">
      <c r="A61" s="127"/>
      <c r="B61" s="69" t="s">
        <v>29</v>
      </c>
      <c r="C61" s="70"/>
      <c r="D61" s="71"/>
      <c r="E61" s="169"/>
      <c r="F61" s="170"/>
      <c r="G61" s="172"/>
      <c r="H61" s="175"/>
      <c r="M61" s="24"/>
      <c r="N61" s="25"/>
      <c r="O61" s="26"/>
      <c r="P61" s="26"/>
    </row>
    <row r="62" spans="1:16" s="2" customFormat="1" ht="16" customHeight="1">
      <c r="A62" s="125">
        <v>4</v>
      </c>
      <c r="B62" s="75" t="s">
        <v>30</v>
      </c>
      <c r="C62" s="76"/>
      <c r="D62" s="77"/>
      <c r="E62" s="169"/>
      <c r="F62" s="170"/>
      <c r="G62" s="172"/>
      <c r="H62" s="175"/>
      <c r="M62" s="24"/>
      <c r="N62" s="25"/>
      <c r="O62" s="26"/>
      <c r="P62" s="26"/>
    </row>
    <row r="63" spans="1:16" s="2" customFormat="1" ht="16" customHeight="1">
      <c r="A63" s="126"/>
      <c r="B63" s="69" t="s">
        <v>31</v>
      </c>
      <c r="C63" s="70"/>
      <c r="D63" s="71"/>
      <c r="E63" s="169"/>
      <c r="F63" s="170"/>
      <c r="G63" s="172"/>
      <c r="H63" s="175"/>
      <c r="M63" s="24"/>
      <c r="N63" s="25"/>
      <c r="O63" s="26"/>
      <c r="P63" s="26"/>
    </row>
    <row r="64" spans="1:16" s="2" customFormat="1" ht="16" customHeight="1">
      <c r="A64" s="126"/>
      <c r="B64" s="69" t="s">
        <v>32</v>
      </c>
      <c r="C64" s="70"/>
      <c r="D64" s="71"/>
      <c r="E64" s="169"/>
      <c r="F64" s="170"/>
      <c r="G64" s="172"/>
      <c r="H64" s="175"/>
      <c r="M64" s="24"/>
      <c r="N64" s="25"/>
      <c r="O64" s="26"/>
      <c r="P64" s="26"/>
    </row>
    <row r="65" spans="1:16" s="2" customFormat="1" ht="16" customHeight="1">
      <c r="A65" s="127"/>
      <c r="B65" s="69" t="s">
        <v>33</v>
      </c>
      <c r="C65" s="70"/>
      <c r="D65" s="71"/>
      <c r="E65" s="169"/>
      <c r="F65" s="170"/>
      <c r="G65" s="172"/>
      <c r="H65" s="175"/>
      <c r="M65" s="24"/>
      <c r="N65" s="25"/>
      <c r="O65" s="26"/>
      <c r="P65" s="26"/>
    </row>
    <row r="66" spans="1:16" s="2" customFormat="1" ht="16" customHeight="1">
      <c r="A66" s="125">
        <v>5</v>
      </c>
      <c r="B66" s="147" t="s">
        <v>34</v>
      </c>
      <c r="C66" s="148"/>
      <c r="D66" s="149"/>
      <c r="E66" s="169"/>
      <c r="F66" s="170"/>
      <c r="G66" s="172"/>
      <c r="H66" s="175"/>
      <c r="M66" s="24"/>
      <c r="N66" s="25"/>
      <c r="O66" s="26"/>
      <c r="P66" s="26"/>
    </row>
    <row r="67" spans="1:16" s="2" customFormat="1" ht="16" customHeight="1">
      <c r="A67" s="126"/>
      <c r="B67" s="69" t="s">
        <v>35</v>
      </c>
      <c r="C67" s="70"/>
      <c r="D67" s="71"/>
      <c r="E67" s="169"/>
      <c r="F67" s="170"/>
      <c r="G67" s="172"/>
      <c r="H67" s="175"/>
      <c r="M67" s="24"/>
      <c r="N67" s="25"/>
      <c r="O67" s="26"/>
      <c r="P67" s="26"/>
    </row>
    <row r="68" spans="1:16" s="2" customFormat="1" ht="16" customHeight="1">
      <c r="A68" s="126"/>
      <c r="B68" s="69" t="s">
        <v>36</v>
      </c>
      <c r="C68" s="70"/>
      <c r="D68" s="71"/>
      <c r="E68" s="169"/>
      <c r="F68" s="170"/>
      <c r="G68" s="172"/>
      <c r="H68" s="175"/>
      <c r="M68" s="24"/>
      <c r="N68" s="25"/>
      <c r="O68" s="26"/>
      <c r="P68" s="26"/>
    </row>
    <row r="69" spans="1:16" s="2" customFormat="1" ht="16" customHeight="1">
      <c r="A69" s="126"/>
      <c r="B69" s="69" t="s">
        <v>37</v>
      </c>
      <c r="C69" s="70"/>
      <c r="D69" s="71"/>
      <c r="E69" s="169"/>
      <c r="F69" s="170"/>
      <c r="G69" s="172"/>
      <c r="H69" s="175"/>
      <c r="M69" s="24"/>
      <c r="N69" s="25"/>
      <c r="O69" s="26"/>
      <c r="P69" s="26"/>
    </row>
    <row r="70" spans="1:16" s="2" customFormat="1" ht="16" customHeight="1">
      <c r="A70" s="126"/>
      <c r="B70" s="69" t="s">
        <v>38</v>
      </c>
      <c r="C70" s="70"/>
      <c r="D70" s="71"/>
      <c r="E70" s="169"/>
      <c r="F70" s="170"/>
      <c r="G70" s="172"/>
      <c r="H70" s="175"/>
      <c r="M70" s="24"/>
      <c r="N70" s="25"/>
      <c r="O70" s="26"/>
      <c r="P70" s="26"/>
    </row>
    <row r="71" spans="1:16" s="2" customFormat="1" ht="16" customHeight="1">
      <c r="A71" s="126"/>
      <c r="B71" s="69" t="s">
        <v>39</v>
      </c>
      <c r="C71" s="70"/>
      <c r="D71" s="71"/>
      <c r="E71" s="169"/>
      <c r="F71" s="170"/>
      <c r="G71" s="172"/>
      <c r="H71" s="175"/>
      <c r="M71" s="24"/>
      <c r="N71" s="25"/>
      <c r="O71" s="26"/>
      <c r="P71" s="26"/>
    </row>
    <row r="72" spans="1:16" s="2" customFormat="1" ht="16" customHeight="1">
      <c r="A72" s="126"/>
      <c r="B72" s="69" t="s">
        <v>40</v>
      </c>
      <c r="C72" s="70"/>
      <c r="D72" s="71"/>
      <c r="E72" s="169"/>
      <c r="F72" s="170"/>
      <c r="G72" s="172"/>
      <c r="H72" s="175"/>
      <c r="M72" s="24"/>
      <c r="N72" s="25"/>
      <c r="O72" s="26"/>
      <c r="P72" s="26"/>
    </row>
    <row r="73" spans="1:16" s="2" customFormat="1" ht="16" customHeight="1">
      <c r="A73" s="126"/>
      <c r="B73" s="69" t="s">
        <v>41</v>
      </c>
      <c r="C73" s="70"/>
      <c r="D73" s="71"/>
      <c r="E73" s="169"/>
      <c r="F73" s="170"/>
      <c r="G73" s="172"/>
      <c r="H73" s="175"/>
      <c r="M73" s="24"/>
      <c r="N73" s="25"/>
      <c r="O73" s="26"/>
      <c r="P73" s="26"/>
    </row>
    <row r="74" spans="1:16" s="2" customFormat="1" ht="16" customHeight="1">
      <c r="A74" s="126"/>
      <c r="B74" s="69" t="s">
        <v>42</v>
      </c>
      <c r="C74" s="70"/>
      <c r="D74" s="71"/>
      <c r="E74" s="169"/>
      <c r="F74" s="170"/>
      <c r="G74" s="172"/>
      <c r="H74" s="175"/>
      <c r="M74" s="24"/>
      <c r="N74" s="25"/>
      <c r="O74" s="26"/>
      <c r="P74" s="26"/>
    </row>
    <row r="75" spans="1:16" s="2" customFormat="1" ht="16" customHeight="1">
      <c r="A75" s="127"/>
      <c r="B75" s="81" t="s">
        <v>43</v>
      </c>
      <c r="C75" s="195"/>
      <c r="D75" s="82"/>
      <c r="E75" s="169"/>
      <c r="F75" s="170"/>
      <c r="G75" s="172"/>
      <c r="H75" s="175"/>
      <c r="M75" s="24"/>
      <c r="N75" s="25"/>
      <c r="O75" s="26"/>
      <c r="P75" s="26"/>
    </row>
    <row r="76" spans="1:16" s="2" customFormat="1" ht="16" customHeight="1">
      <c r="A76" s="83" t="s">
        <v>56</v>
      </c>
      <c r="B76" s="84"/>
      <c r="C76" s="84"/>
      <c r="D76" s="85"/>
      <c r="E76" s="169"/>
      <c r="F76" s="170"/>
      <c r="G76" s="172"/>
      <c r="H76" s="175"/>
      <c r="M76" s="24"/>
      <c r="N76" s="25"/>
      <c r="O76" s="26"/>
      <c r="P76" s="26"/>
    </row>
    <row r="77" spans="1:16" s="2" customFormat="1" ht="16" customHeight="1">
      <c r="A77" s="138" t="s">
        <v>57</v>
      </c>
      <c r="B77" s="139"/>
      <c r="C77" s="139"/>
      <c r="D77" s="140"/>
      <c r="E77" s="169"/>
      <c r="F77" s="170"/>
      <c r="G77" s="172"/>
      <c r="H77" s="175"/>
      <c r="M77" s="24"/>
      <c r="N77" s="25"/>
      <c r="O77" s="26"/>
      <c r="P77" s="26"/>
    </row>
    <row r="78" spans="1:16" s="2" customFormat="1" ht="16" customHeight="1">
      <c r="A78" s="143" t="s">
        <v>60</v>
      </c>
      <c r="B78" s="144"/>
      <c r="C78" s="141" t="s">
        <v>74</v>
      </c>
      <c r="D78" s="142"/>
      <c r="E78" s="169"/>
      <c r="F78" s="170"/>
      <c r="G78" s="172"/>
      <c r="H78" s="175"/>
      <c r="M78" s="24"/>
      <c r="N78" s="25"/>
      <c r="O78" s="26"/>
      <c r="P78" s="26"/>
    </row>
    <row r="79" spans="1:16" s="2" customFormat="1" ht="16" customHeight="1">
      <c r="A79" s="145"/>
      <c r="B79" s="146"/>
      <c r="C79" s="81" t="s">
        <v>71</v>
      </c>
      <c r="D79" s="82"/>
      <c r="E79" s="169"/>
      <c r="F79" s="170"/>
      <c r="G79" s="172"/>
      <c r="H79" s="175"/>
      <c r="M79" s="24"/>
      <c r="N79" s="25"/>
      <c r="O79" s="26"/>
      <c r="P79" s="26"/>
    </row>
    <row r="80" spans="1:16" s="2" customFormat="1" ht="16" customHeight="1">
      <c r="A80" s="134" t="s">
        <v>58</v>
      </c>
      <c r="B80" s="135"/>
      <c r="C80" s="81" t="s">
        <v>79</v>
      </c>
      <c r="D80" s="82"/>
      <c r="E80" s="169"/>
      <c r="F80" s="170"/>
      <c r="G80" s="172"/>
      <c r="H80" s="175"/>
      <c r="M80" s="24"/>
      <c r="N80" s="25"/>
      <c r="O80" s="26"/>
      <c r="P80" s="26"/>
    </row>
    <row r="81" spans="1:16" s="2" customFormat="1" ht="16" customHeight="1">
      <c r="A81" s="136"/>
      <c r="B81" s="137"/>
      <c r="C81" s="81" t="s">
        <v>78</v>
      </c>
      <c r="D81" s="82"/>
      <c r="E81" s="169"/>
      <c r="F81" s="170"/>
      <c r="G81" s="172"/>
      <c r="H81" s="175"/>
      <c r="M81" s="24"/>
      <c r="N81" s="25"/>
      <c r="O81" s="26"/>
      <c r="P81" s="26"/>
    </row>
    <row r="82" spans="1:16" s="2" customFormat="1" ht="16" customHeight="1">
      <c r="A82" s="143" t="s">
        <v>59</v>
      </c>
      <c r="B82" s="144"/>
      <c r="C82" s="81" t="s">
        <v>77</v>
      </c>
      <c r="D82" s="82"/>
      <c r="E82" s="169"/>
      <c r="F82" s="170"/>
      <c r="G82" s="172"/>
      <c r="H82" s="175"/>
      <c r="M82" s="24"/>
      <c r="N82" s="25"/>
      <c r="O82" s="26"/>
      <c r="P82" s="26"/>
    </row>
    <row r="83" spans="1:16" s="2" customFormat="1" ht="16" customHeight="1">
      <c r="A83" s="177"/>
      <c r="B83" s="178"/>
      <c r="C83" s="81" t="s">
        <v>76</v>
      </c>
      <c r="D83" s="82"/>
      <c r="E83" s="169"/>
      <c r="F83" s="170"/>
      <c r="G83" s="172"/>
      <c r="H83" s="175"/>
      <c r="M83" s="24"/>
      <c r="N83" s="25"/>
      <c r="O83" s="26"/>
      <c r="P83" s="26"/>
    </row>
    <row r="84" spans="1:16" s="2" customFormat="1" ht="16" customHeight="1">
      <c r="A84" s="145"/>
      <c r="B84" s="146"/>
      <c r="C84" s="81" t="s">
        <v>75</v>
      </c>
      <c r="D84" s="82"/>
      <c r="E84" s="169"/>
      <c r="F84" s="170"/>
      <c r="G84" s="172"/>
      <c r="H84" s="175"/>
      <c r="M84" s="24"/>
      <c r="N84" s="25"/>
      <c r="O84" s="26"/>
      <c r="P84" s="26"/>
    </row>
    <row r="85" spans="1:16" s="2" customFormat="1" ht="16" customHeight="1">
      <c r="A85" s="61" t="s">
        <v>54</v>
      </c>
      <c r="B85" s="62"/>
      <c r="C85" s="81" t="s">
        <v>80</v>
      </c>
      <c r="D85" s="82"/>
      <c r="E85" s="157"/>
      <c r="F85" s="60"/>
      <c r="G85" s="173"/>
      <c r="H85" s="176"/>
      <c r="M85" s="24"/>
      <c r="N85" s="25"/>
      <c r="O85" s="26"/>
      <c r="P85" s="26"/>
    </row>
    <row r="86" spans="1:16" s="2" customFormat="1" ht="16" customHeight="1">
      <c r="A86" s="79" t="s">
        <v>67</v>
      </c>
      <c r="B86" s="80"/>
      <c r="C86" s="80"/>
      <c r="D86" s="80"/>
      <c r="E86" s="156">
        <v>1</v>
      </c>
      <c r="F86" s="57"/>
      <c r="G86" s="171">
        <f>14200000-3000000</f>
        <v>11200000</v>
      </c>
      <c r="H86" s="174">
        <f>E86*G86</f>
        <v>11200000</v>
      </c>
      <c r="M86" s="24"/>
      <c r="N86" s="25"/>
      <c r="O86" s="26"/>
      <c r="P86" s="26"/>
    </row>
    <row r="87" spans="1:16" s="2" customFormat="1" ht="16" customHeight="1">
      <c r="A87" s="125">
        <v>1</v>
      </c>
      <c r="B87" s="109" t="s">
        <v>25</v>
      </c>
      <c r="C87" s="105"/>
      <c r="D87" s="105"/>
      <c r="E87" s="169"/>
      <c r="F87" s="170"/>
      <c r="G87" s="172"/>
      <c r="H87" s="175"/>
      <c r="M87" s="24"/>
      <c r="N87" s="25"/>
      <c r="O87" s="26"/>
      <c r="P87" s="26"/>
    </row>
    <row r="88" spans="1:16" s="2" customFormat="1" ht="16" customHeight="1">
      <c r="A88" s="126"/>
      <c r="B88" s="78" t="s">
        <v>69</v>
      </c>
      <c r="C88" s="105"/>
      <c r="D88" s="105"/>
      <c r="E88" s="169"/>
      <c r="F88" s="170"/>
      <c r="G88" s="172"/>
      <c r="H88" s="175"/>
      <c r="M88" s="24"/>
      <c r="N88" s="25"/>
      <c r="O88" s="26"/>
      <c r="P88" s="26"/>
    </row>
    <row r="89" spans="1:16" s="2" customFormat="1" ht="16" customHeight="1">
      <c r="A89" s="127"/>
      <c r="B89" s="78" t="s">
        <v>68</v>
      </c>
      <c r="C89" s="105"/>
      <c r="D89" s="105"/>
      <c r="E89" s="169"/>
      <c r="F89" s="170"/>
      <c r="G89" s="172"/>
      <c r="H89" s="175"/>
      <c r="M89" s="24"/>
      <c r="N89" s="25"/>
      <c r="O89" s="26"/>
      <c r="P89" s="26"/>
    </row>
    <row r="90" spans="1:16" s="2" customFormat="1" ht="16" customHeight="1">
      <c r="A90" s="152">
        <v>2</v>
      </c>
      <c r="B90" s="123" t="s">
        <v>44</v>
      </c>
      <c r="C90" s="123"/>
      <c r="D90" s="123"/>
      <c r="E90" s="169"/>
      <c r="F90" s="170"/>
      <c r="G90" s="172"/>
      <c r="H90" s="175"/>
      <c r="M90" s="24"/>
      <c r="N90" s="25"/>
      <c r="O90" s="26"/>
      <c r="P90" s="26"/>
    </row>
    <row r="91" spans="1:16" s="2" customFormat="1" ht="16" customHeight="1">
      <c r="A91" s="152"/>
      <c r="B91" s="78" t="s">
        <v>45</v>
      </c>
      <c r="C91" s="78"/>
      <c r="D91" s="78"/>
      <c r="E91" s="169"/>
      <c r="F91" s="170"/>
      <c r="G91" s="172"/>
      <c r="H91" s="175"/>
      <c r="M91" s="24"/>
      <c r="N91" s="25"/>
      <c r="O91" s="26"/>
      <c r="P91" s="26"/>
    </row>
    <row r="92" spans="1:16" s="2" customFormat="1" ht="16" customHeight="1">
      <c r="A92" s="152"/>
      <c r="B92" s="78" t="s">
        <v>46</v>
      </c>
      <c r="C92" s="78"/>
      <c r="D92" s="78"/>
      <c r="E92" s="169"/>
      <c r="F92" s="170"/>
      <c r="G92" s="172"/>
      <c r="H92" s="175"/>
      <c r="M92" s="24"/>
      <c r="N92" s="25"/>
      <c r="O92" s="26"/>
      <c r="P92" s="26"/>
    </row>
    <row r="93" spans="1:16" s="2" customFormat="1" ht="16" customHeight="1">
      <c r="A93" s="152">
        <v>3</v>
      </c>
      <c r="B93" s="123" t="s">
        <v>26</v>
      </c>
      <c r="C93" s="123"/>
      <c r="D93" s="123"/>
      <c r="E93" s="169"/>
      <c r="F93" s="170"/>
      <c r="G93" s="172"/>
      <c r="H93" s="175"/>
      <c r="M93" s="24"/>
      <c r="N93" s="25"/>
      <c r="O93" s="26"/>
      <c r="P93" s="26"/>
    </row>
    <row r="94" spans="1:16" s="2" customFormat="1" ht="16" customHeight="1">
      <c r="A94" s="152"/>
      <c r="B94" s="124" t="s">
        <v>27</v>
      </c>
      <c r="C94" s="124"/>
      <c r="D94" s="124"/>
      <c r="E94" s="169"/>
      <c r="F94" s="170"/>
      <c r="G94" s="172"/>
      <c r="H94" s="175"/>
      <c r="M94" s="24"/>
      <c r="N94" s="25"/>
      <c r="O94" s="26"/>
      <c r="P94" s="26"/>
    </row>
    <row r="95" spans="1:16" s="2" customFormat="1" ht="16" customHeight="1">
      <c r="A95" s="152"/>
      <c r="B95" s="78" t="s">
        <v>28</v>
      </c>
      <c r="C95" s="78"/>
      <c r="D95" s="78"/>
      <c r="E95" s="169"/>
      <c r="F95" s="170"/>
      <c r="G95" s="172"/>
      <c r="H95" s="175"/>
      <c r="M95" s="24"/>
      <c r="N95" s="25"/>
      <c r="O95" s="26"/>
      <c r="P95" s="26"/>
    </row>
    <row r="96" spans="1:16" s="2" customFormat="1" ht="16" customHeight="1">
      <c r="A96" s="152"/>
      <c r="B96" s="78" t="s">
        <v>29</v>
      </c>
      <c r="C96" s="78"/>
      <c r="D96" s="78"/>
      <c r="E96" s="169"/>
      <c r="F96" s="170"/>
      <c r="G96" s="172"/>
      <c r="H96" s="175"/>
      <c r="M96" s="24"/>
      <c r="N96" s="25"/>
      <c r="O96" s="26"/>
      <c r="P96" s="26"/>
    </row>
    <row r="97" spans="1:16" s="2" customFormat="1" ht="16" customHeight="1">
      <c r="A97" s="152">
        <v>4</v>
      </c>
      <c r="B97" s="109" t="s">
        <v>34</v>
      </c>
      <c r="C97" s="109"/>
      <c r="D97" s="109"/>
      <c r="E97" s="169"/>
      <c r="F97" s="170"/>
      <c r="G97" s="172"/>
      <c r="H97" s="175"/>
      <c r="M97" s="24"/>
      <c r="N97" s="25"/>
      <c r="O97" s="26"/>
      <c r="P97" s="26"/>
    </row>
    <row r="98" spans="1:16" s="2" customFormat="1" ht="16" customHeight="1">
      <c r="A98" s="152"/>
      <c r="B98" s="78" t="s">
        <v>35</v>
      </c>
      <c r="C98" s="78"/>
      <c r="D98" s="78"/>
      <c r="E98" s="169"/>
      <c r="F98" s="170"/>
      <c r="G98" s="172"/>
      <c r="H98" s="175"/>
      <c r="M98" s="24"/>
      <c r="N98" s="25"/>
      <c r="O98" s="26"/>
      <c r="P98" s="26"/>
    </row>
    <row r="99" spans="1:16" s="2" customFormat="1" ht="16" customHeight="1">
      <c r="A99" s="152"/>
      <c r="B99" s="78" t="s">
        <v>36</v>
      </c>
      <c r="C99" s="78"/>
      <c r="D99" s="78"/>
      <c r="E99" s="169"/>
      <c r="F99" s="170"/>
      <c r="G99" s="172"/>
      <c r="H99" s="175"/>
      <c r="M99" s="24"/>
      <c r="N99" s="25"/>
      <c r="O99" s="26"/>
      <c r="P99" s="26"/>
    </row>
    <row r="100" spans="1:16" s="2" customFormat="1" ht="16" customHeight="1">
      <c r="A100" s="152"/>
      <c r="B100" s="78" t="s">
        <v>37</v>
      </c>
      <c r="C100" s="78"/>
      <c r="D100" s="78"/>
      <c r="E100" s="169"/>
      <c r="F100" s="170"/>
      <c r="G100" s="172"/>
      <c r="H100" s="175"/>
      <c r="M100" s="24"/>
      <c r="N100" s="25"/>
      <c r="O100" s="26"/>
      <c r="P100" s="26"/>
    </row>
    <row r="101" spans="1:16" s="2" customFormat="1" ht="16" customHeight="1">
      <c r="A101" s="152"/>
      <c r="B101" s="78" t="s">
        <v>38</v>
      </c>
      <c r="C101" s="78"/>
      <c r="D101" s="78"/>
      <c r="E101" s="169"/>
      <c r="F101" s="170"/>
      <c r="G101" s="172"/>
      <c r="H101" s="175"/>
      <c r="M101" s="24"/>
      <c r="N101" s="25"/>
      <c r="O101" s="26"/>
      <c r="P101" s="26"/>
    </row>
    <row r="102" spans="1:16" s="2" customFormat="1" ht="16" customHeight="1">
      <c r="A102" s="152"/>
      <c r="B102" s="78" t="s">
        <v>39</v>
      </c>
      <c r="C102" s="78"/>
      <c r="D102" s="78"/>
      <c r="E102" s="169"/>
      <c r="F102" s="170"/>
      <c r="G102" s="172"/>
      <c r="H102" s="175"/>
      <c r="M102" s="24"/>
      <c r="N102" s="25"/>
      <c r="O102" s="26"/>
      <c r="P102" s="26"/>
    </row>
    <row r="103" spans="1:16" s="2" customFormat="1" ht="16" customHeight="1">
      <c r="A103" s="152"/>
      <c r="B103" s="78" t="s">
        <v>40</v>
      </c>
      <c r="C103" s="78"/>
      <c r="D103" s="78"/>
      <c r="E103" s="169"/>
      <c r="F103" s="170"/>
      <c r="G103" s="172"/>
      <c r="H103" s="175"/>
      <c r="M103" s="24"/>
      <c r="N103" s="25"/>
      <c r="O103" s="26"/>
      <c r="P103" s="26"/>
    </row>
    <row r="104" spans="1:16" s="2" customFormat="1" ht="16" customHeight="1">
      <c r="A104" s="152"/>
      <c r="B104" s="78" t="s">
        <v>41</v>
      </c>
      <c r="C104" s="78"/>
      <c r="D104" s="78"/>
      <c r="E104" s="169"/>
      <c r="F104" s="170"/>
      <c r="G104" s="172"/>
      <c r="H104" s="175"/>
      <c r="M104" s="24"/>
      <c r="N104" s="25"/>
      <c r="O104" s="26"/>
      <c r="P104" s="26"/>
    </row>
    <row r="105" spans="1:16" s="2" customFormat="1" ht="16" customHeight="1">
      <c r="A105" s="152"/>
      <c r="B105" s="78" t="s">
        <v>42</v>
      </c>
      <c r="C105" s="78"/>
      <c r="D105" s="78"/>
      <c r="E105" s="169"/>
      <c r="F105" s="170"/>
      <c r="G105" s="172"/>
      <c r="H105" s="175"/>
      <c r="M105" s="24"/>
      <c r="N105" s="25"/>
      <c r="O105" s="26"/>
      <c r="P105" s="26"/>
    </row>
    <row r="106" spans="1:16" s="2" customFormat="1" ht="16" customHeight="1">
      <c r="A106" s="152"/>
      <c r="B106" s="110" t="s">
        <v>43</v>
      </c>
      <c r="C106" s="110"/>
      <c r="D106" s="110"/>
      <c r="E106" s="169"/>
      <c r="F106" s="170"/>
      <c r="G106" s="172"/>
      <c r="H106" s="175"/>
      <c r="M106" s="24"/>
      <c r="N106" s="25"/>
      <c r="O106" s="26"/>
      <c r="P106" s="26"/>
    </row>
    <row r="107" spans="1:16" s="2" customFormat="1" ht="16" customHeight="1">
      <c r="A107" s="107" t="s">
        <v>56</v>
      </c>
      <c r="B107" s="108"/>
      <c r="C107" s="108"/>
      <c r="D107" s="108"/>
      <c r="E107" s="169"/>
      <c r="F107" s="170"/>
      <c r="G107" s="172"/>
      <c r="H107" s="175"/>
      <c r="M107" s="24"/>
      <c r="N107" s="25"/>
      <c r="O107" s="26"/>
      <c r="P107" s="26"/>
    </row>
    <row r="108" spans="1:16" s="2" customFormat="1" ht="16" customHeight="1">
      <c r="A108" s="150" t="s">
        <v>57</v>
      </c>
      <c r="B108" s="151"/>
      <c r="C108" s="151"/>
      <c r="D108" s="151"/>
      <c r="E108" s="169"/>
      <c r="F108" s="170"/>
      <c r="G108" s="172"/>
      <c r="H108" s="175"/>
      <c r="M108" s="24"/>
      <c r="N108" s="25"/>
      <c r="O108" s="26"/>
      <c r="P108" s="26"/>
    </row>
    <row r="109" spans="1:16" s="2" customFormat="1" ht="16" customHeight="1">
      <c r="A109" s="65" t="s">
        <v>61</v>
      </c>
      <c r="B109" s="66"/>
      <c r="C109" s="81" t="s">
        <v>70</v>
      </c>
      <c r="D109" s="82"/>
      <c r="E109" s="169"/>
      <c r="F109" s="170"/>
      <c r="G109" s="172"/>
      <c r="H109" s="175"/>
      <c r="M109" s="24"/>
      <c r="N109" s="25"/>
      <c r="O109" s="26"/>
      <c r="P109" s="26"/>
    </row>
    <row r="110" spans="1:16" s="2" customFormat="1" ht="16" customHeight="1">
      <c r="A110" s="67" t="s">
        <v>58</v>
      </c>
      <c r="B110" s="68"/>
      <c r="C110" s="81" t="s">
        <v>81</v>
      </c>
      <c r="D110" s="82"/>
      <c r="E110" s="169"/>
      <c r="F110" s="170"/>
      <c r="G110" s="172"/>
      <c r="H110" s="175"/>
      <c r="M110" s="24"/>
      <c r="N110" s="25"/>
      <c r="O110" s="26"/>
      <c r="P110" s="26"/>
    </row>
    <row r="111" spans="1:16" s="2" customFormat="1" ht="16" customHeight="1">
      <c r="A111" s="63" t="s">
        <v>59</v>
      </c>
      <c r="B111" s="64"/>
      <c r="C111" s="81" t="s">
        <v>76</v>
      </c>
      <c r="D111" s="82"/>
      <c r="E111" s="169"/>
      <c r="F111" s="170"/>
      <c r="G111" s="172"/>
      <c r="H111" s="175"/>
      <c r="M111" s="24"/>
      <c r="N111" s="25"/>
      <c r="O111" s="26"/>
      <c r="P111" s="26"/>
    </row>
    <row r="112" spans="1:16" s="2" customFormat="1" ht="16" customHeight="1">
      <c r="A112" s="61" t="s">
        <v>54</v>
      </c>
      <c r="B112" s="62"/>
      <c r="C112" s="81" t="s">
        <v>82</v>
      </c>
      <c r="D112" s="82"/>
      <c r="E112" s="157"/>
      <c r="F112" s="60"/>
      <c r="G112" s="173"/>
      <c r="H112" s="176"/>
      <c r="M112" s="24"/>
      <c r="N112" s="25"/>
      <c r="O112" s="26"/>
      <c r="P112" s="26"/>
    </row>
    <row r="113" spans="1:10" s="2" customFormat="1" ht="15" customHeight="1">
      <c r="A113" s="55"/>
      <c r="B113" s="56"/>
      <c r="C113" s="56"/>
      <c r="D113" s="57"/>
      <c r="E113" s="156"/>
      <c r="F113" s="57"/>
      <c r="G113" s="158"/>
      <c r="H113" s="132"/>
      <c r="J113" s="8"/>
    </row>
    <row r="114" spans="1:10" s="2" customFormat="1" ht="15" customHeight="1">
      <c r="A114" s="58"/>
      <c r="B114" s="59"/>
      <c r="C114" s="59"/>
      <c r="D114" s="60"/>
      <c r="E114" s="157"/>
      <c r="F114" s="60"/>
      <c r="G114" s="159"/>
      <c r="H114" s="160"/>
      <c r="J114" s="8"/>
    </row>
    <row r="115" spans="1:10" s="2" customFormat="1" ht="23.25" customHeight="1">
      <c r="A115" s="153" t="s">
        <v>23</v>
      </c>
      <c r="B115" s="154"/>
      <c r="C115" s="154"/>
      <c r="D115" s="155"/>
      <c r="E115" s="161">
        <f>SUM(E17:F114)</f>
        <v>107</v>
      </c>
      <c r="F115" s="162"/>
      <c r="G115" s="28"/>
      <c r="H115" s="45">
        <f>ROUND(SUM(H17:H114),0)</f>
        <v>122592000</v>
      </c>
    </row>
    <row r="116" spans="1:10" s="2" customFormat="1" ht="16.5" customHeight="1">
      <c r="A116" s="99"/>
      <c r="B116" s="100"/>
      <c r="C116" s="100"/>
      <c r="D116" s="100"/>
      <c r="E116" s="100"/>
      <c r="F116" s="100"/>
      <c r="G116" s="100"/>
      <c r="H116" s="101"/>
    </row>
    <row r="117" spans="1:10">
      <c r="A117" s="99"/>
      <c r="B117" s="100"/>
      <c r="C117" s="100"/>
      <c r="D117" s="100"/>
      <c r="E117" s="100"/>
      <c r="F117" s="100"/>
      <c r="G117" s="100"/>
      <c r="H117" s="101"/>
      <c r="J117" s="27"/>
    </row>
    <row r="118" spans="1:10" ht="15" thickBot="1">
      <c r="A118" s="102"/>
      <c r="B118" s="103"/>
      <c r="C118" s="103"/>
      <c r="D118" s="103"/>
      <c r="E118" s="103"/>
      <c r="F118" s="103"/>
      <c r="G118" s="103"/>
      <c r="H118" s="104"/>
    </row>
    <row r="119" spans="1:10" ht="15">
      <c r="A119" s="11"/>
    </row>
    <row r="120" spans="1:10" ht="15">
      <c r="A120" s="11"/>
    </row>
    <row r="122" spans="1:10">
      <c r="E122" s="12"/>
    </row>
    <row r="123" spans="1:10">
      <c r="E123" s="12"/>
    </row>
    <row r="124" spans="1:10">
      <c r="E124" s="12"/>
    </row>
    <row r="125" spans="1:10">
      <c r="E125" s="12"/>
    </row>
    <row r="126" spans="1:10">
      <c r="E126" s="12"/>
    </row>
    <row r="127" spans="1:10">
      <c r="E127" s="12"/>
    </row>
    <row r="128" spans="1:10" ht="15">
      <c r="E128" s="12"/>
      <c r="H128" s="13"/>
    </row>
    <row r="129" spans="1:10" ht="15">
      <c r="E129" s="14"/>
      <c r="F129" s="14"/>
      <c r="H129" s="15"/>
    </row>
    <row r="130" spans="1:10" ht="15">
      <c r="C130" s="13"/>
      <c r="D130" s="16"/>
      <c r="E130" s="14"/>
      <c r="F130" s="14"/>
      <c r="H130" s="15"/>
    </row>
    <row r="131" spans="1:10" ht="15">
      <c r="C131" s="13"/>
      <c r="D131" s="16"/>
      <c r="E131" s="14"/>
      <c r="F131" s="14"/>
      <c r="H131" s="15"/>
    </row>
    <row r="132" spans="1:10" ht="15">
      <c r="C132" s="13"/>
      <c r="D132" s="16"/>
      <c r="E132" s="14"/>
      <c r="F132" s="14"/>
      <c r="H132" s="15"/>
    </row>
    <row r="133" spans="1:10" s="20" customFormat="1" ht="16" thickBot="1">
      <c r="A133" s="17"/>
      <c r="B133" s="17"/>
      <c r="C133" s="17"/>
      <c r="D133" s="17"/>
      <c r="E133" s="18"/>
      <c r="F133" s="18"/>
      <c r="G133" s="17"/>
      <c r="H133" s="19"/>
    </row>
    <row r="134" spans="1:10" ht="15">
      <c r="E134" s="14"/>
      <c r="F134" s="14"/>
      <c r="H134" s="15"/>
    </row>
    <row r="135" spans="1:10" ht="15">
      <c r="D135" s="12"/>
      <c r="E135" s="13"/>
      <c r="F135" s="13"/>
      <c r="H135" s="9"/>
    </row>
    <row r="136" spans="1:10" ht="15">
      <c r="E136" s="13"/>
      <c r="F136" s="13"/>
      <c r="H136" s="9"/>
    </row>
    <row r="137" spans="1:10">
      <c r="E137" s="12"/>
    </row>
    <row r="138" spans="1:10">
      <c r="E138" s="12"/>
    </row>
    <row r="139" spans="1:10">
      <c r="E139" s="12"/>
    </row>
    <row r="140" spans="1:10" s="2" customFormat="1">
      <c r="E140" s="12"/>
      <c r="I140" s="8"/>
      <c r="J140" s="8"/>
    </row>
    <row r="141" spans="1:10" s="2" customFormat="1">
      <c r="E141" s="12"/>
      <c r="I141" s="8"/>
      <c r="J141" s="8"/>
    </row>
    <row r="142" spans="1:10" s="2" customFormat="1">
      <c r="E142" s="12"/>
      <c r="I142" s="8"/>
      <c r="J142" s="8"/>
    </row>
  </sheetData>
  <mergeCells count="173">
    <mergeCell ref="A82:B84"/>
    <mergeCell ref="C82:D82"/>
    <mergeCell ref="C83:D83"/>
    <mergeCell ref="A14:C15"/>
    <mergeCell ref="D14:H14"/>
    <mergeCell ref="D15:H15"/>
    <mergeCell ref="B56:D56"/>
    <mergeCell ref="B54:D54"/>
    <mergeCell ref="B53:D53"/>
    <mergeCell ref="B52:D52"/>
    <mergeCell ref="B55:D55"/>
    <mergeCell ref="A51:D51"/>
    <mergeCell ref="A21:A23"/>
    <mergeCell ref="A45:D45"/>
    <mergeCell ref="A17:D17"/>
    <mergeCell ref="B18:D18"/>
    <mergeCell ref="B20:D20"/>
    <mergeCell ref="B21:D21"/>
    <mergeCell ref="B22:D22"/>
    <mergeCell ref="B23:D23"/>
    <mergeCell ref="B19:D19"/>
    <mergeCell ref="B75:D75"/>
    <mergeCell ref="B42:D42"/>
    <mergeCell ref="A115:D115"/>
    <mergeCell ref="E113:F114"/>
    <mergeCell ref="G113:G114"/>
    <mergeCell ref="H113:H114"/>
    <mergeCell ref="E115:F115"/>
    <mergeCell ref="C7:D7"/>
    <mergeCell ref="A4:B5"/>
    <mergeCell ref="A18:A20"/>
    <mergeCell ref="E51:F85"/>
    <mergeCell ref="G51:G85"/>
    <mergeCell ref="H51:H85"/>
    <mergeCell ref="E86:F112"/>
    <mergeCell ref="G86:G112"/>
    <mergeCell ref="H86:H112"/>
    <mergeCell ref="A52:A54"/>
    <mergeCell ref="A55:A57"/>
    <mergeCell ref="A58:A61"/>
    <mergeCell ref="A62:A65"/>
    <mergeCell ref="A66:A75"/>
    <mergeCell ref="A32:A41"/>
    <mergeCell ref="A28:A31"/>
    <mergeCell ref="C81:D81"/>
    <mergeCell ref="C111:D111"/>
    <mergeCell ref="C112:D112"/>
    <mergeCell ref="C110:D110"/>
    <mergeCell ref="A108:D108"/>
    <mergeCell ref="B91:D91"/>
    <mergeCell ref="B92:D92"/>
    <mergeCell ref="B93:D93"/>
    <mergeCell ref="B94:D94"/>
    <mergeCell ref="B87:D87"/>
    <mergeCell ref="B88:D88"/>
    <mergeCell ref="C109:D109"/>
    <mergeCell ref="A87:A89"/>
    <mergeCell ref="A90:A92"/>
    <mergeCell ref="A93:A96"/>
    <mergeCell ref="A97:A106"/>
    <mergeCell ref="B100:D100"/>
    <mergeCell ref="B99:D99"/>
    <mergeCell ref="B98:D98"/>
    <mergeCell ref="B97:D97"/>
    <mergeCell ref="B89:D89"/>
    <mergeCell ref="B90:D90"/>
    <mergeCell ref="B101:D101"/>
    <mergeCell ref="A80:B81"/>
    <mergeCell ref="A77:D77"/>
    <mergeCell ref="B74:D74"/>
    <mergeCell ref="C78:D78"/>
    <mergeCell ref="C79:D79"/>
    <mergeCell ref="A78:B79"/>
    <mergeCell ref="B69:D69"/>
    <mergeCell ref="B70:D70"/>
    <mergeCell ref="B65:D65"/>
    <mergeCell ref="B66:D66"/>
    <mergeCell ref="B67:D67"/>
    <mergeCell ref="B68:D68"/>
    <mergeCell ref="B71:D71"/>
    <mergeCell ref="B72:D72"/>
    <mergeCell ref="C80:D80"/>
    <mergeCell ref="J24:L24"/>
    <mergeCell ref="J25:L25"/>
    <mergeCell ref="J26:L26"/>
    <mergeCell ref="A44:D44"/>
    <mergeCell ref="C46:D46"/>
    <mergeCell ref="C47:D47"/>
    <mergeCell ref="C48:D48"/>
    <mergeCell ref="C49:D49"/>
    <mergeCell ref="C50:D50"/>
    <mergeCell ref="B29:D29"/>
    <mergeCell ref="B30:D30"/>
    <mergeCell ref="B24:D24"/>
    <mergeCell ref="B25:D25"/>
    <mergeCell ref="A24:A27"/>
    <mergeCell ref="B26:D26"/>
    <mergeCell ref="E17:F41"/>
    <mergeCell ref="E42:F42"/>
    <mergeCell ref="G17:G41"/>
    <mergeCell ref="H17:H41"/>
    <mergeCell ref="B43:D43"/>
    <mergeCell ref="E43:F43"/>
    <mergeCell ref="A116:H116"/>
    <mergeCell ref="A117:H117"/>
    <mergeCell ref="A118:H118"/>
    <mergeCell ref="B27:D27"/>
    <mergeCell ref="B28:D28"/>
    <mergeCell ref="A107:D107"/>
    <mergeCell ref="B32:D32"/>
    <mergeCell ref="B41:D41"/>
    <mergeCell ref="B31:D31"/>
    <mergeCell ref="B33:D33"/>
    <mergeCell ref="B34:D34"/>
    <mergeCell ref="B35:D35"/>
    <mergeCell ref="B36:D36"/>
    <mergeCell ref="B37:D37"/>
    <mergeCell ref="B38:D38"/>
    <mergeCell ref="B39:D39"/>
    <mergeCell ref="B40:D40"/>
    <mergeCell ref="B63:D63"/>
    <mergeCell ref="B106:D106"/>
    <mergeCell ref="B105:D105"/>
    <mergeCell ref="B104:D104"/>
    <mergeCell ref="B103:D103"/>
    <mergeCell ref="B102:D102"/>
    <mergeCell ref="B58:D58"/>
    <mergeCell ref="C4:D4"/>
    <mergeCell ref="A9:B9"/>
    <mergeCell ref="A10:B10"/>
    <mergeCell ref="A12:C12"/>
    <mergeCell ref="D12:H12"/>
    <mergeCell ref="A13:C13"/>
    <mergeCell ref="D13:H13"/>
    <mergeCell ref="A8:B8"/>
    <mergeCell ref="A6:B6"/>
    <mergeCell ref="A7:B7"/>
    <mergeCell ref="E4:H4"/>
    <mergeCell ref="E5:H5"/>
    <mergeCell ref="E6:H6"/>
    <mergeCell ref="E7:H7"/>
    <mergeCell ref="E8:H8"/>
    <mergeCell ref="C5:D5"/>
    <mergeCell ref="C6:D6"/>
    <mergeCell ref="C8:D8"/>
    <mergeCell ref="C9:D9"/>
    <mergeCell ref="C10:D10"/>
    <mergeCell ref="E9:H9"/>
    <mergeCell ref="E10:H10"/>
    <mergeCell ref="A113:D114"/>
    <mergeCell ref="A85:B85"/>
    <mergeCell ref="A46:B46"/>
    <mergeCell ref="A47:B47"/>
    <mergeCell ref="A48:B48"/>
    <mergeCell ref="A49:B49"/>
    <mergeCell ref="A50:B50"/>
    <mergeCell ref="A109:B109"/>
    <mergeCell ref="A110:B110"/>
    <mergeCell ref="A112:B112"/>
    <mergeCell ref="A111:B111"/>
    <mergeCell ref="B73:D73"/>
    <mergeCell ref="B64:D64"/>
    <mergeCell ref="B57:D57"/>
    <mergeCell ref="B59:D59"/>
    <mergeCell ref="B60:D60"/>
    <mergeCell ref="B62:D62"/>
    <mergeCell ref="B96:D96"/>
    <mergeCell ref="B95:D95"/>
    <mergeCell ref="A86:D86"/>
    <mergeCell ref="C85:D85"/>
    <mergeCell ref="C84:D84"/>
    <mergeCell ref="B61:D61"/>
    <mergeCell ref="A76:D76"/>
  </mergeCells>
  <phoneticPr fontId="5" type="noConversion"/>
  <pageMargins left="0.59055118110236227" right="0.59055118110236227" top="0.94488188976377963" bottom="0.74803149606299213" header="0.31496062992125984" footer="0.31496062992125984"/>
  <pageSetup paperSize="9" scale="75" fitToHeight="0" orientation="portrait" r:id="rId1"/>
  <headerFooter alignWithMargins="0"/>
  <drawing r:id="rId2"/>
  <legacyDrawingHF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견적</vt:lpstr>
      <vt:lpstr>견적!Print_Area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sweetjam</dc:creator>
  <cp:lastModifiedBy>김 현기</cp:lastModifiedBy>
  <cp:lastPrinted>2023-04-04T06:34:45Z</cp:lastPrinted>
  <dcterms:created xsi:type="dcterms:W3CDTF">2016-06-28T02:01:49Z</dcterms:created>
  <dcterms:modified xsi:type="dcterms:W3CDTF">2024-02-05T06:56:56Z</dcterms:modified>
</cp:coreProperties>
</file>