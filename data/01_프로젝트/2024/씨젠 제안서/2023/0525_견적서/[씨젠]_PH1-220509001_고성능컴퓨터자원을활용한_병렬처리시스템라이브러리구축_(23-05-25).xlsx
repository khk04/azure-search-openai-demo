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GoogleDrive-khkraining@falinux.com/.shortcut-targets-by-id/11ceC0g-I0klPgGkSZLyz0DLqJ5fVQSEO/씨젠 제안서/2023/0525_견적서/"/>
    </mc:Choice>
  </mc:AlternateContent>
  <xr:revisionPtr revIDLastSave="0" documentId="13_ncr:1_{252D2164-D203-FC41-A5CF-4890BFF08725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견적" sheetId="2" r:id="rId1"/>
    <sheet name="1" sheetId="17" r:id="rId2"/>
    <sheet name="2" sheetId="16" r:id="rId3"/>
    <sheet name="3" sheetId="18" r:id="rId4"/>
  </sheets>
  <definedNames>
    <definedName name="_xlnm.Print_Area" localSheetId="0">견적!$A$1:$H$54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5" roundtripDataSignature="AMtx7mgw7bgpGbguO0OmDOXFFG7V0cklkQ=="/>
    </ext>
  </extLst>
</workbook>
</file>

<file path=xl/calcChain.xml><?xml version="1.0" encoding="utf-8"?>
<calcChain xmlns="http://schemas.openxmlformats.org/spreadsheetml/2006/main">
  <c r="E51" i="2" l="1"/>
  <c r="H45" i="2" l="1"/>
  <c r="H43" i="2"/>
  <c r="H42" i="2"/>
  <c r="H39" i="2"/>
  <c r="H37" i="2"/>
  <c r="H35" i="2"/>
  <c r="H33" i="2"/>
  <c r="H31" i="2"/>
  <c r="H30" i="2"/>
  <c r="H27" i="2"/>
  <c r="H38" i="2" s="1"/>
  <c r="H25" i="2"/>
  <c r="H24" i="2"/>
  <c r="H23" i="2"/>
  <c r="H21" i="2"/>
  <c r="H18" i="2"/>
  <c r="H17" i="2"/>
  <c r="H49" i="2"/>
  <c r="H47" i="2"/>
  <c r="H12" i="18" l="1"/>
  <c r="E12" i="18"/>
  <c r="H2" i="18"/>
  <c r="F30" i="17"/>
  <c r="F26" i="17"/>
  <c r="F18" i="17"/>
  <c r="D38" i="17"/>
  <c r="F34" i="17"/>
  <c r="F6" i="17"/>
  <c r="F2" i="17"/>
  <c r="D45" i="16"/>
  <c r="F41" i="16"/>
  <c r="F33" i="16"/>
  <c r="F25" i="16"/>
  <c r="F18" i="16"/>
  <c r="F14" i="16"/>
  <c r="F2" i="16"/>
  <c r="F45" i="16" l="1"/>
  <c r="E38" i="17"/>
  <c r="H26" i="2" l="1"/>
  <c r="H50" i="2" l="1"/>
  <c r="H51" i="2" s="1"/>
  <c r="D14" i="2" l="1"/>
  <c r="D15" i="2"/>
</calcChain>
</file>

<file path=xl/sharedStrings.xml><?xml version="1.0" encoding="utf-8"?>
<sst xmlns="http://schemas.openxmlformats.org/spreadsheetml/2006/main" count="151" uniqueCount="135">
  <si>
    <t>NO</t>
  </si>
  <si>
    <t>견     적     서</t>
    <phoneticPr fontId="7" type="noConversion"/>
  </si>
  <si>
    <t>(주)씨젠</t>
    <phoneticPr fontId="9" type="noConversion"/>
  </si>
  <si>
    <t xml:space="preserve">  에프에이리눅스 주식회사    오  재  경</t>
    <phoneticPr fontId="9" type="noConversion"/>
  </si>
  <si>
    <t xml:space="preserve">  (16006)  경기도 의왕시 포일동 653</t>
    <phoneticPr fontId="9" type="noConversion"/>
  </si>
  <si>
    <t>T E L</t>
    <phoneticPr fontId="11" type="noConversion"/>
  </si>
  <si>
    <t xml:space="preserve">              인덕원IT밸리 B동 1001호</t>
    <phoneticPr fontId="9" type="noConversion"/>
  </si>
  <si>
    <t>F A X</t>
    <phoneticPr fontId="11" type="noConversion"/>
  </si>
  <si>
    <t xml:space="preserve">  TEL/FAX : 02-572-9527 / 070-7862-5155</t>
    <phoneticPr fontId="9" type="noConversion"/>
  </si>
  <si>
    <t>견적일자</t>
    <phoneticPr fontId="9" type="noConversion"/>
  </si>
  <si>
    <t xml:space="preserve">  담  당 : 박문식 이사</t>
    <phoneticPr fontId="9" type="noConversion"/>
  </si>
  <si>
    <t>견적번호</t>
    <phoneticPr fontId="9" type="noConversion"/>
  </si>
  <si>
    <t xml:space="preserve">  연락처 : 070-7862-5148/010-9429-7998</t>
    <phoneticPr fontId="9" type="noConversion"/>
  </si>
  <si>
    <t>유효기간</t>
    <phoneticPr fontId="9" type="noConversion"/>
  </si>
  <si>
    <t xml:space="preserve">  E-mail : boggle70@falinux.com</t>
    <phoneticPr fontId="9" type="noConversion"/>
  </si>
  <si>
    <t>견    적    명</t>
    <phoneticPr fontId="9" type="noConversion"/>
  </si>
  <si>
    <t>납           기</t>
    <phoneticPr fontId="9" type="noConversion"/>
  </si>
  <si>
    <t>합  계  금  액</t>
    <phoneticPr fontId="7" type="noConversion"/>
  </si>
  <si>
    <t>품         명</t>
    <phoneticPr fontId="7" type="noConversion"/>
  </si>
  <si>
    <t>규   격</t>
    <phoneticPr fontId="7" type="noConversion"/>
  </si>
  <si>
    <t>수 량</t>
    <phoneticPr fontId="7" type="noConversion"/>
  </si>
  <si>
    <t>단    가</t>
    <phoneticPr fontId="7" type="noConversion"/>
  </si>
  <si>
    <t>금    액</t>
    <phoneticPr fontId="7" type="noConversion"/>
  </si>
  <si>
    <t>합            계</t>
    <phoneticPr fontId="7" type="noConversion"/>
  </si>
  <si>
    <t>받으실분</t>
    <phoneticPr fontId="9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</si>
  <si>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</si>
  <si>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9" type="noConversion"/>
  </si>
  <si>
    <t xml:space="preserve">  02-2195-6266 / 010-8682-1192</t>
    <phoneticPr fontId="3" type="noConversion"/>
  </si>
  <si>
    <t>* 상세 사항은 별첨되는 요구사항정의서를 참조.</t>
    <phoneticPr fontId="3" type="noConversion"/>
  </si>
  <si>
    <t>모니터링 시스템용 하드웨어 구입</t>
    <phoneticPr fontId="3" type="noConversion"/>
  </si>
  <si>
    <t>CI / CD 시스템 구축</t>
    <phoneticPr fontId="3" type="noConversion"/>
  </si>
  <si>
    <t>CPU: 인텔 i9-12세대 12900F</t>
  </si>
  <si>
    <t>M/B: GIGABYTE Z690 UD</t>
  </si>
  <si>
    <t>RAM: DDR 5 16 X 2= 32 GB</t>
  </si>
  <si>
    <t>SSD: 삼성 980 PRO M2 1TB</t>
  </si>
  <si>
    <t>HDD: WD 8TB</t>
  </si>
  <si>
    <t>VGA: AMD RX6400 4GB</t>
  </si>
  <si>
    <t>POWER: 시소닉 600W SSR-600</t>
  </si>
  <si>
    <t>CASE: 잘만 N3 FM 블랙</t>
  </si>
  <si>
    <t>LG 모니터 모니터: LG 32UN650 * 2</t>
    <phoneticPr fontId="3" type="noConversion"/>
  </si>
  <si>
    <t xml:space="preserve"> 데이터베이스 모니터링 시스템 구축</t>
  </si>
  <si>
    <t xml:space="preserve"> 계산노드의 스케쥴러의 상태 모니터링 시스템 구축</t>
  </si>
  <si>
    <t xml:space="preserve"> 계산노드의 IPMI를 통한 시스템 모니터링 구축</t>
  </si>
  <si>
    <t xml:space="preserve"> On-Premise 와 HPC 을 인터페이스 구축</t>
  </si>
  <si>
    <t>NO</t>
    <phoneticPr fontId="3" type="noConversion"/>
  </si>
  <si>
    <t>품명</t>
    <phoneticPr fontId="3" type="noConversion"/>
  </si>
  <si>
    <t>규격</t>
    <phoneticPr fontId="3" type="noConversion"/>
  </si>
  <si>
    <t>수량</t>
    <phoneticPr fontId="3" type="noConversion"/>
  </si>
  <si>
    <t>금액</t>
    <phoneticPr fontId="3" type="noConversion"/>
  </si>
  <si>
    <t>단가</t>
    <phoneticPr fontId="3" type="noConversion"/>
  </si>
  <si>
    <t>계</t>
    <phoneticPr fontId="3" type="noConversion"/>
  </si>
  <si>
    <t xml:space="preserve">  - 슬로우 쿼리를 수집 및 모니터링 소프트웨 개발</t>
  </si>
  <si>
    <t xml:space="preserve">  - CRUD 로그 수집 및 모니터링 소프트웨어 개발</t>
  </si>
  <si>
    <t xml:space="preserve">  - 사용량, 트렌잭션 등, 리로스 모니터링 소프트웨어 개발</t>
  </si>
  <si>
    <t xml:space="preserve">   계산노드 리소스 모니터링 시스템 구축</t>
  </si>
  <si>
    <t xml:space="preserve">  - 각 노드별 설정된 시간 간격으로 리소스 사용량 데이터 수집 및 모니터링 소프트웨어 개발</t>
  </si>
  <si>
    <t xml:space="preserve">  - 각 노드별 SWAP, RUNQUE, PAGE IN, PAGE OUT 등의 데이터 수집및모니터링소프트웨어개발</t>
  </si>
  <si>
    <t xml:space="preserve">  - 계산노드들의 정보를 통합 모니터링 소프트웨어 시스템 구축</t>
  </si>
  <si>
    <t xml:space="preserve">  - 노드별 JOB 수행 현황을 수집 및 모니터링 소프트웨어 개발</t>
  </si>
  <si>
    <t xml:space="preserve">  - 노드별 JOB의 이력 및 통계 수집 및 모니터링 소프트웨어 개발</t>
  </si>
  <si>
    <t xml:space="preserve">  - 노드별 대기중인  JOB 수집 및 모니터링 소프트웨어 개발</t>
  </si>
  <si>
    <t xml:space="preserve">  - 계산노드들의 전원 제어 소프트웨어 구축</t>
  </si>
  <si>
    <t xml:space="preserve">  - 계산노드들의 전원 상태 모니터링 소프트웨어 구축</t>
  </si>
  <si>
    <t xml:space="preserve">  - BMC 자체의 전원 상태 모니터링 및 제어 소프트웨어 구축</t>
  </si>
  <si>
    <t xml:space="preserve">   On-Premise 환경 설정 및 구축</t>
  </si>
  <si>
    <t xml:space="preserve">  - 각 노드별 쿠버네티스 1.6 버전 이상 구축</t>
  </si>
  <si>
    <t xml:space="preserve">  - 가용한 하드웨어(서버)에 On-Premise 환경 구축</t>
  </si>
  <si>
    <t xml:space="preserve">  - 하드웨어(서버)의 scale-out을 고려한 환경 구축</t>
  </si>
  <si>
    <t xml:space="preserve">  - 어플리케이션을 HPC 시스템에 수행할 수 있도록 컨테이너화 및 구축</t>
  </si>
  <si>
    <t xml:space="preserve">   - HPC 시스템, On-Premise 간 메시지 기반 프로토콜  구축 		</t>
  </si>
  <si>
    <t xml:space="preserve">  - On-premise 와 데이터베이스 간 인터페이스 구축</t>
  </si>
  <si>
    <t xml:space="preserve">   OCI 표준 지원하는 컨테이너 레지스트리 구축</t>
  </si>
  <si>
    <t xml:space="preserve">  - On-premise 에 실행할 수 있는 컨테이너의 이미지 저장소 구축</t>
  </si>
  <si>
    <t xml:space="preserve">  - 이미지 저장소의 이미지 업데이트  소프트웨어 구축</t>
  </si>
  <si>
    <t xml:space="preserve">  - 이미지 저장소의 이미지 version tag 소프트웨어 구축</t>
  </si>
  <si>
    <t xml:space="preserve">   계산 노드 및 On-Premise 환경에 특화된 알람 시스템 구축</t>
  </si>
  <si>
    <t xml:space="preserve">  - 데이터베이스에서 필요한 알람 설정 및 통보 기능 소프트웨어 구축</t>
  </si>
  <si>
    <t xml:space="preserve">  - 계산노드에서 필요한 알람 설정 및 통보 기능 소프트웨어 구축</t>
  </si>
  <si>
    <t xml:space="preserve">  - On-premise에서 수행되는 마이크로 서비스의 상태 설정 및 통보및 소프트웨어 구축</t>
  </si>
  <si>
    <t xml:space="preserve">   MTOD의 어플리케이션 이식성을 위한 컨테이너 작업</t>
  </si>
  <si>
    <t xml:space="preserve">  - AutoMSA의 동작 시 참조되는 리소스의 분석 및 컨테이너 작업</t>
  </si>
  <si>
    <t xml:space="preserve">  - MultiTom의 동작 시 참조되는 리소스의 분석 및 컨테이너 작업</t>
  </si>
  <si>
    <t xml:space="preserve">  -  SCT 의 동작 시 참조되는 리소스의 분석 및 컨테이너 작업</t>
  </si>
  <si>
    <r>
      <rPr>
        <b/>
        <sz val="11"/>
        <color theme="1"/>
        <rFont val="Calibri"/>
        <family val="2"/>
        <charset val="129"/>
      </rPr>
      <t>계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</si>
  <si>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컨테이너로 동작 가능한 Argo 서비스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</si>
  <si>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유닛테스트가 사용자의 WorkFlow에 수행되도록 하는 소프트웨어 개발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</si>
  <si>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마이크로 서비스로 동작할 수 있는 소프트웨어 개발</t>
    </r>
    <phoneticPr fontId="3" type="noConversion"/>
  </si>
  <si>
    <r>
      <t xml:space="preserve"> CI /CD </t>
    </r>
    <r>
      <rPr>
        <b/>
        <sz val="11"/>
        <color theme="1"/>
        <rFont val="Malgun Gothic"/>
        <family val="2"/>
        <charset val="129"/>
      </rPr>
      <t>를 활용한 자동화 빌드 시스템 구축</t>
    </r>
    <phoneticPr fontId="3" type="noConversion"/>
  </si>
  <si>
    <r>
      <t xml:space="preserve">  - Daily Build </t>
    </r>
    <r>
      <rPr>
        <b/>
        <sz val="11"/>
        <color theme="1"/>
        <rFont val="Malgun Gothic"/>
        <family val="2"/>
        <charset val="129"/>
      </rPr>
      <t>빌드를 지원하는 소프트웨어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</si>
  <si>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응용소프트웨어에 필요한 패키징 버전 의존성 지원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</si>
  <si>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스모크테스트를 지원하는 응용 컨테이너 지원 시스템 구축</t>
    </r>
    <phoneticPr fontId="3" type="noConversion"/>
  </si>
  <si>
    <r>
      <t xml:space="preserve"> CI / CD </t>
    </r>
    <r>
      <rPr>
        <b/>
        <sz val="11"/>
        <color theme="1"/>
        <rFont val="Malgun Gothic"/>
        <family val="2"/>
        <charset val="129"/>
      </rPr>
      <t>형상관리 시스템과의 인터페이스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</si>
  <si>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형관관리 시스템과의 WebHook을 통한 인터페이스 지원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</si>
  <si>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응용 컨테이너와 개발되는 응용소프트웨어와의 인터페이스 소프트웨어 개발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</si>
  <si>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형상관리 Event 처리 지원하는  CI/CD 인터페이스 시스템 구축</t>
    </r>
    <phoneticPr fontId="3" type="noConversion"/>
  </si>
  <si>
    <r>
      <t xml:space="preserve">   </t>
    </r>
    <r>
      <rPr>
        <b/>
        <sz val="11"/>
        <color theme="1"/>
        <rFont val="Malgun Gothic"/>
        <family val="2"/>
        <charset val="129"/>
      </rPr>
      <t>산출물 관리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</si>
  <si>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응용프로그램의 산출물 업,다운로드 지원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</si>
  <si>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운영체제별 파일 공유 지원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</si>
  <si>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응용 컨테이너의 산출물 이력 통합 관리 시스템 구축</t>
    </r>
    <phoneticPr fontId="3" type="noConversion"/>
  </si>
  <si>
    <r>
      <t xml:space="preserve">   Network bandwidth </t>
    </r>
    <r>
      <rPr>
        <b/>
        <sz val="11"/>
        <color theme="1"/>
        <rFont val="Malgun Gothic"/>
        <family val="2"/>
        <charset val="129"/>
      </rPr>
      <t>프로파일링 시스템 구축</t>
    </r>
    <phoneticPr fontId="3" type="noConversion"/>
  </si>
  <si>
    <r>
      <t xml:space="preserve">  - NIC </t>
    </r>
    <r>
      <rPr>
        <b/>
        <sz val="11"/>
        <color theme="1"/>
        <rFont val="Malgun Gothic"/>
        <family val="2"/>
        <charset val="129"/>
      </rPr>
      <t>장치 라우팅 정보 수집 및 프로파일링 시스템 구축</t>
    </r>
    <phoneticPr fontId="3" type="noConversion"/>
  </si>
  <si>
    <r>
      <t xml:space="preserve">  - InfiniBand </t>
    </r>
    <r>
      <rPr>
        <b/>
        <sz val="11"/>
        <color theme="1"/>
        <rFont val="Malgun Gothic"/>
        <family val="2"/>
        <charset val="129"/>
      </rPr>
      <t>의 network traffic 수집 및 프로파일링 시스템 구축</t>
    </r>
    <phoneticPr fontId="3" type="noConversion"/>
  </si>
  <si>
    <r>
      <t xml:space="preserve">  - Network Gateway  </t>
    </r>
    <r>
      <rPr>
        <b/>
        <sz val="11"/>
        <color theme="1"/>
        <rFont val="Malgun Gothic"/>
        <family val="2"/>
        <charset val="129"/>
      </rPr>
      <t>및 retry count의 통합 지원 프로파일링 시스템 구축</t>
    </r>
    <phoneticPr fontId="3" type="noConversion"/>
  </si>
  <si>
    <r>
      <t xml:space="preserve"> </t>
    </r>
    <r>
      <rPr>
        <b/>
        <sz val="11"/>
        <color theme="1"/>
        <rFont val="Malgun Gothic"/>
        <family val="2"/>
        <charset val="129"/>
      </rPr>
      <t>연산노드 성능평가를 위한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</si>
  <si>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성능평가를 위한 밴치마크 환경구축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</si>
  <si>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성능평가를 위한 밴치마크 패키징 지원 시스템 구축</t>
    </r>
    <phoneticPr fontId="3" type="noConversion"/>
  </si>
  <si>
    <r>
      <t xml:space="preserve">  - free, buffered, cached</t>
    </r>
    <r>
      <rPr>
        <b/>
        <sz val="11"/>
        <color theme="1"/>
        <rFont val="Malgun Gothic"/>
        <family val="2"/>
        <charset val="129"/>
      </rPr>
      <t>의 정보 지원 프로파일링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</si>
  <si>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응용컨테이너의 점유 메모리 정보 지원 프로파일링 시스템 구축</t>
    </r>
    <phoneticPr fontId="3" type="noConversion"/>
  </si>
  <si>
    <r>
      <t xml:space="preserve">  - swap </t>
    </r>
    <r>
      <rPr>
        <b/>
        <sz val="11"/>
        <color theme="1"/>
        <rFont val="Malgun Gothic"/>
        <family val="2"/>
        <charset val="129"/>
      </rPr>
      <t>의 파티션, 사용량 정보 지원 프로파일링 시스템 구축</t>
    </r>
    <phoneticPr fontId="3" type="noConversion"/>
  </si>
  <si>
    <r>
      <t xml:space="preserve"> </t>
    </r>
    <r>
      <rPr>
        <b/>
        <sz val="11"/>
        <color theme="1"/>
        <rFont val="Malgun Gothic"/>
        <family val="2"/>
        <charset val="129"/>
      </rPr>
      <t>노드별 DISK I/O 프로파일링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</si>
  <si>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시계열 형태의 I/O 사용량 정보 지원 프로파일링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</si>
  <si>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시스템 마운트된 디스크 정보 지원 프로파일링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</si>
  <si>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시스템의 I/O 점슈율 정보 지원 프로파일링 시스템 구축</t>
    </r>
    <phoneticPr fontId="3" type="noConversion"/>
  </si>
  <si>
    <r>
      <t xml:space="preserve">   </t>
    </r>
    <r>
      <rPr>
        <b/>
        <sz val="11"/>
        <color theme="1"/>
        <rFont val="Malgun Gothic"/>
        <family val="2"/>
        <charset val="129"/>
      </rPr>
      <t>작업별 리소스 점유 통계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</si>
  <si>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작업 Queue 실행노드 정보 및 점유율 통계 지원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</si>
  <si>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특정 Queue 실행 점유시간 통계 지원 소프트웨어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</si>
  <si>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유휴 Queue 시간 통계 지원 소프트웨어 구축</t>
    </r>
    <phoneticPr fontId="3" type="noConversion"/>
  </si>
  <si>
    <r>
      <t xml:space="preserve"> </t>
    </r>
    <r>
      <rPr>
        <b/>
        <sz val="11"/>
        <color theme="1"/>
        <rFont val="Malgun Gothic"/>
        <family val="2"/>
        <charset val="129"/>
      </rPr>
      <t>멀티 노드 작업 시의 연관 정보 통계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</si>
  <si>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각 노드별 실행 통계 지원 소프트웨어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</si>
  <si>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각 노드별 리소스 사용량 정보 통계 지원 소프트웨어 구축</t>
    </r>
    <phoneticPr fontId="3" type="noConversion"/>
  </si>
  <si>
    <r>
      <t xml:space="preserve">  - Queue </t>
    </r>
    <r>
      <rPr>
        <b/>
        <sz val="11"/>
        <color theme="1"/>
        <rFont val="Malgun Gothic"/>
        <family val="2"/>
        <charset val="129"/>
      </rPr>
      <t>에서 실행되는 데이터의 시계열 정보를 이용한  통계 지원 소프트웨어 구축</t>
    </r>
    <phoneticPr fontId="3" type="noConversion"/>
  </si>
  <si>
    <r>
      <t xml:space="preserve">   </t>
    </r>
    <r>
      <rPr>
        <b/>
        <sz val="11"/>
        <color theme="1"/>
        <rFont val="Malgun Gothic"/>
        <family val="2"/>
        <charset val="129"/>
      </rPr>
      <t>분석 정보의 통계 배포를 위한 알람 시스템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</si>
  <si>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임계치 지정가능한 알람 소프트웨어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</si>
  <si>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사용량 통계의 노드별, 리소스 별 알람 설정 및 알람 소프트웨어 구축</t>
    </r>
    <phoneticPr fontId="3" type="noConversion"/>
  </si>
  <si>
    <r>
      <t xml:space="preserve">  - </t>
    </r>
    <r>
      <rPr>
        <b/>
        <sz val="11"/>
        <color theme="1"/>
        <rFont val="Malgun Gothic"/>
        <family val="2"/>
        <charset val="129"/>
      </rPr>
      <t>관리노드, 계산노드별 수행되는 응용컨테이너 통보 소프트웨어 구축</t>
    </r>
    <phoneticPr fontId="3" type="noConversion"/>
  </si>
  <si>
    <t>고성능 컴퓨팅 인프라 관리/운영 시스템 구축</t>
    <phoneticPr fontId="3" type="noConversion"/>
  </si>
  <si>
    <t>소 계</t>
    <phoneticPr fontId="3" type="noConversion"/>
  </si>
  <si>
    <t>매니코어 기반 개발/테스트/Production 통합 환경 구축</t>
    <phoneticPr fontId="3" type="noConversion"/>
  </si>
  <si>
    <t>'   노드별 메모리 프로파일링 시스템 구축</t>
  </si>
  <si>
    <t>PH1-230525001</t>
    <phoneticPr fontId="3" type="noConversion"/>
  </si>
  <si>
    <t>HPC 시스템용 로그 데이터 
관리 시스템 구축</t>
    <phoneticPr fontId="30" type="noConversion"/>
  </si>
  <si>
    <t>데이터 분산 처리를 위한
인실리코 소프트웨어 
관리 시스템 구축</t>
    <phoneticPr fontId="30" type="noConversion"/>
  </si>
  <si>
    <r>
      <rPr>
        <b/>
        <sz val="11"/>
        <color theme="1"/>
        <rFont val="Malgun Gothic"/>
        <family val="2"/>
        <charset val="129"/>
      </rPr>
      <t>병렬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프로그램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데이터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및</t>
    </r>
    <r>
      <rPr>
        <b/>
        <sz val="11"/>
        <color theme="1"/>
        <rFont val="Calibri"/>
        <family val="2"/>
      </rPr>
      <t xml:space="preserve"> 
</t>
    </r>
    <r>
      <rPr>
        <b/>
        <sz val="11"/>
        <color theme="1"/>
        <rFont val="Malgun Gothic"/>
        <family val="2"/>
        <charset val="129"/>
      </rPr>
      <t>사용자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환경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구축</t>
    </r>
    <phoneticPr fontId="30" type="noConversion"/>
  </si>
  <si>
    <r>
      <t xml:space="preserve"> 별도 계약서 상의 일정 </t>
    </r>
    <r>
      <rPr>
        <sz val="11"/>
        <rFont val="Calibri"/>
        <family val="1"/>
        <scheme val="minor"/>
      </rPr>
      <t>명시</t>
    </r>
    <phoneticPr fontId="3" type="noConversion"/>
  </si>
  <si>
    <r>
      <rPr>
        <b/>
        <sz val="11"/>
        <rFont val="Batang"/>
        <family val="1"/>
      </rPr>
      <t>매니코어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Batang"/>
        <family val="1"/>
      </rPr>
      <t>기반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Batang"/>
        <family val="1"/>
      </rPr>
      <t>고성능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Batang"/>
        <family val="1"/>
      </rPr>
      <t>컴퓨터 자원 인프라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Batang"/>
        <family val="1"/>
      </rPr>
      <t>병렬처리시스템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Batang"/>
        <family val="1"/>
      </rPr>
      <t>라이브러리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Batang"/>
        <family val="1"/>
      </rPr>
      <t>통합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Batang"/>
        <family val="1"/>
      </rPr>
      <t>환경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Batang"/>
        <family val="1"/>
      </rPr>
      <t>구축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</si>
</sst>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35">
    <font>
      <sz val="11"/>
      <color theme="1"/>
      <name val="Arial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name val="Calibri"/>
      <family val="2"/>
      <scheme val="minor"/>
    </font>
    <font>
      <sz val="12"/>
      <name val="바탕체"/>
      <family val="1"/>
      <charset val="129"/>
    </font>
    <font>
      <b/>
      <sz val="11"/>
      <color theme="1"/>
      <name val="Calibri"/>
      <family val="2"/>
      <charset val="129"/>
    </font>
    <font>
      <b/>
      <sz val="10"/>
      <name val="굴림체"/>
      <family val="2"/>
      <charset val="129"/>
    </font>
    <font>
      <sz val="11"/>
      <color theme="1"/>
      <name val="Arial"/>
      <family val="2"/>
    </font>
    <font>
      <b/>
      <sz val="10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9"/>
      <name val="Malgun Gothic"/>
      <family val="2"/>
      <charset val="129"/>
    </font>
    <font>
      <b/>
      <sz val="11"/>
      <color theme="1"/>
      <name val="Arial"/>
      <family val="2"/>
    </font>
    <font>
      <b/>
      <sz val="11"/>
      <name val="Malgun Gothic"/>
      <family val="2"/>
      <charset val="129"/>
    </font>
    <font>
      <b/>
      <sz val="11"/>
      <name val="굴림체"/>
      <family val="2"/>
      <charset val="129"/>
    </font>
    <font>
      <sz val="8"/>
      <name val="Calibri"/>
      <family val="2"/>
      <charset val="129"/>
      <scheme val="minor"/>
    </font>
    <font>
      <sz val="11"/>
      <name val="Calibri"/>
      <family val="1"/>
      <scheme val="minor"/>
    </font>
    <font>
      <b/>
      <sz val="11"/>
      <name val="Calibri"/>
      <family val="1"/>
      <scheme val="minor"/>
    </font>
    <font>
      <b/>
      <sz val="11"/>
      <name val="Batang"/>
      <family val="1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5" fillId="0" borderId="0"/>
    <xf numFmtId="0" fontId="17" fillId="0" borderId="0">
      <alignment vertical="center"/>
    </xf>
    <xf numFmtId="0" fontId="20" fillId="0" borderId="0"/>
    <xf numFmtId="41" fontId="23" fillId="0" borderId="0" applyFont="0" applyFill="0" applyBorder="0" applyAlignment="0" applyProtection="0">
      <alignment vertical="center"/>
    </xf>
  </cellStyleXfs>
  <cellXfs count="204">
    <xf numFmtId="0" fontId="0" fillId="0" borderId="0" xfId="0"/>
    <xf numFmtId="0" fontId="5" fillId="0" borderId="0" xfId="1" applyFont="1">
      <alignment vertical="center"/>
    </xf>
    <xf numFmtId="0" fontId="8" fillId="0" borderId="7" xfId="1" applyFont="1" applyBorder="1" applyAlignment="1" applyProtection="1">
      <alignment horizontal="left" vertical="center"/>
      <protection locked="0"/>
    </xf>
    <xf numFmtId="0" fontId="4" fillId="0" borderId="0" xfId="1">
      <alignment vertical="center"/>
    </xf>
    <xf numFmtId="177" fontId="5" fillId="0" borderId="0" xfId="1" applyNumberFormat="1" applyFont="1">
      <alignment vertical="center"/>
    </xf>
    <xf numFmtId="0" fontId="13" fillId="0" borderId="0" xfId="1" applyFont="1">
      <alignment vertical="center"/>
    </xf>
    <xf numFmtId="9" fontId="5" fillId="0" borderId="0" xfId="1" applyNumberFormat="1" applyFont="1">
      <alignment vertical="center"/>
    </xf>
    <xf numFmtId="0" fontId="17" fillId="0" borderId="0" xfId="5">
      <alignment vertical="center"/>
    </xf>
    <xf numFmtId="0" fontId="17" fillId="0" borderId="0" xfId="5" applyAlignment="1">
      <alignment horizontal="center" vertical="center"/>
    </xf>
    <xf numFmtId="177" fontId="17" fillId="0" borderId="0" xfId="5" applyNumberFormat="1">
      <alignment vertical="center"/>
    </xf>
    <xf numFmtId="3" fontId="17" fillId="0" borderId="0" xfId="5" applyNumberFormat="1">
      <alignment vertical="center"/>
    </xf>
    <xf numFmtId="0" fontId="4" fillId="0" borderId="13" xfId="1" applyBorder="1">
      <alignment vertical="center"/>
    </xf>
    <xf numFmtId="0" fontId="10" fillId="0" borderId="0" xfId="1" applyFont="1" applyAlignment="1">
      <alignment horizontal="center" vertical="center"/>
    </xf>
    <xf numFmtId="0" fontId="5" fillId="0" borderId="0" xfId="1" applyFont="1" applyAlignment="1">
      <alignment horizontal="centerContinuous" vertical="center"/>
    </xf>
    <xf numFmtId="0" fontId="7" fillId="0" borderId="0" xfId="1" applyFont="1" applyAlignment="1" applyProtection="1">
      <alignment horizontal="centerContinuous" vertical="center"/>
      <protection locked="0"/>
    </xf>
    <xf numFmtId="0" fontId="7" fillId="0" borderId="0" xfId="1" applyFont="1" applyAlignment="1">
      <alignment horizontal="centerContinuous" vertical="center"/>
    </xf>
    <xf numFmtId="0" fontId="8" fillId="0" borderId="0" xfId="1" applyFont="1">
      <alignment vertical="center"/>
    </xf>
    <xf numFmtId="0" fontId="16" fillId="0" borderId="0" xfId="1" quotePrefix="1" applyFont="1" applyAlignment="1">
      <alignment horizontal="left" vertical="center"/>
    </xf>
    <xf numFmtId="0" fontId="16" fillId="0" borderId="2" xfId="1" quotePrefix="1" applyFont="1" applyBorder="1" applyAlignment="1">
      <alignment horizontal="left" vertical="center"/>
    </xf>
    <xf numFmtId="0" fontId="5" fillId="0" borderId="32" xfId="1" applyFont="1" applyBorder="1">
      <alignment vertical="center"/>
    </xf>
    <xf numFmtId="0" fontId="5" fillId="0" borderId="33" xfId="1" applyFont="1" applyBorder="1">
      <alignment vertical="center"/>
    </xf>
    <xf numFmtId="14" fontId="5" fillId="0" borderId="33" xfId="1" applyNumberFormat="1" applyFont="1" applyBorder="1">
      <alignment vertical="center"/>
    </xf>
    <xf numFmtId="0" fontId="5" fillId="0" borderId="34" xfId="1" applyFont="1" applyBorder="1">
      <alignment vertical="center"/>
    </xf>
    <xf numFmtId="0" fontId="6" fillId="0" borderId="35" xfId="1" applyFont="1" applyBorder="1" applyAlignment="1">
      <alignment horizontal="centerContinuous" vertical="center"/>
    </xf>
    <xf numFmtId="0" fontId="5" fillId="0" borderId="36" xfId="1" applyFont="1" applyBorder="1" applyAlignment="1">
      <alignment horizontal="centerContinuous" vertical="center"/>
    </xf>
    <xf numFmtId="0" fontId="7" fillId="0" borderId="35" xfId="1" applyFont="1" applyBorder="1" applyAlignment="1" applyProtection="1">
      <alignment horizontal="centerContinuous" vertical="center"/>
      <protection locked="0"/>
    </xf>
    <xf numFmtId="0" fontId="7" fillId="0" borderId="36" xfId="1" applyFont="1" applyBorder="1" applyAlignment="1">
      <alignment horizontal="centerContinuous" vertical="center"/>
    </xf>
    <xf numFmtId="0" fontId="8" fillId="0" borderId="38" xfId="1" applyFont="1" applyBorder="1" applyAlignment="1" applyProtection="1">
      <alignment horizontal="left" vertical="center"/>
      <protection locked="0"/>
    </xf>
    <xf numFmtId="0" fontId="8" fillId="0" borderId="36" xfId="1" applyFont="1" applyBorder="1">
      <alignment vertical="center"/>
    </xf>
    <xf numFmtId="0" fontId="16" fillId="0" borderId="37" xfId="1" quotePrefix="1" applyFont="1" applyBorder="1" applyAlignment="1">
      <alignment horizontal="left" vertical="center"/>
    </xf>
    <xf numFmtId="0" fontId="16" fillId="0" borderId="41" xfId="1" quotePrefix="1" applyFont="1" applyBorder="1" applyAlignment="1">
      <alignment horizontal="left" vertical="center"/>
    </xf>
    <xf numFmtId="0" fontId="16" fillId="0" borderId="35" xfId="1" quotePrefix="1" applyFont="1" applyBorder="1" applyAlignment="1">
      <alignment horizontal="left" vertical="center"/>
    </xf>
    <xf numFmtId="0" fontId="16" fillId="0" borderId="36" xfId="1" quotePrefix="1" applyFont="1" applyBorder="1" applyAlignment="1">
      <alignment horizontal="left" vertical="center"/>
    </xf>
    <xf numFmtId="0" fontId="16" fillId="0" borderId="42" xfId="1" applyFont="1" applyBorder="1">
      <alignment vertical="center"/>
    </xf>
    <xf numFmtId="0" fontId="16" fillId="0" borderId="13" xfId="1" applyFont="1" applyBorder="1">
      <alignment vertical="center"/>
    </xf>
    <xf numFmtId="0" fontId="16" fillId="0" borderId="43" xfId="1" applyFont="1" applyBorder="1">
      <alignment vertical="center"/>
    </xf>
    <xf numFmtId="0" fontId="14" fillId="4" borderId="38" xfId="1" applyFont="1" applyFill="1" applyBorder="1" applyAlignment="1">
      <alignment horizontal="center" vertical="center"/>
    </xf>
    <xf numFmtId="0" fontId="14" fillId="4" borderId="7" xfId="1" applyFont="1" applyFill="1" applyBorder="1" applyAlignment="1">
      <alignment horizontal="center" vertical="center"/>
    </xf>
    <xf numFmtId="0" fontId="14" fillId="4" borderId="12" xfId="1" applyFont="1" applyFill="1" applyBorder="1" applyAlignment="1">
      <alignment horizontal="center" vertical="center"/>
    </xf>
    <xf numFmtId="177" fontId="13" fillId="4" borderId="15" xfId="3" applyNumberFormat="1" applyFont="1" applyFill="1" applyBorder="1" applyAlignment="1">
      <alignment vertical="center"/>
    </xf>
    <xf numFmtId="177" fontId="13" fillId="4" borderId="44" xfId="3" applyNumberFormat="1" applyFont="1" applyFill="1" applyBorder="1" applyAlignment="1">
      <alignment vertical="center"/>
    </xf>
    <xf numFmtId="178" fontId="18" fillId="0" borderId="9" xfId="0" applyNumberFormat="1" applyFont="1" applyBorder="1" applyAlignment="1">
      <alignment vertical="center" wrapText="1"/>
    </xf>
    <xf numFmtId="178" fontId="18" fillId="0" borderId="17" xfId="0" applyNumberFormat="1" applyFont="1" applyBorder="1" applyAlignment="1">
      <alignment vertical="center" wrapText="1"/>
    </xf>
    <xf numFmtId="178" fontId="18" fillId="0" borderId="14" xfId="0" applyNumberFormat="1" applyFont="1" applyBorder="1" applyAlignment="1">
      <alignment vertical="center" wrapText="1"/>
    </xf>
    <xf numFmtId="179" fontId="2" fillId="0" borderId="15" xfId="0" applyNumberFormat="1" applyFont="1" applyBorder="1" applyAlignment="1">
      <alignment horizontal="center" vertical="center"/>
    </xf>
    <xf numFmtId="179" fontId="2" fillId="0" borderId="44" xfId="0" applyNumberFormat="1" applyFont="1" applyBorder="1" applyAlignment="1">
      <alignment horizontal="center" vertical="center"/>
    </xf>
    <xf numFmtId="0" fontId="14" fillId="0" borderId="47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Continuous" vertical="center"/>
    </xf>
    <xf numFmtId="178" fontId="25" fillId="0" borderId="17" xfId="0" quotePrefix="1" applyNumberFormat="1" applyFont="1" applyBorder="1" applyAlignment="1">
      <alignment vertical="center" wrapText="1"/>
    </xf>
    <xf numFmtId="178" fontId="25" fillId="0" borderId="8" xfId="0" applyNumberFormat="1" applyFont="1" applyBorder="1" applyAlignment="1">
      <alignment vertical="center" wrapText="1"/>
    </xf>
    <xf numFmtId="178" fontId="26" fillId="0" borderId="8" xfId="0" applyNumberFormat="1" applyFont="1" applyBorder="1" applyAlignment="1">
      <alignment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>
      <alignment vertical="center"/>
    </xf>
    <xf numFmtId="178" fontId="25" fillId="0" borderId="8" xfId="0" quotePrefix="1" applyNumberFormat="1" applyFont="1" applyBorder="1" applyAlignment="1">
      <alignment vertical="center" wrapText="1"/>
    </xf>
    <xf numFmtId="178" fontId="25" fillId="0" borderId="14" xfId="0" quotePrefix="1" applyNumberFormat="1" applyFont="1" applyBorder="1" applyAlignment="1">
      <alignment vertical="center" wrapText="1"/>
    </xf>
    <xf numFmtId="0" fontId="27" fillId="5" borderId="48" xfId="0" applyFont="1" applyFill="1" applyBorder="1" applyAlignment="1">
      <alignment horizontal="center"/>
    </xf>
    <xf numFmtId="178" fontId="25" fillId="0" borderId="16" xfId="0" quotePrefix="1" applyNumberFormat="1" applyFont="1" applyBorder="1" applyAlignment="1">
      <alignment vertical="center" wrapText="1"/>
    </xf>
    <xf numFmtId="178" fontId="25" fillId="0" borderId="19" xfId="0" quotePrefix="1" applyNumberFormat="1" applyFont="1" applyBorder="1" applyAlignment="1">
      <alignment vertical="center" wrapText="1"/>
    </xf>
    <xf numFmtId="178" fontId="25" fillId="0" borderId="21" xfId="0" quotePrefix="1" applyNumberFormat="1" applyFont="1" applyBorder="1" applyAlignment="1">
      <alignment vertical="center" wrapText="1"/>
    </xf>
    <xf numFmtId="178" fontId="25" fillId="0" borderId="47" xfId="0" quotePrefix="1" applyNumberFormat="1" applyFont="1" applyBorder="1" applyAlignment="1">
      <alignment vertical="center" wrapText="1"/>
    </xf>
    <xf numFmtId="0" fontId="18" fillId="0" borderId="26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5" borderId="29" xfId="0" applyFont="1" applyFill="1" applyBorder="1" applyAlignment="1">
      <alignment horizontal="center" vertical="center"/>
    </xf>
    <xf numFmtId="41" fontId="18" fillId="5" borderId="30" xfId="0" applyNumberFormat="1" applyFont="1" applyFill="1" applyBorder="1" applyAlignment="1">
      <alignment vertical="center"/>
    </xf>
    <xf numFmtId="41" fontId="18" fillId="5" borderId="31" xfId="0" applyNumberFormat="1" applyFont="1" applyFill="1" applyBorder="1" applyAlignment="1">
      <alignment horizontal="center" vertical="center"/>
    </xf>
    <xf numFmtId="0" fontId="28" fillId="0" borderId="19" xfId="1" applyFont="1" applyBorder="1" applyAlignment="1">
      <alignment horizontal="center" vertical="center"/>
    </xf>
    <xf numFmtId="0" fontId="28" fillId="0" borderId="8" xfId="1" applyFont="1" applyBorder="1" applyAlignment="1">
      <alignment horizontal="centerContinuous" vertical="center"/>
    </xf>
    <xf numFmtId="0" fontId="28" fillId="0" borderId="8" xfId="1" applyFont="1" applyBorder="1" applyAlignment="1">
      <alignment horizontal="center" vertical="center"/>
    </xf>
    <xf numFmtId="0" fontId="28" fillId="0" borderId="14" xfId="1" applyFont="1" applyBorder="1" applyAlignment="1">
      <alignment horizontal="center" vertical="center"/>
    </xf>
    <xf numFmtId="0" fontId="28" fillId="0" borderId="40" xfId="1" applyFont="1" applyBorder="1" applyAlignment="1">
      <alignment horizontal="center" vertical="center"/>
    </xf>
    <xf numFmtId="0" fontId="28" fillId="0" borderId="1" xfId="1" applyFont="1" applyBorder="1">
      <alignment vertical="center"/>
    </xf>
    <xf numFmtId="0" fontId="28" fillId="0" borderId="6" xfId="1" applyFont="1" applyBorder="1">
      <alignment vertical="center"/>
    </xf>
    <xf numFmtId="0" fontId="18" fillId="5" borderId="48" xfId="0" applyFont="1" applyFill="1" applyBorder="1"/>
    <xf numFmtId="179" fontId="18" fillId="5" borderId="49" xfId="0" applyNumberFormat="1" applyFont="1" applyFill="1" applyBorder="1"/>
    <xf numFmtId="179" fontId="2" fillId="0" borderId="8" xfId="0" applyNumberFormat="1" applyFont="1" applyBorder="1" applyAlignment="1">
      <alignment horizontal="center" vertical="center"/>
    </xf>
    <xf numFmtId="179" fontId="2" fillId="0" borderId="20" xfId="0" applyNumberFormat="1" applyFont="1" applyBorder="1" applyAlignment="1">
      <alignment horizontal="center" vertical="center"/>
    </xf>
    <xf numFmtId="177" fontId="13" fillId="0" borderId="20" xfId="3" applyNumberFormat="1" applyFont="1" applyFill="1" applyBorder="1" applyAlignment="1">
      <alignment horizontal="center" vertical="center"/>
    </xf>
    <xf numFmtId="178" fontId="26" fillId="0" borderId="14" xfId="0" applyNumberFormat="1" applyFont="1" applyBorder="1" applyAlignment="1">
      <alignment vertical="center" wrapText="1"/>
    </xf>
    <xf numFmtId="179" fontId="2" fillId="0" borderId="31" xfId="0" applyNumberFormat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177" fontId="13" fillId="0" borderId="31" xfId="3" applyNumberFormat="1" applyFont="1" applyFill="1" applyBorder="1" applyAlignment="1">
      <alignment horizontal="center" vertical="center"/>
    </xf>
    <xf numFmtId="177" fontId="13" fillId="0" borderId="40" xfId="3" applyNumberFormat="1" applyFont="1" applyFill="1" applyBorder="1" applyAlignment="1">
      <alignment horizontal="center" vertical="center"/>
    </xf>
    <xf numFmtId="177" fontId="13" fillId="0" borderId="44" xfId="3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79" fontId="2" fillId="0" borderId="14" xfId="0" applyNumberFormat="1" applyFont="1" applyBorder="1" applyAlignment="1">
      <alignment horizontal="center" vertical="center"/>
    </xf>
    <xf numFmtId="179" fontId="2" fillId="0" borderId="1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7" fontId="13" fillId="0" borderId="27" xfId="3" applyNumberFormat="1" applyFont="1" applyFill="1" applyBorder="1" applyAlignment="1">
      <alignment horizontal="center" vertical="center"/>
    </xf>
    <xf numFmtId="177" fontId="13" fillId="0" borderId="55" xfId="3" applyNumberFormat="1" applyFont="1" applyFill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8" fontId="21" fillId="0" borderId="32" xfId="0" quotePrefix="1" applyNumberFormat="1" applyFont="1" applyBorder="1" applyAlignment="1">
      <alignment horizontal="center" vertical="center" wrapText="1"/>
    </xf>
    <xf numFmtId="178" fontId="21" fillId="0" borderId="25" xfId="0" quotePrefix="1" applyNumberFormat="1" applyFont="1" applyBorder="1" applyAlignment="1">
      <alignment horizontal="center" vertical="center" wrapText="1"/>
    </xf>
    <xf numFmtId="178" fontId="21" fillId="0" borderId="35" xfId="0" quotePrefix="1" applyNumberFormat="1" applyFont="1" applyBorder="1" applyAlignment="1">
      <alignment horizontal="center" vertical="center" wrapText="1"/>
    </xf>
    <xf numFmtId="178" fontId="21" fillId="0" borderId="5" xfId="0" quotePrefix="1" applyNumberFormat="1" applyFont="1" applyBorder="1" applyAlignment="1">
      <alignment horizontal="center" vertical="center" wrapText="1"/>
    </xf>
    <xf numFmtId="178" fontId="21" fillId="0" borderId="42" xfId="0" quotePrefix="1" applyNumberFormat="1" applyFont="1" applyBorder="1" applyAlignment="1">
      <alignment horizontal="center" vertical="center" wrapText="1"/>
    </xf>
    <xf numFmtId="178" fontId="21" fillId="0" borderId="29" xfId="0" quotePrefix="1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9" fontId="2" fillId="0" borderId="26" xfId="0" applyNumberFormat="1" applyFont="1" applyBorder="1" applyAlignment="1">
      <alignment horizontal="center" vertical="center"/>
    </xf>
    <xf numFmtId="179" fontId="2" fillId="0" borderId="56" xfId="0" applyNumberFormat="1" applyFont="1" applyBorder="1" applyAlignment="1">
      <alignment horizontal="center" vertical="center"/>
    </xf>
    <xf numFmtId="178" fontId="26" fillId="0" borderId="53" xfId="0" applyNumberFormat="1" applyFont="1" applyBorder="1" applyAlignment="1">
      <alignment horizontal="center" vertical="center" wrapText="1"/>
    </xf>
    <xf numFmtId="178" fontId="26" fillId="0" borderId="54" xfId="0" applyNumberFormat="1" applyFont="1" applyBorder="1" applyAlignment="1">
      <alignment horizontal="center" vertical="center" wrapText="1"/>
    </xf>
    <xf numFmtId="178" fontId="26" fillId="0" borderId="52" xfId="0" applyNumberFormat="1" applyFont="1" applyBorder="1" applyAlignment="1">
      <alignment horizontal="center" vertical="center" wrapText="1"/>
    </xf>
    <xf numFmtId="0" fontId="19" fillId="0" borderId="8" xfId="1" applyFont="1" applyBorder="1" applyAlignment="1" applyProtection="1">
      <alignment horizontal="center" vertical="center"/>
      <protection locked="0"/>
    </xf>
    <xf numFmtId="0" fontId="8" fillId="2" borderId="19" xfId="1" applyFont="1" applyFill="1" applyBorder="1" applyAlignment="1" applyProtection="1">
      <alignment horizontal="center" vertical="center"/>
      <protection locked="0"/>
    </xf>
    <xf numFmtId="0" fontId="8" fillId="2" borderId="8" xfId="1" applyFont="1" applyFill="1" applyBorder="1" applyAlignment="1" applyProtection="1">
      <alignment horizontal="center" vertical="center"/>
      <protection locked="0"/>
    </xf>
    <xf numFmtId="0" fontId="12" fillId="0" borderId="19" xfId="1" applyFont="1" applyBorder="1" applyAlignment="1" applyProtection="1">
      <alignment horizontal="center" vertical="center"/>
      <protection locked="0"/>
    </xf>
    <xf numFmtId="0" fontId="12" fillId="0" borderId="8" xfId="1" applyFont="1" applyBorder="1" applyAlignment="1" applyProtection="1">
      <alignment horizontal="center" vertical="center"/>
      <protection locked="0"/>
    </xf>
    <xf numFmtId="0" fontId="32" fillId="0" borderId="8" xfId="1" applyFont="1" applyBorder="1" applyAlignment="1" applyProtection="1">
      <alignment horizontal="left" vertical="center"/>
      <protection locked="0"/>
    </xf>
    <xf numFmtId="0" fontId="34" fillId="0" borderId="8" xfId="1" applyFont="1" applyBorder="1" applyAlignment="1" applyProtection="1">
      <alignment horizontal="left" vertical="center"/>
      <protection locked="0"/>
    </xf>
    <xf numFmtId="0" fontId="34" fillId="0" borderId="20" xfId="1" applyFont="1" applyBorder="1" applyAlignment="1" applyProtection="1">
      <alignment horizontal="left" vertical="center"/>
      <protection locked="0"/>
    </xf>
    <xf numFmtId="0" fontId="19" fillId="0" borderId="9" xfId="1" quotePrefix="1" applyFont="1" applyBorder="1" applyAlignment="1" applyProtection="1">
      <alignment horizontal="left" vertical="center" indent="1"/>
      <protection locked="0"/>
    </xf>
    <xf numFmtId="0" fontId="19" fillId="0" borderId="10" xfId="1" quotePrefix="1" applyFont="1" applyBorder="1" applyAlignment="1" applyProtection="1">
      <alignment horizontal="left" vertical="center" indent="1"/>
      <protection locked="0"/>
    </xf>
    <xf numFmtId="0" fontId="19" fillId="0" borderId="39" xfId="1" quotePrefix="1" applyFont="1" applyBorder="1" applyAlignment="1" applyProtection="1">
      <alignment horizontal="left" vertical="center" indent="1"/>
      <protection locked="0"/>
    </xf>
    <xf numFmtId="177" fontId="22" fillId="3" borderId="9" xfId="1" applyNumberFormat="1" applyFont="1" applyFill="1" applyBorder="1" applyAlignment="1">
      <alignment horizontal="left" vertical="center"/>
    </xf>
    <xf numFmtId="0" fontId="22" fillId="3" borderId="10" xfId="1" applyFont="1" applyFill="1" applyBorder="1" applyAlignment="1">
      <alignment horizontal="left" vertical="center"/>
    </xf>
    <xf numFmtId="0" fontId="22" fillId="3" borderId="39" xfId="1" applyFont="1" applyFill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8" fillId="0" borderId="20" xfId="1" applyFont="1" applyBorder="1" applyAlignment="1">
      <alignment horizontal="left" vertical="center"/>
    </xf>
    <xf numFmtId="0" fontId="19" fillId="0" borderId="9" xfId="1" applyFont="1" applyBorder="1" applyAlignment="1" applyProtection="1">
      <alignment horizontal="center" vertical="center"/>
      <protection locked="0"/>
    </xf>
    <xf numFmtId="0" fontId="19" fillId="0" borderId="11" xfId="1" applyFont="1" applyBorder="1" applyAlignment="1" applyProtection="1">
      <alignment horizontal="center" vertical="center"/>
      <protection locked="0"/>
    </xf>
    <xf numFmtId="14" fontId="19" fillId="0" borderId="8" xfId="1" applyNumberFormat="1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179" fontId="2" fillId="0" borderId="20" xfId="0" applyNumberFormat="1" applyFont="1" applyBorder="1" applyAlignment="1">
      <alignment horizontal="center" vertical="center"/>
    </xf>
    <xf numFmtId="0" fontId="29" fillId="4" borderId="6" xfId="1" applyFont="1" applyFill="1" applyBorder="1" applyAlignment="1">
      <alignment horizontal="center" vertical="center"/>
    </xf>
    <xf numFmtId="0" fontId="29" fillId="4" borderId="12" xfId="1" applyFont="1" applyFill="1" applyBorder="1" applyAlignment="1">
      <alignment horizontal="center" vertical="center"/>
    </xf>
    <xf numFmtId="0" fontId="8" fillId="2" borderId="37" xfId="1" applyFont="1" applyFill="1" applyBorder="1" applyAlignment="1" applyProtection="1">
      <alignment horizontal="center" vertical="center"/>
      <protection locked="0"/>
    </xf>
    <xf numFmtId="0" fontId="8" fillId="2" borderId="3" xfId="1" applyFont="1" applyFill="1" applyBorder="1" applyAlignment="1" applyProtection="1">
      <alignment horizontal="center" vertical="center"/>
      <protection locked="0"/>
    </xf>
    <xf numFmtId="0" fontId="8" fillId="2" borderId="38" xfId="1" applyFont="1" applyFill="1" applyBorder="1" applyAlignment="1" applyProtection="1">
      <alignment horizontal="center" vertical="center"/>
      <protection locked="0"/>
    </xf>
    <xf numFmtId="0" fontId="8" fillId="2" borderId="12" xfId="1" applyFont="1" applyFill="1" applyBorder="1" applyAlignment="1" applyProtection="1">
      <alignment horizontal="center" vertical="center"/>
      <protection locked="0"/>
    </xf>
    <xf numFmtId="0" fontId="8" fillId="0" borderId="8" xfId="1" applyFont="1" applyBorder="1" applyAlignment="1" applyProtection="1">
      <alignment horizontal="left" vertical="center"/>
      <protection locked="0"/>
    </xf>
    <xf numFmtId="0" fontId="8" fillId="0" borderId="20" xfId="1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8" fontId="18" fillId="0" borderId="32" xfId="0" quotePrefix="1" applyNumberFormat="1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2" fillId="0" borderId="37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38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4" fillId="0" borderId="53" xfId="1" applyFont="1" applyBorder="1" applyAlignment="1">
      <alignment horizontal="center" vertical="center"/>
    </xf>
    <xf numFmtId="0" fontId="14" fillId="0" borderId="52" xfId="1" applyFont="1" applyBorder="1" applyAlignment="1">
      <alignment horizontal="center" vertical="center"/>
    </xf>
    <xf numFmtId="178" fontId="18" fillId="0" borderId="24" xfId="0" applyNumberFormat="1" applyFont="1" applyBorder="1" applyAlignment="1">
      <alignment horizontal="center" vertical="center" wrapText="1"/>
    </xf>
    <xf numFmtId="178" fontId="18" fillId="0" borderId="25" xfId="0" applyNumberFormat="1" applyFont="1" applyBorder="1" applyAlignment="1">
      <alignment horizontal="center" vertical="center" wrapText="1"/>
    </xf>
    <xf numFmtId="178" fontId="18" fillId="0" borderId="4" xfId="0" applyNumberFormat="1" applyFont="1" applyBorder="1" applyAlignment="1">
      <alignment horizontal="center" vertical="center" wrapText="1"/>
    </xf>
    <xf numFmtId="178" fontId="18" fillId="0" borderId="5" xfId="0" applyNumberFormat="1" applyFont="1" applyBorder="1" applyAlignment="1">
      <alignment horizontal="center" vertical="center" wrapText="1"/>
    </xf>
    <xf numFmtId="178" fontId="18" fillId="0" borderId="28" xfId="0" applyNumberFormat="1" applyFont="1" applyBorder="1" applyAlignment="1">
      <alignment horizontal="center" vertical="center" wrapText="1"/>
    </xf>
    <xf numFmtId="178" fontId="18" fillId="0" borderId="29" xfId="0" applyNumberFormat="1" applyFont="1" applyBorder="1" applyAlignment="1">
      <alignment horizontal="center" vertical="center" wrapText="1"/>
    </xf>
    <xf numFmtId="0" fontId="27" fillId="5" borderId="50" xfId="0" applyFont="1" applyFill="1" applyBorder="1" applyAlignment="1">
      <alignment horizontal="center"/>
    </xf>
    <xf numFmtId="0" fontId="27" fillId="5" borderId="48" xfId="0" applyFont="1" applyFill="1" applyBorder="1" applyAlignment="1">
      <alignment horizontal="center"/>
    </xf>
    <xf numFmtId="41" fontId="27" fillId="5" borderId="48" xfId="7" applyFont="1" applyFill="1" applyBorder="1" applyAlignment="1"/>
    <xf numFmtId="41" fontId="27" fillId="5" borderId="49" xfId="7" applyFont="1" applyFill="1" applyBorder="1" applyAlignment="1"/>
    <xf numFmtId="0" fontId="18" fillId="0" borderId="8" xfId="0" applyFont="1" applyBorder="1" applyAlignment="1">
      <alignment horizontal="center" vertical="center"/>
    </xf>
    <xf numFmtId="3" fontId="18" fillId="0" borderId="8" xfId="0" applyNumberFormat="1" applyFont="1" applyBorder="1" applyAlignment="1">
      <alignment horizontal="center" vertical="center"/>
    </xf>
    <xf numFmtId="41" fontId="18" fillId="0" borderId="8" xfId="7" applyFont="1" applyBorder="1" applyAlignment="1">
      <alignment horizontal="center" vertical="center"/>
    </xf>
    <xf numFmtId="3" fontId="18" fillId="0" borderId="14" xfId="0" applyNumberFormat="1" applyFont="1" applyBorder="1" applyAlignment="1">
      <alignment horizontal="center" vertical="center"/>
    </xf>
    <xf numFmtId="41" fontId="18" fillId="0" borderId="14" xfId="7" applyFont="1" applyBorder="1" applyAlignment="1">
      <alignment horizontal="center" vertical="center"/>
    </xf>
    <xf numFmtId="41" fontId="18" fillId="0" borderId="20" xfId="7" applyFont="1" applyBorder="1" applyAlignment="1">
      <alignment horizontal="center" vertical="center"/>
    </xf>
    <xf numFmtId="41" fontId="18" fillId="0" borderId="40" xfId="7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3" fontId="18" fillId="0" borderId="17" xfId="0" applyNumberFormat="1" applyFont="1" applyBorder="1" applyAlignment="1">
      <alignment horizontal="center" vertical="center"/>
    </xf>
    <xf numFmtId="3" fontId="18" fillId="0" borderId="22" xfId="0" applyNumberFormat="1" applyFont="1" applyBorder="1" applyAlignment="1">
      <alignment horizontal="center" vertical="center"/>
    </xf>
    <xf numFmtId="41" fontId="18" fillId="0" borderId="18" xfId="7" applyFont="1" applyBorder="1" applyAlignment="1">
      <alignment vertical="center"/>
    </xf>
    <xf numFmtId="41" fontId="18" fillId="0" borderId="20" xfId="7" applyFont="1" applyBorder="1" applyAlignment="1">
      <alignment vertical="center"/>
    </xf>
    <xf numFmtId="41" fontId="18" fillId="0" borderId="23" xfId="7" applyFont="1" applyBorder="1" applyAlignment="1">
      <alignment vertical="center"/>
    </xf>
    <xf numFmtId="0" fontId="18" fillId="5" borderId="50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/>
    </xf>
    <xf numFmtId="0" fontId="18" fillId="5" borderId="49" xfId="0" applyFont="1" applyFill="1" applyBorder="1" applyAlignment="1">
      <alignment horizontal="center" vertical="center"/>
    </xf>
    <xf numFmtId="41" fontId="18" fillId="0" borderId="17" xfId="7" applyFont="1" applyBorder="1" applyAlignment="1">
      <alignment vertical="center"/>
    </xf>
    <xf numFmtId="41" fontId="18" fillId="0" borderId="8" xfId="7" applyFont="1" applyBorder="1" applyAlignment="1">
      <alignment vertical="center"/>
    </xf>
    <xf numFmtId="41" fontId="18" fillId="0" borderId="22" xfId="7" applyFont="1" applyBorder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9" fontId="18" fillId="0" borderId="17" xfId="0" applyNumberFormat="1" applyFont="1" applyBorder="1" applyAlignment="1">
      <alignment horizontal="center" vertical="center"/>
    </xf>
    <xf numFmtId="179" fontId="18" fillId="0" borderId="14" xfId="0" applyNumberFormat="1" applyFont="1" applyBorder="1" applyAlignment="1">
      <alignment horizontal="center" vertical="center"/>
    </xf>
    <xf numFmtId="179" fontId="18" fillId="0" borderId="18" xfId="0" applyNumberFormat="1" applyFont="1" applyBorder="1" applyAlignment="1">
      <alignment horizontal="center" vertical="center"/>
    </xf>
    <xf numFmtId="179" fontId="18" fillId="0" borderId="40" xfId="0" applyNumberFormat="1" applyFont="1" applyBorder="1" applyAlignment="1">
      <alignment horizontal="center" vertical="center"/>
    </xf>
    <xf numFmtId="0" fontId="18" fillId="5" borderId="48" xfId="0" applyFont="1" applyFill="1" applyBorder="1" applyAlignment="1">
      <alignment horizontal="center"/>
    </xf>
    <xf numFmtId="0" fontId="18" fillId="5" borderId="50" xfId="0" applyFont="1" applyFill="1" applyBorder="1" applyAlignment="1">
      <alignment horizontal="center"/>
    </xf>
    <xf numFmtId="0" fontId="28" fillId="0" borderId="1" xfId="1" applyFont="1" applyBorder="1" applyAlignment="1">
      <alignment horizontal="center" vertical="center"/>
    </xf>
    <xf numFmtId="0" fontId="28" fillId="0" borderId="3" xfId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</cellXfs>
  <cellStyles count="8">
    <cellStyle name="쉼표 [0]" xfId="7" builtinId="6"/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  <cellStyle name="Normal 2" xfId="6" xr:uid="{AFDC1AD9-1EA4-2A40-B6BA-D396AD34F9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 editAs="oneCell">
    <xdr:from>
      <xdr:col>6</xdr:col>
      <xdr:colOff>668765</xdr:colOff>
      <xdr:row>52</xdr:row>
      <xdr:rowOff>50823</xdr:rowOff>
    </xdr:from>
    <xdr:to>
      <xdr:col>7</xdr:col>
      <xdr:colOff>870191</xdr:colOff>
      <xdr:row>53</xdr:row>
      <xdr:rowOff>15857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848" y="9723990"/>
          <a:ext cx="1228010" cy="229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0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2703" y="28575"/>
          <a:ext cx="932657" cy="712568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638272</xdr:colOff>
      <xdr:row>2</xdr:row>
      <xdr:rowOff>163999</xdr:rowOff>
    </xdr:from>
    <xdr:to>
      <xdr:col>15</xdr:col>
      <xdr:colOff>37769</xdr:colOff>
      <xdr:row>4</xdr:row>
      <xdr:rowOff>191563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8223315" y="716663"/>
          <a:ext cx="407755" cy="4187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O105"/>
  <sheetViews>
    <sheetView tabSelected="1" topLeftCell="A8" zoomScale="125" zoomScaleNormal="125" zoomScaleSheetLayoutView="70" workbookViewId="0">
      <selection activeCell="D24" sqref="D24"/>
    </sheetView>
  </sheetViews>
  <sheetFormatPr baseColWidth="10" defaultColWidth="10.83203125" defaultRowHeight="14"/>
  <cols>
    <col min="1" max="1" width="3.5" style="1" customWidth="1"/>
    <col min="2" max="2" width="16.1640625" style="1" customWidth="1"/>
    <col min="3" max="3" width="16.6640625" style="1" customWidth="1"/>
    <col min="4" max="4" width="43.1640625" style="1" customWidth="1"/>
    <col min="5" max="5" width="2.6640625" style="1" customWidth="1"/>
    <col min="6" max="6" width="3.83203125" style="1" customWidth="1"/>
    <col min="7" max="7" width="13.5" style="1" customWidth="1"/>
    <col min="8" max="8" width="13.33203125" style="1" customWidth="1"/>
    <col min="9" max="15" width="1.83203125" style="3" hidden="1" customWidth="1"/>
    <col min="16" max="16384" width="10.83203125" style="3"/>
  </cols>
  <sheetData>
    <row r="1" spans="1:8" s="1" customFormat="1" ht="14" customHeight="1">
      <c r="A1" s="19"/>
      <c r="B1" s="20"/>
      <c r="C1" s="20"/>
      <c r="D1" s="21"/>
      <c r="E1" s="20"/>
      <c r="F1" s="20"/>
      <c r="G1" s="20"/>
      <c r="H1" s="22"/>
    </row>
    <row r="2" spans="1:8" s="1" customFormat="1" ht="30.75" customHeight="1">
      <c r="A2" s="23" t="s">
        <v>1</v>
      </c>
      <c r="B2" s="13"/>
      <c r="C2" s="13"/>
      <c r="D2" s="13"/>
      <c r="E2" s="13"/>
      <c r="F2" s="13"/>
      <c r="G2" s="13"/>
      <c r="H2" s="24"/>
    </row>
    <row r="3" spans="1:8" s="1" customFormat="1" ht="14" customHeight="1">
      <c r="A3" s="25"/>
      <c r="B3" s="14"/>
      <c r="C3" s="14"/>
      <c r="D3" s="14"/>
      <c r="E3" s="15"/>
      <c r="F3" s="15"/>
      <c r="G3" s="15"/>
      <c r="H3" s="26"/>
    </row>
    <row r="4" spans="1:8" s="1" customFormat="1" ht="16.5" customHeight="1">
      <c r="A4" s="138" t="s">
        <v>24</v>
      </c>
      <c r="B4" s="139"/>
      <c r="C4" s="115" t="s">
        <v>2</v>
      </c>
      <c r="D4" s="115"/>
      <c r="E4" s="129" t="s">
        <v>3</v>
      </c>
      <c r="F4" s="129"/>
      <c r="G4" s="129"/>
      <c r="H4" s="130"/>
    </row>
    <row r="5" spans="1:8" s="1" customFormat="1" ht="16.5" customHeight="1">
      <c r="A5" s="140"/>
      <c r="B5" s="141"/>
      <c r="C5" s="115" t="s">
        <v>25</v>
      </c>
      <c r="D5" s="115"/>
      <c r="E5" s="142" t="s">
        <v>4</v>
      </c>
      <c r="F5" s="142"/>
      <c r="G5" s="142"/>
      <c r="H5" s="143"/>
    </row>
    <row r="6" spans="1:8" s="1" customFormat="1" ht="16.5" customHeight="1">
      <c r="A6" s="116" t="s">
        <v>5</v>
      </c>
      <c r="B6" s="117"/>
      <c r="C6" s="115" t="s">
        <v>27</v>
      </c>
      <c r="D6" s="115"/>
      <c r="E6" s="129" t="s">
        <v>6</v>
      </c>
      <c r="F6" s="129"/>
      <c r="G6" s="129"/>
      <c r="H6" s="130"/>
    </row>
    <row r="7" spans="1:8" s="1" customFormat="1" ht="18.75" customHeight="1">
      <c r="A7" s="116" t="s">
        <v>7</v>
      </c>
      <c r="B7" s="117"/>
      <c r="C7" s="131"/>
      <c r="D7" s="132"/>
      <c r="E7" s="129" t="s">
        <v>8</v>
      </c>
      <c r="F7" s="129"/>
      <c r="G7" s="129"/>
      <c r="H7" s="130"/>
    </row>
    <row r="8" spans="1:8" s="1" customFormat="1" ht="16.5" customHeight="1">
      <c r="A8" s="116" t="s">
        <v>9</v>
      </c>
      <c r="B8" s="117"/>
      <c r="C8" s="133">
        <v>45071</v>
      </c>
      <c r="D8" s="115"/>
      <c r="E8" s="129" t="s">
        <v>10</v>
      </c>
      <c r="F8" s="129"/>
      <c r="G8" s="129"/>
      <c r="H8" s="130"/>
    </row>
    <row r="9" spans="1:8" s="1" customFormat="1" ht="16.5" customHeight="1">
      <c r="A9" s="116" t="s">
        <v>11</v>
      </c>
      <c r="B9" s="117"/>
      <c r="C9" s="115" t="s">
        <v>129</v>
      </c>
      <c r="D9" s="115"/>
      <c r="E9" s="129" t="s">
        <v>12</v>
      </c>
      <c r="F9" s="129"/>
      <c r="G9" s="129"/>
      <c r="H9" s="130"/>
    </row>
    <row r="10" spans="1:8" s="1" customFormat="1" ht="16.5" customHeight="1">
      <c r="A10" s="116" t="s">
        <v>13</v>
      </c>
      <c r="B10" s="117"/>
      <c r="C10" s="115" t="s">
        <v>26</v>
      </c>
      <c r="D10" s="115"/>
      <c r="E10" s="129" t="s">
        <v>14</v>
      </c>
      <c r="F10" s="129"/>
      <c r="G10" s="129"/>
      <c r="H10" s="130"/>
    </row>
    <row r="11" spans="1:8" s="1" customFormat="1" ht="14" customHeight="1">
      <c r="A11" s="27"/>
      <c r="B11" s="2"/>
      <c r="C11" s="2"/>
      <c r="D11" s="2"/>
      <c r="E11" s="12"/>
      <c r="F11" s="16"/>
      <c r="G11" s="16"/>
      <c r="H11" s="28"/>
    </row>
    <row r="12" spans="1:8" s="1" customFormat="1" ht="16.5" customHeight="1">
      <c r="A12" s="118" t="s">
        <v>15</v>
      </c>
      <c r="B12" s="119"/>
      <c r="C12" s="119"/>
      <c r="D12" s="120" t="s">
        <v>134</v>
      </c>
      <c r="E12" s="121"/>
      <c r="F12" s="121"/>
      <c r="G12" s="121"/>
      <c r="H12" s="122"/>
    </row>
    <row r="13" spans="1:8" s="1" customFormat="1" ht="17" customHeight="1">
      <c r="A13" s="118" t="s">
        <v>16</v>
      </c>
      <c r="B13" s="119"/>
      <c r="C13" s="119"/>
      <c r="D13" s="123" t="s">
        <v>133</v>
      </c>
      <c r="E13" s="124"/>
      <c r="F13" s="124"/>
      <c r="G13" s="124"/>
      <c r="H13" s="125"/>
    </row>
    <row r="14" spans="1:8" s="1" customFormat="1" ht="21" customHeight="1">
      <c r="A14" s="150" t="s">
        <v>17</v>
      </c>
      <c r="B14" s="151"/>
      <c r="C14" s="152"/>
      <c r="D14" s="126" t="str">
        <f>TEXT(H51,"일금 [DBNum4][$-412]G/표준원정(")&amp;TEXT(H51,"###,### - VAT별도 )")</f>
        <v>일금 칠억이천만원정(720,000,000 - VAT별도 )</v>
      </c>
      <c r="E14" s="127"/>
      <c r="F14" s="127"/>
      <c r="G14" s="127"/>
      <c r="H14" s="128"/>
    </row>
    <row r="15" spans="1:8" s="1" customFormat="1" ht="21" customHeight="1">
      <c r="A15" s="153"/>
      <c r="B15" s="154"/>
      <c r="C15" s="155"/>
      <c r="D15" s="126" t="str">
        <f>TEXT(H51+(H51/10),"일금 [DBNum4][$-412]G/표준원정(")&amp;TEXT(H51+(H51/10),"###,### - VAT포함 )")</f>
        <v>일금 칠억구천이백만원정(792,000,000 - VAT포함 )</v>
      </c>
      <c r="E15" s="127"/>
      <c r="F15" s="127"/>
      <c r="G15" s="127"/>
      <c r="H15" s="128"/>
    </row>
    <row r="16" spans="1:8" s="1" customFormat="1" ht="20" customHeight="1" thickBot="1">
      <c r="A16" s="46" t="s">
        <v>0</v>
      </c>
      <c r="B16" s="47" t="s">
        <v>18</v>
      </c>
      <c r="C16" s="47"/>
      <c r="D16" s="82" t="s">
        <v>19</v>
      </c>
      <c r="E16" s="156" t="s">
        <v>20</v>
      </c>
      <c r="F16" s="157"/>
      <c r="G16" s="82" t="s">
        <v>21</v>
      </c>
      <c r="H16" s="83" t="s">
        <v>22</v>
      </c>
    </row>
    <row r="17" spans="1:15" s="1" customFormat="1" ht="18" customHeight="1">
      <c r="A17" s="144">
        <v>1</v>
      </c>
      <c r="B17" s="158" t="s">
        <v>130</v>
      </c>
      <c r="C17" s="159"/>
      <c r="D17" s="49"/>
      <c r="E17" s="149">
        <v>1</v>
      </c>
      <c r="F17" s="149"/>
      <c r="G17" s="44">
        <v>21500000</v>
      </c>
      <c r="H17" s="45">
        <f>E17*G17</f>
        <v>21500000</v>
      </c>
    </row>
    <row r="18" spans="1:15" s="1" customFormat="1" ht="18" customHeight="1">
      <c r="A18" s="145"/>
      <c r="B18" s="160"/>
      <c r="C18" s="161"/>
      <c r="E18" s="134">
        <v>1</v>
      </c>
      <c r="F18" s="134"/>
      <c r="G18" s="148">
        <v>51500000</v>
      </c>
      <c r="H18" s="135">
        <f>E18*G18</f>
        <v>51500000</v>
      </c>
    </row>
    <row r="19" spans="1:15" s="1" customFormat="1" ht="18" customHeight="1">
      <c r="A19" s="145"/>
      <c r="B19" s="160"/>
      <c r="C19" s="161"/>
      <c r="D19" s="50"/>
      <c r="E19" s="134"/>
      <c r="F19" s="134"/>
      <c r="G19" s="148"/>
      <c r="H19" s="135"/>
    </row>
    <row r="20" spans="1:15" s="1" customFormat="1" ht="18" customHeight="1">
      <c r="A20" s="145"/>
      <c r="B20" s="160"/>
      <c r="C20" s="161"/>
      <c r="D20" s="50"/>
      <c r="E20" s="134"/>
      <c r="F20" s="134"/>
      <c r="G20" s="148"/>
      <c r="H20" s="135"/>
    </row>
    <row r="21" spans="1:15" s="1" customFormat="1" ht="18" customHeight="1">
      <c r="A21" s="145"/>
      <c r="B21" s="160"/>
      <c r="C21" s="161"/>
      <c r="D21" s="49"/>
      <c r="E21" s="134">
        <v>1</v>
      </c>
      <c r="F21" s="134"/>
      <c r="G21" s="148">
        <v>51000000</v>
      </c>
      <c r="H21" s="135">
        <f>E21*G21</f>
        <v>51000000</v>
      </c>
    </row>
    <row r="22" spans="1:15" s="1" customFormat="1" ht="18" customHeight="1" thickBot="1">
      <c r="A22" s="145"/>
      <c r="B22" s="160"/>
      <c r="C22" s="161"/>
      <c r="D22" s="49"/>
      <c r="E22" s="134"/>
      <c r="F22" s="134"/>
      <c r="G22" s="148"/>
      <c r="H22" s="135"/>
    </row>
    <row r="23" spans="1:15" s="1" customFormat="1" ht="18" customHeight="1">
      <c r="A23" s="145"/>
      <c r="B23" s="160"/>
      <c r="C23" s="161"/>
      <c r="D23" s="49"/>
      <c r="E23" s="134">
        <v>1</v>
      </c>
      <c r="F23" s="134"/>
      <c r="G23" s="77">
        <v>28000000</v>
      </c>
      <c r="H23" s="78">
        <f>E23*G23</f>
        <v>28000000</v>
      </c>
      <c r="I23" s="20"/>
      <c r="J23" s="20"/>
      <c r="K23" s="20"/>
      <c r="L23" s="20"/>
      <c r="M23" s="20"/>
      <c r="N23" s="20"/>
      <c r="O23" s="20"/>
    </row>
    <row r="24" spans="1:15" s="1" customFormat="1" ht="18" customHeight="1">
      <c r="A24" s="145"/>
      <c r="B24" s="160"/>
      <c r="C24" s="161"/>
      <c r="D24" s="50"/>
      <c r="E24" s="134">
        <v>1</v>
      </c>
      <c r="F24" s="134"/>
      <c r="G24" s="77">
        <v>27000000</v>
      </c>
      <c r="H24" s="78">
        <f>E24*G24</f>
        <v>27000000</v>
      </c>
    </row>
    <row r="25" spans="1:15" s="1" customFormat="1" ht="18" customHeight="1">
      <c r="A25" s="145"/>
      <c r="B25" s="160"/>
      <c r="C25" s="161"/>
      <c r="D25" s="49"/>
      <c r="E25" s="134">
        <v>1</v>
      </c>
      <c r="F25" s="134"/>
      <c r="G25" s="77">
        <v>28000000</v>
      </c>
      <c r="H25" s="78">
        <f>E25*G25</f>
        <v>28000000</v>
      </c>
    </row>
    <row r="26" spans="1:15" s="1" customFormat="1" ht="18" customHeight="1" thickBot="1">
      <c r="A26" s="146"/>
      <c r="B26" s="162"/>
      <c r="C26" s="163"/>
      <c r="D26" s="112" t="s">
        <v>126</v>
      </c>
      <c r="E26" s="113"/>
      <c r="F26" s="113"/>
      <c r="G26" s="114"/>
      <c r="H26" s="84">
        <f>SUM(H17:H25)</f>
        <v>207000000</v>
      </c>
    </row>
    <row r="27" spans="1:15" s="1" customFormat="1" ht="18" customHeight="1">
      <c r="A27" s="97">
        <v>2</v>
      </c>
      <c r="B27" s="100" t="s">
        <v>132</v>
      </c>
      <c r="C27" s="101"/>
      <c r="D27" s="48"/>
      <c r="E27" s="106">
        <v>1</v>
      </c>
      <c r="F27" s="107"/>
      <c r="G27" s="110">
        <v>64800000</v>
      </c>
      <c r="H27" s="95">
        <f>E27*G27</f>
        <v>64800000</v>
      </c>
    </row>
    <row r="28" spans="1:15" s="1" customFormat="1" ht="18" customHeight="1">
      <c r="A28" s="98"/>
      <c r="B28" s="102"/>
      <c r="C28" s="103"/>
      <c r="D28" s="49"/>
      <c r="E28" s="108"/>
      <c r="F28" s="109"/>
      <c r="G28" s="111"/>
      <c r="H28" s="96"/>
    </row>
    <row r="29" spans="1:15" s="1" customFormat="1" ht="18" customHeight="1">
      <c r="A29" s="98"/>
      <c r="B29" s="102"/>
      <c r="C29" s="103"/>
      <c r="D29" s="49"/>
      <c r="E29" s="89"/>
      <c r="F29" s="90"/>
      <c r="G29" s="92"/>
      <c r="H29" s="86"/>
    </row>
    <row r="30" spans="1:15" s="1" customFormat="1" ht="18" customHeight="1">
      <c r="A30" s="98"/>
      <c r="B30" s="102"/>
      <c r="C30" s="103"/>
      <c r="D30" s="49"/>
      <c r="E30" s="93">
        <v>1</v>
      </c>
      <c r="F30" s="94"/>
      <c r="G30" s="77">
        <v>36400000</v>
      </c>
      <c r="H30" s="79">
        <f>E30*G30</f>
        <v>36400000</v>
      </c>
    </row>
    <row r="31" spans="1:15" s="1" customFormat="1" ht="18" customHeight="1">
      <c r="A31" s="98"/>
      <c r="B31" s="102"/>
      <c r="C31" s="103"/>
      <c r="D31" s="49"/>
      <c r="E31" s="87">
        <v>1</v>
      </c>
      <c r="F31" s="88"/>
      <c r="G31" s="91">
        <v>40500000</v>
      </c>
      <c r="H31" s="85">
        <f>E31*G31</f>
        <v>40500000</v>
      </c>
    </row>
    <row r="32" spans="1:15" s="1" customFormat="1" ht="18" customHeight="1">
      <c r="A32" s="98"/>
      <c r="B32" s="102"/>
      <c r="C32" s="103"/>
      <c r="D32" s="49"/>
      <c r="E32" s="89"/>
      <c r="F32" s="90"/>
      <c r="G32" s="92"/>
      <c r="H32" s="86"/>
    </row>
    <row r="33" spans="1:8" s="1" customFormat="1" ht="17" customHeight="1">
      <c r="A33" s="98"/>
      <c r="B33" s="102"/>
      <c r="C33" s="103"/>
      <c r="D33" s="50"/>
      <c r="E33" s="87">
        <v>1</v>
      </c>
      <c r="F33" s="88"/>
      <c r="G33" s="91">
        <v>43700000</v>
      </c>
      <c r="H33" s="85">
        <f>E33*G33</f>
        <v>43700000</v>
      </c>
    </row>
    <row r="34" spans="1:8" s="1" customFormat="1" ht="18" customHeight="1">
      <c r="A34" s="98"/>
      <c r="B34" s="102"/>
      <c r="C34" s="103"/>
      <c r="D34" s="50"/>
      <c r="E34" s="89"/>
      <c r="F34" s="90"/>
      <c r="G34" s="92"/>
      <c r="H34" s="86"/>
    </row>
    <row r="35" spans="1:8" s="1" customFormat="1" ht="18" customHeight="1">
      <c r="A35" s="98"/>
      <c r="B35" s="102"/>
      <c r="C35" s="103"/>
      <c r="D35" s="50"/>
      <c r="E35" s="87">
        <v>1</v>
      </c>
      <c r="F35" s="88"/>
      <c r="G35" s="91">
        <v>57600000</v>
      </c>
      <c r="H35" s="85">
        <f>E35*G35</f>
        <v>57600000</v>
      </c>
    </row>
    <row r="36" spans="1:8" s="1" customFormat="1" ht="18" customHeight="1">
      <c r="A36" s="98"/>
      <c r="B36" s="102"/>
      <c r="C36" s="103"/>
      <c r="D36" s="50"/>
      <c r="E36" s="89"/>
      <c r="F36" s="90"/>
      <c r="G36" s="92"/>
      <c r="H36" s="86"/>
    </row>
    <row r="37" spans="1:8" s="1" customFormat="1" ht="18" customHeight="1">
      <c r="A37" s="98"/>
      <c r="B37" s="102"/>
      <c r="C37" s="103"/>
      <c r="D37" s="80"/>
      <c r="E37" s="93">
        <v>1</v>
      </c>
      <c r="F37" s="94"/>
      <c r="G37" s="77">
        <v>24000000</v>
      </c>
      <c r="H37" s="79">
        <f>E37*G37</f>
        <v>24000000</v>
      </c>
    </row>
    <row r="38" spans="1:8" s="1" customFormat="1" ht="18" customHeight="1" thickBot="1">
      <c r="A38" s="99"/>
      <c r="B38" s="104"/>
      <c r="C38" s="105"/>
      <c r="D38" s="112" t="s">
        <v>126</v>
      </c>
      <c r="E38" s="113"/>
      <c r="F38" s="113"/>
      <c r="G38" s="114"/>
      <c r="H38" s="81">
        <f>SUM(H27:H37)</f>
        <v>267000000</v>
      </c>
    </row>
    <row r="39" spans="1:8" s="1" customFormat="1" ht="18" customHeight="1">
      <c r="A39" s="97">
        <v>3</v>
      </c>
      <c r="B39" s="147" t="s">
        <v>131</v>
      </c>
      <c r="C39" s="101"/>
      <c r="D39" s="48"/>
      <c r="E39" s="106">
        <v>1</v>
      </c>
      <c r="F39" s="107"/>
      <c r="G39" s="110">
        <v>54800000</v>
      </c>
      <c r="H39" s="95">
        <f>E39*G39</f>
        <v>54800000</v>
      </c>
    </row>
    <row r="40" spans="1:8" s="1" customFormat="1" ht="18" customHeight="1">
      <c r="A40" s="98"/>
      <c r="B40" s="102"/>
      <c r="C40" s="103"/>
      <c r="D40" s="49"/>
      <c r="E40" s="108"/>
      <c r="F40" s="109"/>
      <c r="G40" s="111"/>
      <c r="H40" s="96"/>
    </row>
    <row r="41" spans="1:8" s="1" customFormat="1" ht="18" customHeight="1">
      <c r="A41" s="98"/>
      <c r="B41" s="102"/>
      <c r="C41" s="103"/>
      <c r="D41" s="49"/>
      <c r="E41" s="89"/>
      <c r="F41" s="90"/>
      <c r="G41" s="92"/>
      <c r="H41" s="86"/>
    </row>
    <row r="42" spans="1:8" s="1" customFormat="1" ht="18" customHeight="1">
      <c r="A42" s="98"/>
      <c r="B42" s="102"/>
      <c r="C42" s="103"/>
      <c r="D42" s="49"/>
      <c r="E42" s="93">
        <v>1</v>
      </c>
      <c r="F42" s="94"/>
      <c r="G42" s="77">
        <v>36400000</v>
      </c>
      <c r="H42" s="79">
        <f>E42*G42</f>
        <v>36400000</v>
      </c>
    </row>
    <row r="43" spans="1:8" s="1" customFormat="1" ht="18" customHeight="1">
      <c r="A43" s="98"/>
      <c r="B43" s="102"/>
      <c r="C43" s="103"/>
      <c r="D43" s="49"/>
      <c r="E43" s="87">
        <v>1</v>
      </c>
      <c r="F43" s="88"/>
      <c r="G43" s="91">
        <v>41000000</v>
      </c>
      <c r="H43" s="85">
        <f>E43*G43</f>
        <v>41000000</v>
      </c>
    </row>
    <row r="44" spans="1:8" s="1" customFormat="1" ht="18" customHeight="1">
      <c r="A44" s="98"/>
      <c r="B44" s="102"/>
      <c r="C44" s="103"/>
      <c r="D44" s="49"/>
      <c r="E44" s="89"/>
      <c r="F44" s="90"/>
      <c r="G44" s="92"/>
      <c r="H44" s="86"/>
    </row>
    <row r="45" spans="1:8" s="1" customFormat="1" ht="17" customHeight="1">
      <c r="A45" s="98"/>
      <c r="B45" s="102"/>
      <c r="C45" s="103"/>
      <c r="D45" s="50"/>
      <c r="E45" s="87">
        <v>1</v>
      </c>
      <c r="F45" s="88"/>
      <c r="G45" s="91">
        <v>43200000</v>
      </c>
      <c r="H45" s="85">
        <f>E45*G45</f>
        <v>43200000</v>
      </c>
    </row>
    <row r="46" spans="1:8" s="1" customFormat="1" ht="18" customHeight="1">
      <c r="A46" s="98"/>
      <c r="B46" s="102"/>
      <c r="C46" s="103"/>
      <c r="D46" s="50"/>
      <c r="E46" s="89"/>
      <c r="F46" s="90"/>
      <c r="G46" s="92"/>
      <c r="H46" s="86"/>
    </row>
    <row r="47" spans="1:8" s="1" customFormat="1" ht="18" customHeight="1">
      <c r="A47" s="98"/>
      <c r="B47" s="102"/>
      <c r="C47" s="103"/>
      <c r="D47" s="50"/>
      <c r="E47" s="87">
        <v>1</v>
      </c>
      <c r="F47" s="88"/>
      <c r="G47" s="91">
        <v>47600000</v>
      </c>
      <c r="H47" s="85">
        <f>E47*G47</f>
        <v>47600000</v>
      </c>
    </row>
    <row r="48" spans="1:8" s="1" customFormat="1" ht="18" customHeight="1">
      <c r="A48" s="98"/>
      <c r="B48" s="102"/>
      <c r="C48" s="103"/>
      <c r="D48" s="50"/>
      <c r="E48" s="89"/>
      <c r="F48" s="90"/>
      <c r="G48" s="92"/>
      <c r="H48" s="86"/>
    </row>
    <row r="49" spans="1:8" s="1" customFormat="1" ht="18" customHeight="1">
      <c r="A49" s="98"/>
      <c r="B49" s="102"/>
      <c r="C49" s="103"/>
      <c r="D49" s="80"/>
      <c r="E49" s="93">
        <v>1</v>
      </c>
      <c r="F49" s="94"/>
      <c r="G49" s="77">
        <v>23000000</v>
      </c>
      <c r="H49" s="79">
        <f>E49*G49</f>
        <v>23000000</v>
      </c>
    </row>
    <row r="50" spans="1:8" s="1" customFormat="1" ht="18" customHeight="1" thickBot="1">
      <c r="A50" s="99"/>
      <c r="B50" s="104"/>
      <c r="C50" s="105"/>
      <c r="D50" s="112" t="s">
        <v>126</v>
      </c>
      <c r="E50" s="113"/>
      <c r="F50" s="113"/>
      <c r="G50" s="114"/>
      <c r="H50" s="81">
        <f>SUM(H39:H49)</f>
        <v>246000000</v>
      </c>
    </row>
    <row r="51" spans="1:8" s="1" customFormat="1" ht="21" customHeight="1">
      <c r="A51" s="36" t="s">
        <v>23</v>
      </c>
      <c r="B51" s="37"/>
      <c r="C51" s="37"/>
      <c r="D51" s="38"/>
      <c r="E51" s="136">
        <f>SUM(E17:F50)</f>
        <v>18</v>
      </c>
      <c r="F51" s="137"/>
      <c r="G51" s="39"/>
      <c r="H51" s="40">
        <f>H50+H38+H26</f>
        <v>720000000</v>
      </c>
    </row>
    <row r="52" spans="1:8" s="1" customFormat="1" ht="21" customHeight="1">
      <c r="A52" s="29"/>
      <c r="B52" s="18" t="s">
        <v>28</v>
      </c>
      <c r="C52" s="18"/>
      <c r="D52" s="18"/>
      <c r="E52" s="18"/>
      <c r="F52" s="18"/>
      <c r="G52" s="18"/>
      <c r="H52" s="30"/>
    </row>
    <row r="53" spans="1:8" s="1" customFormat="1" ht="21" customHeight="1">
      <c r="A53" s="31"/>
      <c r="B53" s="17"/>
      <c r="C53" s="17"/>
      <c r="D53" s="17"/>
      <c r="E53" s="17"/>
      <c r="F53" s="17"/>
      <c r="G53" s="17"/>
      <c r="H53" s="32"/>
    </row>
    <row r="54" spans="1:8" s="1" customFormat="1" ht="21" customHeight="1" thickBot="1">
      <c r="A54" s="33"/>
      <c r="B54" s="34"/>
      <c r="C54" s="34"/>
      <c r="D54" s="34"/>
      <c r="E54" s="34"/>
      <c r="F54" s="34"/>
      <c r="G54" s="34"/>
      <c r="H54" s="35"/>
    </row>
    <row r="55" spans="1:8" s="1" customFormat="1" ht="15" customHeight="1"/>
    <row r="56" spans="1:8" s="1" customFormat="1" ht="15" customHeight="1">
      <c r="A56" s="5"/>
    </row>
    <row r="57" spans="1:8" s="1" customFormat="1" ht="15" customHeight="1">
      <c r="A57" s="5"/>
    </row>
    <row r="58" spans="1:8" s="1" customFormat="1" ht="15" customHeight="1">
      <c r="E58" s="6"/>
    </row>
    <row r="59" spans="1:8" s="1" customFormat="1" ht="15" customHeight="1">
      <c r="E59" s="6"/>
    </row>
    <row r="60" spans="1:8" s="1" customFormat="1" ht="15" customHeight="1">
      <c r="E60" s="6"/>
    </row>
    <row r="61" spans="1:8" s="1" customFormat="1" ht="15" customHeight="1">
      <c r="E61" s="6"/>
    </row>
    <row r="62" spans="1:8" s="1" customFormat="1" ht="15" customHeight="1">
      <c r="E62" s="6"/>
    </row>
    <row r="63" spans="1:8" s="1" customFormat="1" ht="15" customHeight="1">
      <c r="E63" s="6"/>
    </row>
    <row r="64" spans="1:8" s="1" customFormat="1" ht="15" customHeight="1">
      <c r="E64" s="6"/>
      <c r="H64" s="7"/>
    </row>
    <row r="65" spans="3:8" s="1" customFormat="1" ht="15" customHeight="1">
      <c r="E65" s="8"/>
      <c r="F65" s="8"/>
      <c r="H65" s="9"/>
    </row>
    <row r="66" spans="3:8" s="1" customFormat="1" ht="15" customHeight="1">
      <c r="C66" s="7"/>
      <c r="D66" s="10"/>
      <c r="E66" s="8"/>
      <c r="F66" s="8"/>
      <c r="H66" s="9"/>
    </row>
    <row r="67" spans="3:8" s="1" customFormat="1" ht="15" customHeight="1">
      <c r="C67" s="7"/>
      <c r="D67" s="10"/>
      <c r="E67" s="8"/>
      <c r="F67" s="8"/>
      <c r="H67" s="9"/>
    </row>
    <row r="68" spans="3:8" s="1" customFormat="1" ht="15" customHeight="1">
      <c r="C68" s="7"/>
      <c r="D68" s="10"/>
      <c r="E68" s="8"/>
      <c r="F68" s="8"/>
      <c r="H68" s="9"/>
    </row>
    <row r="69" spans="3:8" s="1" customFormat="1" ht="15" customHeight="1">
      <c r="E69" s="8"/>
      <c r="F69" s="8"/>
      <c r="H69" s="9"/>
    </row>
    <row r="70" spans="3:8" s="1" customFormat="1" ht="15" customHeight="1">
      <c r="E70" s="8"/>
      <c r="F70" s="8"/>
      <c r="H70" s="9"/>
    </row>
    <row r="71" spans="3:8" s="1" customFormat="1" ht="15" customHeight="1">
      <c r="D71" s="6"/>
      <c r="E71" s="7"/>
      <c r="F71" s="7"/>
      <c r="H71" s="4"/>
    </row>
    <row r="72" spans="3:8" s="1" customFormat="1" ht="15" customHeight="1">
      <c r="E72" s="7"/>
      <c r="F72" s="7"/>
      <c r="H72" s="4"/>
    </row>
    <row r="73" spans="3:8" s="1" customFormat="1" ht="15" customHeight="1">
      <c r="E73" s="6"/>
    </row>
    <row r="74" spans="3:8" s="1" customFormat="1" ht="15" customHeight="1">
      <c r="E74" s="6"/>
    </row>
    <row r="75" spans="3:8" s="1" customFormat="1" ht="15" customHeight="1">
      <c r="E75" s="6"/>
    </row>
    <row r="76" spans="3:8" s="1" customFormat="1" ht="15" customHeight="1">
      <c r="E76" s="6"/>
    </row>
    <row r="77" spans="3:8" s="1" customFormat="1" ht="15" customHeight="1">
      <c r="E77" s="6"/>
    </row>
    <row r="78" spans="3:8" s="1" customFormat="1" ht="23.25" customHeight="1">
      <c r="E78" s="6"/>
    </row>
    <row r="79" spans="3:8" s="1" customFormat="1" ht="16.5" customHeight="1"/>
    <row r="96" spans="1:8" s="11" customFormat="1" ht="15" thickBot="1">
      <c r="A96" s="1"/>
      <c r="B96" s="1"/>
      <c r="C96" s="1"/>
      <c r="D96" s="1"/>
      <c r="E96" s="1"/>
      <c r="F96" s="1"/>
      <c r="G96" s="1"/>
      <c r="H96" s="1"/>
    </row>
    <row r="103" s="1" customFormat="1"/>
    <row r="104" s="1" customFormat="1"/>
    <row r="105" s="1" customFormat="1"/>
  </sheetData>
  <mergeCells count="76">
    <mergeCell ref="A14:C15"/>
    <mergeCell ref="D15:H15"/>
    <mergeCell ref="H45:H46"/>
    <mergeCell ref="E47:F48"/>
    <mergeCell ref="G47:G48"/>
    <mergeCell ref="H47:H48"/>
    <mergeCell ref="E16:F16"/>
    <mergeCell ref="E23:F23"/>
    <mergeCell ref="E24:F24"/>
    <mergeCell ref="E42:F42"/>
    <mergeCell ref="B17:C26"/>
    <mergeCell ref="H21:H22"/>
    <mergeCell ref="G39:G41"/>
    <mergeCell ref="H39:H41"/>
    <mergeCell ref="D26:G26"/>
    <mergeCell ref="A17:A26"/>
    <mergeCell ref="A39:A50"/>
    <mergeCell ref="G43:G44"/>
    <mergeCell ref="B39:C50"/>
    <mergeCell ref="G21:G22"/>
    <mergeCell ref="G18:G20"/>
    <mergeCell ref="G45:G46"/>
    <mergeCell ref="E25:F25"/>
    <mergeCell ref="E49:F49"/>
    <mergeCell ref="E43:F44"/>
    <mergeCell ref="E18:F20"/>
    <mergeCell ref="E17:F17"/>
    <mergeCell ref="E51:F51"/>
    <mergeCell ref="E39:F41"/>
    <mergeCell ref="E45:F46"/>
    <mergeCell ref="D50:G50"/>
    <mergeCell ref="A4:B5"/>
    <mergeCell ref="C4:D4"/>
    <mergeCell ref="A9:B9"/>
    <mergeCell ref="A8:B8"/>
    <mergeCell ref="A6:B6"/>
    <mergeCell ref="A7:B7"/>
    <mergeCell ref="C9:D9"/>
    <mergeCell ref="E4:H4"/>
    <mergeCell ref="E5:H5"/>
    <mergeCell ref="E6:H6"/>
    <mergeCell ref="E7:H7"/>
    <mergeCell ref="E8:H8"/>
    <mergeCell ref="C5:D5"/>
    <mergeCell ref="C6:D6"/>
    <mergeCell ref="H43:H44"/>
    <mergeCell ref="A10:B10"/>
    <mergeCell ref="A12:C12"/>
    <mergeCell ref="D12:H12"/>
    <mergeCell ref="A13:C13"/>
    <mergeCell ref="D13:H13"/>
    <mergeCell ref="D14:H14"/>
    <mergeCell ref="E10:H10"/>
    <mergeCell ref="C7:D7"/>
    <mergeCell ref="E9:H9"/>
    <mergeCell ref="C10:D10"/>
    <mergeCell ref="C8:D8"/>
    <mergeCell ref="E21:F22"/>
    <mergeCell ref="H18:H20"/>
    <mergeCell ref="A27:A38"/>
    <mergeCell ref="B27:C38"/>
    <mergeCell ref="E27:F29"/>
    <mergeCell ref="G27:G29"/>
    <mergeCell ref="E33:F34"/>
    <mergeCell ref="G33:G34"/>
    <mergeCell ref="D38:G38"/>
    <mergeCell ref="H27:H29"/>
    <mergeCell ref="E30:F30"/>
    <mergeCell ref="E31:F32"/>
    <mergeCell ref="G31:G32"/>
    <mergeCell ref="H31:H32"/>
    <mergeCell ref="H33:H34"/>
    <mergeCell ref="E35:F36"/>
    <mergeCell ref="G35:G36"/>
    <mergeCell ref="H35:H36"/>
    <mergeCell ref="E37:F37"/>
  </mergeCells>
  <phoneticPr fontId="3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ignoredErrors>
    <ignoredError sqref="H26 H50" formula="1"/>
  </ignoredError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58D7-5868-4447-9295-11AC21D73E05}">
  <dimension ref="A1:H38"/>
  <sheetViews>
    <sheetView zoomScale="107" zoomScaleNormal="107" workbookViewId="0">
      <selection activeCell="C6" sqref="C6"/>
    </sheetView>
  </sheetViews>
  <sheetFormatPr baseColWidth="10" defaultRowHeight="14"/>
  <cols>
    <col min="2" max="2" width="50.83203125" customWidth="1"/>
    <col min="3" max="3" width="70.83203125" customWidth="1"/>
    <col min="4" max="4" width="5.83203125" customWidth="1"/>
    <col min="5" max="6" width="15.83203125" customWidth="1"/>
  </cols>
  <sheetData>
    <row r="1" spans="1:8" s="1" customFormat="1" ht="18" customHeight="1">
      <c r="A1" s="61" t="s">
        <v>44</v>
      </c>
      <c r="B1" s="62" t="s">
        <v>45</v>
      </c>
      <c r="C1" s="62" t="s">
        <v>46</v>
      </c>
      <c r="D1" s="62" t="s">
        <v>47</v>
      </c>
      <c r="E1" s="62" t="s">
        <v>49</v>
      </c>
      <c r="F1" s="63" t="s">
        <v>48</v>
      </c>
      <c r="G1" s="51"/>
      <c r="H1" s="51"/>
    </row>
    <row r="2" spans="1:8" s="1" customFormat="1" ht="18" customHeight="1">
      <c r="A2" s="175">
        <v>1</v>
      </c>
      <c r="B2" s="168" t="s">
        <v>125</v>
      </c>
      <c r="C2" s="53" t="s">
        <v>40</v>
      </c>
      <c r="D2" s="168">
        <v>1</v>
      </c>
      <c r="E2" s="170">
        <v>21500000</v>
      </c>
      <c r="F2" s="173">
        <f>D2*E2</f>
        <v>21500000</v>
      </c>
      <c r="G2" s="52"/>
      <c r="H2" s="52"/>
    </row>
    <row r="3" spans="1:8" s="1" customFormat="1" ht="18" customHeight="1">
      <c r="A3" s="175"/>
      <c r="B3" s="168"/>
      <c r="C3" s="53" t="s">
        <v>51</v>
      </c>
      <c r="D3" s="168"/>
      <c r="E3" s="170"/>
      <c r="F3" s="173"/>
      <c r="G3" s="52"/>
      <c r="H3" s="52"/>
    </row>
    <row r="4" spans="1:8" s="1" customFormat="1" ht="18" customHeight="1">
      <c r="A4" s="175"/>
      <c r="B4" s="168"/>
      <c r="C4" s="53" t="s">
        <v>52</v>
      </c>
      <c r="D4" s="168"/>
      <c r="E4" s="170"/>
      <c r="F4" s="173"/>
      <c r="G4" s="52"/>
      <c r="H4" s="52"/>
    </row>
    <row r="5" spans="1:8" s="1" customFormat="1" ht="18" customHeight="1">
      <c r="A5" s="175"/>
      <c r="B5" s="168"/>
      <c r="C5" s="53" t="s">
        <v>53</v>
      </c>
      <c r="D5" s="168"/>
      <c r="E5" s="170"/>
      <c r="F5" s="173"/>
      <c r="G5" s="52"/>
      <c r="H5" s="52"/>
    </row>
    <row r="6" spans="1:8" s="1" customFormat="1" ht="18" customHeight="1">
      <c r="A6" s="175"/>
      <c r="B6" s="168"/>
      <c r="C6" s="53" t="s">
        <v>54</v>
      </c>
      <c r="D6" s="168">
        <v>1</v>
      </c>
      <c r="E6" s="170">
        <v>61500000</v>
      </c>
      <c r="F6" s="173">
        <f>D6*E6</f>
        <v>61500000</v>
      </c>
      <c r="G6" s="52"/>
      <c r="H6" s="52"/>
    </row>
    <row r="7" spans="1:8" s="1" customFormat="1" ht="18" customHeight="1">
      <c r="A7" s="175"/>
      <c r="B7" s="168"/>
      <c r="C7" s="53" t="s">
        <v>55</v>
      </c>
      <c r="D7" s="168"/>
      <c r="E7" s="170"/>
      <c r="F7" s="173"/>
      <c r="G7" s="52"/>
      <c r="H7" s="52"/>
    </row>
    <row r="8" spans="1:8" s="1" customFormat="1" ht="18" customHeight="1">
      <c r="A8" s="175"/>
      <c r="B8" s="168"/>
      <c r="C8" s="53" t="s">
        <v>56</v>
      </c>
      <c r="D8" s="168"/>
      <c r="E8" s="170"/>
      <c r="F8" s="173"/>
      <c r="G8" s="52"/>
      <c r="H8" s="52"/>
    </row>
    <row r="9" spans="1:8" s="1" customFormat="1" ht="18" customHeight="1">
      <c r="A9" s="175"/>
      <c r="B9" s="168"/>
      <c r="C9" s="53" t="s">
        <v>57</v>
      </c>
      <c r="D9" s="168"/>
      <c r="E9" s="170"/>
      <c r="F9" s="173"/>
      <c r="G9" s="52"/>
      <c r="H9" s="52"/>
    </row>
    <row r="10" spans="1:8" s="1" customFormat="1" ht="18" customHeight="1">
      <c r="A10" s="175"/>
      <c r="B10" s="168"/>
      <c r="C10" s="53" t="s">
        <v>41</v>
      </c>
      <c r="D10" s="168"/>
      <c r="E10" s="170"/>
      <c r="F10" s="173"/>
      <c r="G10" s="52"/>
      <c r="H10" s="52"/>
    </row>
    <row r="11" spans="1:8" s="1" customFormat="1" ht="18" customHeight="1">
      <c r="A11" s="175"/>
      <c r="B11" s="168"/>
      <c r="C11" s="53" t="s">
        <v>58</v>
      </c>
      <c r="D11" s="168"/>
      <c r="E11" s="170"/>
      <c r="F11" s="173"/>
      <c r="G11" s="52"/>
      <c r="H11" s="52"/>
    </row>
    <row r="12" spans="1:8" s="1" customFormat="1" ht="18" customHeight="1">
      <c r="A12" s="175"/>
      <c r="B12" s="168"/>
      <c r="C12" s="53" t="s">
        <v>59</v>
      </c>
      <c r="D12" s="168"/>
      <c r="E12" s="170"/>
      <c r="F12" s="173"/>
      <c r="G12" s="52"/>
      <c r="H12" s="52"/>
    </row>
    <row r="13" spans="1:8" s="1" customFormat="1" ht="18" customHeight="1">
      <c r="A13" s="175"/>
      <c r="B13" s="168"/>
      <c r="C13" s="53" t="s">
        <v>60</v>
      </c>
      <c r="D13" s="168"/>
      <c r="E13" s="170"/>
      <c r="F13" s="173"/>
      <c r="G13" s="52"/>
      <c r="H13" s="52"/>
    </row>
    <row r="14" spans="1:8" ht="18" customHeight="1">
      <c r="A14" s="175"/>
      <c r="B14" s="168"/>
      <c r="C14" s="53" t="s">
        <v>42</v>
      </c>
      <c r="D14" s="168"/>
      <c r="E14" s="170"/>
      <c r="F14" s="173"/>
    </row>
    <row r="15" spans="1:8" ht="18" customHeight="1">
      <c r="A15" s="175"/>
      <c r="B15" s="168"/>
      <c r="C15" s="53" t="s">
        <v>61</v>
      </c>
      <c r="D15" s="168"/>
      <c r="E15" s="170"/>
      <c r="F15" s="173"/>
    </row>
    <row r="16" spans="1:8" ht="18" customHeight="1">
      <c r="A16" s="175"/>
      <c r="B16" s="168"/>
      <c r="C16" s="53" t="s">
        <v>62</v>
      </c>
      <c r="D16" s="168"/>
      <c r="E16" s="170"/>
      <c r="F16" s="173"/>
    </row>
    <row r="17" spans="1:6" ht="18" customHeight="1">
      <c r="A17" s="175"/>
      <c r="B17" s="168"/>
      <c r="C17" s="53" t="s">
        <v>63</v>
      </c>
      <c r="D17" s="168"/>
      <c r="E17" s="170"/>
      <c r="F17" s="173"/>
    </row>
    <row r="18" spans="1:6" ht="18" customHeight="1">
      <c r="A18" s="175"/>
      <c r="B18" s="168"/>
      <c r="C18" s="53" t="s">
        <v>64</v>
      </c>
      <c r="D18" s="169">
        <v>1</v>
      </c>
      <c r="E18" s="170">
        <v>54000000</v>
      </c>
      <c r="F18" s="173">
        <f>D18*E18</f>
        <v>54000000</v>
      </c>
    </row>
    <row r="19" spans="1:6" ht="18" customHeight="1">
      <c r="A19" s="175"/>
      <c r="B19" s="168"/>
      <c r="C19" s="53" t="s">
        <v>65</v>
      </c>
      <c r="D19" s="169"/>
      <c r="E19" s="170"/>
      <c r="F19" s="173"/>
    </row>
    <row r="20" spans="1:6" ht="18" customHeight="1">
      <c r="A20" s="175"/>
      <c r="B20" s="168"/>
      <c r="C20" s="53" t="s">
        <v>66</v>
      </c>
      <c r="D20" s="169"/>
      <c r="E20" s="170"/>
      <c r="F20" s="173"/>
    </row>
    <row r="21" spans="1:6" ht="18" customHeight="1">
      <c r="A21" s="175"/>
      <c r="B21" s="168"/>
      <c r="C21" s="53" t="s">
        <v>67</v>
      </c>
      <c r="D21" s="169"/>
      <c r="E21" s="170"/>
      <c r="F21" s="173"/>
    </row>
    <row r="22" spans="1:6" ht="18" customHeight="1">
      <c r="A22" s="175"/>
      <c r="B22" s="168"/>
      <c r="C22" s="53" t="s">
        <v>43</v>
      </c>
      <c r="D22" s="169"/>
      <c r="E22" s="170"/>
      <c r="F22" s="173"/>
    </row>
    <row r="23" spans="1:6" ht="18" customHeight="1">
      <c r="A23" s="175"/>
      <c r="B23" s="168"/>
      <c r="C23" s="53" t="s">
        <v>68</v>
      </c>
      <c r="D23" s="169"/>
      <c r="E23" s="170"/>
      <c r="F23" s="173"/>
    </row>
    <row r="24" spans="1:6" ht="18" customHeight="1">
      <c r="A24" s="175"/>
      <c r="B24" s="168"/>
      <c r="C24" s="53" t="s">
        <v>69</v>
      </c>
      <c r="D24" s="169"/>
      <c r="E24" s="170"/>
      <c r="F24" s="173"/>
    </row>
    <row r="25" spans="1:6" ht="18" customHeight="1">
      <c r="A25" s="175"/>
      <c r="B25" s="168"/>
      <c r="C25" s="53" t="s">
        <v>70</v>
      </c>
      <c r="D25" s="169"/>
      <c r="E25" s="170"/>
      <c r="F25" s="173"/>
    </row>
    <row r="26" spans="1:6" ht="18" customHeight="1">
      <c r="A26" s="175"/>
      <c r="B26" s="168"/>
      <c r="C26" s="53" t="s">
        <v>71</v>
      </c>
      <c r="D26" s="169">
        <v>1</v>
      </c>
      <c r="E26" s="170">
        <v>28000000</v>
      </c>
      <c r="F26" s="173">
        <f>D26*E26</f>
        <v>28000000</v>
      </c>
    </row>
    <row r="27" spans="1:6" ht="18" customHeight="1">
      <c r="A27" s="175"/>
      <c r="B27" s="168"/>
      <c r="C27" s="53" t="s">
        <v>72</v>
      </c>
      <c r="D27" s="169"/>
      <c r="E27" s="170"/>
      <c r="F27" s="173"/>
    </row>
    <row r="28" spans="1:6" ht="18" customHeight="1">
      <c r="A28" s="175"/>
      <c r="B28" s="168"/>
      <c r="C28" s="53" t="s">
        <v>73</v>
      </c>
      <c r="D28" s="169"/>
      <c r="E28" s="170"/>
      <c r="F28" s="173"/>
    </row>
    <row r="29" spans="1:6" ht="18" customHeight="1">
      <c r="A29" s="175"/>
      <c r="B29" s="168"/>
      <c r="C29" s="53" t="s">
        <v>74</v>
      </c>
      <c r="D29" s="169"/>
      <c r="E29" s="170"/>
      <c r="F29" s="173"/>
    </row>
    <row r="30" spans="1:6" ht="18" customHeight="1">
      <c r="A30" s="175"/>
      <c r="B30" s="168"/>
      <c r="C30" s="53" t="s">
        <v>75</v>
      </c>
      <c r="D30" s="169">
        <v>1</v>
      </c>
      <c r="E30" s="170">
        <v>27000000</v>
      </c>
      <c r="F30" s="173">
        <f>D30*E30</f>
        <v>27000000</v>
      </c>
    </row>
    <row r="31" spans="1:6" ht="18" customHeight="1">
      <c r="A31" s="175"/>
      <c r="B31" s="168"/>
      <c r="C31" s="53" t="s">
        <v>76</v>
      </c>
      <c r="D31" s="169"/>
      <c r="E31" s="170"/>
      <c r="F31" s="173"/>
    </row>
    <row r="32" spans="1:6" ht="18" customHeight="1">
      <c r="A32" s="175"/>
      <c r="B32" s="168"/>
      <c r="C32" s="53" t="s">
        <v>77</v>
      </c>
      <c r="D32" s="169"/>
      <c r="E32" s="170"/>
      <c r="F32" s="173"/>
    </row>
    <row r="33" spans="1:6" ht="18" customHeight="1">
      <c r="A33" s="175"/>
      <c r="B33" s="168"/>
      <c r="C33" s="53" t="s">
        <v>78</v>
      </c>
      <c r="D33" s="169"/>
      <c r="E33" s="170"/>
      <c r="F33" s="173"/>
    </row>
    <row r="34" spans="1:6" ht="18" customHeight="1">
      <c r="A34" s="175"/>
      <c r="B34" s="168"/>
      <c r="C34" s="53" t="s">
        <v>79</v>
      </c>
      <c r="D34" s="169">
        <v>1</v>
      </c>
      <c r="E34" s="170">
        <v>28000000</v>
      </c>
      <c r="F34" s="173">
        <f>D34*E34</f>
        <v>28000000</v>
      </c>
    </row>
    <row r="35" spans="1:6" ht="18" customHeight="1">
      <c r="A35" s="175"/>
      <c r="B35" s="168"/>
      <c r="C35" s="53" t="s">
        <v>80</v>
      </c>
      <c r="D35" s="169"/>
      <c r="E35" s="170"/>
      <c r="F35" s="173"/>
    </row>
    <row r="36" spans="1:6" ht="18" customHeight="1">
      <c r="A36" s="175"/>
      <c r="B36" s="168"/>
      <c r="C36" s="53" t="s">
        <v>81</v>
      </c>
      <c r="D36" s="169"/>
      <c r="E36" s="170"/>
      <c r="F36" s="173"/>
    </row>
    <row r="37" spans="1:6" ht="18" customHeight="1" thickBot="1">
      <c r="A37" s="176"/>
      <c r="B37" s="177"/>
      <c r="C37" s="54" t="s">
        <v>82</v>
      </c>
      <c r="D37" s="171"/>
      <c r="E37" s="172"/>
      <c r="F37" s="174"/>
    </row>
    <row r="38" spans="1:6" ht="18" customHeight="1" thickBot="1">
      <c r="A38" s="164" t="s">
        <v>83</v>
      </c>
      <c r="B38" s="165"/>
      <c r="C38" s="165"/>
      <c r="D38" s="55">
        <f>SUM(D2:D37)</f>
        <v>6</v>
      </c>
      <c r="E38" s="166">
        <f>SUM(F2:F37)</f>
        <v>220000000</v>
      </c>
      <c r="F38" s="167"/>
    </row>
  </sheetData>
  <mergeCells count="22">
    <mergeCell ref="F2:F5"/>
    <mergeCell ref="E26:E29"/>
    <mergeCell ref="F26:F29"/>
    <mergeCell ref="E6:E17"/>
    <mergeCell ref="F6:F17"/>
    <mergeCell ref="E18:E25"/>
    <mergeCell ref="A38:C38"/>
    <mergeCell ref="E38:F38"/>
    <mergeCell ref="D6:D17"/>
    <mergeCell ref="D18:D25"/>
    <mergeCell ref="D26:D29"/>
    <mergeCell ref="D30:D33"/>
    <mergeCell ref="E30:E33"/>
    <mergeCell ref="D34:D37"/>
    <mergeCell ref="E34:E37"/>
    <mergeCell ref="F34:F37"/>
    <mergeCell ref="F30:F33"/>
    <mergeCell ref="F18:F25"/>
    <mergeCell ref="A2:A37"/>
    <mergeCell ref="B2:B37"/>
    <mergeCell ref="D2:D5"/>
    <mergeCell ref="E2:E5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6919-2B03-A747-A4CE-87CF264B9907}">
  <dimension ref="A1:H45"/>
  <sheetViews>
    <sheetView topLeftCell="A5" workbookViewId="0">
      <selection activeCell="I32" sqref="I32"/>
    </sheetView>
  </sheetViews>
  <sheetFormatPr baseColWidth="10" defaultRowHeight="14"/>
  <cols>
    <col min="2" max="2" width="50.83203125" customWidth="1"/>
    <col min="3" max="3" width="70.83203125" customWidth="1"/>
    <col min="4" max="4" width="5.83203125" customWidth="1"/>
    <col min="5" max="6" width="15.83203125" customWidth="1"/>
    <col min="7" max="7" width="12" bestFit="1" customWidth="1"/>
    <col min="10" max="10" width="72.1640625" bestFit="1" customWidth="1"/>
  </cols>
  <sheetData>
    <row r="1" spans="1:8" s="1" customFormat="1" ht="18" customHeight="1" thickBot="1">
      <c r="A1" s="61" t="s">
        <v>44</v>
      </c>
      <c r="B1" s="62" t="s">
        <v>45</v>
      </c>
      <c r="C1" s="60" t="s">
        <v>46</v>
      </c>
      <c r="D1" s="60" t="s">
        <v>47</v>
      </c>
      <c r="E1" s="60" t="s">
        <v>49</v>
      </c>
      <c r="F1" s="64" t="s">
        <v>48</v>
      </c>
      <c r="G1" s="51"/>
      <c r="H1" s="51"/>
    </row>
    <row r="2" spans="1:8" s="1" customFormat="1" ht="18" customHeight="1">
      <c r="A2" s="175">
        <v>2</v>
      </c>
      <c r="B2" s="191" t="s">
        <v>127</v>
      </c>
      <c r="C2" s="56" t="s">
        <v>30</v>
      </c>
      <c r="D2" s="178">
        <v>1</v>
      </c>
      <c r="E2" s="188">
        <v>94800000</v>
      </c>
      <c r="F2" s="182">
        <f>D2*E2</f>
        <v>94800000</v>
      </c>
      <c r="G2" s="52"/>
      <c r="H2" s="52"/>
    </row>
    <row r="3" spans="1:8" s="1" customFormat="1" ht="18" customHeight="1">
      <c r="A3" s="175"/>
      <c r="B3" s="191"/>
      <c r="C3" s="57" t="s">
        <v>84</v>
      </c>
      <c r="D3" s="168"/>
      <c r="E3" s="189"/>
      <c r="F3" s="183"/>
      <c r="G3" s="52"/>
      <c r="H3" s="52"/>
    </row>
    <row r="4" spans="1:8" s="1" customFormat="1" ht="18" customHeight="1">
      <c r="A4" s="175"/>
      <c r="B4" s="191"/>
      <c r="C4" s="57" t="s">
        <v>85</v>
      </c>
      <c r="D4" s="168"/>
      <c r="E4" s="189"/>
      <c r="F4" s="183"/>
      <c r="G4" s="52"/>
      <c r="H4" s="52"/>
    </row>
    <row r="5" spans="1:8" s="1" customFormat="1" ht="18" customHeight="1">
      <c r="A5" s="175"/>
      <c r="B5" s="191"/>
      <c r="C5" s="57" t="s">
        <v>86</v>
      </c>
      <c r="D5" s="168"/>
      <c r="E5" s="189"/>
      <c r="F5" s="183"/>
      <c r="G5" s="52"/>
      <c r="H5" s="52"/>
    </row>
    <row r="6" spans="1:8" s="1" customFormat="1" ht="18" customHeight="1">
      <c r="A6" s="175"/>
      <c r="B6" s="191"/>
      <c r="C6" s="57" t="s">
        <v>87</v>
      </c>
      <c r="D6" s="168"/>
      <c r="E6" s="189"/>
      <c r="F6" s="183"/>
      <c r="G6" s="52"/>
      <c r="H6" s="52"/>
    </row>
    <row r="7" spans="1:8" s="1" customFormat="1" ht="18" customHeight="1">
      <c r="A7" s="175"/>
      <c r="B7" s="191"/>
      <c r="C7" s="57" t="s">
        <v>88</v>
      </c>
      <c r="D7" s="168"/>
      <c r="E7" s="189"/>
      <c r="F7" s="183"/>
      <c r="G7" s="52"/>
      <c r="H7" s="52"/>
    </row>
    <row r="8" spans="1:8" s="1" customFormat="1" ht="18" customHeight="1">
      <c r="A8" s="175"/>
      <c r="B8" s="191"/>
      <c r="C8" s="57" t="s">
        <v>89</v>
      </c>
      <c r="D8" s="168"/>
      <c r="E8" s="189"/>
      <c r="F8" s="183"/>
      <c r="G8" s="52"/>
      <c r="H8" s="52"/>
    </row>
    <row r="9" spans="1:8" s="1" customFormat="1" ht="18" customHeight="1">
      <c r="A9" s="175"/>
      <c r="B9" s="191"/>
      <c r="C9" s="57" t="s">
        <v>90</v>
      </c>
      <c r="D9" s="168"/>
      <c r="E9" s="189"/>
      <c r="F9" s="183"/>
      <c r="G9" s="52"/>
      <c r="H9" s="52"/>
    </row>
    <row r="10" spans="1:8" s="1" customFormat="1" ht="18" customHeight="1">
      <c r="A10" s="175"/>
      <c r="B10" s="191"/>
      <c r="C10" s="57" t="s">
        <v>91</v>
      </c>
      <c r="D10" s="168"/>
      <c r="E10" s="189"/>
      <c r="F10" s="183"/>
      <c r="G10" s="52"/>
      <c r="H10" s="52"/>
    </row>
    <row r="11" spans="1:8" s="1" customFormat="1" ht="18" customHeight="1">
      <c r="A11" s="175"/>
      <c r="B11" s="191"/>
      <c r="C11" s="57" t="s">
        <v>92</v>
      </c>
      <c r="D11" s="168"/>
      <c r="E11" s="189"/>
      <c r="F11" s="183"/>
      <c r="G11" s="52"/>
      <c r="H11" s="52"/>
    </row>
    <row r="12" spans="1:8" s="1" customFormat="1" ht="18" customHeight="1">
      <c r="A12" s="175"/>
      <c r="B12" s="191"/>
      <c r="C12" s="57" t="s">
        <v>93</v>
      </c>
      <c r="D12" s="168"/>
      <c r="E12" s="189"/>
      <c r="F12" s="183"/>
      <c r="G12" s="52"/>
      <c r="H12" s="52"/>
    </row>
    <row r="13" spans="1:8" s="1" customFormat="1" ht="18" customHeight="1" thickBot="1">
      <c r="A13" s="175"/>
      <c r="B13" s="191"/>
      <c r="C13" s="58" t="s">
        <v>94</v>
      </c>
      <c r="D13" s="179"/>
      <c r="E13" s="190"/>
      <c r="F13" s="184"/>
      <c r="G13" s="52"/>
      <c r="H13" s="52"/>
    </row>
    <row r="14" spans="1:8" ht="18" customHeight="1">
      <c r="A14" s="175"/>
      <c r="B14" s="191"/>
      <c r="C14" s="56" t="s">
        <v>95</v>
      </c>
      <c r="D14" s="178">
        <v>1</v>
      </c>
      <c r="E14" s="188">
        <v>36400000</v>
      </c>
      <c r="F14" s="182">
        <f>D14*E14</f>
        <v>36400000</v>
      </c>
    </row>
    <row r="15" spans="1:8" ht="18" customHeight="1">
      <c r="A15" s="175"/>
      <c r="B15" s="191"/>
      <c r="C15" s="57" t="s">
        <v>96</v>
      </c>
      <c r="D15" s="168"/>
      <c r="E15" s="189"/>
      <c r="F15" s="183"/>
    </row>
    <row r="16" spans="1:8" ht="18" customHeight="1">
      <c r="A16" s="175"/>
      <c r="B16" s="191"/>
      <c r="C16" s="57" t="s">
        <v>97</v>
      </c>
      <c r="D16" s="168"/>
      <c r="E16" s="189"/>
      <c r="F16" s="183"/>
    </row>
    <row r="17" spans="1:6" ht="18" customHeight="1" thickBot="1">
      <c r="A17" s="175"/>
      <c r="B17" s="191"/>
      <c r="C17" s="58" t="s">
        <v>98</v>
      </c>
      <c r="D17" s="179"/>
      <c r="E17" s="190"/>
      <c r="F17" s="184"/>
    </row>
    <row r="18" spans="1:6" ht="18" customHeight="1">
      <c r="A18" s="175"/>
      <c r="B18" s="191"/>
      <c r="C18" s="56" t="s">
        <v>99</v>
      </c>
      <c r="D18" s="180">
        <v>1</v>
      </c>
      <c r="E18" s="188">
        <v>71000000</v>
      </c>
      <c r="F18" s="182">
        <f>D18*E18</f>
        <v>71000000</v>
      </c>
    </row>
    <row r="19" spans="1:6" ht="18" customHeight="1">
      <c r="A19" s="175"/>
      <c r="B19" s="191"/>
      <c r="C19" s="57" t="s">
        <v>100</v>
      </c>
      <c r="D19" s="169"/>
      <c r="E19" s="189"/>
      <c r="F19" s="183"/>
    </row>
    <row r="20" spans="1:6" ht="18" customHeight="1">
      <c r="A20" s="175"/>
      <c r="B20" s="191"/>
      <c r="C20" s="57" t="s">
        <v>101</v>
      </c>
      <c r="D20" s="169"/>
      <c r="E20" s="189"/>
      <c r="F20" s="183"/>
    </row>
    <row r="21" spans="1:6" ht="18" customHeight="1">
      <c r="A21" s="175"/>
      <c r="B21" s="191"/>
      <c r="C21" s="57" t="s">
        <v>102</v>
      </c>
      <c r="D21" s="169"/>
      <c r="E21" s="189"/>
      <c r="F21" s="183"/>
    </row>
    <row r="22" spans="1:6" ht="18" customHeight="1">
      <c r="A22" s="175"/>
      <c r="B22" s="191"/>
      <c r="C22" s="57" t="s">
        <v>103</v>
      </c>
      <c r="D22" s="169"/>
      <c r="E22" s="189"/>
      <c r="F22" s="183"/>
    </row>
    <row r="23" spans="1:6" ht="18" customHeight="1">
      <c r="A23" s="175"/>
      <c r="B23" s="191"/>
      <c r="C23" s="57" t="s">
        <v>104</v>
      </c>
      <c r="D23" s="169"/>
      <c r="E23" s="189"/>
      <c r="F23" s="183"/>
    </row>
    <row r="24" spans="1:6" ht="18" customHeight="1" thickBot="1">
      <c r="A24" s="175"/>
      <c r="B24" s="191"/>
      <c r="C24" s="58" t="s">
        <v>105</v>
      </c>
      <c r="D24" s="181"/>
      <c r="E24" s="190"/>
      <c r="F24" s="184"/>
    </row>
    <row r="25" spans="1:6" ht="18" customHeight="1">
      <c r="A25" s="175"/>
      <c r="B25" s="191"/>
      <c r="C25" s="56" t="s">
        <v>128</v>
      </c>
      <c r="D25" s="180">
        <v>1</v>
      </c>
      <c r="E25" s="188">
        <v>73200000</v>
      </c>
      <c r="F25" s="182">
        <f>D25*E25</f>
        <v>73200000</v>
      </c>
    </row>
    <row r="26" spans="1:6" ht="18" customHeight="1">
      <c r="A26" s="175"/>
      <c r="B26" s="191"/>
      <c r="C26" s="57" t="s">
        <v>106</v>
      </c>
      <c r="D26" s="169"/>
      <c r="E26" s="189"/>
      <c r="F26" s="183"/>
    </row>
    <row r="27" spans="1:6" ht="18" customHeight="1">
      <c r="A27" s="175"/>
      <c r="B27" s="191"/>
      <c r="C27" s="57" t="s">
        <v>107</v>
      </c>
      <c r="D27" s="169"/>
      <c r="E27" s="189"/>
      <c r="F27" s="183"/>
    </row>
    <row r="28" spans="1:6" ht="18" customHeight="1">
      <c r="A28" s="175"/>
      <c r="B28" s="191"/>
      <c r="C28" s="57" t="s">
        <v>108</v>
      </c>
      <c r="D28" s="169"/>
      <c r="E28" s="189"/>
      <c r="F28" s="183"/>
    </row>
    <row r="29" spans="1:6" ht="18" customHeight="1">
      <c r="A29" s="175"/>
      <c r="B29" s="191"/>
      <c r="C29" s="57" t="s">
        <v>109</v>
      </c>
      <c r="D29" s="169"/>
      <c r="E29" s="189"/>
      <c r="F29" s="183"/>
    </row>
    <row r="30" spans="1:6" ht="18" customHeight="1">
      <c r="A30" s="175"/>
      <c r="B30" s="191"/>
      <c r="C30" s="57" t="s">
        <v>110</v>
      </c>
      <c r="D30" s="169"/>
      <c r="E30" s="189"/>
      <c r="F30" s="183"/>
    </row>
    <row r="31" spans="1:6" ht="18" customHeight="1">
      <c r="A31" s="175"/>
      <c r="B31" s="191"/>
      <c r="C31" s="57" t="s">
        <v>111</v>
      </c>
      <c r="D31" s="169"/>
      <c r="E31" s="189"/>
      <c r="F31" s="183"/>
    </row>
    <row r="32" spans="1:6" ht="18" customHeight="1" thickBot="1">
      <c r="A32" s="175"/>
      <c r="B32" s="191"/>
      <c r="C32" s="58" t="s">
        <v>112</v>
      </c>
      <c r="D32" s="181"/>
      <c r="E32" s="190"/>
      <c r="F32" s="184"/>
    </row>
    <row r="33" spans="1:6" ht="18" customHeight="1">
      <c r="A33" s="175"/>
      <c r="B33" s="191"/>
      <c r="C33" s="56" t="s">
        <v>113</v>
      </c>
      <c r="D33" s="180">
        <v>1</v>
      </c>
      <c r="E33" s="188">
        <v>77600000</v>
      </c>
      <c r="F33" s="182">
        <f>D33*E33</f>
        <v>77600000</v>
      </c>
    </row>
    <row r="34" spans="1:6" ht="18" customHeight="1">
      <c r="A34" s="175"/>
      <c r="B34" s="191"/>
      <c r="C34" s="57" t="s">
        <v>114</v>
      </c>
      <c r="D34" s="169"/>
      <c r="E34" s="189"/>
      <c r="F34" s="183"/>
    </row>
    <row r="35" spans="1:6" ht="18" customHeight="1">
      <c r="A35" s="175"/>
      <c r="B35" s="191"/>
      <c r="C35" s="57" t="s">
        <v>115</v>
      </c>
      <c r="D35" s="169"/>
      <c r="E35" s="189"/>
      <c r="F35" s="183"/>
    </row>
    <row r="36" spans="1:6" ht="18" customHeight="1">
      <c r="A36" s="175"/>
      <c r="B36" s="191"/>
      <c r="C36" s="57" t="s">
        <v>116</v>
      </c>
      <c r="D36" s="169"/>
      <c r="E36" s="189"/>
      <c r="F36" s="183"/>
    </row>
    <row r="37" spans="1:6" ht="18" customHeight="1">
      <c r="A37" s="175"/>
      <c r="B37" s="191"/>
      <c r="C37" s="57" t="s">
        <v>117</v>
      </c>
      <c r="D37" s="169"/>
      <c r="E37" s="189"/>
      <c r="F37" s="183"/>
    </row>
    <row r="38" spans="1:6" ht="18" customHeight="1">
      <c r="A38" s="175"/>
      <c r="B38" s="191"/>
      <c r="C38" s="57" t="s">
        <v>118</v>
      </c>
      <c r="D38" s="169"/>
      <c r="E38" s="189"/>
      <c r="F38" s="183"/>
    </row>
    <row r="39" spans="1:6" ht="18" customHeight="1">
      <c r="A39" s="175"/>
      <c r="B39" s="191"/>
      <c r="C39" s="57" t="s">
        <v>119</v>
      </c>
      <c r="D39" s="169"/>
      <c r="E39" s="189"/>
      <c r="F39" s="183"/>
    </row>
    <row r="40" spans="1:6" ht="18" customHeight="1" thickBot="1">
      <c r="A40" s="175"/>
      <c r="B40" s="191"/>
      <c r="C40" s="58" t="s">
        <v>120</v>
      </c>
      <c r="D40" s="181"/>
      <c r="E40" s="190"/>
      <c r="F40" s="184"/>
    </row>
    <row r="41" spans="1:6" ht="18" customHeight="1">
      <c r="A41" s="175"/>
      <c r="B41" s="191"/>
      <c r="C41" s="56" t="s">
        <v>121</v>
      </c>
      <c r="D41" s="180">
        <v>1</v>
      </c>
      <c r="E41" s="188">
        <v>27000000</v>
      </c>
      <c r="F41" s="182">
        <f>D41*E41</f>
        <v>27000000</v>
      </c>
    </row>
    <row r="42" spans="1:6" ht="18" customHeight="1">
      <c r="A42" s="175"/>
      <c r="B42" s="191"/>
      <c r="C42" s="57" t="s">
        <v>122</v>
      </c>
      <c r="D42" s="169"/>
      <c r="E42" s="189"/>
      <c r="F42" s="183"/>
    </row>
    <row r="43" spans="1:6" ht="18" customHeight="1">
      <c r="A43" s="175"/>
      <c r="B43" s="191"/>
      <c r="C43" s="57" t="s">
        <v>123</v>
      </c>
      <c r="D43" s="169"/>
      <c r="E43" s="189"/>
      <c r="F43" s="183"/>
    </row>
    <row r="44" spans="1:6" ht="18" customHeight="1" thickBot="1">
      <c r="A44" s="176"/>
      <c r="B44" s="192"/>
      <c r="C44" s="59" t="s">
        <v>124</v>
      </c>
      <c r="D44" s="181"/>
      <c r="E44" s="190"/>
      <c r="F44" s="184"/>
    </row>
    <row r="45" spans="1:6" ht="18" customHeight="1" thickBot="1">
      <c r="A45" s="185" t="s">
        <v>50</v>
      </c>
      <c r="B45" s="186"/>
      <c r="C45" s="187"/>
      <c r="D45" s="65">
        <f>SUM(D2:D44)</f>
        <v>6</v>
      </c>
      <c r="E45" s="66"/>
      <c r="F45" s="67">
        <f>SUM(F2:F44)</f>
        <v>380000000</v>
      </c>
    </row>
  </sheetData>
  <mergeCells count="21">
    <mergeCell ref="F41:F44"/>
    <mergeCell ref="A45:C45"/>
    <mergeCell ref="F2:F13"/>
    <mergeCell ref="F14:F17"/>
    <mergeCell ref="F18:F24"/>
    <mergeCell ref="F25:F32"/>
    <mergeCell ref="F33:F40"/>
    <mergeCell ref="E41:E44"/>
    <mergeCell ref="E2:E13"/>
    <mergeCell ref="E14:E17"/>
    <mergeCell ref="E18:E24"/>
    <mergeCell ref="E25:E32"/>
    <mergeCell ref="E33:E40"/>
    <mergeCell ref="B2:B44"/>
    <mergeCell ref="A2:A44"/>
    <mergeCell ref="D2:D13"/>
    <mergeCell ref="D14:D17"/>
    <mergeCell ref="D18:D24"/>
    <mergeCell ref="D25:D32"/>
    <mergeCell ref="D33:D40"/>
    <mergeCell ref="D41:D4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48C1-26FA-B742-8C39-70FB49A68AAD}">
  <dimension ref="A1:H12"/>
  <sheetViews>
    <sheetView workbookViewId="0">
      <selection activeCell="A12" sqref="A12:D12"/>
    </sheetView>
  </sheetViews>
  <sheetFormatPr baseColWidth="10" defaultRowHeight="14"/>
  <cols>
    <col min="2" max="3" width="25.83203125" customWidth="1"/>
    <col min="4" max="4" width="70.83203125" customWidth="1"/>
    <col min="5" max="6" width="3.33203125" customWidth="1"/>
    <col min="7" max="8" width="15.83203125" customWidth="1"/>
  </cols>
  <sheetData>
    <row r="1" spans="1:8" ht="18" customHeight="1" thickBot="1">
      <c r="A1" s="68" t="s">
        <v>0</v>
      </c>
      <c r="B1" s="69" t="s">
        <v>18</v>
      </c>
      <c r="C1" s="69"/>
      <c r="D1" s="70" t="s">
        <v>19</v>
      </c>
      <c r="E1" s="199" t="s">
        <v>20</v>
      </c>
      <c r="F1" s="200"/>
      <c r="G1" s="71" t="s">
        <v>21</v>
      </c>
      <c r="H1" s="72" t="s">
        <v>22</v>
      </c>
    </row>
    <row r="2" spans="1:8" ht="18" customHeight="1">
      <c r="A2" s="201">
        <v>3</v>
      </c>
      <c r="B2" s="158" t="s">
        <v>29</v>
      </c>
      <c r="C2" s="159"/>
      <c r="D2" s="42" t="s">
        <v>29</v>
      </c>
      <c r="E2" s="202">
        <v>12</v>
      </c>
      <c r="F2" s="202"/>
      <c r="G2" s="193">
        <v>3250000</v>
      </c>
      <c r="H2" s="195">
        <f>E2*G2</f>
        <v>39000000</v>
      </c>
    </row>
    <row r="3" spans="1:8" ht="18" customHeight="1">
      <c r="A3" s="176"/>
      <c r="B3" s="160"/>
      <c r="C3" s="161"/>
      <c r="D3" s="41" t="s">
        <v>31</v>
      </c>
      <c r="E3" s="203"/>
      <c r="F3" s="203"/>
      <c r="G3" s="194"/>
      <c r="H3" s="196"/>
    </row>
    <row r="4" spans="1:8" ht="18" customHeight="1">
      <c r="A4" s="176"/>
      <c r="B4" s="160"/>
      <c r="C4" s="161"/>
      <c r="D4" s="41" t="s">
        <v>32</v>
      </c>
      <c r="E4" s="203"/>
      <c r="F4" s="203"/>
      <c r="G4" s="194"/>
      <c r="H4" s="196"/>
    </row>
    <row r="5" spans="1:8" ht="18" customHeight="1">
      <c r="A5" s="176"/>
      <c r="B5" s="160"/>
      <c r="C5" s="161"/>
      <c r="D5" s="73" t="s">
        <v>33</v>
      </c>
      <c r="E5" s="203"/>
      <c r="F5" s="203"/>
      <c r="G5" s="194"/>
      <c r="H5" s="196"/>
    </row>
    <row r="6" spans="1:8" ht="18" customHeight="1">
      <c r="A6" s="176"/>
      <c r="B6" s="160"/>
      <c r="C6" s="161"/>
      <c r="D6" s="74" t="s">
        <v>34</v>
      </c>
      <c r="E6" s="203"/>
      <c r="F6" s="203"/>
      <c r="G6" s="194"/>
      <c r="H6" s="196"/>
    </row>
    <row r="7" spans="1:8" ht="18" customHeight="1">
      <c r="A7" s="176"/>
      <c r="B7" s="160"/>
      <c r="C7" s="161"/>
      <c r="D7" s="41" t="s">
        <v>35</v>
      </c>
      <c r="E7" s="203"/>
      <c r="F7" s="203"/>
      <c r="G7" s="194"/>
      <c r="H7" s="196"/>
    </row>
    <row r="8" spans="1:8" ht="18" customHeight="1">
      <c r="A8" s="176"/>
      <c r="B8" s="160"/>
      <c r="C8" s="161"/>
      <c r="D8" s="41" t="s">
        <v>36</v>
      </c>
      <c r="E8" s="203"/>
      <c r="F8" s="203"/>
      <c r="G8" s="194"/>
      <c r="H8" s="196"/>
    </row>
    <row r="9" spans="1:8" ht="18" customHeight="1">
      <c r="A9" s="176"/>
      <c r="B9" s="160"/>
      <c r="C9" s="161"/>
      <c r="D9" s="41" t="s">
        <v>37</v>
      </c>
      <c r="E9" s="203"/>
      <c r="F9" s="203"/>
      <c r="G9" s="194"/>
      <c r="H9" s="196"/>
    </row>
    <row r="10" spans="1:8" ht="18" customHeight="1">
      <c r="A10" s="176"/>
      <c r="B10" s="160"/>
      <c r="C10" s="161"/>
      <c r="D10" s="41" t="s">
        <v>38</v>
      </c>
      <c r="E10" s="203"/>
      <c r="F10" s="203"/>
      <c r="G10" s="194"/>
      <c r="H10" s="196"/>
    </row>
    <row r="11" spans="1:8" ht="18" customHeight="1" thickBot="1">
      <c r="A11" s="176"/>
      <c r="B11" s="162"/>
      <c r="C11" s="163"/>
      <c r="D11" s="43" t="s">
        <v>39</v>
      </c>
      <c r="E11" s="203"/>
      <c r="F11" s="203"/>
      <c r="G11" s="194"/>
      <c r="H11" s="196"/>
    </row>
    <row r="12" spans="1:8" ht="18" customHeight="1" thickBot="1">
      <c r="A12" s="198" t="s">
        <v>50</v>
      </c>
      <c r="B12" s="197"/>
      <c r="C12" s="197"/>
      <c r="D12" s="197"/>
      <c r="E12" s="197">
        <f>E2</f>
        <v>12</v>
      </c>
      <c r="F12" s="197"/>
      <c r="G12" s="75"/>
      <c r="H12" s="76">
        <f>H2</f>
        <v>39000000</v>
      </c>
    </row>
  </sheetData>
  <mergeCells count="8">
    <mergeCell ref="E1:F1"/>
    <mergeCell ref="A2:A11"/>
    <mergeCell ref="E2:F11"/>
    <mergeCell ref="G2:G11"/>
    <mergeCell ref="H2:H11"/>
    <mergeCell ref="E12:F12"/>
    <mergeCell ref="B2:C11"/>
    <mergeCell ref="A12:D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견적</vt:lpstr>
      <vt:lpstr>1</vt:lpstr>
      <vt:lpstr>2</vt:lpstr>
      <vt:lpstr>3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2022-05-03T11:19:49Z</cp:lastPrinted>
  <dcterms:created xsi:type="dcterms:W3CDTF">2016-06-28T02:01:49Z</dcterms:created>
  <dcterms:modified xsi:type="dcterms:W3CDTF">2023-05-26T05:12:55Z</dcterms:modified>
</cp:coreProperties>
</file>