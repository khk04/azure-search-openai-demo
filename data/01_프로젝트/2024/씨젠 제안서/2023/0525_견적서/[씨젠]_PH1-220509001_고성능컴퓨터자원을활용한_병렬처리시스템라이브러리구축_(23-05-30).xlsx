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khk/Library/CloudStorage/GoogleDrive-khkraining@falinux.com/.shortcut-targets-by-id/11ceC0g-I0klPgGkSZLyz0DLqJ5fVQSEO/씨젠 제안서/2023/0525_견적서/"/>
    </mc:Choice>
  </mc:AlternateContent>
  <xr:revisionPtr revIDLastSave="0" documentId="13_ncr:1_{631E3618-27CD-4A46-8E06-0885482AE401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견적" sheetId="2" r:id="rId1"/>
    <sheet name="1" sheetId="21" r:id="rId2"/>
    <sheet name="2" sheetId="25" r:id="rId3"/>
    <sheet name="3" sheetId="26" r:id="rId4"/>
    <sheet name="Sheet6" sheetId="24" r:id="rId5"/>
  </sheets>
  <definedNames>
    <definedName name="_xlnm.Print_Area" localSheetId="1">'1'!$A$1:$I$32</definedName>
    <definedName name="_xlnm.Print_Area" localSheetId="2">'2'!$A$1:$I$35</definedName>
    <definedName name="_xlnm.Print_Area" localSheetId="3">'3'!$A$1:$I$35</definedName>
    <definedName name="_xlnm.Print_Area" localSheetId="0">견적!$A$1:$H$55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5" roundtripDataSignature="AMtx7mgw7bgpGbguO0OmDOXFFG7V0cklkQ=="/>
    </ext>
  </extLst>
</workbook>
</file>

<file path=xl/calcChain.xml><?xml version="1.0" encoding="utf-8"?>
<calcChain xmlns="http://schemas.openxmlformats.org/spreadsheetml/2006/main">
  <c r="D32" i="26" l="1"/>
  <c r="D29" i="26"/>
  <c r="D26" i="26"/>
  <c r="D23" i="26"/>
  <c r="D20" i="26"/>
  <c r="D17" i="26"/>
  <c r="D14" i="26"/>
  <c r="D11" i="26"/>
  <c r="D8" i="26"/>
  <c r="D5" i="26"/>
  <c r="D2" i="26"/>
  <c r="D32" i="25"/>
  <c r="D29" i="25"/>
  <c r="D26" i="25"/>
  <c r="D23" i="25"/>
  <c r="D20" i="25"/>
  <c r="D17" i="25"/>
  <c r="D14" i="25"/>
  <c r="D11" i="25"/>
  <c r="D8" i="25"/>
  <c r="D5" i="25"/>
  <c r="D2" i="25"/>
  <c r="D29" i="21"/>
  <c r="D26" i="21"/>
  <c r="D23" i="21"/>
  <c r="D20" i="21"/>
  <c r="D17" i="21"/>
  <c r="D14" i="21"/>
  <c r="D11" i="21"/>
  <c r="D8" i="21"/>
  <c r="D5" i="21"/>
  <c r="D2" i="21"/>
  <c r="H18" i="2"/>
  <c r="H19" i="2"/>
  <c r="B12" i="24"/>
  <c r="G50" i="2"/>
  <c r="G49" i="2"/>
  <c r="G48" i="2"/>
  <c r="G47" i="2"/>
  <c r="G46" i="2"/>
  <c r="G45" i="2"/>
  <c r="G44" i="2"/>
  <c r="G43" i="2"/>
  <c r="G42" i="2"/>
  <c r="G41" i="2"/>
  <c r="H40" i="2" s="1"/>
  <c r="H48" i="2"/>
  <c r="H50" i="2"/>
  <c r="G40" i="2"/>
  <c r="G30" i="2"/>
  <c r="G31" i="2"/>
  <c r="H31" i="2" s="1"/>
  <c r="H32" i="26"/>
  <c r="H29" i="26"/>
  <c r="I29" i="26" s="1"/>
  <c r="H26" i="26"/>
  <c r="I26" i="26" s="1"/>
  <c r="H23" i="26"/>
  <c r="I23" i="26" s="1"/>
  <c r="H20" i="26"/>
  <c r="I20" i="26" s="1"/>
  <c r="H17" i="26"/>
  <c r="I17" i="26" s="1"/>
  <c r="H14" i="26"/>
  <c r="H11" i="26"/>
  <c r="H8" i="26"/>
  <c r="H5" i="26"/>
  <c r="H2" i="26"/>
  <c r="I2" i="26" s="1"/>
  <c r="I14" i="26"/>
  <c r="I11" i="26"/>
  <c r="I8" i="26"/>
  <c r="I5" i="26"/>
  <c r="I32" i="26"/>
  <c r="H46" i="2"/>
  <c r="H44" i="2"/>
  <c r="H43" i="2"/>
  <c r="F11" i="24"/>
  <c r="F10" i="24"/>
  <c r="F9" i="24"/>
  <c r="F8" i="24"/>
  <c r="F7" i="24"/>
  <c r="F6" i="24"/>
  <c r="F5" i="24"/>
  <c r="F4" i="24"/>
  <c r="F3" i="24"/>
  <c r="F2" i="24"/>
  <c r="F1" i="24"/>
  <c r="D11" i="24"/>
  <c r="H32" i="25" s="1"/>
  <c r="I32" i="25" s="1"/>
  <c r="D10" i="24"/>
  <c r="H29" i="25" s="1"/>
  <c r="I29" i="25" s="1"/>
  <c r="D9" i="24"/>
  <c r="H26" i="25" s="1"/>
  <c r="I26" i="25" s="1"/>
  <c r="D8" i="24"/>
  <c r="G35" i="2" s="1"/>
  <c r="D7" i="24"/>
  <c r="G34" i="2" s="1"/>
  <c r="H34" i="2" s="1"/>
  <c r="D6" i="24"/>
  <c r="G33" i="2" s="1"/>
  <c r="D5" i="24"/>
  <c r="G32" i="2" s="1"/>
  <c r="D4" i="24"/>
  <c r="H11" i="25" s="1"/>
  <c r="I11" i="25" s="1"/>
  <c r="D3" i="24"/>
  <c r="H8" i="25" s="1"/>
  <c r="I8" i="25" s="1"/>
  <c r="D2" i="24"/>
  <c r="G29" i="2" s="1"/>
  <c r="D1" i="24"/>
  <c r="G28" i="2" s="1"/>
  <c r="B11" i="24"/>
  <c r="B10" i="24"/>
  <c r="H29" i="21" s="1"/>
  <c r="I29" i="21" s="1"/>
  <c r="B9" i="24"/>
  <c r="G25" i="2" s="1"/>
  <c r="H25" i="2" s="1"/>
  <c r="B8" i="24"/>
  <c r="G24" i="2" s="1"/>
  <c r="H24" i="2" s="1"/>
  <c r="B7" i="24"/>
  <c r="G23" i="2" s="1"/>
  <c r="H23" i="2" s="1"/>
  <c r="B6" i="24"/>
  <c r="H17" i="21" s="1"/>
  <c r="I17" i="21" s="1"/>
  <c r="B5" i="24"/>
  <c r="H14" i="21" s="1"/>
  <c r="I14" i="21" s="1"/>
  <c r="B4" i="24"/>
  <c r="H11" i="21" s="1"/>
  <c r="I11" i="21" s="1"/>
  <c r="B3" i="24"/>
  <c r="G19" i="2" s="1"/>
  <c r="B2" i="24"/>
  <c r="H5" i="21" s="1"/>
  <c r="I5" i="21" s="1"/>
  <c r="B1" i="24"/>
  <c r="H2" i="21" s="1"/>
  <c r="I2" i="21" s="1"/>
  <c r="F12" i="24"/>
  <c r="D12" i="24"/>
  <c r="H32" i="2" l="1"/>
  <c r="H2" i="25"/>
  <c r="I2" i="25" s="1"/>
  <c r="H20" i="25"/>
  <c r="I20" i="25" s="1"/>
  <c r="H17" i="25"/>
  <c r="I17" i="25" s="1"/>
  <c r="H28" i="2"/>
  <c r="H5" i="25"/>
  <c r="I5" i="25" s="1"/>
  <c r="G38" i="2"/>
  <c r="G37" i="2"/>
  <c r="H23" i="25"/>
  <c r="I23" i="25" s="1"/>
  <c r="G36" i="2"/>
  <c r="H36" i="2" s="1"/>
  <c r="H14" i="25"/>
  <c r="I14" i="25" s="1"/>
  <c r="G20" i="2"/>
  <c r="G21" i="2"/>
  <c r="H8" i="21"/>
  <c r="I8" i="21" s="1"/>
  <c r="H23" i="21"/>
  <c r="I23" i="21" s="1"/>
  <c r="G26" i="2"/>
  <c r="H26" i="2" s="1"/>
  <c r="H26" i="21"/>
  <c r="I26" i="21" s="1"/>
  <c r="G18" i="2"/>
  <c r="H20" i="21"/>
  <c r="I20" i="21" s="1"/>
  <c r="G22" i="2"/>
  <c r="G17" i="2"/>
  <c r="H17" i="2" s="1"/>
  <c r="H51" i="2"/>
  <c r="I35" i="26"/>
  <c r="B15" i="24"/>
  <c r="F15" i="24"/>
  <c r="D15" i="24"/>
  <c r="E52" i="2"/>
  <c r="H21" i="2" l="1"/>
  <c r="H27" i="2" s="1"/>
  <c r="I32" i="21"/>
  <c r="I35" i="25"/>
  <c r="H38" i="2"/>
  <c r="H39" i="2" s="1"/>
  <c r="H52" i="2" l="1"/>
  <c r="D14" i="2" s="1"/>
  <c r="D15" i="2" l="1"/>
</calcChain>
</file>

<file path=xl/sharedStrings.xml><?xml version="1.0" encoding="utf-8"?>
<sst xmlns="http://schemas.openxmlformats.org/spreadsheetml/2006/main" count="194" uniqueCount="170">
  <si>
    <t>NO</t>
  </si>
  <si>
    <t>견     적     서</t>
    <phoneticPr fontId="4" type="noConversion"/>
  </si>
  <si>
    <t>(주)씨젠</t>
    <phoneticPr fontId="5" type="noConversion"/>
  </si>
  <si>
    <t xml:space="preserve">  에프에이리눅스 주식회사    오  재  경</t>
    <phoneticPr fontId="5" type="noConversion"/>
  </si>
  <si>
    <t xml:space="preserve">  (16006)  경기도 의왕시 포일동 653</t>
    <phoneticPr fontId="5" type="noConversion"/>
  </si>
  <si>
    <t>T E L</t>
    <phoneticPr fontId="6" type="noConversion"/>
  </si>
  <si>
    <t>F A X</t>
    <phoneticPr fontId="6" type="noConversion"/>
  </si>
  <si>
    <t xml:space="preserve">  TEL/FAX : 02-572-9527 / 070-7862-5155</t>
    <phoneticPr fontId="5" type="noConversion"/>
  </si>
  <si>
    <t>견적일자</t>
    <phoneticPr fontId="5" type="noConversion"/>
  </si>
  <si>
    <t xml:space="preserve">  담  당 : 박문식 이사</t>
    <phoneticPr fontId="5" type="noConversion"/>
  </si>
  <si>
    <t>견적번호</t>
    <phoneticPr fontId="5" type="noConversion"/>
  </si>
  <si>
    <t xml:space="preserve">  연락처 : 070-7862-5148/010-9429-7998</t>
    <phoneticPr fontId="5" type="noConversion"/>
  </si>
  <si>
    <t>유효기간</t>
    <phoneticPr fontId="5" type="noConversion"/>
  </si>
  <si>
    <t xml:space="preserve">  E-mail : boggle70@falinux.com</t>
    <phoneticPr fontId="5" type="noConversion"/>
  </si>
  <si>
    <t>견    적    명</t>
    <phoneticPr fontId="5" type="noConversion"/>
  </si>
  <si>
    <t>납           기</t>
    <phoneticPr fontId="5" type="noConversion"/>
  </si>
  <si>
    <t>합  계  금  액</t>
    <phoneticPr fontId="4" type="noConversion"/>
  </si>
  <si>
    <t>품         명</t>
    <phoneticPr fontId="4" type="noConversion"/>
  </si>
  <si>
    <t>규   격</t>
    <phoneticPr fontId="4" type="noConversion"/>
  </si>
  <si>
    <t>수 량</t>
    <phoneticPr fontId="4" type="noConversion"/>
  </si>
  <si>
    <t>단    가</t>
    <phoneticPr fontId="4" type="noConversion"/>
  </si>
  <si>
    <t>금    액</t>
    <phoneticPr fontId="4" type="noConversion"/>
  </si>
  <si>
    <t>합            계</t>
    <phoneticPr fontId="4" type="noConversion"/>
  </si>
  <si>
    <t>받으실분</t>
    <phoneticPr fontId="5" type="noConversion"/>
  </si>
  <si>
    <t xml:space="preserve">  02-2195-6266 / 010-8682-1192</t>
    <phoneticPr fontId="1" type="noConversion"/>
  </si>
  <si>
    <t>* 상세 사항은 별첨되는 요구사항정의서를 참조.</t>
    <phoneticPr fontId="1" type="noConversion"/>
  </si>
  <si>
    <t>계</t>
    <phoneticPr fontId="1" type="noConversion"/>
  </si>
  <si>
    <t>소 계</t>
    <phoneticPr fontId="1" type="noConversion"/>
  </si>
  <si>
    <t>고성능 컴퓨팅(HPC) 및 병렬 프로그래밍 환경 구축 및 안정화</t>
    <phoneticPr fontId="17" type="noConversion"/>
  </si>
  <si>
    <t>인실리코 분석응용 지원을 위한 데이터 분산 처리 시스템 구축</t>
    <phoneticPr fontId="17" type="noConversion"/>
  </si>
  <si>
    <t>현 시스템 분석 및 전략 수립을 통한 병렬 분산처리 라이브러리 구축</t>
    <phoneticPr fontId="1" type="noConversion"/>
  </si>
  <si>
    <t>병렬 분산처리 라이브러리 구축 전략 수립</t>
  </si>
  <si>
    <t>병렬 분산 라이브러리의 호환성 및 통합성 검사 기능 제공</t>
  </si>
  <si>
    <t>분산처리 라이브러리에 대한 성능 벤치마킹 도구 제공</t>
  </si>
  <si>
    <t>사용자 피드백을 통한 라이브러리 개선 절차 수립</t>
  </si>
  <si>
    <t>시스템 장애 대응 및 복구 프로세스 구현</t>
  </si>
  <si>
    <t>라이브러리 사용을 위한 샘플 코드 및 튜토리얼 제공</t>
  </si>
  <si>
    <t>운영과 개발 환경 분리 및 지속적인 통합(CI/CD) 프로세스 구축</t>
  </si>
  <si>
    <t>대규모 데이터를 효율적으로 처리할 수 있는 분산처리 시스템 구현</t>
  </si>
  <si>
    <t>인실리코 분석응용의 필요한 자원별 시스템 자원 동적 할당 관리 시스템</t>
  </si>
  <si>
    <t>사용자 친화적인 인터페이스 및 API 제공</t>
  </si>
  <si>
    <t>성능 모니터링 및 최적화 도구 제공</t>
  </si>
  <si>
    <t>데이터 처리 결과의 신속한 전달을 위한 메시징 시스템 구축</t>
  </si>
  <si>
    <t>HPC 시스템의 안정성을 위한 모니터링 및 알림 시스템 구현</t>
  </si>
  <si>
    <t>인실리코 소프트웨어 통합을 위한 확장 가능한 API 설계</t>
  </si>
  <si>
    <t>데이터 처리의 효율성을 높이기 위한 최적화 전략 수립</t>
  </si>
  <si>
    <t>인실리코 분석응용 버전 관리 및 업데이트 시스템 구축</t>
  </si>
  <si>
    <t>로그 데이터 수집, 저장, 검색, 분석 기능 구현</t>
  </si>
  <si>
    <t>병렬 분산 처리를 위한 효율적인 라이브러리 구축 및 테스트</t>
  </si>
  <si>
    <t>안정적인 서비스를 위한 에러 및 예외 처리 시스템 구현</t>
  </si>
  <si>
    <t>HPC 시스템에 대한 사용자 인터페이스 및 API 제공</t>
  </si>
  <si>
    <t>시스템 확장성 및 고가용성을 고려한 인프라 설계</t>
  </si>
  <si>
    <t>매니코어 기반 고성능 컴퓨터 자원 인프라 병렬처리시스템 라이브러리 통합 환경 구축</t>
    <phoneticPr fontId="5" type="noConversion"/>
  </si>
  <si>
    <t xml:space="preserve"> 별도 계약서 상의 일정 명시</t>
    <phoneticPr fontId="5" type="noConversion"/>
  </si>
  <si>
    <t>김성조 차장 귀하</t>
  </si>
  <si>
    <t>견적일로부터 15일</t>
    <phoneticPr fontId="5" type="noConversion"/>
  </si>
  <si>
    <t>인덕원IT밸리 B동 1001호</t>
    <phoneticPr fontId="5" type="noConversion"/>
  </si>
  <si>
    <t>비율</t>
    <phoneticPr fontId="1" type="noConversion"/>
  </si>
  <si>
    <t>총 값</t>
    <phoneticPr fontId="1" type="noConversion"/>
  </si>
  <si>
    <t>더한 값</t>
    <phoneticPr fontId="1" type="noConversion"/>
  </si>
  <si>
    <t>인실리코 분석응용 지원을 위한 데이터 분산 처리 시스템 구축</t>
    <phoneticPr fontId="1" type="noConversion"/>
  </si>
  <si>
    <t xml:space="preserve"> 현 시스템 분석 및 전략 수립을 통한 병렬 분산처리 라이브러리 구축</t>
    <phoneticPr fontId="1" type="noConversion"/>
  </si>
  <si>
    <t>HPC 로그 데이터 수집기 개발</t>
    <phoneticPr fontId="1" type="noConversion"/>
  </si>
  <si>
    <t>HPC 로그 데이터 분석기 개발</t>
    <phoneticPr fontId="1" type="noConversion"/>
  </si>
  <si>
    <t>HPC 로그 데이트 검색기 개발</t>
    <phoneticPr fontId="1" type="noConversion"/>
  </si>
  <si>
    <t>사용자 로그 데이터 관리 시스템 개발</t>
    <phoneticPr fontId="1" type="noConversion"/>
  </si>
  <si>
    <t>작업별 로그 데이터 관리 시스템 개발</t>
    <phoneticPr fontId="1" type="noConversion"/>
  </si>
  <si>
    <t>사용자 및 작업 데이터 통합 관리 시스템 개발</t>
    <phoneticPr fontId="1" type="noConversion"/>
  </si>
  <si>
    <t>병렬 분산처리를 지원하는 라이브러리 개발 및 테스트</t>
    <phoneticPr fontId="1" type="noConversion"/>
  </si>
  <si>
    <t>효율적인 병렬 분산처리를 위한 라이브러리 설계 및 검증</t>
    <phoneticPr fontId="1" type="noConversion"/>
  </si>
  <si>
    <t>병렬 분산 처리를 위한 고성능 라이브러리 구축 및 테스트 실행</t>
    <phoneticPr fontId="1" type="noConversion"/>
  </si>
  <si>
    <t>안정성 확보를 위한 에러 및 예외 상황 대응 시스템 설계 및 구축</t>
    <phoneticPr fontId="1" type="noConversion"/>
  </si>
  <si>
    <t>서비스의 안정성 향상을 위한 에러 및 예외 처리 메커니즘 구현</t>
    <phoneticPr fontId="1" type="noConversion"/>
  </si>
  <si>
    <t>신뢰성 있는 서비스 제공을 위한 에러 및 예외 관리 시스템 구축</t>
    <phoneticPr fontId="1" type="noConversion"/>
  </si>
  <si>
    <t>사용자 친화적인 HPC 시스템 인터페이스 및 API 설계 및 제공</t>
    <phoneticPr fontId="1" type="noConversion"/>
  </si>
  <si>
    <t>HPC 시스템의 접근성 향상을 위한 사용자 인터페이스 및 API 제공</t>
    <phoneticPr fontId="1" type="noConversion"/>
  </si>
  <si>
    <t>사용자 대상 HPC 시스템 인터페이스 및 API 개발 및 배포</t>
    <phoneticPr fontId="1" type="noConversion"/>
  </si>
  <si>
    <t>시스템 성능 추적 및 보고서 생성 기능 구현</t>
    <phoneticPr fontId="1" type="noConversion"/>
  </si>
  <si>
    <t>정기적인 성능 모니터링 및 리포팅 시스템 개발</t>
    <phoneticPr fontId="1" type="noConversion"/>
  </si>
  <si>
    <t>시스템의 성능을 측정하고 분석 리포트를 생성하는 기능 구현</t>
    <phoneticPr fontId="1" type="noConversion"/>
  </si>
  <si>
    <t>병렬 프로그래밍 지원을 위한 개발 도구 및 디버깅 툴 제공</t>
    <phoneticPr fontId="1" type="noConversion"/>
  </si>
  <si>
    <t>병렬 코드 작성 및 디버깅을 지원하는 도구 세트 구축</t>
    <phoneticPr fontId="1" type="noConversion"/>
  </si>
  <si>
    <t>병렬 프로그래밍 개발 및 디버깅 도구의 설계 및 배포</t>
    <phoneticPr fontId="1" type="noConversion"/>
  </si>
  <si>
    <t>HPC 활용을 위한 사용자 및 개발자 문서 제공</t>
    <phoneticPr fontId="1" type="noConversion"/>
  </si>
  <si>
    <t>HPC 시스템에 대한 사용자 및 개발자 가이드라인 및 지원문서 구축</t>
    <phoneticPr fontId="1" type="noConversion"/>
  </si>
  <si>
    <t>사용자와 개발자를 위한 HPC 시스템 설명서 및 도움말 문서 작성 및 배포</t>
    <phoneticPr fontId="1" type="noConversion"/>
  </si>
  <si>
    <t>확장성과 고가용성을 중심으로 한 시스템 인프라 설계</t>
    <phoneticPr fontId="1" type="noConversion"/>
  </si>
  <si>
    <t>시스템의 확장성 및 고가용성을 보장하는 인프라 구조 설계</t>
    <phoneticPr fontId="1" type="noConversion"/>
  </si>
  <si>
    <t>높은 확장성과 안정성을 고려한 시스템 인프라 설계 및 구현</t>
    <phoneticPr fontId="1" type="noConversion"/>
  </si>
  <si>
    <t>대용량 데이터 효과적 처리를 위한 분산처리 시스템 구축</t>
  </si>
  <si>
    <t>분산처리 시스템을 이용한 대규모 데이터의 효율적 처리 구현</t>
  </si>
  <si>
    <t>대규모 데이터 처리를 위한 고성능 분산처리 시스템 설계 및 구현</t>
  </si>
  <si>
    <t>인실리코 분석응용에 필요한 자원을 동적으로 할당하는 시스템 구축</t>
  </si>
  <si>
    <t>시스템 자원의 동적 할당 관리를 통한 인실리코 분석응용 지원</t>
  </si>
  <si>
    <t>자원별 동적 할당을 위한 시스템 자원 관리 시스템 개발</t>
  </si>
  <si>
    <t>사용자 중심 인터페이스와 API 제공</t>
  </si>
  <si>
    <t>사용자 친화적인 UI/UX와 API 설계 및 제공</t>
  </si>
  <si>
    <t>사용자 친화적인 인터페이스 및 편리한 API 개발 및 배포</t>
  </si>
  <si>
    <t>시스템 성능 모니터링 및 최적화를 위한 도구 제공</t>
  </si>
  <si>
    <t>성능 모니터링과 최적화 도구의 개발 및 배포</t>
  </si>
  <si>
    <t>성능 추적 및 최적화 도구의 설계 및 제공</t>
  </si>
  <si>
    <t>데이터 처리 결과를 빠르게 전달하는 메시징 시스템 설계 및 구축</t>
  </si>
  <si>
    <t>신속한 데이터 처리 결과 전달을 위한 메시징 시스템 개발</t>
  </si>
  <si>
    <t>효율적인 데이터 처리 결과 전달을 위한 메시징 시스템 구현</t>
  </si>
  <si>
    <t>데이터의 롤링 및 로테이션 처리 기능 구현</t>
  </si>
  <si>
    <t>데이터 롤링과 로테이션을 지원하는 기능 제공</t>
  </si>
  <si>
    <t>데이터 롤링 및 로테이션을 위한 기능 개발 및 제공</t>
  </si>
  <si>
    <t>안정적인 HPC 시스템 운영을 위한 모니터링 및 알림 시스템 설계 및 구축</t>
  </si>
  <si>
    <t>HPC 시스템의 안정성 확보를 위한 모니터링 및 알림 기능 개발</t>
  </si>
  <si>
    <t>HPC 시스템 안정성을 위한 상시 모니터링 및 알림 시스템 구현</t>
  </si>
  <si>
    <t>작업 실패 시 자동 재시도 및 오류 복구 기능 개발</t>
  </si>
  <si>
    <t>실패한 작업에 대해 자동 재실행 및 오류 복구 기능 구현</t>
  </si>
  <si>
    <t>작업 실패에 대한 자동 재시도 및 오류 복구 메커니즘 구축</t>
  </si>
  <si>
    <t>확장성 있는 API를 통한 인실리코 소프트웨어 통합 설계</t>
  </si>
  <si>
    <t>인실리코 소프트웨어 통합을 위한 확장 가능한 API 개발</t>
  </si>
  <si>
    <t>통합 소프트웨어 설계를 위한 확장 가능한 API 구축</t>
  </si>
  <si>
    <t>데이터 처리 효율 향상을 위한 최적화 전략 개발</t>
  </si>
  <si>
    <t>데이터 처리 효율성 향상을 위한 최적화 전략 구축</t>
  </si>
  <si>
    <t>효율적인 데이터 처리를 위한 최적화 전략 설정 및 실행</t>
  </si>
  <si>
    <t>인실리코 분석응용에 대한 버전 관리 및 업데이트 시스템 설계 및 구축</t>
  </si>
  <si>
    <t>인실리코 분석응용의 버전 관리 및 업데이트를 위한 시스템 개발</t>
  </si>
  <si>
    <t>버전 관리 및 업데이트 시스템을 통한 인실리코 분석응용 관리</t>
  </si>
  <si>
    <t>시스템 성능, 자원 사용, 문제점 등을 파악하는 분석 기능 구현</t>
  </si>
  <si>
    <t>시스템의 현 상태를 이해하는 데 필요한 성능, 자원 사용량, 문제점 분석 기능</t>
  </si>
  <si>
    <t>현재 시스템 상태 분석을 위한 성능, 자원 사용량, 문제점 등의 체크 기능</t>
  </si>
  <si>
    <t>병렬 분산 처리를 위한 라이브러리 구축을 위한 전략 설정</t>
  </si>
  <si>
    <t>병렬 분산처리 라이브러리 설계 및 구현을 위한 전략 수립</t>
  </si>
  <si>
    <t>효율적인 병렬 분산처리 라이브러리 구축을 위한 전략 개발</t>
  </si>
  <si>
    <t>시스템 확장 계획을 위한 로드맵 개발</t>
  </si>
  <si>
    <t>미래 시스템 확장을 지원하기 위한 로드맵 구성</t>
  </si>
  <si>
    <t>시스템 확장에 대한 장래 로드맵 제공</t>
  </si>
  <si>
    <t>라이브러리 사용을 위한 교육자료 및 문서화 작업 제공</t>
  </si>
  <si>
    <t>구축된 라이브러리의 사용자 교육 및 관련 문서 작성</t>
  </si>
  <si>
    <t>라이브러리 사용자를 위한 교육 프로그램 및 문서화 실행</t>
  </si>
  <si>
    <t>라이브러리의 안정적 운영을 위한 업데이트 및 유지보수 계획 설정</t>
  </si>
  <si>
    <t>구축된 라이브러리의 안정화를 위해 패키지 업데이트 및 유지보수 전략을 개발</t>
  </si>
  <si>
    <t>패키지 업데이트 및 유지보수를 통한 라이브러리 안정성 확보 계획 수립</t>
  </si>
  <si>
    <t>병렬 분산처리 라이브러리에 대한 호환성 및 통합성 확인 기능 구현</t>
  </si>
  <si>
    <t>라이브러리의 호환성 및 통합성 검사를 위한 기능 제공</t>
  </si>
  <si>
    <t>병렬 분산 라이브러리의 호환 및 통합 검사 기능 개발</t>
  </si>
  <si>
    <t>라이브러리 성능 평가를 위한 벤치마킹 도구 제공</t>
  </si>
  <si>
    <t>분산처리 라이브러리의 성능을 측정하는 벤치마킹 도구 제공</t>
  </si>
  <si>
    <t>성능 벤치마킹 도구를 통한 분산처리 라이브러리 성능 평가 기능</t>
  </si>
  <si>
    <t>사용자 피드백 기반 라이브러리 개선 전략 개발</t>
  </si>
  <si>
    <t>사용자 피드백을 이용한 라이브러리의 개선 절차 설정</t>
  </si>
  <si>
    <t>사용자 피드백을 활용한 라이브러리의 향상 절차 설계</t>
  </si>
  <si>
    <t>시스템 장애에 대응하고 복구하는 프로세스 설계 및 구현</t>
  </si>
  <si>
    <t>시스템 장애 발생 시 대응 및 복구 과정을 위한 프로세스 개발</t>
  </si>
  <si>
    <t>시스템 오류 대처 및 복구 방법을 위한 프로세스 구축</t>
  </si>
  <si>
    <t>라이브러리 이용자를 위한 샘플 코드 및 튜토리얼 제작</t>
  </si>
  <si>
    <t>라이브러리 사용 방법을 설명하는 샘플 코드 및 튜토리얼 제공</t>
  </si>
  <si>
    <t>개발과 운영 환경의 분리와 지속적 통합 프로세스 구축</t>
  </si>
  <si>
    <t>CI/CD 프로세스를 통해 운영과 개발 환경 분리 및 지속적 통합 시행</t>
  </si>
  <si>
    <t>운영과 개발 환경의 분리 및 지속적 통합(CI/CD) 전략을 구현</t>
  </si>
  <si>
    <t>사용자가 이해하고 사용할 수 있도록 샘플 코드 및 튜토리얼 제작</t>
    <phoneticPr fontId="1" type="noConversion"/>
  </si>
  <si>
    <t>실시간 병렬 프로그램 실행 상태 추적 기능 개발</t>
    <phoneticPr fontId="1" type="noConversion"/>
  </si>
  <si>
    <t>병렬 프로그램 성능 모니터링 기능 개발</t>
    <phoneticPr fontId="1" type="noConversion"/>
  </si>
  <si>
    <t>병렬 프로그램의 다양한 메트릭스를 확인할 수 있는 대시보드 제공 기능 개발</t>
    <phoneticPr fontId="1" type="noConversion"/>
  </si>
  <si>
    <t>PH1-230530001</t>
    <phoneticPr fontId="1" type="noConversion"/>
  </si>
  <si>
    <t>사용자별, 작업별 로그 데이터 관리 기능 제공</t>
  </si>
  <si>
    <t>병렬 프로그램의 실행 상태, 성능 의 실시간 모니터링 기능 제공</t>
  </si>
  <si>
    <t>시스템의 성능 모니터링 및 리포트 생성 기능 제공</t>
  </si>
  <si>
    <t>병렬 프로그래밍을 위한 개발 환경 구축</t>
  </si>
  <si>
    <t>HPC 사용자 및 개발자를 위한 사용자 문서 지원</t>
  </si>
  <si>
    <t>HPC 산출물 관리 전략 수립</t>
  </si>
  <si>
    <t>분석응용 상태 단계별 프로세싱 보고기능 제공</t>
  </si>
  <si>
    <t>시스템의 성능, 자원 사용량, 문제점 등을 분석하는 기능제공</t>
  </si>
  <si>
    <t>병렬 분산처리 자원 시스템 확장을 위한 로드맵 제시</t>
  </si>
  <si>
    <t>병렬 라이브러리에 대한 교육 및 문서 지원</t>
  </si>
  <si>
    <t>병렬 라이브러리의 안정화를 위한 패키지 업데이트 및 유지보수 계획 수립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</si>
</sst>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  <numFmt numFmtId="179" formatCode="_-* #,##0_-;\-* #,##0_-;_-* &quot;-&quot;_-;_-@"/>
  </numFmts>
  <fonts count="25">
    <font>
      <sz val="11"/>
      <color theme="1"/>
      <name val="Arial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11"/>
      <name val="Times New Roman"/>
      <family val="1"/>
    </font>
    <font>
      <sz val="8"/>
      <name val="돋움"/>
      <family val="3"/>
      <charset val="129"/>
    </font>
    <font>
      <b/>
      <sz val="11"/>
      <name val="Times New Roman"/>
      <family val="1"/>
    </font>
    <font>
      <b/>
      <sz val="1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2"/>
      <name val="바탕체"/>
      <family val="1"/>
      <charset val="129"/>
    </font>
    <font>
      <sz val="11"/>
      <color theme="1"/>
      <name val="Arial"/>
      <family val="2"/>
    </font>
    <font>
      <b/>
      <sz val="10"/>
      <color theme="1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b/>
      <sz val="9"/>
      <name val="Malgun Gothic"/>
      <family val="2"/>
      <charset val="129"/>
    </font>
    <font>
      <b/>
      <sz val="11"/>
      <name val="Malgun Gothic"/>
      <family val="2"/>
      <charset val="129"/>
    </font>
    <font>
      <sz val="8"/>
      <name val="Calibri"/>
      <family val="2"/>
      <charset val="129"/>
      <scheme val="minor"/>
    </font>
    <font>
      <sz val="11"/>
      <color theme="1"/>
      <name val="Arial"/>
      <family val="2"/>
    </font>
    <font>
      <sz val="11"/>
      <name val="Malgun Gothic"/>
      <family val="2"/>
      <charset val="129"/>
    </font>
    <font>
      <b/>
      <sz val="10"/>
      <name val="Malgun Gothic"/>
      <family val="2"/>
      <charset val="129"/>
    </font>
    <font>
      <sz val="10"/>
      <name val="Malgun Gothic"/>
      <family val="2"/>
      <charset val="129"/>
    </font>
    <font>
      <sz val="9"/>
      <name val="Malgun Gothic"/>
      <family val="2"/>
      <charset val="129"/>
    </font>
    <font>
      <b/>
      <sz val="8"/>
      <color theme="1"/>
      <name val="Malgun Gothic"/>
      <family val="2"/>
      <charset val="129"/>
    </font>
    <font>
      <b/>
      <sz val="20"/>
      <name val="Malgun Gothic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1" fillId="0" borderId="0"/>
    <xf numFmtId="9" fontId="18" fillId="0" borderId="0" applyFont="0" applyFill="0" applyBorder="0" applyAlignment="0" applyProtection="0">
      <alignment vertical="center"/>
    </xf>
  </cellStyleXfs>
  <cellXfs count="216">
    <xf numFmtId="0" fontId="0" fillId="0" borderId="0" xfId="0"/>
    <xf numFmtId="0" fontId="3" fillId="0" borderId="0" xfId="1" applyFont="1">
      <alignment vertical="center"/>
    </xf>
    <xf numFmtId="0" fontId="2" fillId="0" borderId="0" xfId="1">
      <alignment vertical="center"/>
    </xf>
    <xf numFmtId="177" fontId="3" fillId="0" borderId="0" xfId="1" applyNumberFormat="1" applyFont="1">
      <alignment vertical="center"/>
    </xf>
    <xf numFmtId="0" fontId="7" fillId="0" borderId="0" xfId="1" applyFont="1">
      <alignment vertical="center"/>
    </xf>
    <xf numFmtId="9" fontId="3" fillId="0" borderId="0" xfId="1" applyNumberFormat="1" applyFont="1">
      <alignment vertical="center"/>
    </xf>
    <xf numFmtId="0" fontId="9" fillId="0" borderId="0" xfId="5">
      <alignment vertical="center"/>
    </xf>
    <xf numFmtId="0" fontId="9" fillId="0" borderId="0" xfId="5" applyAlignment="1">
      <alignment horizontal="center" vertical="center"/>
    </xf>
    <xf numFmtId="177" fontId="9" fillId="0" borderId="0" xfId="5" applyNumberFormat="1">
      <alignment vertical="center"/>
    </xf>
    <xf numFmtId="3" fontId="9" fillId="0" borderId="0" xfId="5" applyNumberFormat="1">
      <alignment vertical="center"/>
    </xf>
    <xf numFmtId="0" fontId="2" fillId="0" borderId="9" xfId="1" applyBorder="1">
      <alignment vertical="center"/>
    </xf>
    <xf numFmtId="0" fontId="3" fillId="0" borderId="29" xfId="1" applyFont="1" applyBorder="1">
      <alignment vertical="center"/>
    </xf>
    <xf numFmtId="178" fontId="14" fillId="0" borderId="6" xfId="0" applyNumberFormat="1" applyFont="1" applyBorder="1" applyAlignment="1">
      <alignment vertical="center" wrapText="1"/>
    </xf>
    <xf numFmtId="179" fontId="10" fillId="0" borderId="39" xfId="0" applyNumberFormat="1" applyFont="1" applyBorder="1" applyAlignment="1">
      <alignment horizontal="center" vertical="center"/>
    </xf>
    <xf numFmtId="179" fontId="10" fillId="0" borderId="16" xfId="0" applyNumberFormat="1" applyFont="1" applyBorder="1" applyAlignment="1">
      <alignment horizontal="center" vertical="center"/>
    </xf>
    <xf numFmtId="177" fontId="16" fillId="0" borderId="27" xfId="3" applyNumberFormat="1" applyFont="1" applyFill="1" applyBorder="1" applyAlignment="1">
      <alignment horizontal="center" vertical="center"/>
    </xf>
    <xf numFmtId="177" fontId="16" fillId="0" borderId="16" xfId="3" applyNumberFormat="1" applyFont="1" applyFill="1" applyBorder="1" applyAlignment="1">
      <alignment horizontal="center" vertical="center"/>
    </xf>
    <xf numFmtId="177" fontId="16" fillId="0" borderId="35" xfId="3" applyNumberFormat="1" applyFont="1" applyFill="1" applyBorder="1" applyAlignment="1">
      <alignment horizontal="center" vertical="center"/>
    </xf>
    <xf numFmtId="179" fontId="10" fillId="0" borderId="27" xfId="0" applyNumberFormat="1" applyFont="1" applyBorder="1" applyAlignment="1">
      <alignment horizontal="center" vertical="center"/>
    </xf>
    <xf numFmtId="0" fontId="16" fillId="3" borderId="34" xfId="1" applyFont="1" applyFill="1" applyBorder="1" applyAlignment="1">
      <alignment horizontal="center" vertical="center"/>
    </xf>
    <xf numFmtId="177" fontId="16" fillId="3" borderId="11" xfId="3" applyNumberFormat="1" applyFont="1" applyFill="1" applyBorder="1" applyAlignment="1">
      <alignment vertical="center"/>
    </xf>
    <xf numFmtId="177" fontId="16" fillId="3" borderId="39" xfId="3" applyNumberFormat="1" applyFont="1" applyFill="1" applyBorder="1" applyAlignment="1">
      <alignment vertical="center"/>
    </xf>
    <xf numFmtId="0" fontId="22" fillId="0" borderId="1" xfId="1" quotePrefix="1" applyFont="1" applyBorder="1" applyAlignment="1">
      <alignment horizontal="left" vertical="center"/>
    </xf>
    <xf numFmtId="0" fontId="16" fillId="0" borderId="51" xfId="1" applyFont="1" applyBorder="1" applyAlignment="1">
      <alignment horizontal="center" vertical="center"/>
    </xf>
    <xf numFmtId="0" fontId="16" fillId="0" borderId="26" xfId="1" applyFont="1" applyBorder="1" applyAlignment="1">
      <alignment horizontal="centerContinuous" vertical="center"/>
    </xf>
    <xf numFmtId="0" fontId="16" fillId="0" borderId="26" xfId="1" applyFont="1" applyBorder="1" applyAlignment="1">
      <alignment horizontal="center" vertical="center"/>
    </xf>
    <xf numFmtId="0" fontId="16" fillId="0" borderId="27" xfId="1" applyFont="1" applyBorder="1" applyAlignment="1">
      <alignment horizontal="center" vertical="center"/>
    </xf>
    <xf numFmtId="0" fontId="19" fillId="0" borderId="28" xfId="1" applyFont="1" applyBorder="1">
      <alignment vertical="center"/>
    </xf>
    <xf numFmtId="0" fontId="19" fillId="0" borderId="29" xfId="1" applyFont="1" applyBorder="1">
      <alignment vertical="center"/>
    </xf>
    <xf numFmtId="14" fontId="19" fillId="0" borderId="29" xfId="1" applyNumberFormat="1" applyFont="1" applyBorder="1">
      <alignment vertical="center"/>
    </xf>
    <xf numFmtId="0" fontId="19" fillId="0" borderId="30" xfId="1" applyFont="1" applyBorder="1">
      <alignment vertical="center"/>
    </xf>
    <xf numFmtId="0" fontId="24" fillId="0" borderId="31" xfId="1" applyFont="1" applyBorder="1" applyAlignment="1">
      <alignment horizontal="centerContinuous" vertical="center"/>
    </xf>
    <xf numFmtId="0" fontId="19" fillId="0" borderId="32" xfId="1" applyFont="1" applyBorder="1" applyAlignment="1">
      <alignment horizontal="centerContinuous" vertical="center"/>
    </xf>
    <xf numFmtId="0" fontId="19" fillId="0" borderId="31" xfId="1" applyFont="1" applyBorder="1" applyAlignment="1" applyProtection="1">
      <alignment horizontal="centerContinuous" vertical="center"/>
      <protection locked="0"/>
    </xf>
    <xf numFmtId="0" fontId="21" fillId="0" borderId="31" xfId="1" applyFont="1" applyBorder="1" applyAlignment="1" applyProtection="1">
      <alignment horizontal="left" vertical="center"/>
      <protection locked="0"/>
    </xf>
    <xf numFmtId="0" fontId="21" fillId="0" borderId="32" xfId="1" applyFont="1" applyBorder="1">
      <alignment vertical="center"/>
    </xf>
    <xf numFmtId="0" fontId="22" fillId="0" borderId="33" xfId="1" quotePrefix="1" applyFont="1" applyBorder="1" applyAlignment="1">
      <alignment horizontal="left" vertical="center"/>
    </xf>
    <xf numFmtId="0" fontId="22" fillId="0" borderId="36" xfId="1" quotePrefix="1" applyFont="1" applyBorder="1" applyAlignment="1">
      <alignment horizontal="left" vertical="center"/>
    </xf>
    <xf numFmtId="0" fontId="22" fillId="0" borderId="31" xfId="1" quotePrefix="1" applyFont="1" applyBorder="1" applyAlignment="1">
      <alignment horizontal="left" vertical="center"/>
    </xf>
    <xf numFmtId="0" fontId="22" fillId="0" borderId="0" xfId="1" quotePrefix="1" applyFont="1" applyAlignment="1">
      <alignment horizontal="left" vertical="center"/>
    </xf>
    <xf numFmtId="0" fontId="22" fillId="0" borderId="32" xfId="1" quotePrefix="1" applyFont="1" applyBorder="1" applyAlignment="1">
      <alignment horizontal="left" vertical="center"/>
    </xf>
    <xf numFmtId="0" fontId="22" fillId="0" borderId="37" xfId="1" applyFont="1" applyBorder="1">
      <alignment vertical="center"/>
    </xf>
    <xf numFmtId="0" fontId="22" fillId="0" borderId="9" xfId="1" applyFont="1" applyBorder="1">
      <alignment vertical="center"/>
    </xf>
    <xf numFmtId="0" fontId="22" fillId="0" borderId="38" xfId="1" applyFont="1" applyBorder="1">
      <alignment vertical="center"/>
    </xf>
    <xf numFmtId="177" fontId="16" fillId="0" borderId="0" xfId="3" applyNumberFormat="1" applyFont="1" applyFill="1" applyBorder="1" applyAlignment="1">
      <alignment horizontal="center" vertical="center"/>
    </xf>
    <xf numFmtId="177" fontId="16" fillId="0" borderId="6" xfId="3" applyNumberFormat="1" applyFont="1" applyFill="1" applyBorder="1" applyAlignment="1">
      <alignment horizontal="center" vertical="center"/>
    </xf>
    <xf numFmtId="0" fontId="12" fillId="0" borderId="0" xfId="0" applyFont="1"/>
    <xf numFmtId="9" fontId="0" fillId="0" borderId="6" xfId="7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9" fontId="16" fillId="0" borderId="0" xfId="7" applyFont="1" applyFill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16" fillId="0" borderId="42" xfId="1" applyFont="1" applyBorder="1" applyAlignment="1">
      <alignment horizontal="centerContinuous" vertical="center"/>
    </xf>
    <xf numFmtId="0" fontId="16" fillId="0" borderId="20" xfId="1" applyFont="1" applyBorder="1" applyAlignment="1">
      <alignment horizontal="center" vertical="center"/>
    </xf>
    <xf numFmtId="0" fontId="16" fillId="0" borderId="22" xfId="1" applyFont="1" applyBorder="1" applyAlignment="1">
      <alignment horizontal="center" vertical="center"/>
    </xf>
    <xf numFmtId="179" fontId="10" fillId="0" borderId="16" xfId="0" applyNumberFormat="1" applyFont="1" applyBorder="1" applyAlignment="1">
      <alignment vertical="center"/>
    </xf>
    <xf numFmtId="179" fontId="10" fillId="0" borderId="35" xfId="0" applyNumberFormat="1" applyFont="1" applyBorder="1" applyAlignment="1">
      <alignment horizontal="center" vertical="center"/>
    </xf>
    <xf numFmtId="178" fontId="14" fillId="0" borderId="14" xfId="0" applyNumberFormat="1" applyFont="1" applyBorder="1" applyAlignment="1">
      <alignment vertical="center" wrapText="1"/>
    </xf>
    <xf numFmtId="178" fontId="14" fillId="0" borderId="19" xfId="0" applyNumberFormat="1" applyFont="1" applyBorder="1" applyAlignment="1">
      <alignment vertical="center" wrapText="1"/>
    </xf>
    <xf numFmtId="178" fontId="14" fillId="0" borderId="61" xfId="0" applyNumberFormat="1" applyFont="1" applyBorder="1" applyAlignment="1">
      <alignment vertical="center" wrapText="1"/>
    </xf>
    <xf numFmtId="178" fontId="14" fillId="0" borderId="62" xfId="0" applyNumberFormat="1" applyFont="1" applyBorder="1" applyAlignment="1">
      <alignment vertical="center" wrapText="1"/>
    </xf>
    <xf numFmtId="178" fontId="14" fillId="0" borderId="63" xfId="0" applyNumberFormat="1" applyFont="1" applyBorder="1" applyAlignment="1">
      <alignment vertical="center" wrapText="1"/>
    </xf>
    <xf numFmtId="178" fontId="14" fillId="0" borderId="13" xfId="0" applyNumberFormat="1" applyFont="1" applyBorder="1" applyAlignment="1">
      <alignment vertical="center" wrapText="1"/>
    </xf>
    <xf numFmtId="178" fontId="14" fillId="0" borderId="18" xfId="0" applyNumberFormat="1" applyFont="1" applyBorder="1" applyAlignment="1">
      <alignment vertical="center" wrapText="1"/>
    </xf>
    <xf numFmtId="178" fontId="14" fillId="0" borderId="10" xfId="0" applyNumberFormat="1" applyFont="1" applyBorder="1" applyAlignment="1">
      <alignment vertical="center" wrapText="1"/>
    </xf>
    <xf numFmtId="0" fontId="16" fillId="0" borderId="23" xfId="1" applyFont="1" applyBorder="1" applyAlignment="1">
      <alignment horizontal="center" vertical="center"/>
    </xf>
    <xf numFmtId="0" fontId="3" fillId="0" borderId="32" xfId="1" applyFont="1" applyBorder="1">
      <alignment vertical="center"/>
    </xf>
    <xf numFmtId="0" fontId="3" fillId="0" borderId="30" xfId="1" applyFont="1" applyBorder="1">
      <alignment vertical="center"/>
    </xf>
    <xf numFmtId="0" fontId="19" fillId="0" borderId="0" xfId="1" applyFont="1" applyAlignment="1">
      <alignment horizontal="centerContinuous" vertical="center"/>
    </xf>
    <xf numFmtId="0" fontId="19" fillId="0" borderId="0" xfId="1" applyFont="1" applyAlignment="1" applyProtection="1">
      <alignment horizontal="centerContinuous" vertical="center"/>
      <protection locked="0"/>
    </xf>
    <xf numFmtId="0" fontId="21" fillId="0" borderId="0" xfId="1" applyFont="1" applyAlignment="1" applyProtection="1">
      <alignment horizontal="left" vertical="center"/>
      <protection locked="0"/>
    </xf>
    <xf numFmtId="0" fontId="19" fillId="0" borderId="0" xfId="1" applyFont="1" applyAlignment="1">
      <alignment horizontal="center" vertical="center"/>
    </xf>
    <xf numFmtId="0" fontId="21" fillId="0" borderId="0" xfId="1" applyFont="1">
      <alignment vertical="center"/>
    </xf>
    <xf numFmtId="178" fontId="14" fillId="0" borderId="65" xfId="0" applyNumberFormat="1" applyFont="1" applyBorder="1" applyAlignment="1">
      <alignment vertical="center" wrapText="1"/>
    </xf>
    <xf numFmtId="178" fontId="14" fillId="0" borderId="59" xfId="0" applyNumberFormat="1" applyFont="1" applyBorder="1" applyAlignment="1">
      <alignment vertical="center" wrapText="1"/>
    </xf>
    <xf numFmtId="178" fontId="14" fillId="0" borderId="64" xfId="0" applyNumberFormat="1" applyFont="1" applyBorder="1" applyAlignment="1">
      <alignment vertical="center" wrapText="1"/>
    </xf>
    <xf numFmtId="178" fontId="14" fillId="0" borderId="49" xfId="0" applyNumberFormat="1" applyFont="1" applyBorder="1" applyAlignment="1">
      <alignment vertical="center" wrapText="1"/>
    </xf>
    <xf numFmtId="178" fontId="14" fillId="0" borderId="7" xfId="0" applyNumberFormat="1" applyFont="1" applyBorder="1" applyAlignment="1">
      <alignment vertical="center" wrapText="1"/>
    </xf>
    <xf numFmtId="178" fontId="14" fillId="0" borderId="46" xfId="0" applyNumberFormat="1" applyFont="1" applyBorder="1" applyAlignment="1">
      <alignment vertical="center" wrapText="1"/>
    </xf>
    <xf numFmtId="177" fontId="16" fillId="0" borderId="38" xfId="3" applyNumberFormat="1" applyFont="1" applyFill="1" applyBorder="1" applyAlignment="1">
      <alignment horizontal="center" vertical="center"/>
    </xf>
    <xf numFmtId="178" fontId="14" fillId="0" borderId="67" xfId="0" applyNumberFormat="1" applyFont="1" applyBorder="1" applyAlignment="1">
      <alignment vertical="center" wrapText="1"/>
    </xf>
    <xf numFmtId="177" fontId="16" fillId="0" borderId="60" xfId="3" applyNumberFormat="1" applyFont="1" applyFill="1" applyBorder="1" applyAlignment="1">
      <alignment horizontal="center" vertical="center"/>
    </xf>
    <xf numFmtId="0" fontId="3" fillId="0" borderId="60" xfId="1" applyFont="1" applyBorder="1">
      <alignment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78" fontId="10" fillId="0" borderId="20" xfId="0" applyNumberFormat="1" applyFont="1" applyBorder="1" applyAlignment="1">
      <alignment horizontal="center" vertical="center" wrapText="1"/>
    </xf>
    <xf numFmtId="178" fontId="10" fillId="0" borderId="3" xfId="0" applyNumberFormat="1" applyFont="1" applyBorder="1" applyAlignment="1">
      <alignment horizontal="center" vertical="center" wrapText="1"/>
    </xf>
    <xf numFmtId="178" fontId="10" fillId="0" borderId="24" xfId="0" applyNumberFormat="1" applyFont="1" applyBorder="1" applyAlignment="1">
      <alignment horizontal="center" vertical="center" wrapText="1"/>
    </xf>
    <xf numFmtId="178" fontId="10" fillId="0" borderId="25" xfId="0" applyNumberFormat="1" applyFont="1" applyBorder="1" applyAlignment="1">
      <alignment horizontal="center" vertical="center" wrapText="1"/>
    </xf>
    <xf numFmtId="179" fontId="10" fillId="0" borderId="16" xfId="0" applyNumberFormat="1" applyFont="1" applyBorder="1" applyAlignment="1">
      <alignment horizontal="center" vertical="center"/>
    </xf>
    <xf numFmtId="177" fontId="16" fillId="0" borderId="23" xfId="3" applyNumberFormat="1" applyFont="1" applyFill="1" applyBorder="1" applyAlignment="1">
      <alignment horizontal="center" vertical="center"/>
    </xf>
    <xf numFmtId="177" fontId="16" fillId="0" borderId="47" xfId="3" applyNumberFormat="1" applyFont="1" applyFill="1" applyBorder="1" applyAlignment="1">
      <alignment horizontal="center" vertical="center"/>
    </xf>
    <xf numFmtId="177" fontId="16" fillId="0" borderId="39" xfId="3" applyNumberFormat="1" applyFont="1" applyFill="1" applyBorder="1" applyAlignment="1">
      <alignment horizontal="center" vertical="center"/>
    </xf>
    <xf numFmtId="178" fontId="15" fillId="0" borderId="60" xfId="0" applyNumberFormat="1" applyFont="1" applyBorder="1" applyAlignment="1">
      <alignment horizontal="center" vertical="center" wrapText="1"/>
    </xf>
    <xf numFmtId="178" fontId="15" fillId="0" borderId="53" xfId="0" applyNumberFormat="1" applyFont="1" applyBorder="1" applyAlignment="1">
      <alignment horizontal="center" vertical="center" wrapText="1"/>
    </xf>
    <xf numFmtId="178" fontId="15" fillId="0" borderId="54" xfId="0" applyNumberFormat="1" applyFont="1" applyBorder="1" applyAlignment="1">
      <alignment horizontal="center" vertical="center" wrapText="1"/>
    </xf>
    <xf numFmtId="179" fontId="10" fillId="0" borderId="67" xfId="0" applyNumberFormat="1" applyFont="1" applyBorder="1" applyAlignment="1">
      <alignment horizontal="center" vertical="center"/>
    </xf>
    <xf numFmtId="179" fontId="10" fillId="0" borderId="66" xfId="0" applyNumberFormat="1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178" fontId="10" fillId="0" borderId="28" xfId="0" quotePrefix="1" applyNumberFormat="1" applyFont="1" applyBorder="1" applyAlignment="1">
      <alignment horizontal="center" vertical="center" wrapText="1"/>
    </xf>
    <xf numFmtId="178" fontId="10" fillId="0" borderId="31" xfId="0" quotePrefix="1" applyNumberFormat="1" applyFont="1" applyBorder="1" applyAlignment="1">
      <alignment horizontal="center" vertical="center" wrapText="1"/>
    </xf>
    <xf numFmtId="178" fontId="10" fillId="0" borderId="37" xfId="0" quotePrefix="1" applyNumberFormat="1" applyFont="1" applyBorder="1" applyAlignment="1">
      <alignment horizontal="center" vertical="center" wrapText="1"/>
    </xf>
    <xf numFmtId="178" fontId="10" fillId="0" borderId="25" xfId="0" quotePrefix="1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16" fillId="3" borderId="8" xfId="1" applyFont="1" applyFill="1" applyBorder="1" applyAlignment="1">
      <alignment horizontal="center" vertical="center"/>
    </xf>
    <xf numFmtId="0" fontId="16" fillId="3" borderId="48" xfId="1" applyFont="1" applyFill="1" applyBorder="1" applyAlignment="1">
      <alignment horizontal="center" vertical="center"/>
    </xf>
    <xf numFmtId="0" fontId="16" fillId="3" borderId="49" xfId="1" applyFont="1" applyFill="1" applyBorder="1" applyAlignment="1">
      <alignment horizontal="center" vertical="center"/>
    </xf>
    <xf numFmtId="0" fontId="20" fillId="2" borderId="12" xfId="1" applyFont="1" applyFill="1" applyBorder="1" applyAlignment="1" applyProtection="1">
      <alignment horizontal="center" vertical="center"/>
      <protection locked="0"/>
    </xf>
    <xf numFmtId="0" fontId="20" fillId="2" borderId="13" xfId="1" applyFont="1" applyFill="1" applyBorder="1" applyAlignment="1" applyProtection="1">
      <alignment horizontal="center" vertical="center"/>
      <protection locked="0"/>
    </xf>
    <xf numFmtId="0" fontId="20" fillId="2" borderId="15" xfId="1" applyFont="1" applyFill="1" applyBorder="1" applyAlignment="1" applyProtection="1">
      <alignment horizontal="center" vertical="center"/>
      <protection locked="0"/>
    </xf>
    <xf numFmtId="0" fontId="20" fillId="2" borderId="6" xfId="1" applyFont="1" applyFill="1" applyBorder="1" applyAlignment="1" applyProtection="1">
      <alignment horizontal="center" vertical="center"/>
      <protection locked="0"/>
    </xf>
    <xf numFmtId="0" fontId="19" fillId="0" borderId="13" xfId="1" applyFont="1" applyBorder="1" applyAlignment="1" applyProtection="1">
      <alignment horizontal="center" vertical="center"/>
      <protection locked="0"/>
    </xf>
    <xf numFmtId="0" fontId="19" fillId="0" borderId="6" xfId="1" applyFont="1" applyBorder="1" applyAlignment="1" applyProtection="1">
      <alignment horizontal="center" vertical="center"/>
      <protection locked="0"/>
    </xf>
    <xf numFmtId="0" fontId="21" fillId="0" borderId="13" xfId="1" applyFont="1" applyBorder="1" applyAlignment="1">
      <alignment horizontal="left" vertical="center"/>
    </xf>
    <xf numFmtId="0" fontId="21" fillId="0" borderId="14" xfId="1" applyFont="1" applyBorder="1" applyAlignment="1">
      <alignment horizontal="left" vertical="center"/>
    </xf>
    <xf numFmtId="0" fontId="21" fillId="0" borderId="6" xfId="1" applyFont="1" applyBorder="1" applyAlignment="1" applyProtection="1">
      <alignment horizontal="left" vertical="center"/>
      <protection locked="0"/>
    </xf>
    <xf numFmtId="0" fontId="21" fillId="0" borderId="16" xfId="1" applyFont="1" applyBorder="1" applyAlignment="1" applyProtection="1">
      <alignment horizontal="left" vertical="center"/>
      <protection locked="0"/>
    </xf>
    <xf numFmtId="0" fontId="21" fillId="0" borderId="6" xfId="1" applyFont="1" applyBorder="1" applyAlignment="1">
      <alignment horizontal="center" vertical="center"/>
    </xf>
    <xf numFmtId="0" fontId="21" fillId="0" borderId="16" xfId="1" applyFont="1" applyBorder="1" applyAlignment="1">
      <alignment horizontal="center" vertical="center"/>
    </xf>
    <xf numFmtId="0" fontId="21" fillId="0" borderId="6" xfId="1" applyFont="1" applyBorder="1" applyAlignment="1">
      <alignment horizontal="left" vertical="center"/>
    </xf>
    <xf numFmtId="0" fontId="21" fillId="0" borderId="16" xfId="1" applyFont="1" applyBorder="1" applyAlignment="1">
      <alignment horizontal="left" vertical="center"/>
    </xf>
    <xf numFmtId="0" fontId="13" fillId="0" borderId="11" xfId="0" applyFont="1" applyBorder="1" applyAlignment="1">
      <alignment horizontal="center" vertical="center"/>
    </xf>
    <xf numFmtId="177" fontId="16" fillId="0" borderId="35" xfId="3" applyNumberFormat="1" applyFont="1" applyFill="1" applyBorder="1" applyAlignment="1">
      <alignment horizontal="center" vertical="center"/>
    </xf>
    <xf numFmtId="0" fontId="20" fillId="2" borderId="17" xfId="1" applyFont="1" applyFill="1" applyBorder="1" applyAlignment="1" applyProtection="1">
      <alignment horizontal="center" vertical="center"/>
      <protection locked="0"/>
    </xf>
    <xf numFmtId="0" fontId="20" fillId="2" borderId="18" xfId="1" applyFont="1" applyFill="1" applyBorder="1" applyAlignment="1" applyProtection="1">
      <alignment horizontal="center" vertical="center"/>
      <protection locked="0"/>
    </xf>
    <xf numFmtId="0" fontId="16" fillId="0" borderId="50" xfId="1" applyFont="1" applyBorder="1" applyAlignment="1" applyProtection="1">
      <alignment horizontal="center" vertical="center"/>
      <protection locked="0"/>
    </xf>
    <xf numFmtId="0" fontId="16" fillId="0" borderId="22" xfId="1" applyFont="1" applyBorder="1" applyAlignment="1" applyProtection="1">
      <alignment horizontal="center" vertical="center"/>
      <protection locked="0"/>
    </xf>
    <xf numFmtId="0" fontId="16" fillId="0" borderId="20" xfId="1" applyFont="1" applyBorder="1" applyAlignment="1" applyProtection="1">
      <alignment horizontal="center" vertical="center"/>
      <protection locked="0"/>
    </xf>
    <xf numFmtId="0" fontId="16" fillId="0" borderId="12" xfId="1" applyFont="1" applyBorder="1" applyAlignment="1">
      <alignment horizontal="left" vertical="top"/>
    </xf>
    <xf numFmtId="0" fontId="16" fillId="0" borderId="13" xfId="1" applyFont="1" applyBorder="1" applyAlignment="1">
      <alignment horizontal="left" vertical="top"/>
    </xf>
    <xf numFmtId="0" fontId="16" fillId="0" borderId="14" xfId="1" applyFont="1" applyBorder="1" applyAlignment="1">
      <alignment horizontal="left" vertical="top"/>
    </xf>
    <xf numFmtId="0" fontId="16" fillId="0" borderId="44" xfId="1" applyFont="1" applyBorder="1" applyAlignment="1" applyProtection="1">
      <alignment horizontal="center" vertical="center"/>
      <protection locked="0"/>
    </xf>
    <xf numFmtId="0" fontId="16" fillId="0" borderId="42" xfId="1" applyFont="1" applyBorder="1" applyAlignment="1" applyProtection="1">
      <alignment horizontal="center" vertical="center"/>
      <protection locked="0"/>
    </xf>
    <xf numFmtId="0" fontId="16" fillId="0" borderId="43" xfId="1" applyFont="1" applyBorder="1" applyAlignment="1" applyProtection="1">
      <alignment horizontal="center" vertical="center"/>
      <protection locked="0"/>
    </xf>
    <xf numFmtId="0" fontId="16" fillId="0" borderId="17" xfId="1" applyFont="1" applyBorder="1" applyAlignment="1" applyProtection="1">
      <alignment horizontal="left" vertical="top"/>
      <protection locked="0"/>
    </xf>
    <xf numFmtId="0" fontId="16" fillId="0" borderId="18" xfId="1" applyFont="1" applyBorder="1" applyAlignment="1" applyProtection="1">
      <alignment horizontal="left" vertical="top"/>
      <protection locked="0"/>
    </xf>
    <xf numFmtId="0" fontId="16" fillId="0" borderId="19" xfId="1" applyFont="1" applyBorder="1" applyAlignment="1" applyProtection="1">
      <alignment horizontal="left" vertical="top"/>
      <protection locked="0"/>
    </xf>
    <xf numFmtId="177" fontId="20" fillId="4" borderId="28" xfId="1" applyNumberFormat="1" applyFont="1" applyFill="1" applyBorder="1" applyAlignment="1">
      <alignment horizontal="left" vertical="center"/>
    </xf>
    <xf numFmtId="0" fontId="20" fillId="4" borderId="29" xfId="1" applyFont="1" applyFill="1" applyBorder="1" applyAlignment="1">
      <alignment horizontal="left" vertical="center"/>
    </xf>
    <xf numFmtId="0" fontId="20" fillId="4" borderId="30" xfId="1" applyFont="1" applyFill="1" applyBorder="1" applyAlignment="1">
      <alignment horizontal="left" vertical="center"/>
    </xf>
    <xf numFmtId="0" fontId="21" fillId="0" borderId="18" xfId="1" applyFont="1" applyBorder="1" applyAlignment="1">
      <alignment horizontal="left" vertical="center"/>
    </xf>
    <xf numFmtId="0" fontId="21" fillId="0" borderId="19" xfId="1" applyFont="1" applyBorder="1" applyAlignment="1">
      <alignment horizontal="left" vertical="center"/>
    </xf>
    <xf numFmtId="0" fontId="19" fillId="0" borderId="18" xfId="1" applyFont="1" applyBorder="1" applyAlignment="1" applyProtection="1">
      <alignment horizontal="center" vertical="center"/>
      <protection locked="0"/>
    </xf>
    <xf numFmtId="14" fontId="19" fillId="0" borderId="6" xfId="1" applyNumberFormat="1" applyFont="1" applyBorder="1" applyAlignment="1" applyProtection="1">
      <alignment horizontal="center" vertical="center"/>
      <protection locked="0"/>
    </xf>
    <xf numFmtId="0" fontId="16" fillId="0" borderId="28" xfId="1" applyFont="1" applyBorder="1" applyAlignment="1">
      <alignment horizontal="center" vertical="center"/>
    </xf>
    <xf numFmtId="0" fontId="16" fillId="0" borderId="29" xfId="1" applyFont="1" applyBorder="1" applyAlignment="1">
      <alignment horizontal="center" vertical="center"/>
    </xf>
    <xf numFmtId="0" fontId="16" fillId="0" borderId="30" xfId="1" applyFont="1" applyBorder="1" applyAlignment="1">
      <alignment horizontal="center" vertical="center"/>
    </xf>
    <xf numFmtId="0" fontId="16" fillId="0" borderId="37" xfId="1" applyFont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0" borderId="38" xfId="1" applyFont="1" applyBorder="1" applyAlignment="1">
      <alignment horizontal="center" vertical="center"/>
    </xf>
    <xf numFmtId="177" fontId="20" fillId="4" borderId="52" xfId="1" applyNumberFormat="1" applyFont="1" applyFill="1" applyBorder="1" applyAlignment="1">
      <alignment horizontal="left" vertical="center"/>
    </xf>
    <xf numFmtId="0" fontId="20" fillId="4" borderId="53" xfId="1" applyFont="1" applyFill="1" applyBorder="1" applyAlignment="1">
      <alignment horizontal="left" vertical="center"/>
    </xf>
    <xf numFmtId="0" fontId="20" fillId="4" borderId="54" xfId="1" applyFont="1" applyFill="1" applyBorder="1" applyAlignment="1">
      <alignment horizontal="left" vertical="center"/>
    </xf>
    <xf numFmtId="0" fontId="16" fillId="0" borderId="24" xfId="1" applyFont="1" applyBorder="1" applyAlignment="1">
      <alignment horizontal="center" vertical="center"/>
    </xf>
    <xf numFmtId="0" fontId="16" fillId="0" borderId="25" xfId="1" applyFont="1" applyBorder="1" applyAlignment="1">
      <alignment horizontal="center" vertical="center"/>
    </xf>
    <xf numFmtId="177" fontId="16" fillId="0" borderId="43" xfId="3" applyNumberFormat="1" applyFont="1" applyFill="1" applyBorder="1" applyAlignment="1">
      <alignment horizontal="center" vertical="center"/>
    </xf>
    <xf numFmtId="178" fontId="10" fillId="0" borderId="28" xfId="0" applyNumberFormat="1" applyFont="1" applyBorder="1" applyAlignment="1">
      <alignment horizontal="center" vertical="center" wrapText="1"/>
    </xf>
    <xf numFmtId="178" fontId="10" fillId="0" borderId="29" xfId="0" applyNumberFormat="1" applyFont="1" applyBorder="1" applyAlignment="1">
      <alignment horizontal="center" vertical="center" wrapText="1"/>
    </xf>
    <xf numFmtId="178" fontId="10" fillId="0" borderId="31" xfId="0" applyNumberFormat="1" applyFont="1" applyBorder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 wrapText="1"/>
    </xf>
    <xf numFmtId="178" fontId="10" fillId="0" borderId="37" xfId="0" applyNumberFormat="1" applyFont="1" applyBorder="1" applyAlignment="1">
      <alignment horizontal="center" vertical="center" wrapText="1"/>
    </xf>
    <xf numFmtId="178" fontId="10" fillId="0" borderId="9" xfId="0" applyNumberFormat="1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79" fontId="10" fillId="0" borderId="22" xfId="0" applyNumberFormat="1" applyFont="1" applyBorder="1" applyAlignment="1">
      <alignment horizontal="center" vertical="center"/>
    </xf>
    <xf numFmtId="179" fontId="10" fillId="0" borderId="56" xfId="0" applyNumberFormat="1" applyFont="1" applyBorder="1" applyAlignment="1">
      <alignment horizontal="center" vertical="center"/>
    </xf>
    <xf numFmtId="179" fontId="10" fillId="0" borderId="26" xfId="0" applyNumberFormat="1" applyFont="1" applyBorder="1" applyAlignment="1">
      <alignment horizontal="center" vertical="center"/>
    </xf>
    <xf numFmtId="179" fontId="10" fillId="0" borderId="23" xfId="0" applyNumberFormat="1" applyFont="1" applyBorder="1" applyAlignment="1">
      <alignment horizontal="center" vertical="center"/>
    </xf>
    <xf numFmtId="179" fontId="10" fillId="0" borderId="47" xfId="0" applyNumberFormat="1" applyFont="1" applyBorder="1" applyAlignment="1">
      <alignment horizontal="center" vertical="center"/>
    </xf>
    <xf numFmtId="179" fontId="10" fillId="0" borderId="27" xfId="0" applyNumberFormat="1" applyFont="1" applyBorder="1" applyAlignment="1">
      <alignment horizontal="center" vertical="center"/>
    </xf>
    <xf numFmtId="178" fontId="14" fillId="0" borderId="50" xfId="0" applyNumberFormat="1" applyFont="1" applyBorder="1" applyAlignment="1">
      <alignment horizontal="left" vertical="center" wrapText="1"/>
    </xf>
    <xf numFmtId="178" fontId="14" fillId="0" borderId="55" xfId="0" applyNumberFormat="1" applyFont="1" applyBorder="1" applyAlignment="1">
      <alignment horizontal="left" vertical="center" wrapText="1"/>
    </xf>
    <xf numFmtId="178" fontId="14" fillId="0" borderId="51" xfId="0" applyNumberFormat="1" applyFont="1" applyBorder="1" applyAlignment="1">
      <alignment horizontal="left" vertical="center" wrapText="1"/>
    </xf>
    <xf numFmtId="178" fontId="14" fillId="0" borderId="28" xfId="0" applyNumberFormat="1" applyFont="1" applyBorder="1" applyAlignment="1">
      <alignment horizontal="left" vertical="center" wrapText="1"/>
    </xf>
    <xf numFmtId="178" fontId="14" fillId="0" borderId="31" xfId="0" applyNumberFormat="1" applyFont="1" applyBorder="1" applyAlignment="1">
      <alignment horizontal="left" vertical="center" wrapText="1"/>
    </xf>
    <xf numFmtId="178" fontId="14" fillId="0" borderId="37" xfId="0" applyNumberFormat="1" applyFont="1" applyBorder="1" applyAlignment="1">
      <alignment horizontal="left" vertical="center" wrapText="1"/>
    </xf>
    <xf numFmtId="0" fontId="16" fillId="0" borderId="20" xfId="1" applyFont="1" applyBorder="1" applyAlignment="1">
      <alignment horizontal="center" vertical="center"/>
    </xf>
    <xf numFmtId="0" fontId="16" fillId="0" borderId="21" xfId="1" applyFont="1" applyBorder="1" applyAlignment="1">
      <alignment horizontal="center" vertical="center"/>
    </xf>
    <xf numFmtId="0" fontId="10" fillId="0" borderId="68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178" fontId="15" fillId="0" borderId="24" xfId="0" applyNumberFormat="1" applyFont="1" applyBorder="1" applyAlignment="1">
      <alignment horizontal="center" vertical="center" wrapText="1"/>
    </xf>
    <xf numFmtId="178" fontId="15" fillId="0" borderId="9" xfId="0" applyNumberFormat="1" applyFont="1" applyBorder="1" applyAlignment="1">
      <alignment horizontal="center" vertical="center" wrapText="1"/>
    </xf>
    <xf numFmtId="178" fontId="15" fillId="0" borderId="25" xfId="0" applyNumberFormat="1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178" fontId="15" fillId="0" borderId="52" xfId="0" applyNumberFormat="1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178" fontId="10" fillId="0" borderId="0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6" fillId="0" borderId="56" xfId="1" applyFont="1" applyBorder="1" applyAlignment="1">
      <alignment horizontal="center" vertical="center"/>
    </xf>
    <xf numFmtId="178" fontId="15" fillId="0" borderId="41" xfId="0" applyNumberFormat="1" applyFont="1" applyBorder="1" applyAlignment="1">
      <alignment horizontal="center" vertical="center" wrapText="1"/>
    </xf>
    <xf numFmtId="178" fontId="23" fillId="0" borderId="61" xfId="0" quotePrefix="1" applyNumberFormat="1" applyFont="1" applyBorder="1" applyAlignment="1">
      <alignment vertical="center" wrapText="1"/>
    </xf>
    <xf numFmtId="178" fontId="23" fillId="0" borderId="62" xfId="0" quotePrefix="1" applyNumberFormat="1" applyFont="1" applyBorder="1" applyAlignment="1">
      <alignment vertical="center" wrapText="1"/>
    </xf>
    <xf numFmtId="178" fontId="23" fillId="0" borderId="62" xfId="0" applyNumberFormat="1" applyFont="1" applyBorder="1" applyAlignment="1">
      <alignment vertical="center" wrapText="1"/>
    </xf>
    <xf numFmtId="178" fontId="10" fillId="0" borderId="29" xfId="0" quotePrefix="1" applyNumberFormat="1" applyFont="1" applyBorder="1" applyAlignment="1">
      <alignment horizontal="center" vertical="center" wrapText="1"/>
    </xf>
    <xf numFmtId="178" fontId="10" fillId="0" borderId="0" xfId="0" quotePrefix="1" applyNumberFormat="1" applyFont="1" applyBorder="1" applyAlignment="1">
      <alignment horizontal="center" vertical="center" wrapText="1"/>
    </xf>
    <xf numFmtId="178" fontId="10" fillId="0" borderId="9" xfId="0" quotePrefix="1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8" fontId="23" fillId="0" borderId="61" xfId="0" applyNumberFormat="1" applyFont="1" applyBorder="1" applyAlignment="1">
      <alignment vertical="center" wrapText="1"/>
    </xf>
    <xf numFmtId="178" fontId="23" fillId="0" borderId="66" xfId="0" applyNumberFormat="1" applyFont="1" applyBorder="1" applyAlignment="1">
      <alignment vertical="center" wrapText="1"/>
    </xf>
    <xf numFmtId="178" fontId="23" fillId="0" borderId="41" xfId="0" applyNumberFormat="1" applyFont="1" applyBorder="1" applyAlignment="1">
      <alignment vertical="center" wrapText="1"/>
    </xf>
  </cellXfs>
  <cellStyles count="8">
    <cellStyle name="백분율" xfId="7" builtinId="5"/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  <cellStyle name="Normal 2" xfId="6" xr:uid="{AFDC1AD9-1EA4-2A40-B6BA-D396AD34F973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 editAs="oneCell">
    <xdr:from>
      <xdr:col>6</xdr:col>
      <xdr:colOff>1072852</xdr:colOff>
      <xdr:row>52</xdr:row>
      <xdr:rowOff>97008</xdr:rowOff>
    </xdr:from>
    <xdr:to>
      <xdr:col>7</xdr:col>
      <xdr:colOff>1070264</xdr:colOff>
      <xdr:row>53</xdr:row>
      <xdr:rowOff>91236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450397" y="10511008"/>
          <a:ext cx="1219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0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8685476" y="28575"/>
          <a:ext cx="1127391" cy="719341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776915</xdr:colOff>
      <xdr:row>3</xdr:row>
      <xdr:rowOff>13541</xdr:rowOff>
    </xdr:from>
    <xdr:to>
      <xdr:col>7</xdr:col>
      <xdr:colOff>1171200</xdr:colOff>
      <xdr:row>4</xdr:row>
      <xdr:rowOff>197457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79048" y="767074"/>
          <a:ext cx="394285" cy="387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O106"/>
  <sheetViews>
    <sheetView tabSelected="1" view="pageBreakPreview" zoomScale="150" zoomScaleNormal="150" zoomScaleSheetLayoutView="110" workbookViewId="0">
      <selection activeCell="D35" sqref="D34:H35"/>
    </sheetView>
  </sheetViews>
  <sheetFormatPr baseColWidth="10" defaultColWidth="10.83203125" defaultRowHeight="14"/>
  <cols>
    <col min="1" max="1" width="3.5" style="1" customWidth="1"/>
    <col min="2" max="2" width="16.1640625" style="1" customWidth="1"/>
    <col min="3" max="3" width="16.6640625" style="1" customWidth="1"/>
    <col min="4" max="4" width="55.83203125" style="1" customWidth="1"/>
    <col min="5" max="6" width="2.33203125" style="1" customWidth="1"/>
    <col min="7" max="8" width="15.83203125" style="1" customWidth="1"/>
    <col min="9" max="15" width="1.83203125" style="2" hidden="1" customWidth="1"/>
    <col min="16" max="16384" width="10.83203125" style="2"/>
  </cols>
  <sheetData>
    <row r="1" spans="1:9" s="1" customFormat="1" ht="14" customHeight="1">
      <c r="A1" s="27"/>
      <c r="B1" s="28"/>
      <c r="C1" s="28"/>
      <c r="D1" s="29"/>
      <c r="E1" s="28"/>
      <c r="F1" s="28"/>
      <c r="G1" s="28"/>
      <c r="H1" s="30"/>
      <c r="I1" s="66"/>
    </row>
    <row r="2" spans="1:9" s="1" customFormat="1" ht="31" customHeight="1">
      <c r="A2" s="31" t="s">
        <v>1</v>
      </c>
      <c r="B2" s="67"/>
      <c r="C2" s="67"/>
      <c r="D2" s="67"/>
      <c r="E2" s="67"/>
      <c r="F2" s="67"/>
      <c r="G2" s="67"/>
      <c r="H2" s="32"/>
      <c r="I2" s="65"/>
    </row>
    <row r="3" spans="1:9" s="1" customFormat="1" ht="14" customHeight="1" thickBot="1">
      <c r="A3" s="33"/>
      <c r="B3" s="68"/>
      <c r="C3" s="68"/>
      <c r="D3" s="68"/>
      <c r="E3" s="67"/>
      <c r="F3" s="67"/>
      <c r="G3" s="67"/>
      <c r="H3" s="32"/>
      <c r="I3" s="65"/>
    </row>
    <row r="4" spans="1:9" s="1" customFormat="1" ht="16.5" customHeight="1">
      <c r="A4" s="113" t="s">
        <v>23</v>
      </c>
      <c r="B4" s="114"/>
      <c r="C4" s="117" t="s">
        <v>2</v>
      </c>
      <c r="D4" s="117"/>
      <c r="E4" s="119" t="s">
        <v>3</v>
      </c>
      <c r="F4" s="119"/>
      <c r="G4" s="119"/>
      <c r="H4" s="120"/>
      <c r="I4" s="65"/>
    </row>
    <row r="5" spans="1:9" s="1" customFormat="1" ht="16.5" customHeight="1">
      <c r="A5" s="115"/>
      <c r="B5" s="116"/>
      <c r="C5" s="118" t="s">
        <v>54</v>
      </c>
      <c r="D5" s="118"/>
      <c r="E5" s="121" t="s">
        <v>4</v>
      </c>
      <c r="F5" s="121"/>
      <c r="G5" s="121"/>
      <c r="H5" s="122"/>
      <c r="I5" s="65"/>
    </row>
    <row r="6" spans="1:9" s="1" customFormat="1" ht="16.5" customHeight="1">
      <c r="A6" s="115" t="s">
        <v>5</v>
      </c>
      <c r="B6" s="116"/>
      <c r="C6" s="118" t="s">
        <v>24</v>
      </c>
      <c r="D6" s="118"/>
      <c r="E6" s="123" t="s">
        <v>56</v>
      </c>
      <c r="F6" s="123"/>
      <c r="G6" s="123"/>
      <c r="H6" s="124"/>
      <c r="I6" s="65"/>
    </row>
    <row r="7" spans="1:9" s="1" customFormat="1" ht="16.5" customHeight="1">
      <c r="A7" s="115" t="s">
        <v>6</v>
      </c>
      <c r="B7" s="116"/>
      <c r="C7" s="118"/>
      <c r="D7" s="118"/>
      <c r="E7" s="125" t="s">
        <v>7</v>
      </c>
      <c r="F7" s="125"/>
      <c r="G7" s="125"/>
      <c r="H7" s="126"/>
      <c r="I7" s="65"/>
    </row>
    <row r="8" spans="1:9" s="1" customFormat="1" ht="16.5" customHeight="1">
      <c r="A8" s="115" t="s">
        <v>8</v>
      </c>
      <c r="B8" s="116"/>
      <c r="C8" s="149">
        <v>45076</v>
      </c>
      <c r="D8" s="118"/>
      <c r="E8" s="125" t="s">
        <v>9</v>
      </c>
      <c r="F8" s="125"/>
      <c r="G8" s="125"/>
      <c r="H8" s="126"/>
      <c r="I8" s="65"/>
    </row>
    <row r="9" spans="1:9" s="1" customFormat="1" ht="16.5" customHeight="1">
      <c r="A9" s="115" t="s">
        <v>10</v>
      </c>
      <c r="B9" s="116"/>
      <c r="C9" s="118" t="s">
        <v>158</v>
      </c>
      <c r="D9" s="118"/>
      <c r="E9" s="125" t="s">
        <v>11</v>
      </c>
      <c r="F9" s="125"/>
      <c r="G9" s="125"/>
      <c r="H9" s="126"/>
      <c r="I9" s="65"/>
    </row>
    <row r="10" spans="1:9" s="1" customFormat="1" ht="16.5" customHeight="1" thickBot="1">
      <c r="A10" s="129" t="s">
        <v>12</v>
      </c>
      <c r="B10" s="130"/>
      <c r="C10" s="148" t="s">
        <v>55</v>
      </c>
      <c r="D10" s="148"/>
      <c r="E10" s="146" t="s">
        <v>13</v>
      </c>
      <c r="F10" s="146"/>
      <c r="G10" s="146"/>
      <c r="H10" s="147"/>
      <c r="I10" s="65"/>
    </row>
    <row r="11" spans="1:9" s="1" customFormat="1" ht="14" customHeight="1" thickBot="1">
      <c r="A11" s="34"/>
      <c r="B11" s="69"/>
      <c r="C11" s="69"/>
      <c r="D11" s="69"/>
      <c r="E11" s="70"/>
      <c r="F11" s="71"/>
      <c r="G11" s="71"/>
      <c r="H11" s="35"/>
      <c r="I11" s="65"/>
    </row>
    <row r="12" spans="1:9" s="1" customFormat="1" ht="19.5" customHeight="1" thickBot="1">
      <c r="A12" s="131" t="s">
        <v>14</v>
      </c>
      <c r="B12" s="132"/>
      <c r="C12" s="133"/>
      <c r="D12" s="134" t="s">
        <v>52</v>
      </c>
      <c r="E12" s="135"/>
      <c r="F12" s="135"/>
      <c r="G12" s="135"/>
      <c r="H12" s="136"/>
      <c r="I12" s="65"/>
    </row>
    <row r="13" spans="1:9" s="1" customFormat="1" ht="19.5" customHeight="1" thickBot="1">
      <c r="A13" s="137" t="s">
        <v>15</v>
      </c>
      <c r="B13" s="138"/>
      <c r="C13" s="139"/>
      <c r="D13" s="140" t="s">
        <v>53</v>
      </c>
      <c r="E13" s="141"/>
      <c r="F13" s="141"/>
      <c r="G13" s="141"/>
      <c r="H13" s="142"/>
      <c r="I13" s="65"/>
    </row>
    <row r="14" spans="1:9" s="1" customFormat="1" ht="19.5" customHeight="1" thickBot="1">
      <c r="A14" s="150" t="s">
        <v>16</v>
      </c>
      <c r="B14" s="151"/>
      <c r="C14" s="152"/>
      <c r="D14" s="143" t="str">
        <f>TEXT(H52,"일금 [DBNum4][$-412]G/표준원정(")&amp;TEXT(H52,"###,### - VAT별도 )")</f>
        <v>일금 칠억이천만원정(720,000,000 - VAT별도 )</v>
      </c>
      <c r="E14" s="144"/>
      <c r="F14" s="144"/>
      <c r="G14" s="144"/>
      <c r="H14" s="145"/>
      <c r="I14" s="65"/>
    </row>
    <row r="15" spans="1:9" s="1" customFormat="1" ht="19.5" customHeight="1" thickBot="1">
      <c r="A15" s="153"/>
      <c r="B15" s="154"/>
      <c r="C15" s="155"/>
      <c r="D15" s="156" t="str">
        <f>TEXT(H52+(H52/10),"일금 [DBNum4][$-412]G/표준원정(")&amp;TEXT(H52+(H52/10),"###,### - VAT포함 )")</f>
        <v>일금 칠억구천이백만원정(792,000,000 - VAT포함 )</v>
      </c>
      <c r="E15" s="157"/>
      <c r="F15" s="157"/>
      <c r="G15" s="157"/>
      <c r="H15" s="158"/>
      <c r="I15" s="65"/>
    </row>
    <row r="16" spans="1:9" s="1" customFormat="1" ht="19.5" customHeight="1" thickBot="1">
      <c r="A16" s="23" t="s">
        <v>0</v>
      </c>
      <c r="B16" s="24" t="s">
        <v>17</v>
      </c>
      <c r="C16" s="24"/>
      <c r="D16" s="203" t="s">
        <v>18</v>
      </c>
      <c r="E16" s="159" t="s">
        <v>19</v>
      </c>
      <c r="F16" s="160"/>
      <c r="G16" s="25" t="s">
        <v>20</v>
      </c>
      <c r="H16" s="26" t="s">
        <v>21</v>
      </c>
      <c r="I16" s="65"/>
    </row>
    <row r="17" spans="1:15" s="1" customFormat="1" ht="19.5" customHeight="1">
      <c r="A17" s="106">
        <v>1</v>
      </c>
      <c r="B17" s="84" t="s">
        <v>28</v>
      </c>
      <c r="C17" s="163"/>
      <c r="D17" s="205" t="s">
        <v>47</v>
      </c>
      <c r="E17" s="202">
        <v>1</v>
      </c>
      <c r="F17" s="127"/>
      <c r="G17" s="14">
        <f>Sheet6!B1</f>
        <v>20700000</v>
      </c>
      <c r="H17" s="13">
        <f>G17</f>
        <v>20700000</v>
      </c>
      <c r="I17" s="65"/>
    </row>
    <row r="18" spans="1:15" s="1" customFormat="1" ht="19.5" customHeight="1">
      <c r="A18" s="107"/>
      <c r="B18" s="85"/>
      <c r="C18" s="201"/>
      <c r="D18" s="206" t="s">
        <v>159</v>
      </c>
      <c r="E18" s="202">
        <v>1</v>
      </c>
      <c r="F18" s="127"/>
      <c r="G18" s="14">
        <f>Sheet6!B2</f>
        <v>18630000</v>
      </c>
      <c r="H18" s="54">
        <f>G18</f>
        <v>18630000</v>
      </c>
      <c r="I18" s="65"/>
    </row>
    <row r="19" spans="1:15" s="1" customFormat="1" ht="19.5" customHeight="1">
      <c r="A19" s="107"/>
      <c r="B19" s="85"/>
      <c r="C19" s="201"/>
      <c r="D19" s="59" t="s">
        <v>160</v>
      </c>
      <c r="E19" s="202">
        <v>1</v>
      </c>
      <c r="F19" s="127"/>
      <c r="G19" s="14">
        <f>Sheet6!B3</f>
        <v>22770000</v>
      </c>
      <c r="H19" s="95">
        <f>SUM(G19:G20)</f>
        <v>41400000</v>
      </c>
      <c r="I19" s="65"/>
    </row>
    <row r="20" spans="1:15" s="1" customFormat="1" ht="19.5" customHeight="1">
      <c r="A20" s="107"/>
      <c r="B20" s="85"/>
      <c r="C20" s="201"/>
      <c r="D20" s="59" t="s">
        <v>48</v>
      </c>
      <c r="E20" s="202">
        <v>1</v>
      </c>
      <c r="F20" s="127"/>
      <c r="G20" s="14">
        <f>Sheet6!B4</f>
        <v>18630000</v>
      </c>
      <c r="H20" s="96"/>
      <c r="I20" s="65"/>
    </row>
    <row r="21" spans="1:15" s="1" customFormat="1" ht="19.5" customHeight="1">
      <c r="A21" s="107"/>
      <c r="B21" s="85"/>
      <c r="C21" s="201"/>
      <c r="D21" s="59" t="s">
        <v>49</v>
      </c>
      <c r="E21" s="202">
        <v>1</v>
      </c>
      <c r="F21" s="127"/>
      <c r="G21" s="14">
        <f>Sheet6!B5</f>
        <v>22770000</v>
      </c>
      <c r="H21" s="88">
        <f>SUM(G21:G22)</f>
        <v>43470000</v>
      </c>
      <c r="I21" s="65"/>
    </row>
    <row r="22" spans="1:15" s="1" customFormat="1" ht="19.5" customHeight="1" thickBot="1">
      <c r="A22" s="107"/>
      <c r="B22" s="85"/>
      <c r="C22" s="201"/>
      <c r="D22" s="206" t="s">
        <v>50</v>
      </c>
      <c r="E22" s="202">
        <v>1</v>
      </c>
      <c r="F22" s="127"/>
      <c r="G22" s="14">
        <f>Sheet6!B6</f>
        <v>20700000</v>
      </c>
      <c r="H22" s="88"/>
      <c r="I22" s="65"/>
    </row>
    <row r="23" spans="1:15" s="1" customFormat="1" ht="19.5" customHeight="1">
      <c r="A23" s="107"/>
      <c r="B23" s="85"/>
      <c r="C23" s="201"/>
      <c r="D23" s="207" t="s">
        <v>161</v>
      </c>
      <c r="E23" s="83">
        <v>1</v>
      </c>
      <c r="F23" s="82"/>
      <c r="G23" s="14">
        <f>Sheet6!B7</f>
        <v>22770000</v>
      </c>
      <c r="H23" s="14">
        <f>G23</f>
        <v>22770000</v>
      </c>
      <c r="I23" s="66"/>
      <c r="J23" s="11"/>
      <c r="K23" s="11"/>
      <c r="L23" s="11"/>
      <c r="M23" s="11"/>
      <c r="N23" s="11"/>
      <c r="O23" s="11"/>
    </row>
    <row r="24" spans="1:15" s="1" customFormat="1" ht="19.5" customHeight="1">
      <c r="A24" s="107"/>
      <c r="B24" s="85"/>
      <c r="C24" s="201"/>
      <c r="D24" s="59" t="s">
        <v>162</v>
      </c>
      <c r="E24" s="83">
        <v>1</v>
      </c>
      <c r="F24" s="82"/>
      <c r="G24" s="14">
        <f>Sheet6!B8</f>
        <v>16560000</v>
      </c>
      <c r="H24" s="14">
        <f>G24</f>
        <v>16560000</v>
      </c>
      <c r="I24" s="65"/>
    </row>
    <row r="25" spans="1:15" s="1" customFormat="1" ht="19.5" customHeight="1">
      <c r="A25" s="107"/>
      <c r="B25" s="85"/>
      <c r="C25" s="201"/>
      <c r="D25" s="59" t="s">
        <v>163</v>
      </c>
      <c r="E25" s="83">
        <v>1</v>
      </c>
      <c r="F25" s="82"/>
      <c r="G25" s="14">
        <f>Sheet6!B9</f>
        <v>24840000</v>
      </c>
      <c r="H25" s="14">
        <f>G25</f>
        <v>24840000</v>
      </c>
      <c r="I25" s="65"/>
    </row>
    <row r="26" spans="1:15" s="1" customFormat="1" ht="19.5" customHeight="1" thickBot="1">
      <c r="A26" s="107"/>
      <c r="B26" s="85"/>
      <c r="C26" s="201"/>
      <c r="D26" s="60" t="s">
        <v>51</v>
      </c>
      <c r="E26" s="104">
        <v>1</v>
      </c>
      <c r="F26" s="105"/>
      <c r="G26" s="55">
        <f>Sheet6!B10</f>
        <v>18630000</v>
      </c>
      <c r="H26" s="14">
        <f>G26</f>
        <v>18630000</v>
      </c>
      <c r="I26" s="65"/>
    </row>
    <row r="27" spans="1:15" s="1" customFormat="1" ht="19.5" customHeight="1" thickBot="1">
      <c r="A27" s="108"/>
      <c r="B27" s="86"/>
      <c r="C27" s="87"/>
      <c r="D27" s="204" t="s">
        <v>27</v>
      </c>
      <c r="E27" s="93"/>
      <c r="F27" s="93"/>
      <c r="G27" s="94"/>
      <c r="H27" s="78">
        <f>SUM(H17:H26)</f>
        <v>207000000</v>
      </c>
      <c r="I27" s="65"/>
    </row>
    <row r="28" spans="1:15" s="1" customFormat="1" ht="19.5" customHeight="1">
      <c r="A28" s="97">
        <v>2</v>
      </c>
      <c r="B28" s="100" t="s">
        <v>29</v>
      </c>
      <c r="C28" s="208"/>
      <c r="D28" s="213" t="s">
        <v>38</v>
      </c>
      <c r="E28" s="83">
        <v>1</v>
      </c>
      <c r="F28" s="82"/>
      <c r="G28" s="16">
        <f>Sheet6!D1</f>
        <v>24030000</v>
      </c>
      <c r="H28" s="89">
        <f>SUM(G28:G30)</f>
        <v>72090000</v>
      </c>
      <c r="I28" s="65"/>
    </row>
    <row r="29" spans="1:15" s="1" customFormat="1" ht="19.5" customHeight="1">
      <c r="A29" s="98"/>
      <c r="B29" s="101"/>
      <c r="C29" s="209"/>
      <c r="D29" s="214" t="s">
        <v>39</v>
      </c>
      <c r="E29" s="83">
        <v>1</v>
      </c>
      <c r="F29" s="82"/>
      <c r="G29" s="16">
        <f>Sheet6!D2</f>
        <v>24030000</v>
      </c>
      <c r="H29" s="90"/>
      <c r="I29" s="65"/>
    </row>
    <row r="30" spans="1:15" s="1" customFormat="1" ht="19.5" customHeight="1">
      <c r="A30" s="98"/>
      <c r="B30" s="101"/>
      <c r="C30" s="209"/>
      <c r="D30" s="214" t="s">
        <v>40</v>
      </c>
      <c r="E30" s="83">
        <v>1</v>
      </c>
      <c r="F30" s="82"/>
      <c r="G30" s="16">
        <f>Sheet6!D3</f>
        <v>24030000</v>
      </c>
      <c r="H30" s="91"/>
      <c r="I30" s="65"/>
    </row>
    <row r="31" spans="1:15" s="1" customFormat="1" ht="19.5" customHeight="1">
      <c r="A31" s="98"/>
      <c r="B31" s="101"/>
      <c r="C31" s="209"/>
      <c r="D31" s="214" t="s">
        <v>41</v>
      </c>
      <c r="E31" s="211">
        <v>1</v>
      </c>
      <c r="F31" s="83"/>
      <c r="G31" s="16">
        <f>Sheet6!D4</f>
        <v>29370000</v>
      </c>
      <c r="H31" s="16">
        <f>G31</f>
        <v>29370000</v>
      </c>
      <c r="I31" s="65"/>
    </row>
    <row r="32" spans="1:15" s="1" customFormat="1" ht="19.5" customHeight="1">
      <c r="A32" s="98"/>
      <c r="B32" s="101"/>
      <c r="C32" s="209"/>
      <c r="D32" s="214" t="s">
        <v>42</v>
      </c>
      <c r="E32" s="211">
        <v>1</v>
      </c>
      <c r="F32" s="83"/>
      <c r="G32" s="16">
        <f>Sheet6!D5</f>
        <v>21360000</v>
      </c>
      <c r="H32" s="128">
        <f>SUM(G32:G33)</f>
        <v>45390000</v>
      </c>
      <c r="I32" s="65"/>
    </row>
    <row r="33" spans="1:9" s="1" customFormat="1" ht="19.5" customHeight="1">
      <c r="A33" s="98"/>
      <c r="B33" s="101"/>
      <c r="C33" s="209"/>
      <c r="D33" s="214" t="s">
        <v>164</v>
      </c>
      <c r="E33" s="211">
        <v>1</v>
      </c>
      <c r="F33" s="83"/>
      <c r="G33" s="16">
        <f>Sheet6!D6</f>
        <v>24030000</v>
      </c>
      <c r="H33" s="91"/>
      <c r="I33" s="65"/>
    </row>
    <row r="34" spans="1:9" s="1" customFormat="1" ht="19.5" customHeight="1" thickBot="1">
      <c r="A34" s="98"/>
      <c r="B34" s="101"/>
      <c r="C34" s="209"/>
      <c r="D34" s="214" t="s">
        <v>43</v>
      </c>
      <c r="E34" s="212">
        <v>1</v>
      </c>
      <c r="F34" s="104"/>
      <c r="G34" s="17">
        <f>Sheet6!D7</f>
        <v>24030000</v>
      </c>
      <c r="H34" s="128">
        <f>SUM(G34:G35)</f>
        <v>48060000</v>
      </c>
      <c r="I34" s="65"/>
    </row>
    <row r="35" spans="1:9" s="1" customFormat="1" ht="19.5" customHeight="1" thickBot="1">
      <c r="A35" s="99"/>
      <c r="B35" s="102"/>
      <c r="C35" s="210"/>
      <c r="D35" s="214" t="s">
        <v>165</v>
      </c>
      <c r="E35" s="211">
        <v>1</v>
      </c>
      <c r="F35" s="83"/>
      <c r="G35" s="16">
        <f>Sheet6!D8</f>
        <v>24030000</v>
      </c>
      <c r="H35" s="161"/>
      <c r="I35" s="81"/>
    </row>
    <row r="36" spans="1:9" s="1" customFormat="1" ht="19.5" customHeight="1">
      <c r="A36" s="98"/>
      <c r="B36" s="101"/>
      <c r="C36" s="209"/>
      <c r="D36" s="214" t="s">
        <v>44</v>
      </c>
      <c r="E36" s="211">
        <v>1</v>
      </c>
      <c r="F36" s="83"/>
      <c r="G36" s="16">
        <f>Sheet6!D9</f>
        <v>21360000</v>
      </c>
      <c r="H36" s="128">
        <f>SUM(G36:G37)</f>
        <v>48060000</v>
      </c>
    </row>
    <row r="37" spans="1:9" s="1" customFormat="1" ht="19.5" customHeight="1">
      <c r="A37" s="98"/>
      <c r="B37" s="101"/>
      <c r="C37" s="209"/>
      <c r="D37" s="214" t="s">
        <v>45</v>
      </c>
      <c r="E37" s="211">
        <v>1</v>
      </c>
      <c r="F37" s="83"/>
      <c r="G37" s="16">
        <f>Sheet6!D10</f>
        <v>26700000</v>
      </c>
      <c r="H37" s="91"/>
    </row>
    <row r="38" spans="1:9" s="1" customFormat="1" ht="19.5" customHeight="1" thickBot="1">
      <c r="A38" s="98"/>
      <c r="B38" s="101"/>
      <c r="C38" s="209"/>
      <c r="D38" s="215" t="s">
        <v>46</v>
      </c>
      <c r="E38" s="211">
        <v>1</v>
      </c>
      <c r="F38" s="83"/>
      <c r="G38" s="16">
        <f>Sheet6!D11</f>
        <v>24030000</v>
      </c>
      <c r="H38" s="16">
        <f>E38*G38</f>
        <v>24030000</v>
      </c>
    </row>
    <row r="39" spans="1:9" s="1" customFormat="1" ht="19.5" customHeight="1" thickBot="1">
      <c r="A39" s="99"/>
      <c r="B39" s="102"/>
      <c r="C39" s="103"/>
      <c r="D39" s="92" t="s">
        <v>27</v>
      </c>
      <c r="E39" s="93"/>
      <c r="F39" s="93"/>
      <c r="G39" s="94"/>
      <c r="H39" s="18">
        <f>SUM(H28:H38)</f>
        <v>267000000</v>
      </c>
    </row>
    <row r="40" spans="1:9" s="1" customFormat="1" ht="19.5" customHeight="1">
      <c r="A40" s="97">
        <v>3</v>
      </c>
      <c r="B40" s="100" t="s">
        <v>30</v>
      </c>
      <c r="C40" s="208"/>
      <c r="D40" s="213" t="s">
        <v>166</v>
      </c>
      <c r="E40" s="83">
        <v>1</v>
      </c>
      <c r="F40" s="82"/>
      <c r="G40" s="16">
        <f>Sheet6!F1</f>
        <v>14760000</v>
      </c>
      <c r="H40" s="89">
        <f>SUM(G40:G42)</f>
        <v>59040000</v>
      </c>
    </row>
    <row r="41" spans="1:9" s="1" customFormat="1" ht="19.5" customHeight="1">
      <c r="A41" s="98"/>
      <c r="B41" s="101"/>
      <c r="C41" s="209"/>
      <c r="D41" s="214" t="s">
        <v>31</v>
      </c>
      <c r="E41" s="211">
        <v>1</v>
      </c>
      <c r="F41" s="83"/>
      <c r="G41" s="16">
        <f>Sheet6!F2</f>
        <v>17220000</v>
      </c>
      <c r="H41" s="90"/>
    </row>
    <row r="42" spans="1:9" s="1" customFormat="1" ht="19.5" customHeight="1">
      <c r="A42" s="98"/>
      <c r="B42" s="101"/>
      <c r="C42" s="209"/>
      <c r="D42" s="214" t="s">
        <v>167</v>
      </c>
      <c r="E42" s="211">
        <v>1</v>
      </c>
      <c r="F42" s="83"/>
      <c r="G42" s="16">
        <f>Sheet6!F3</f>
        <v>27060000</v>
      </c>
      <c r="H42" s="91"/>
    </row>
    <row r="43" spans="1:9" s="1" customFormat="1" ht="19.5" customHeight="1">
      <c r="A43" s="98"/>
      <c r="B43" s="101"/>
      <c r="C43" s="209"/>
      <c r="D43" s="214" t="s">
        <v>168</v>
      </c>
      <c r="E43" s="211">
        <v>1</v>
      </c>
      <c r="F43" s="83"/>
      <c r="G43" s="16">
        <f>Sheet6!F4</f>
        <v>19680000</v>
      </c>
      <c r="H43" s="16">
        <f>G43</f>
        <v>19680000</v>
      </c>
    </row>
    <row r="44" spans="1:9" s="1" customFormat="1" ht="19.5" customHeight="1">
      <c r="A44" s="98"/>
      <c r="B44" s="101"/>
      <c r="C44" s="209"/>
      <c r="D44" s="214" t="s">
        <v>169</v>
      </c>
      <c r="E44" s="211">
        <v>1</v>
      </c>
      <c r="F44" s="83"/>
      <c r="G44" s="16">
        <f>Sheet6!F5</f>
        <v>29520000</v>
      </c>
      <c r="H44" s="128">
        <f>SUM(G44:G45)</f>
        <v>46740000</v>
      </c>
    </row>
    <row r="45" spans="1:9" s="1" customFormat="1" ht="19.5" customHeight="1">
      <c r="A45" s="98"/>
      <c r="B45" s="101"/>
      <c r="C45" s="209"/>
      <c r="D45" s="214" t="s">
        <v>32</v>
      </c>
      <c r="E45" s="211">
        <v>1</v>
      </c>
      <c r="F45" s="83"/>
      <c r="G45" s="16">
        <f>Sheet6!F6</f>
        <v>17220000</v>
      </c>
      <c r="H45" s="91"/>
    </row>
    <row r="46" spans="1:9" s="1" customFormat="1" ht="19.5" customHeight="1">
      <c r="A46" s="98"/>
      <c r="B46" s="101"/>
      <c r="C46" s="209"/>
      <c r="D46" s="214" t="s">
        <v>33</v>
      </c>
      <c r="E46" s="211">
        <v>1</v>
      </c>
      <c r="F46" s="83"/>
      <c r="G46" s="16">
        <f>Sheet6!F7</f>
        <v>31980000</v>
      </c>
      <c r="H46" s="128">
        <f>SUM(G46:G47)</f>
        <v>46740000</v>
      </c>
    </row>
    <row r="47" spans="1:9" s="1" customFormat="1" ht="19.5" customHeight="1">
      <c r="A47" s="98"/>
      <c r="B47" s="101"/>
      <c r="C47" s="209"/>
      <c r="D47" s="214" t="s">
        <v>34</v>
      </c>
      <c r="E47" s="211">
        <v>1</v>
      </c>
      <c r="F47" s="83"/>
      <c r="G47" s="16">
        <f>Sheet6!F8</f>
        <v>14760000</v>
      </c>
      <c r="H47" s="91"/>
    </row>
    <row r="48" spans="1:9" s="1" customFormat="1" ht="19.5" customHeight="1">
      <c r="A48" s="98"/>
      <c r="B48" s="101"/>
      <c r="C48" s="209"/>
      <c r="D48" s="214" t="s">
        <v>35</v>
      </c>
      <c r="E48" s="211">
        <v>1</v>
      </c>
      <c r="F48" s="83"/>
      <c r="G48" s="16">
        <f>Sheet6!F9</f>
        <v>27060000</v>
      </c>
      <c r="H48" s="128">
        <f>SUM(G48:G49)</f>
        <v>51660000</v>
      </c>
    </row>
    <row r="49" spans="1:8" s="1" customFormat="1" ht="19.5" customHeight="1">
      <c r="A49" s="98"/>
      <c r="B49" s="101"/>
      <c r="C49" s="209"/>
      <c r="D49" s="214" t="s">
        <v>36</v>
      </c>
      <c r="E49" s="211">
        <v>1</v>
      </c>
      <c r="F49" s="83"/>
      <c r="G49" s="16">
        <f>Sheet6!F10</f>
        <v>24600000</v>
      </c>
      <c r="H49" s="91"/>
    </row>
    <row r="50" spans="1:8" s="1" customFormat="1" ht="19.5" customHeight="1" thickBot="1">
      <c r="A50" s="98"/>
      <c r="B50" s="101"/>
      <c r="C50" s="209"/>
      <c r="D50" s="215" t="s">
        <v>37</v>
      </c>
      <c r="E50" s="211">
        <v>1</v>
      </c>
      <c r="F50" s="83"/>
      <c r="G50" s="16">
        <f>Sheet6!F11</f>
        <v>22140000</v>
      </c>
      <c r="H50" s="16">
        <f>G50</f>
        <v>22140000</v>
      </c>
    </row>
    <row r="51" spans="1:8" s="1" customFormat="1" ht="19.5" customHeight="1" thickBot="1">
      <c r="A51" s="99"/>
      <c r="B51" s="102"/>
      <c r="C51" s="103"/>
      <c r="D51" s="92" t="s">
        <v>27</v>
      </c>
      <c r="E51" s="93"/>
      <c r="F51" s="93"/>
      <c r="G51" s="94"/>
      <c r="H51" s="18">
        <f>SUM(H40:H50)</f>
        <v>246000000</v>
      </c>
    </row>
    <row r="52" spans="1:8" s="1" customFormat="1" ht="19.5" customHeight="1">
      <c r="A52" s="19" t="s">
        <v>22</v>
      </c>
      <c r="B52" s="111" t="s">
        <v>26</v>
      </c>
      <c r="C52" s="111"/>
      <c r="D52" s="112"/>
      <c r="E52" s="109">
        <f>SUM(E17:F51)</f>
        <v>32</v>
      </c>
      <c r="F52" s="110"/>
      <c r="G52" s="20"/>
      <c r="H52" s="21">
        <f>H51+H39+H27</f>
        <v>720000000</v>
      </c>
    </row>
    <row r="53" spans="1:8" s="1" customFormat="1" ht="15" customHeight="1">
      <c r="A53" s="36"/>
      <c r="B53" s="22" t="s">
        <v>25</v>
      </c>
      <c r="C53" s="22"/>
      <c r="D53" s="22"/>
      <c r="E53" s="22"/>
      <c r="F53" s="22"/>
      <c r="G53" s="22"/>
      <c r="H53" s="37"/>
    </row>
    <row r="54" spans="1:8" s="1" customFormat="1" ht="14" customHeight="1">
      <c r="A54" s="38"/>
      <c r="B54" s="39"/>
      <c r="C54" s="39"/>
      <c r="D54" s="39"/>
      <c r="E54" s="39"/>
      <c r="F54" s="39"/>
      <c r="G54" s="39"/>
      <c r="H54" s="40"/>
    </row>
    <row r="55" spans="1:8" s="1" customFormat="1" ht="14" customHeight="1" thickBot="1">
      <c r="A55" s="41"/>
      <c r="B55" s="42"/>
      <c r="C55" s="42"/>
      <c r="D55" s="42"/>
      <c r="E55" s="42"/>
      <c r="F55" s="42"/>
      <c r="G55" s="42"/>
      <c r="H55" s="43"/>
    </row>
    <row r="56" spans="1:8" s="1" customFormat="1" ht="15" customHeight="1"/>
    <row r="57" spans="1:8" s="1" customFormat="1" ht="15" customHeight="1">
      <c r="A57" s="4"/>
    </row>
    <row r="58" spans="1:8" s="1" customFormat="1" ht="15" customHeight="1">
      <c r="A58" s="4"/>
    </row>
    <row r="59" spans="1:8" s="1" customFormat="1" ht="15" customHeight="1">
      <c r="E59" s="5"/>
    </row>
    <row r="60" spans="1:8" s="1" customFormat="1" ht="15" customHeight="1">
      <c r="E60" s="5"/>
    </row>
    <row r="61" spans="1:8" s="1" customFormat="1" ht="15" customHeight="1">
      <c r="E61" s="5"/>
    </row>
    <row r="62" spans="1:8" s="1" customFormat="1" ht="15" customHeight="1">
      <c r="E62" s="5"/>
    </row>
    <row r="63" spans="1:8" s="1" customFormat="1" ht="15" customHeight="1">
      <c r="E63" s="5"/>
    </row>
    <row r="64" spans="1:8" s="1" customFormat="1" ht="15" customHeight="1">
      <c r="E64" s="5"/>
    </row>
    <row r="65" spans="3:8" s="1" customFormat="1" ht="15" customHeight="1">
      <c r="E65" s="5"/>
      <c r="H65" s="6"/>
    </row>
    <row r="66" spans="3:8" s="1" customFormat="1" ht="15" customHeight="1">
      <c r="E66" s="7"/>
      <c r="F66" s="7"/>
      <c r="H66" s="8"/>
    </row>
    <row r="67" spans="3:8" s="1" customFormat="1" ht="15" customHeight="1">
      <c r="C67" s="6"/>
      <c r="D67" s="9"/>
      <c r="E67" s="7"/>
      <c r="F67" s="7"/>
      <c r="H67" s="8"/>
    </row>
    <row r="68" spans="3:8" s="1" customFormat="1" ht="15" customHeight="1">
      <c r="C68" s="6"/>
      <c r="D68" s="9"/>
      <c r="E68" s="7"/>
      <c r="F68" s="7"/>
      <c r="H68" s="8"/>
    </row>
    <row r="69" spans="3:8" s="1" customFormat="1" ht="15" customHeight="1">
      <c r="C69" s="6"/>
      <c r="D69" s="9"/>
      <c r="E69" s="7"/>
      <c r="F69" s="7"/>
      <c r="H69" s="8"/>
    </row>
    <row r="70" spans="3:8" s="1" customFormat="1" ht="15" customHeight="1">
      <c r="E70" s="7"/>
      <c r="F70" s="7"/>
      <c r="H70" s="8"/>
    </row>
    <row r="71" spans="3:8" s="1" customFormat="1" ht="15" customHeight="1">
      <c r="E71" s="7"/>
      <c r="F71" s="7"/>
      <c r="H71" s="8"/>
    </row>
    <row r="72" spans="3:8" s="1" customFormat="1" ht="15" customHeight="1">
      <c r="D72" s="5"/>
      <c r="E72" s="6"/>
      <c r="F72" s="6"/>
      <c r="H72" s="3"/>
    </row>
    <row r="73" spans="3:8" s="1" customFormat="1" ht="15" customHeight="1">
      <c r="E73" s="6"/>
      <c r="F73" s="6"/>
      <c r="H73" s="3"/>
    </row>
    <row r="74" spans="3:8" s="1" customFormat="1" ht="15" customHeight="1">
      <c r="E74" s="5"/>
    </row>
    <row r="75" spans="3:8" s="1" customFormat="1" ht="15" customHeight="1">
      <c r="E75" s="5"/>
    </row>
    <row r="76" spans="3:8" s="1" customFormat="1" ht="15" customHeight="1">
      <c r="E76" s="5"/>
    </row>
    <row r="77" spans="3:8" s="1" customFormat="1" ht="15" customHeight="1">
      <c r="E77" s="5"/>
    </row>
    <row r="78" spans="3:8" s="1" customFormat="1" ht="15" customHeight="1">
      <c r="E78" s="5"/>
    </row>
    <row r="79" spans="3:8" s="1" customFormat="1" ht="23.25" customHeight="1">
      <c r="E79" s="5"/>
    </row>
    <row r="80" spans="3:8" s="1" customFormat="1" ht="16.5" customHeight="1"/>
    <row r="97" spans="1:8" s="10" customFormat="1" ht="15" thickBot="1">
      <c r="A97" s="1"/>
      <c r="B97" s="1"/>
      <c r="C97" s="1"/>
      <c r="D97" s="1"/>
      <c r="E97" s="1"/>
      <c r="F97" s="1"/>
      <c r="G97" s="1"/>
      <c r="H97" s="1"/>
    </row>
    <row r="104" spans="1:8" s="1" customFormat="1"/>
    <row r="105" spans="1:8" s="1" customFormat="1"/>
    <row r="106" spans="1:8" s="1" customFormat="1"/>
  </sheetData>
  <mergeCells count="81">
    <mergeCell ref="H46:H47"/>
    <mergeCell ref="H48:H49"/>
    <mergeCell ref="E9:H9"/>
    <mergeCell ref="C10:D10"/>
    <mergeCell ref="C8:D8"/>
    <mergeCell ref="E18:F18"/>
    <mergeCell ref="E19:F19"/>
    <mergeCell ref="A14:C15"/>
    <mergeCell ref="D15:H15"/>
    <mergeCell ref="E16:F16"/>
    <mergeCell ref="H44:H45"/>
    <mergeCell ref="A10:B10"/>
    <mergeCell ref="A12:C12"/>
    <mergeCell ref="D12:H12"/>
    <mergeCell ref="A13:C13"/>
    <mergeCell ref="D13:H13"/>
    <mergeCell ref="D14:H14"/>
    <mergeCell ref="E10:H10"/>
    <mergeCell ref="A28:A39"/>
    <mergeCell ref="B28:C39"/>
    <mergeCell ref="D39:G39"/>
    <mergeCell ref="H28:H30"/>
    <mergeCell ref="E17:F17"/>
    <mergeCell ref="E25:F25"/>
    <mergeCell ref="E20:F20"/>
    <mergeCell ref="H32:H33"/>
    <mergeCell ref="E4:H4"/>
    <mergeCell ref="E5:H5"/>
    <mergeCell ref="E6:H6"/>
    <mergeCell ref="E7:H7"/>
    <mergeCell ref="E8:H8"/>
    <mergeCell ref="A4:B5"/>
    <mergeCell ref="C4:D4"/>
    <mergeCell ref="A9:B9"/>
    <mergeCell ref="A8:B8"/>
    <mergeCell ref="A6:B6"/>
    <mergeCell ref="A7:B7"/>
    <mergeCell ref="C9:D9"/>
    <mergeCell ref="C5:D5"/>
    <mergeCell ref="C6:D6"/>
    <mergeCell ref="C7:D7"/>
    <mergeCell ref="E52:F52"/>
    <mergeCell ref="D51:G51"/>
    <mergeCell ref="E31:F31"/>
    <mergeCell ref="E38:F38"/>
    <mergeCell ref="B52:D52"/>
    <mergeCell ref="E49:F49"/>
    <mergeCell ref="E32:F32"/>
    <mergeCell ref="E33:F33"/>
    <mergeCell ref="E34:F34"/>
    <mergeCell ref="E35:F35"/>
    <mergeCell ref="E36:F36"/>
    <mergeCell ref="E37:F37"/>
    <mergeCell ref="A40:A51"/>
    <mergeCell ref="B40:C51"/>
    <mergeCell ref="E26:F26"/>
    <mergeCell ref="E50:F50"/>
    <mergeCell ref="E42:F42"/>
    <mergeCell ref="E44:F44"/>
    <mergeCell ref="E45:F45"/>
    <mergeCell ref="E46:F46"/>
    <mergeCell ref="E47:F47"/>
    <mergeCell ref="E48:F48"/>
    <mergeCell ref="A17:A27"/>
    <mergeCell ref="E28:F28"/>
    <mergeCell ref="E29:F29"/>
    <mergeCell ref="E30:F30"/>
    <mergeCell ref="E40:F40"/>
    <mergeCell ref="E41:F41"/>
    <mergeCell ref="E23:F23"/>
    <mergeCell ref="E24:F24"/>
    <mergeCell ref="E43:F43"/>
    <mergeCell ref="B17:C27"/>
    <mergeCell ref="H21:H22"/>
    <mergeCell ref="H40:H42"/>
    <mergeCell ref="D27:G27"/>
    <mergeCell ref="H19:H20"/>
    <mergeCell ref="E21:F21"/>
    <mergeCell ref="E22:F22"/>
    <mergeCell ref="H34:H35"/>
    <mergeCell ref="H36:H37"/>
  </mergeCells>
  <phoneticPr fontId="5" type="noConversion"/>
  <pageMargins left="0.25" right="0.25" top="0.75" bottom="0.75" header="0.3" footer="0.3"/>
  <pageSetup paperSize="9" scale="72" fitToHeight="0" orientation="portrait" r:id="rId1"/>
  <headerFooter alignWithMargins="0"/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EB7D-2464-2E4D-96AB-5A6DD99A4091}">
  <sheetPr>
    <pageSetUpPr fitToPage="1"/>
  </sheetPr>
  <dimension ref="A1:P83"/>
  <sheetViews>
    <sheetView topLeftCell="A12" zoomScale="150" zoomScaleNormal="150" zoomScaleSheetLayoutView="70" workbookViewId="0">
      <selection activeCell="D35" sqref="D35:H35"/>
    </sheetView>
  </sheetViews>
  <sheetFormatPr baseColWidth="10" defaultColWidth="10.83203125" defaultRowHeight="14"/>
  <cols>
    <col min="1" max="1" width="3.5" style="1" customWidth="1"/>
    <col min="2" max="2" width="16.1640625" style="1" customWidth="1"/>
    <col min="3" max="3" width="16.6640625" style="1" customWidth="1"/>
    <col min="4" max="5" width="55.83203125" style="1" customWidth="1"/>
    <col min="6" max="7" width="2.33203125" style="1" customWidth="1"/>
    <col min="8" max="9" width="15.83203125" style="1" customWidth="1"/>
    <col min="10" max="16" width="1.83203125" style="2" hidden="1" customWidth="1"/>
    <col min="17" max="16384" width="10.83203125" style="2"/>
  </cols>
  <sheetData>
    <row r="1" spans="1:9" s="1" customFormat="1" ht="20" customHeight="1" thickBot="1">
      <c r="A1" s="50" t="s">
        <v>0</v>
      </c>
      <c r="B1" s="51" t="s">
        <v>17</v>
      </c>
      <c r="C1" s="51"/>
      <c r="D1" s="53" t="s">
        <v>18</v>
      </c>
      <c r="E1" s="52"/>
      <c r="F1" s="186" t="s">
        <v>19</v>
      </c>
      <c r="G1" s="187"/>
      <c r="H1" s="53" t="s">
        <v>20</v>
      </c>
      <c r="I1" s="64" t="s">
        <v>21</v>
      </c>
    </row>
    <row r="2" spans="1:9" s="1" customFormat="1" ht="18" customHeight="1" thickBot="1">
      <c r="A2" s="188">
        <v>1</v>
      </c>
      <c r="B2" s="162" t="s">
        <v>28</v>
      </c>
      <c r="C2" s="163"/>
      <c r="D2" s="180" t="str">
        <f>견적!D17</f>
        <v>로그 데이터 수집, 저장, 검색, 분석 기능 구현</v>
      </c>
      <c r="E2" s="56" t="s">
        <v>62</v>
      </c>
      <c r="F2" s="195">
        <v>1</v>
      </c>
      <c r="G2" s="169"/>
      <c r="H2" s="174">
        <f>Sheet6!B1</f>
        <v>20700000</v>
      </c>
      <c r="I2" s="177">
        <f>H2</f>
        <v>20700000</v>
      </c>
    </row>
    <row r="3" spans="1:9" s="1" customFormat="1" ht="18" customHeight="1">
      <c r="A3" s="189"/>
      <c r="B3" s="164"/>
      <c r="C3" s="165"/>
      <c r="D3" s="181"/>
      <c r="E3" s="56" t="s">
        <v>63</v>
      </c>
      <c r="F3" s="196"/>
      <c r="G3" s="171"/>
      <c r="H3" s="175"/>
      <c r="I3" s="178"/>
    </row>
    <row r="4" spans="1:9" s="1" customFormat="1" ht="18" customHeight="1" thickBot="1">
      <c r="A4" s="189"/>
      <c r="B4" s="164"/>
      <c r="C4" s="165"/>
      <c r="D4" s="182"/>
      <c r="E4" s="57" t="s">
        <v>64</v>
      </c>
      <c r="F4" s="197"/>
      <c r="G4" s="173"/>
      <c r="H4" s="176"/>
      <c r="I4" s="179"/>
    </row>
    <row r="5" spans="1:9" s="1" customFormat="1" ht="18" customHeight="1">
      <c r="A5" s="190"/>
      <c r="B5" s="164"/>
      <c r="C5" s="165"/>
      <c r="D5" s="180" t="str">
        <f>견적!D18</f>
        <v>사용자별, 작업별 로그 데이터 관리 기능 제공</v>
      </c>
      <c r="E5" s="58" t="s">
        <v>65</v>
      </c>
      <c r="F5" s="195">
        <v>1</v>
      </c>
      <c r="G5" s="169"/>
      <c r="H5" s="174">
        <f>Sheet6!B2</f>
        <v>18630000</v>
      </c>
      <c r="I5" s="177">
        <f t="shared" ref="I5" si="0">H5</f>
        <v>18630000</v>
      </c>
    </row>
    <row r="6" spans="1:9" s="1" customFormat="1" ht="18" customHeight="1">
      <c r="A6" s="190"/>
      <c r="B6" s="164"/>
      <c r="C6" s="165"/>
      <c r="D6" s="181"/>
      <c r="E6" s="59" t="s">
        <v>66</v>
      </c>
      <c r="F6" s="196"/>
      <c r="G6" s="171"/>
      <c r="H6" s="175"/>
      <c r="I6" s="178"/>
    </row>
    <row r="7" spans="1:9" s="1" customFormat="1" ht="18" customHeight="1" thickBot="1">
      <c r="A7" s="190"/>
      <c r="B7" s="164"/>
      <c r="C7" s="165"/>
      <c r="D7" s="182"/>
      <c r="E7" s="60" t="s">
        <v>67</v>
      </c>
      <c r="F7" s="197"/>
      <c r="G7" s="173"/>
      <c r="H7" s="176"/>
      <c r="I7" s="179"/>
    </row>
    <row r="8" spans="1:9" s="1" customFormat="1" ht="18" customHeight="1">
      <c r="A8" s="190"/>
      <c r="B8" s="164"/>
      <c r="C8" s="165"/>
      <c r="D8" s="180" t="str">
        <f>견적!D19</f>
        <v>병렬 프로그램의 실행 상태, 성능 의 실시간 모니터링 기능 제공</v>
      </c>
      <c r="E8" s="58" t="s">
        <v>155</v>
      </c>
      <c r="F8" s="168">
        <v>1</v>
      </c>
      <c r="G8" s="169"/>
      <c r="H8" s="174">
        <f>Sheet6!B3</f>
        <v>22770000</v>
      </c>
      <c r="I8" s="177">
        <f t="shared" ref="I8" si="1">H8</f>
        <v>22770000</v>
      </c>
    </row>
    <row r="9" spans="1:9" s="1" customFormat="1" ht="18" customHeight="1">
      <c r="A9" s="190"/>
      <c r="B9" s="164"/>
      <c r="C9" s="165"/>
      <c r="D9" s="181"/>
      <c r="E9" s="59" t="s">
        <v>156</v>
      </c>
      <c r="F9" s="170"/>
      <c r="G9" s="171"/>
      <c r="H9" s="175"/>
      <c r="I9" s="178"/>
    </row>
    <row r="10" spans="1:9" s="1" customFormat="1" ht="18" customHeight="1" thickBot="1">
      <c r="A10" s="190"/>
      <c r="B10" s="164"/>
      <c r="C10" s="165"/>
      <c r="D10" s="182"/>
      <c r="E10" s="60" t="s">
        <v>157</v>
      </c>
      <c r="F10" s="172"/>
      <c r="G10" s="173"/>
      <c r="H10" s="176"/>
      <c r="I10" s="179"/>
    </row>
    <row r="11" spans="1:9" s="1" customFormat="1" ht="18" customHeight="1">
      <c r="A11" s="190"/>
      <c r="B11" s="164"/>
      <c r="C11" s="165"/>
      <c r="D11" s="180" t="str">
        <f>견적!D20</f>
        <v>병렬 분산 처리를 위한 효율적인 라이브러리 구축 및 테스트</v>
      </c>
      <c r="E11" s="58" t="s">
        <v>68</v>
      </c>
      <c r="F11" s="168">
        <v>1</v>
      </c>
      <c r="G11" s="169"/>
      <c r="H11" s="174">
        <f>Sheet6!B4</f>
        <v>18630000</v>
      </c>
      <c r="I11" s="177">
        <f t="shared" ref="I11" si="2">H11</f>
        <v>18630000</v>
      </c>
    </row>
    <row r="12" spans="1:9" s="1" customFormat="1" ht="18" customHeight="1">
      <c r="A12" s="190"/>
      <c r="B12" s="164"/>
      <c r="C12" s="165"/>
      <c r="D12" s="181"/>
      <c r="E12" s="59" t="s">
        <v>69</v>
      </c>
      <c r="F12" s="170"/>
      <c r="G12" s="171"/>
      <c r="H12" s="175"/>
      <c r="I12" s="178"/>
    </row>
    <row r="13" spans="1:9" s="1" customFormat="1" ht="18" customHeight="1" thickBot="1">
      <c r="A13" s="190"/>
      <c r="B13" s="164"/>
      <c r="C13" s="165"/>
      <c r="D13" s="182"/>
      <c r="E13" s="60" t="s">
        <v>70</v>
      </c>
      <c r="F13" s="172"/>
      <c r="G13" s="173"/>
      <c r="H13" s="176"/>
      <c r="I13" s="179"/>
    </row>
    <row r="14" spans="1:9" s="1" customFormat="1" ht="18" customHeight="1">
      <c r="A14" s="190"/>
      <c r="B14" s="164"/>
      <c r="C14" s="165"/>
      <c r="D14" s="180" t="str">
        <f>견적!D21</f>
        <v>안정적인 서비스를 위한 에러 및 예외 처리 시스템 구현</v>
      </c>
      <c r="E14" s="58" t="s">
        <v>71</v>
      </c>
      <c r="F14" s="168">
        <v>1</v>
      </c>
      <c r="G14" s="169"/>
      <c r="H14" s="174">
        <f>Sheet6!B5</f>
        <v>22770000</v>
      </c>
      <c r="I14" s="177">
        <f t="shared" ref="I14" si="3">H14</f>
        <v>22770000</v>
      </c>
    </row>
    <row r="15" spans="1:9" s="1" customFormat="1" ht="18" customHeight="1">
      <c r="A15" s="190"/>
      <c r="B15" s="164"/>
      <c r="C15" s="165"/>
      <c r="D15" s="181"/>
      <c r="E15" s="59" t="s">
        <v>72</v>
      </c>
      <c r="F15" s="170"/>
      <c r="G15" s="171"/>
      <c r="H15" s="175"/>
      <c r="I15" s="178"/>
    </row>
    <row r="16" spans="1:9" s="1" customFormat="1" ht="18" customHeight="1" thickBot="1">
      <c r="A16" s="190"/>
      <c r="B16" s="164"/>
      <c r="C16" s="165"/>
      <c r="D16" s="182"/>
      <c r="E16" s="60" t="s">
        <v>73</v>
      </c>
      <c r="F16" s="172"/>
      <c r="G16" s="173"/>
      <c r="H16" s="176"/>
      <c r="I16" s="179"/>
    </row>
    <row r="17" spans="1:16" s="1" customFormat="1" ht="18" customHeight="1">
      <c r="A17" s="190"/>
      <c r="B17" s="164"/>
      <c r="C17" s="165"/>
      <c r="D17" s="180" t="str">
        <f>견적!D22</f>
        <v>HPC 시스템에 대한 사용자 인터페이스 및 API 제공</v>
      </c>
      <c r="E17" s="58" t="s">
        <v>74</v>
      </c>
      <c r="F17" s="168">
        <v>1</v>
      </c>
      <c r="G17" s="169"/>
      <c r="H17" s="174">
        <f>Sheet6!B6</f>
        <v>20700000</v>
      </c>
      <c r="I17" s="177">
        <f t="shared" ref="I17" si="4">H17</f>
        <v>20700000</v>
      </c>
    </row>
    <row r="18" spans="1:16" s="1" customFormat="1" ht="18" customHeight="1">
      <c r="A18" s="190"/>
      <c r="B18" s="164"/>
      <c r="C18" s="165"/>
      <c r="D18" s="181"/>
      <c r="E18" s="59" t="s">
        <v>75</v>
      </c>
      <c r="F18" s="170"/>
      <c r="G18" s="171"/>
      <c r="H18" s="175"/>
      <c r="I18" s="178"/>
    </row>
    <row r="19" spans="1:16" s="1" customFormat="1" ht="18" customHeight="1" thickBot="1">
      <c r="A19" s="190"/>
      <c r="B19" s="164"/>
      <c r="C19" s="165"/>
      <c r="D19" s="182"/>
      <c r="E19" s="60" t="s">
        <v>76</v>
      </c>
      <c r="F19" s="172"/>
      <c r="G19" s="173"/>
      <c r="H19" s="176"/>
      <c r="I19" s="179"/>
    </row>
    <row r="20" spans="1:16" s="1" customFormat="1" ht="18" customHeight="1">
      <c r="A20" s="190"/>
      <c r="B20" s="164"/>
      <c r="C20" s="165"/>
      <c r="D20" s="180" t="str">
        <f>견적!D23</f>
        <v>시스템의 성능 모니터링 및 리포트 생성 기능 제공</v>
      </c>
      <c r="E20" s="58" t="s">
        <v>77</v>
      </c>
      <c r="F20" s="168">
        <v>1</v>
      </c>
      <c r="G20" s="169"/>
      <c r="H20" s="174">
        <f>Sheet6!B7</f>
        <v>22770000</v>
      </c>
      <c r="I20" s="177">
        <f t="shared" ref="I20" si="5">H20</f>
        <v>22770000</v>
      </c>
      <c r="J20" s="11"/>
      <c r="K20" s="11"/>
      <c r="L20" s="11"/>
      <c r="M20" s="11"/>
      <c r="N20" s="11"/>
      <c r="O20" s="11"/>
      <c r="P20" s="11"/>
    </row>
    <row r="21" spans="1:16" s="1" customFormat="1" ht="18" customHeight="1">
      <c r="A21" s="190"/>
      <c r="B21" s="164"/>
      <c r="C21" s="165"/>
      <c r="D21" s="181"/>
      <c r="E21" s="59" t="s">
        <v>78</v>
      </c>
      <c r="F21" s="170"/>
      <c r="G21" s="171"/>
      <c r="H21" s="175"/>
      <c r="I21" s="178"/>
    </row>
    <row r="22" spans="1:16" s="1" customFormat="1" ht="18" customHeight="1" thickBot="1">
      <c r="A22" s="190"/>
      <c r="B22" s="164"/>
      <c r="C22" s="165"/>
      <c r="D22" s="182"/>
      <c r="E22" s="60" t="s">
        <v>79</v>
      </c>
      <c r="F22" s="172">
        <v>1</v>
      </c>
      <c r="G22" s="173"/>
      <c r="H22" s="176"/>
      <c r="I22" s="179"/>
    </row>
    <row r="23" spans="1:16" s="1" customFormat="1" ht="18" customHeight="1">
      <c r="A23" s="190"/>
      <c r="B23" s="164"/>
      <c r="C23" s="165"/>
      <c r="D23" s="180" t="str">
        <f>견적!D24</f>
        <v>병렬 프로그래밍을 위한 개발 환경 구축</v>
      </c>
      <c r="E23" s="58" t="s">
        <v>80</v>
      </c>
      <c r="F23" s="168">
        <v>1</v>
      </c>
      <c r="G23" s="169"/>
      <c r="H23" s="174">
        <f>Sheet6!B8</f>
        <v>16560000</v>
      </c>
      <c r="I23" s="177">
        <f t="shared" ref="I23" si="6">H23</f>
        <v>16560000</v>
      </c>
    </row>
    <row r="24" spans="1:16" s="1" customFormat="1" ht="18" customHeight="1">
      <c r="A24" s="190"/>
      <c r="B24" s="164"/>
      <c r="C24" s="165"/>
      <c r="D24" s="181"/>
      <c r="E24" s="59" t="s">
        <v>81</v>
      </c>
      <c r="F24" s="170"/>
      <c r="G24" s="171"/>
      <c r="H24" s="175"/>
      <c r="I24" s="178"/>
    </row>
    <row r="25" spans="1:16" s="1" customFormat="1" ht="18" customHeight="1" thickBot="1">
      <c r="A25" s="190"/>
      <c r="B25" s="164"/>
      <c r="C25" s="165"/>
      <c r="D25" s="182"/>
      <c r="E25" s="60" t="s">
        <v>82</v>
      </c>
      <c r="F25" s="172">
        <v>1</v>
      </c>
      <c r="G25" s="173"/>
      <c r="H25" s="176"/>
      <c r="I25" s="179"/>
    </row>
    <row r="26" spans="1:16" s="1" customFormat="1" ht="18" customHeight="1">
      <c r="A26" s="190"/>
      <c r="B26" s="164"/>
      <c r="C26" s="165"/>
      <c r="D26" s="180" t="str">
        <f>견적!D25</f>
        <v>HPC 사용자 및 개발자를 위한 사용자 문서 지원</v>
      </c>
      <c r="E26" s="72" t="s">
        <v>83</v>
      </c>
      <c r="F26" s="170">
        <v>1</v>
      </c>
      <c r="G26" s="171"/>
      <c r="H26" s="174">
        <f>Sheet6!B9</f>
        <v>24840000</v>
      </c>
      <c r="I26" s="177">
        <f t="shared" ref="I26" si="7">H26</f>
        <v>24840000</v>
      </c>
    </row>
    <row r="27" spans="1:16" s="1" customFormat="1" ht="18" customHeight="1">
      <c r="A27" s="190"/>
      <c r="B27" s="164"/>
      <c r="C27" s="165"/>
      <c r="D27" s="181"/>
      <c r="E27" s="73" t="s">
        <v>84</v>
      </c>
      <c r="F27" s="170"/>
      <c r="G27" s="171"/>
      <c r="H27" s="175"/>
      <c r="I27" s="178"/>
    </row>
    <row r="28" spans="1:16" s="1" customFormat="1" ht="18" customHeight="1" thickBot="1">
      <c r="A28" s="190"/>
      <c r="B28" s="164"/>
      <c r="C28" s="165"/>
      <c r="D28" s="182"/>
      <c r="E28" s="74" t="s">
        <v>85</v>
      </c>
      <c r="F28" s="170"/>
      <c r="G28" s="171"/>
      <c r="H28" s="176"/>
      <c r="I28" s="179"/>
    </row>
    <row r="29" spans="1:16" s="1" customFormat="1" ht="18" customHeight="1">
      <c r="A29" s="190"/>
      <c r="B29" s="164"/>
      <c r="C29" s="165"/>
      <c r="D29" s="180" t="str">
        <f>견적!D26</f>
        <v>시스템 확장성 및 고가용성을 고려한 인프라 설계</v>
      </c>
      <c r="E29" s="58" t="s">
        <v>86</v>
      </c>
      <c r="F29" s="168">
        <v>1</v>
      </c>
      <c r="G29" s="169"/>
      <c r="H29" s="174">
        <f>Sheet6!B10</f>
        <v>18630000</v>
      </c>
      <c r="I29" s="177">
        <f t="shared" ref="I29" si="8">H29</f>
        <v>18630000</v>
      </c>
    </row>
    <row r="30" spans="1:16" s="1" customFormat="1" ht="18" customHeight="1">
      <c r="A30" s="191"/>
      <c r="B30" s="164"/>
      <c r="C30" s="165"/>
      <c r="D30" s="181"/>
      <c r="E30" s="59" t="s">
        <v>87</v>
      </c>
      <c r="F30" s="170"/>
      <c r="G30" s="171"/>
      <c r="H30" s="175"/>
      <c r="I30" s="178"/>
    </row>
    <row r="31" spans="1:16" s="1" customFormat="1" ht="18" customHeight="1" thickBot="1">
      <c r="A31" s="191"/>
      <c r="B31" s="164"/>
      <c r="C31" s="165"/>
      <c r="D31" s="182"/>
      <c r="E31" s="60" t="s">
        <v>88</v>
      </c>
      <c r="F31" s="172"/>
      <c r="G31" s="173"/>
      <c r="H31" s="176"/>
      <c r="I31" s="179"/>
    </row>
    <row r="32" spans="1:16" s="1" customFormat="1" ht="18" customHeight="1" thickBot="1">
      <c r="A32" s="191"/>
      <c r="B32" s="166"/>
      <c r="C32" s="167"/>
      <c r="D32" s="192" t="s">
        <v>27</v>
      </c>
      <c r="E32" s="193"/>
      <c r="F32" s="193"/>
      <c r="G32" s="193"/>
      <c r="H32" s="194"/>
      <c r="I32" s="15">
        <f>SUM(I2:I31)</f>
        <v>207000000</v>
      </c>
    </row>
    <row r="33" spans="1:9" s="1" customFormat="1" ht="15" customHeight="1"/>
    <row r="34" spans="1:9" s="1" customFormat="1" ht="15" customHeight="1">
      <c r="A34" s="4"/>
    </row>
    <row r="35" spans="1:9" s="1" customFormat="1" ht="15" customHeight="1">
      <c r="A35" s="4"/>
    </row>
    <row r="36" spans="1:9" s="1" customFormat="1" ht="15" customHeight="1">
      <c r="F36" s="5"/>
    </row>
    <row r="37" spans="1:9" s="1" customFormat="1" ht="15" customHeight="1">
      <c r="F37" s="5"/>
    </row>
    <row r="38" spans="1:9" s="1" customFormat="1" ht="15" customHeight="1">
      <c r="F38" s="5"/>
    </row>
    <row r="39" spans="1:9" s="1" customFormat="1" ht="15" customHeight="1">
      <c r="F39" s="5"/>
    </row>
    <row r="40" spans="1:9" s="1" customFormat="1" ht="15" customHeight="1">
      <c r="F40" s="5"/>
    </row>
    <row r="41" spans="1:9" s="1" customFormat="1" ht="15" customHeight="1">
      <c r="F41" s="5"/>
    </row>
    <row r="42" spans="1:9" s="1" customFormat="1" ht="15" customHeight="1">
      <c r="F42" s="5"/>
      <c r="I42" s="6"/>
    </row>
    <row r="43" spans="1:9" s="1" customFormat="1" ht="15" customHeight="1">
      <c r="F43" s="7"/>
      <c r="G43" s="7"/>
      <c r="I43" s="8"/>
    </row>
    <row r="44" spans="1:9" s="1" customFormat="1" ht="15" customHeight="1">
      <c r="C44" s="6"/>
      <c r="D44" s="9"/>
      <c r="E44" s="9"/>
      <c r="F44" s="7"/>
      <c r="G44" s="7"/>
      <c r="I44" s="8"/>
    </row>
    <row r="45" spans="1:9" s="1" customFormat="1" ht="15" customHeight="1">
      <c r="C45" s="6"/>
      <c r="D45" s="9"/>
      <c r="E45" s="9"/>
      <c r="F45" s="7"/>
      <c r="G45" s="7"/>
      <c r="I45" s="8"/>
    </row>
    <row r="46" spans="1:9" s="1" customFormat="1" ht="15" customHeight="1">
      <c r="C46" s="6"/>
      <c r="D46" s="9"/>
      <c r="E46" s="9"/>
      <c r="F46" s="7"/>
      <c r="G46" s="7"/>
      <c r="I46" s="8"/>
    </row>
    <row r="47" spans="1:9" s="1" customFormat="1" ht="15" customHeight="1">
      <c r="F47" s="7"/>
      <c r="G47" s="7"/>
      <c r="I47" s="8"/>
    </row>
    <row r="48" spans="1:9" s="1" customFormat="1" ht="15" customHeight="1">
      <c r="F48" s="7"/>
      <c r="G48" s="7"/>
      <c r="I48" s="8"/>
    </row>
    <row r="49" spans="4:9" s="1" customFormat="1" ht="15" customHeight="1">
      <c r="D49" s="5"/>
      <c r="E49" s="5"/>
      <c r="F49" s="6"/>
      <c r="G49" s="6"/>
      <c r="I49" s="3"/>
    </row>
    <row r="50" spans="4:9" s="1" customFormat="1" ht="15" customHeight="1">
      <c r="F50" s="6"/>
      <c r="G50" s="6"/>
      <c r="I50" s="3"/>
    </row>
    <row r="51" spans="4:9" s="1" customFormat="1" ht="15" customHeight="1">
      <c r="F51" s="5"/>
    </row>
    <row r="52" spans="4:9" s="1" customFormat="1" ht="15" customHeight="1">
      <c r="F52" s="5"/>
    </row>
    <row r="53" spans="4:9" s="1" customFormat="1" ht="15" customHeight="1">
      <c r="F53" s="5"/>
    </row>
    <row r="54" spans="4:9" s="1" customFormat="1" ht="15" customHeight="1">
      <c r="F54" s="5"/>
    </row>
    <row r="55" spans="4:9" s="1" customFormat="1" ht="15" customHeight="1">
      <c r="F55" s="5"/>
    </row>
    <row r="56" spans="4:9" s="1" customFormat="1" ht="23.25" customHeight="1">
      <c r="F56" s="5"/>
    </row>
    <row r="57" spans="4:9" s="1" customFormat="1" ht="16.5" customHeight="1"/>
    <row r="74" spans="1:9" s="10" customFormat="1">
      <c r="A74" s="1"/>
      <c r="B74" s="1"/>
      <c r="C74" s="1"/>
      <c r="D74" s="1"/>
      <c r="E74" s="1"/>
      <c r="F74" s="1"/>
      <c r="G74" s="1"/>
      <c r="H74" s="1"/>
      <c r="I74" s="1"/>
    </row>
    <row r="81" s="1" customFormat="1"/>
    <row r="82" s="1" customFormat="1"/>
    <row r="83" s="1" customFormat="1"/>
  </sheetData>
  <mergeCells count="44">
    <mergeCell ref="D29:D31"/>
    <mergeCell ref="F1:G1"/>
    <mergeCell ref="A2:A32"/>
    <mergeCell ref="D32:H32"/>
    <mergeCell ref="F2:G4"/>
    <mergeCell ref="F5:G7"/>
    <mergeCell ref="F8:G10"/>
    <mergeCell ref="F11:G13"/>
    <mergeCell ref="H14:H16"/>
    <mergeCell ref="H17:H19"/>
    <mergeCell ref="H2:H4"/>
    <mergeCell ref="I2:I4"/>
    <mergeCell ref="H5:H7"/>
    <mergeCell ref="H8:H10"/>
    <mergeCell ref="H11:H13"/>
    <mergeCell ref="H20:H22"/>
    <mergeCell ref="H23:H25"/>
    <mergeCell ref="H26:H28"/>
    <mergeCell ref="I5:I7"/>
    <mergeCell ref="H29:H31"/>
    <mergeCell ref="I8:I10"/>
    <mergeCell ref="I11:I13"/>
    <mergeCell ref="I14:I16"/>
    <mergeCell ref="I17:I19"/>
    <mergeCell ref="I20:I22"/>
    <mergeCell ref="I23:I25"/>
    <mergeCell ref="I26:I28"/>
    <mergeCell ref="I29:I31"/>
    <mergeCell ref="B2:C32"/>
    <mergeCell ref="F14:G16"/>
    <mergeCell ref="F17:G19"/>
    <mergeCell ref="F20:G22"/>
    <mergeCell ref="F23:G25"/>
    <mergeCell ref="F26:G28"/>
    <mergeCell ref="F29:G31"/>
    <mergeCell ref="D2:D4"/>
    <mergeCell ref="D5:D7"/>
    <mergeCell ref="D8:D10"/>
    <mergeCell ref="D11:D13"/>
    <mergeCell ref="D14:D16"/>
    <mergeCell ref="D17:D19"/>
    <mergeCell ref="D20:D22"/>
    <mergeCell ref="D23:D25"/>
    <mergeCell ref="D26:D28"/>
  </mergeCells>
  <phoneticPr fontId="1" type="noConversion"/>
  <pageMargins left="0.25" right="0.25" top="0.75" bottom="0.75" header="0.3" footer="0.3"/>
  <pageSetup paperSize="9" scale="50" fitToHeight="0" orientation="portrait" r:id="rId1"/>
  <headerFooter alignWithMargins="0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17AC1-2834-414B-915C-84BEE31A2A48}">
  <sheetPr>
    <pageSetUpPr fitToPage="1"/>
  </sheetPr>
  <dimension ref="A1:P86"/>
  <sheetViews>
    <sheetView topLeftCell="A7" zoomScale="150" zoomScaleNormal="150" zoomScaleSheetLayoutView="70" workbookViewId="0">
      <selection activeCell="D35" sqref="D35:H35"/>
    </sheetView>
  </sheetViews>
  <sheetFormatPr baseColWidth="10" defaultColWidth="10.83203125" defaultRowHeight="14"/>
  <cols>
    <col min="1" max="1" width="3.5" style="1" customWidth="1"/>
    <col min="2" max="2" width="16.1640625" style="1" customWidth="1"/>
    <col min="3" max="3" width="16.6640625" style="1" customWidth="1"/>
    <col min="4" max="5" width="55.83203125" style="1" customWidth="1"/>
    <col min="6" max="7" width="2.33203125" style="1" customWidth="1"/>
    <col min="8" max="9" width="15.83203125" style="1" customWidth="1"/>
    <col min="10" max="16" width="1.83203125" style="2" hidden="1" customWidth="1"/>
    <col min="17" max="16384" width="10.83203125" style="2"/>
  </cols>
  <sheetData>
    <row r="1" spans="1:9" s="1" customFormat="1" ht="20" customHeight="1" thickBot="1">
      <c r="A1" s="50" t="s">
        <v>0</v>
      </c>
      <c r="B1" s="51" t="s">
        <v>17</v>
      </c>
      <c r="C1" s="51"/>
      <c r="D1" s="53" t="s">
        <v>18</v>
      </c>
      <c r="E1" s="52"/>
      <c r="F1" s="186" t="s">
        <v>19</v>
      </c>
      <c r="G1" s="187"/>
      <c r="H1" s="53" t="s">
        <v>20</v>
      </c>
      <c r="I1" s="64" t="s">
        <v>21</v>
      </c>
    </row>
    <row r="2" spans="1:9" s="1" customFormat="1" ht="18" customHeight="1">
      <c r="A2" s="106">
        <v>2</v>
      </c>
      <c r="B2" s="84" t="s">
        <v>60</v>
      </c>
      <c r="C2" s="163"/>
      <c r="D2" s="180" t="str">
        <f>견적!D28</f>
        <v>대규모 데이터를 효율적으로 처리할 수 있는 분산처리 시스템 구현</v>
      </c>
      <c r="E2" s="58" t="s">
        <v>89</v>
      </c>
      <c r="F2" s="195">
        <v>1</v>
      </c>
      <c r="G2" s="169"/>
      <c r="H2" s="174">
        <f>Sheet6!D1</f>
        <v>24030000</v>
      </c>
      <c r="I2" s="177">
        <f>H2</f>
        <v>24030000</v>
      </c>
    </row>
    <row r="3" spans="1:9" s="1" customFormat="1" ht="18" customHeight="1">
      <c r="A3" s="199"/>
      <c r="B3" s="85"/>
      <c r="C3" s="165"/>
      <c r="D3" s="181"/>
      <c r="E3" s="59" t="s">
        <v>90</v>
      </c>
      <c r="F3" s="196"/>
      <c r="G3" s="171"/>
      <c r="H3" s="175"/>
      <c r="I3" s="178"/>
    </row>
    <row r="4" spans="1:9" s="1" customFormat="1" ht="18" customHeight="1" thickBot="1">
      <c r="A4" s="199"/>
      <c r="B4" s="85"/>
      <c r="C4" s="165"/>
      <c r="D4" s="182"/>
      <c r="E4" s="60" t="s">
        <v>91</v>
      </c>
      <c r="F4" s="197"/>
      <c r="G4" s="173"/>
      <c r="H4" s="176"/>
      <c r="I4" s="179"/>
    </row>
    <row r="5" spans="1:9" s="1" customFormat="1" ht="18" customHeight="1">
      <c r="A5" s="107"/>
      <c r="B5" s="85"/>
      <c r="C5" s="165"/>
      <c r="D5" s="180" t="str">
        <f>견적!D29</f>
        <v>인실리코 분석응용의 필요한 자원별 시스템 자원 동적 할당 관리 시스템</v>
      </c>
      <c r="E5" s="58" t="s">
        <v>92</v>
      </c>
      <c r="F5" s="195">
        <v>1</v>
      </c>
      <c r="G5" s="169"/>
      <c r="H5" s="174">
        <f>Sheet6!D2</f>
        <v>24030000</v>
      </c>
      <c r="I5" s="177">
        <f t="shared" ref="I5" si="0">H5</f>
        <v>24030000</v>
      </c>
    </row>
    <row r="6" spans="1:9" s="1" customFormat="1" ht="18" customHeight="1">
      <c r="A6" s="107"/>
      <c r="B6" s="85"/>
      <c r="C6" s="165"/>
      <c r="D6" s="181"/>
      <c r="E6" s="59" t="s">
        <v>93</v>
      </c>
      <c r="F6" s="196"/>
      <c r="G6" s="171"/>
      <c r="H6" s="175"/>
      <c r="I6" s="178"/>
    </row>
    <row r="7" spans="1:9" s="1" customFormat="1" ht="18" customHeight="1" thickBot="1">
      <c r="A7" s="107"/>
      <c r="B7" s="85"/>
      <c r="C7" s="165"/>
      <c r="D7" s="182"/>
      <c r="E7" s="60" t="s">
        <v>94</v>
      </c>
      <c r="F7" s="197"/>
      <c r="G7" s="173"/>
      <c r="H7" s="176"/>
      <c r="I7" s="179"/>
    </row>
    <row r="8" spans="1:9" s="1" customFormat="1" ht="18" customHeight="1">
      <c r="A8" s="107"/>
      <c r="B8" s="85"/>
      <c r="C8" s="165"/>
      <c r="D8" s="180" t="str">
        <f>견적!D30</f>
        <v>사용자 친화적인 인터페이스 및 API 제공</v>
      </c>
      <c r="E8" s="58" t="s">
        <v>95</v>
      </c>
      <c r="F8" s="168">
        <v>1</v>
      </c>
      <c r="G8" s="169"/>
      <c r="H8" s="174">
        <f>Sheet6!D3</f>
        <v>24030000</v>
      </c>
      <c r="I8" s="177">
        <f t="shared" ref="I8" si="1">H8</f>
        <v>24030000</v>
      </c>
    </row>
    <row r="9" spans="1:9" s="1" customFormat="1" ht="18" customHeight="1">
      <c r="A9" s="107"/>
      <c r="B9" s="85"/>
      <c r="C9" s="165"/>
      <c r="D9" s="181"/>
      <c r="E9" s="59" t="s">
        <v>96</v>
      </c>
      <c r="F9" s="170"/>
      <c r="G9" s="171"/>
      <c r="H9" s="175"/>
      <c r="I9" s="178"/>
    </row>
    <row r="10" spans="1:9" s="1" customFormat="1" ht="18" customHeight="1" thickBot="1">
      <c r="A10" s="107"/>
      <c r="B10" s="85"/>
      <c r="C10" s="165"/>
      <c r="D10" s="182"/>
      <c r="E10" s="60" t="s">
        <v>97</v>
      </c>
      <c r="F10" s="172"/>
      <c r="G10" s="173"/>
      <c r="H10" s="176"/>
      <c r="I10" s="179"/>
    </row>
    <row r="11" spans="1:9" s="1" customFormat="1" ht="18" customHeight="1">
      <c r="A11" s="107"/>
      <c r="B11" s="85"/>
      <c r="C11" s="165"/>
      <c r="D11" s="180" t="str">
        <f>견적!D31</f>
        <v>성능 모니터링 및 최적화 도구 제공</v>
      </c>
      <c r="E11" s="58" t="s">
        <v>98</v>
      </c>
      <c r="F11" s="168">
        <v>1</v>
      </c>
      <c r="G11" s="169"/>
      <c r="H11" s="174">
        <f>Sheet6!D4</f>
        <v>29370000</v>
      </c>
      <c r="I11" s="177">
        <f t="shared" ref="I11" si="2">H11</f>
        <v>29370000</v>
      </c>
    </row>
    <row r="12" spans="1:9" s="1" customFormat="1" ht="18" customHeight="1">
      <c r="A12" s="107"/>
      <c r="B12" s="85"/>
      <c r="C12" s="165"/>
      <c r="D12" s="181"/>
      <c r="E12" s="59" t="s">
        <v>99</v>
      </c>
      <c r="F12" s="170"/>
      <c r="G12" s="171"/>
      <c r="H12" s="175"/>
      <c r="I12" s="178"/>
    </row>
    <row r="13" spans="1:9" s="1" customFormat="1" ht="18" customHeight="1" thickBot="1">
      <c r="A13" s="107"/>
      <c r="B13" s="85"/>
      <c r="C13" s="165"/>
      <c r="D13" s="182"/>
      <c r="E13" s="60" t="s">
        <v>100</v>
      </c>
      <c r="F13" s="172"/>
      <c r="G13" s="173"/>
      <c r="H13" s="176"/>
      <c r="I13" s="179"/>
    </row>
    <row r="14" spans="1:9" s="1" customFormat="1" ht="18" customHeight="1">
      <c r="A14" s="107"/>
      <c r="B14" s="85"/>
      <c r="C14" s="165"/>
      <c r="D14" s="180" t="str">
        <f>견적!D32</f>
        <v>데이터 처리 결과의 신속한 전달을 위한 메시징 시스템 구축</v>
      </c>
      <c r="E14" s="58" t="s">
        <v>101</v>
      </c>
      <c r="F14" s="168">
        <v>1</v>
      </c>
      <c r="G14" s="169"/>
      <c r="H14" s="174">
        <f>Sheet6!D5</f>
        <v>21360000</v>
      </c>
      <c r="I14" s="177">
        <f t="shared" ref="I14" si="3">H14</f>
        <v>21360000</v>
      </c>
    </row>
    <row r="15" spans="1:9" s="1" customFormat="1" ht="18" customHeight="1">
      <c r="A15" s="107"/>
      <c r="B15" s="85"/>
      <c r="C15" s="165"/>
      <c r="D15" s="181"/>
      <c r="E15" s="59" t="s">
        <v>102</v>
      </c>
      <c r="F15" s="170"/>
      <c r="G15" s="171"/>
      <c r="H15" s="175"/>
      <c r="I15" s="178"/>
    </row>
    <row r="16" spans="1:9" s="1" customFormat="1" ht="18" customHeight="1" thickBot="1">
      <c r="A16" s="107"/>
      <c r="B16" s="85"/>
      <c r="C16" s="165"/>
      <c r="D16" s="182"/>
      <c r="E16" s="60" t="s">
        <v>103</v>
      </c>
      <c r="F16" s="172"/>
      <c r="G16" s="173"/>
      <c r="H16" s="176"/>
      <c r="I16" s="179"/>
    </row>
    <row r="17" spans="1:16" s="1" customFormat="1" ht="18" customHeight="1">
      <c r="A17" s="107"/>
      <c r="B17" s="85"/>
      <c r="C17" s="165"/>
      <c r="D17" s="180" t="str">
        <f>견적!D33</f>
        <v>HPC 산출물 관리 전략 수립</v>
      </c>
      <c r="E17" s="58" t="s">
        <v>104</v>
      </c>
      <c r="F17" s="168">
        <v>1</v>
      </c>
      <c r="G17" s="169"/>
      <c r="H17" s="174">
        <f>Sheet6!D6</f>
        <v>24030000</v>
      </c>
      <c r="I17" s="177">
        <f t="shared" ref="I17" si="4">H17</f>
        <v>24030000</v>
      </c>
    </row>
    <row r="18" spans="1:16" s="1" customFormat="1" ht="18" customHeight="1">
      <c r="A18" s="107"/>
      <c r="B18" s="85"/>
      <c r="C18" s="165"/>
      <c r="D18" s="181"/>
      <c r="E18" s="59" t="s">
        <v>105</v>
      </c>
      <c r="F18" s="170"/>
      <c r="G18" s="171"/>
      <c r="H18" s="175"/>
      <c r="I18" s="178"/>
    </row>
    <row r="19" spans="1:16" s="1" customFormat="1" ht="18" customHeight="1" thickBot="1">
      <c r="A19" s="107"/>
      <c r="B19" s="85"/>
      <c r="C19" s="165"/>
      <c r="D19" s="182"/>
      <c r="E19" s="60" t="s">
        <v>106</v>
      </c>
      <c r="F19" s="172"/>
      <c r="G19" s="173"/>
      <c r="H19" s="176"/>
      <c r="I19" s="179"/>
    </row>
    <row r="20" spans="1:16" s="1" customFormat="1" ht="18" customHeight="1">
      <c r="A20" s="107"/>
      <c r="B20" s="85"/>
      <c r="C20" s="165"/>
      <c r="D20" s="180" t="str">
        <f>견적!D34</f>
        <v>HPC 시스템의 안정성을 위한 모니터링 및 알림 시스템 구현</v>
      </c>
      <c r="E20" s="58" t="s">
        <v>107</v>
      </c>
      <c r="F20" s="168">
        <v>1</v>
      </c>
      <c r="G20" s="169"/>
      <c r="H20" s="174">
        <f>Sheet6!D7</f>
        <v>24030000</v>
      </c>
      <c r="I20" s="177">
        <f t="shared" ref="I20" si="5">H20</f>
        <v>24030000</v>
      </c>
      <c r="J20" s="11"/>
      <c r="K20" s="11"/>
      <c r="L20" s="11"/>
      <c r="M20" s="11"/>
      <c r="N20" s="11"/>
      <c r="O20" s="11"/>
      <c r="P20" s="11"/>
    </row>
    <row r="21" spans="1:16" s="1" customFormat="1" ht="18" customHeight="1">
      <c r="A21" s="107"/>
      <c r="B21" s="85"/>
      <c r="C21" s="165"/>
      <c r="D21" s="181"/>
      <c r="E21" s="59" t="s">
        <v>108</v>
      </c>
      <c r="F21" s="170"/>
      <c r="G21" s="171"/>
      <c r="H21" s="175"/>
      <c r="I21" s="178"/>
    </row>
    <row r="22" spans="1:16" s="1" customFormat="1" ht="18" customHeight="1" thickBot="1">
      <c r="A22" s="107"/>
      <c r="B22" s="85"/>
      <c r="C22" s="165"/>
      <c r="D22" s="182"/>
      <c r="E22" s="60" t="s">
        <v>109</v>
      </c>
      <c r="F22" s="172">
        <v>1</v>
      </c>
      <c r="G22" s="173"/>
      <c r="H22" s="176"/>
      <c r="I22" s="179"/>
    </row>
    <row r="23" spans="1:16" s="1" customFormat="1" ht="18" customHeight="1">
      <c r="A23" s="107"/>
      <c r="B23" s="85"/>
      <c r="C23" s="165"/>
      <c r="D23" s="180" t="str">
        <f>견적!D35</f>
        <v>분석응용 상태 단계별 프로세싱 보고기능 제공</v>
      </c>
      <c r="E23" s="58" t="s">
        <v>110</v>
      </c>
      <c r="F23" s="168">
        <v>1</v>
      </c>
      <c r="G23" s="169"/>
      <c r="H23" s="174">
        <f>Sheet6!D8</f>
        <v>24030000</v>
      </c>
      <c r="I23" s="177">
        <f t="shared" ref="I23" si="6">H23</f>
        <v>24030000</v>
      </c>
    </row>
    <row r="24" spans="1:16" s="1" customFormat="1" ht="18" customHeight="1">
      <c r="A24" s="107"/>
      <c r="B24" s="85"/>
      <c r="C24" s="165"/>
      <c r="D24" s="181"/>
      <c r="E24" s="59" t="s">
        <v>111</v>
      </c>
      <c r="F24" s="170"/>
      <c r="G24" s="171"/>
      <c r="H24" s="175"/>
      <c r="I24" s="178"/>
    </row>
    <row r="25" spans="1:16" s="1" customFormat="1" ht="18" customHeight="1" thickBot="1">
      <c r="A25" s="107"/>
      <c r="B25" s="85"/>
      <c r="C25" s="165"/>
      <c r="D25" s="182"/>
      <c r="E25" s="60" t="s">
        <v>112</v>
      </c>
      <c r="F25" s="172">
        <v>1</v>
      </c>
      <c r="G25" s="173"/>
      <c r="H25" s="176"/>
      <c r="I25" s="179"/>
    </row>
    <row r="26" spans="1:16" s="1" customFormat="1" ht="18" customHeight="1">
      <c r="A26" s="107"/>
      <c r="B26" s="85"/>
      <c r="C26" s="165"/>
      <c r="D26" s="180" t="str">
        <f>견적!D36</f>
        <v>인실리코 소프트웨어 통합을 위한 확장 가능한 API 설계</v>
      </c>
      <c r="E26" s="72" t="s">
        <v>113</v>
      </c>
      <c r="F26" s="170">
        <v>1</v>
      </c>
      <c r="G26" s="171"/>
      <c r="H26" s="174">
        <f>Sheet6!D9</f>
        <v>21360000</v>
      </c>
      <c r="I26" s="177">
        <f t="shared" ref="I26" si="7">H26</f>
        <v>21360000</v>
      </c>
    </row>
    <row r="27" spans="1:16" s="1" customFormat="1" ht="18" customHeight="1">
      <c r="A27" s="107"/>
      <c r="B27" s="85"/>
      <c r="C27" s="165"/>
      <c r="D27" s="181"/>
      <c r="E27" s="73" t="s">
        <v>114</v>
      </c>
      <c r="F27" s="170"/>
      <c r="G27" s="171"/>
      <c r="H27" s="175"/>
      <c r="I27" s="178"/>
    </row>
    <row r="28" spans="1:16" s="1" customFormat="1" ht="18" customHeight="1" thickBot="1">
      <c r="A28" s="107"/>
      <c r="B28" s="85"/>
      <c r="C28" s="165"/>
      <c r="D28" s="182"/>
      <c r="E28" s="74" t="s">
        <v>115</v>
      </c>
      <c r="F28" s="170"/>
      <c r="G28" s="171"/>
      <c r="H28" s="176"/>
      <c r="I28" s="179"/>
    </row>
    <row r="29" spans="1:16" s="1" customFormat="1" ht="18" customHeight="1">
      <c r="A29" s="107"/>
      <c r="B29" s="85"/>
      <c r="C29" s="165"/>
      <c r="D29" s="180" t="str">
        <f>견적!D37</f>
        <v>데이터 처리의 효율성을 높이기 위한 최적화 전략 수립</v>
      </c>
      <c r="E29" s="58" t="s">
        <v>116</v>
      </c>
      <c r="F29" s="168">
        <v>1</v>
      </c>
      <c r="G29" s="169"/>
      <c r="H29" s="174">
        <f>Sheet6!D10</f>
        <v>26700000</v>
      </c>
      <c r="I29" s="177">
        <f t="shared" ref="I29" si="8">H29</f>
        <v>26700000</v>
      </c>
    </row>
    <row r="30" spans="1:16" s="1" customFormat="1" ht="18" customHeight="1">
      <c r="A30" s="200"/>
      <c r="B30" s="85"/>
      <c r="C30" s="165"/>
      <c r="D30" s="181"/>
      <c r="E30" s="59" t="s">
        <v>117</v>
      </c>
      <c r="F30" s="170"/>
      <c r="G30" s="171"/>
      <c r="H30" s="175"/>
      <c r="I30" s="178"/>
    </row>
    <row r="31" spans="1:16" s="1" customFormat="1" ht="18" customHeight="1" thickBot="1">
      <c r="A31" s="200"/>
      <c r="B31" s="85"/>
      <c r="C31" s="165"/>
      <c r="D31" s="182"/>
      <c r="E31" s="60" t="s">
        <v>118</v>
      </c>
      <c r="F31" s="172"/>
      <c r="G31" s="173"/>
      <c r="H31" s="176"/>
      <c r="I31" s="179"/>
    </row>
    <row r="32" spans="1:16" s="1" customFormat="1" ht="18" customHeight="1">
      <c r="A32" s="200"/>
      <c r="B32" s="85"/>
      <c r="C32" s="165"/>
      <c r="D32" s="180" t="str">
        <f>견적!D38</f>
        <v>인실리코 분석응용 버전 관리 및 업데이트 시스템 구축</v>
      </c>
      <c r="E32" s="58" t="s">
        <v>119</v>
      </c>
      <c r="F32" s="168">
        <v>1</v>
      </c>
      <c r="G32" s="169"/>
      <c r="H32" s="174">
        <f>Sheet6!D11</f>
        <v>24030000</v>
      </c>
      <c r="I32" s="177">
        <f t="shared" ref="I32" si="9">H32</f>
        <v>24030000</v>
      </c>
    </row>
    <row r="33" spans="1:9" s="1" customFormat="1" ht="18" customHeight="1">
      <c r="A33" s="200"/>
      <c r="B33" s="85"/>
      <c r="C33" s="165"/>
      <c r="D33" s="181"/>
      <c r="E33" s="59" t="s">
        <v>120</v>
      </c>
      <c r="F33" s="170"/>
      <c r="G33" s="171"/>
      <c r="H33" s="175"/>
      <c r="I33" s="178"/>
    </row>
    <row r="34" spans="1:9" s="1" customFormat="1" ht="18" customHeight="1" thickBot="1">
      <c r="A34" s="200"/>
      <c r="B34" s="85"/>
      <c r="C34" s="165"/>
      <c r="D34" s="182"/>
      <c r="E34" s="79" t="s">
        <v>121</v>
      </c>
      <c r="F34" s="170"/>
      <c r="G34" s="171"/>
      <c r="H34" s="175"/>
      <c r="I34" s="178"/>
    </row>
    <row r="35" spans="1:9" s="1" customFormat="1" ht="18" customHeight="1" thickBot="1">
      <c r="A35" s="108"/>
      <c r="B35" s="86"/>
      <c r="C35" s="167"/>
      <c r="D35" s="198" t="s">
        <v>27</v>
      </c>
      <c r="E35" s="93"/>
      <c r="F35" s="93"/>
      <c r="G35" s="93"/>
      <c r="H35" s="94"/>
      <c r="I35" s="80">
        <f>SUM(I2:I34)</f>
        <v>267000000</v>
      </c>
    </row>
    <row r="36" spans="1:9" s="1" customFormat="1" ht="15" customHeight="1"/>
    <row r="37" spans="1:9" s="1" customFormat="1" ht="15" customHeight="1">
      <c r="A37" s="4"/>
    </row>
    <row r="38" spans="1:9" s="1" customFormat="1" ht="15" customHeight="1">
      <c r="A38" s="4"/>
    </row>
    <row r="39" spans="1:9" s="1" customFormat="1" ht="15" customHeight="1">
      <c r="F39" s="5"/>
    </row>
    <row r="40" spans="1:9" s="1" customFormat="1" ht="15" customHeight="1">
      <c r="F40" s="5"/>
    </row>
    <row r="41" spans="1:9" s="1" customFormat="1" ht="15" customHeight="1">
      <c r="F41" s="5"/>
    </row>
    <row r="42" spans="1:9" s="1" customFormat="1" ht="15" customHeight="1">
      <c r="F42" s="5"/>
    </row>
    <row r="43" spans="1:9" s="1" customFormat="1" ht="15" customHeight="1">
      <c r="F43" s="5"/>
    </row>
    <row r="44" spans="1:9" s="1" customFormat="1" ht="15" customHeight="1">
      <c r="F44" s="5"/>
    </row>
    <row r="45" spans="1:9" s="1" customFormat="1" ht="15" customHeight="1">
      <c r="F45" s="5"/>
      <c r="I45" s="6"/>
    </row>
    <row r="46" spans="1:9" s="1" customFormat="1" ht="15" customHeight="1">
      <c r="F46" s="7"/>
      <c r="G46" s="7"/>
      <c r="I46" s="8"/>
    </row>
    <row r="47" spans="1:9" s="1" customFormat="1" ht="15" customHeight="1">
      <c r="C47" s="6"/>
      <c r="D47" s="9"/>
      <c r="E47" s="9"/>
      <c r="F47" s="7"/>
      <c r="G47" s="7"/>
      <c r="I47" s="8"/>
    </row>
    <row r="48" spans="1:9" s="1" customFormat="1" ht="15" customHeight="1">
      <c r="C48" s="6"/>
      <c r="D48" s="9"/>
      <c r="E48" s="9"/>
      <c r="F48" s="7"/>
      <c r="G48" s="7"/>
      <c r="I48" s="8"/>
    </row>
    <row r="49" spans="3:9" s="1" customFormat="1" ht="15" customHeight="1">
      <c r="C49" s="6"/>
      <c r="D49" s="9"/>
      <c r="E49" s="9"/>
      <c r="F49" s="7"/>
      <c r="G49" s="7"/>
      <c r="I49" s="8"/>
    </row>
    <row r="50" spans="3:9" s="1" customFormat="1" ht="15" customHeight="1">
      <c r="F50" s="7"/>
      <c r="G50" s="7"/>
      <c r="I50" s="8"/>
    </row>
    <row r="51" spans="3:9" s="1" customFormat="1" ht="15" customHeight="1">
      <c r="F51" s="7"/>
      <c r="G51" s="7"/>
      <c r="I51" s="8"/>
    </row>
    <row r="52" spans="3:9" s="1" customFormat="1" ht="15" customHeight="1">
      <c r="D52" s="5"/>
      <c r="E52" s="5"/>
      <c r="F52" s="6"/>
      <c r="G52" s="6"/>
      <c r="I52" s="3"/>
    </row>
    <row r="53" spans="3:9" s="1" customFormat="1" ht="15" customHeight="1">
      <c r="F53" s="6"/>
      <c r="G53" s="6"/>
      <c r="I53" s="3"/>
    </row>
    <row r="54" spans="3:9" s="1" customFormat="1" ht="15" customHeight="1">
      <c r="F54" s="5"/>
    </row>
    <row r="55" spans="3:9" s="1" customFormat="1" ht="15" customHeight="1">
      <c r="F55" s="5"/>
    </row>
    <row r="56" spans="3:9" s="1" customFormat="1" ht="15" customHeight="1">
      <c r="F56" s="5"/>
    </row>
    <row r="57" spans="3:9" s="1" customFormat="1" ht="15" customHeight="1">
      <c r="F57" s="5"/>
    </row>
    <row r="58" spans="3:9" s="1" customFormat="1" ht="15" customHeight="1">
      <c r="F58" s="5"/>
    </row>
    <row r="59" spans="3:9" s="1" customFormat="1" ht="23.25" customHeight="1">
      <c r="F59" s="5"/>
    </row>
    <row r="60" spans="3:9" s="1" customFormat="1" ht="16.5" customHeight="1"/>
    <row r="77" spans="1:9" s="10" customFormat="1" ht="15" thickBot="1">
      <c r="A77" s="1"/>
      <c r="B77" s="1"/>
      <c r="C77" s="1"/>
      <c r="D77" s="1"/>
      <c r="E77" s="1"/>
      <c r="F77" s="1"/>
      <c r="G77" s="1"/>
      <c r="H77" s="1"/>
      <c r="I77" s="1"/>
    </row>
    <row r="84" s="1" customFormat="1"/>
    <row r="85" s="1" customFormat="1"/>
    <row r="86" s="1" customFormat="1"/>
  </sheetData>
  <mergeCells count="48">
    <mergeCell ref="I2:I4"/>
    <mergeCell ref="D5:D7"/>
    <mergeCell ref="F5:G7"/>
    <mergeCell ref="H5:H7"/>
    <mergeCell ref="I5:I7"/>
    <mergeCell ref="F1:G1"/>
    <mergeCell ref="A2:A35"/>
    <mergeCell ref="D2:D4"/>
    <mergeCell ref="F2:G4"/>
    <mergeCell ref="H2:H4"/>
    <mergeCell ref="I8:I10"/>
    <mergeCell ref="D11:D13"/>
    <mergeCell ref="F11:G13"/>
    <mergeCell ref="H11:H13"/>
    <mergeCell ref="I11:I13"/>
    <mergeCell ref="I14:I16"/>
    <mergeCell ref="D17:D19"/>
    <mergeCell ref="F17:G19"/>
    <mergeCell ref="H17:H19"/>
    <mergeCell ref="I17:I19"/>
    <mergeCell ref="I20:I22"/>
    <mergeCell ref="D23:D25"/>
    <mergeCell ref="F23:G25"/>
    <mergeCell ref="H23:H25"/>
    <mergeCell ref="I23:I25"/>
    <mergeCell ref="I32:I34"/>
    <mergeCell ref="D26:D28"/>
    <mergeCell ref="F26:G28"/>
    <mergeCell ref="H26:H28"/>
    <mergeCell ref="I26:I28"/>
    <mergeCell ref="D29:D31"/>
    <mergeCell ref="F29:G31"/>
    <mergeCell ref="H29:H31"/>
    <mergeCell ref="I29:I31"/>
    <mergeCell ref="D35:H35"/>
    <mergeCell ref="B2:C35"/>
    <mergeCell ref="D32:D34"/>
    <mergeCell ref="F32:G34"/>
    <mergeCell ref="H32:H34"/>
    <mergeCell ref="D20:D22"/>
    <mergeCell ref="F20:G22"/>
    <mergeCell ref="H20:H22"/>
    <mergeCell ref="D14:D16"/>
    <mergeCell ref="F14:G16"/>
    <mergeCell ref="H14:H16"/>
    <mergeCell ref="D8:D10"/>
    <mergeCell ref="F8:G10"/>
    <mergeCell ref="H8:H10"/>
  </mergeCells>
  <phoneticPr fontId="1" type="noConversion"/>
  <pageMargins left="0.25" right="0.25" top="0.75" bottom="0.75" header="0.3" footer="0.3"/>
  <pageSetup paperSize="9" scale="50" fitToHeight="0" orientation="portrait" r:id="rId1"/>
  <headerFooter alignWithMargins="0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A40C-DF51-3B40-9A53-C06D25FE786E}">
  <sheetPr>
    <pageSetUpPr fitToPage="1"/>
  </sheetPr>
  <dimension ref="A1:P86"/>
  <sheetViews>
    <sheetView zoomScale="150" zoomScaleNormal="150" zoomScaleSheetLayoutView="70" workbookViewId="0">
      <selection activeCell="D35" sqref="D35:H35"/>
    </sheetView>
  </sheetViews>
  <sheetFormatPr baseColWidth="10" defaultColWidth="10.83203125" defaultRowHeight="14"/>
  <cols>
    <col min="1" max="1" width="3.5" style="1" customWidth="1"/>
    <col min="2" max="2" width="16.1640625" style="1" customWidth="1"/>
    <col min="3" max="3" width="16.6640625" style="1" customWidth="1"/>
    <col min="4" max="5" width="55.83203125" style="1" customWidth="1"/>
    <col min="6" max="7" width="2.33203125" style="1" customWidth="1"/>
    <col min="8" max="9" width="15.83203125" style="1" customWidth="1"/>
    <col min="10" max="16" width="1.83203125" style="2" hidden="1" customWidth="1"/>
    <col min="17" max="16384" width="10.83203125" style="2"/>
  </cols>
  <sheetData>
    <row r="1" spans="1:9" s="1" customFormat="1" ht="20" customHeight="1" thickBot="1">
      <c r="A1" s="50" t="s">
        <v>0</v>
      </c>
      <c r="B1" s="51" t="s">
        <v>17</v>
      </c>
      <c r="C1" s="51"/>
      <c r="D1" s="53" t="s">
        <v>18</v>
      </c>
      <c r="E1" s="52"/>
      <c r="F1" s="186" t="s">
        <v>19</v>
      </c>
      <c r="G1" s="187"/>
      <c r="H1" s="53" t="s">
        <v>20</v>
      </c>
      <c r="I1" s="64" t="s">
        <v>21</v>
      </c>
    </row>
    <row r="2" spans="1:9" s="1" customFormat="1" ht="18" customHeight="1">
      <c r="A2" s="106">
        <v>3</v>
      </c>
      <c r="B2" s="84" t="s">
        <v>61</v>
      </c>
      <c r="C2" s="163"/>
      <c r="D2" s="183" t="str">
        <f>견적!D40</f>
        <v>시스템의 성능, 자원 사용량, 문제점 등을 분석하는 기능제공</v>
      </c>
      <c r="E2" s="61" t="s">
        <v>122</v>
      </c>
      <c r="F2" s="195">
        <v>1</v>
      </c>
      <c r="G2" s="169"/>
      <c r="H2" s="174">
        <f>Sheet6!F1</f>
        <v>14760000</v>
      </c>
      <c r="I2" s="177">
        <f>H2</f>
        <v>14760000</v>
      </c>
    </row>
    <row r="3" spans="1:9" s="1" customFormat="1" ht="18" customHeight="1">
      <c r="A3" s="199"/>
      <c r="B3" s="85"/>
      <c r="C3" s="165"/>
      <c r="D3" s="184"/>
      <c r="E3" s="12" t="s">
        <v>123</v>
      </c>
      <c r="F3" s="196"/>
      <c r="G3" s="171"/>
      <c r="H3" s="175"/>
      <c r="I3" s="178"/>
    </row>
    <row r="4" spans="1:9" s="1" customFormat="1" ht="18" customHeight="1" thickBot="1">
      <c r="A4" s="199"/>
      <c r="B4" s="85"/>
      <c r="C4" s="165"/>
      <c r="D4" s="185"/>
      <c r="E4" s="62" t="s">
        <v>124</v>
      </c>
      <c r="F4" s="197"/>
      <c r="G4" s="173"/>
      <c r="H4" s="176"/>
      <c r="I4" s="179"/>
    </row>
    <row r="5" spans="1:9" s="1" customFormat="1" ht="18" customHeight="1">
      <c r="A5" s="107"/>
      <c r="B5" s="85"/>
      <c r="C5" s="165"/>
      <c r="D5" s="183" t="str">
        <f>견적!D41</f>
        <v>병렬 분산처리 라이브러리 구축 전략 수립</v>
      </c>
      <c r="E5" s="61" t="s">
        <v>125</v>
      </c>
      <c r="F5" s="195">
        <v>1</v>
      </c>
      <c r="G5" s="169"/>
      <c r="H5" s="174">
        <f>Sheet6!F2</f>
        <v>17220000</v>
      </c>
      <c r="I5" s="177">
        <f t="shared" ref="I5" si="0">H5</f>
        <v>17220000</v>
      </c>
    </row>
    <row r="6" spans="1:9" s="1" customFormat="1" ht="18" customHeight="1">
      <c r="A6" s="107"/>
      <c r="B6" s="85"/>
      <c r="C6" s="165"/>
      <c r="D6" s="184"/>
      <c r="E6" s="12" t="s">
        <v>126</v>
      </c>
      <c r="F6" s="196"/>
      <c r="G6" s="171"/>
      <c r="H6" s="175"/>
      <c r="I6" s="178"/>
    </row>
    <row r="7" spans="1:9" s="1" customFormat="1" ht="18" customHeight="1" thickBot="1">
      <c r="A7" s="107"/>
      <c r="B7" s="85"/>
      <c r="C7" s="165"/>
      <c r="D7" s="185"/>
      <c r="E7" s="62" t="s">
        <v>127</v>
      </c>
      <c r="F7" s="197"/>
      <c r="G7" s="173"/>
      <c r="H7" s="176"/>
      <c r="I7" s="179"/>
    </row>
    <row r="8" spans="1:9" s="1" customFormat="1" ht="18" customHeight="1">
      <c r="A8" s="107"/>
      <c r="B8" s="85"/>
      <c r="C8" s="165"/>
      <c r="D8" s="183" t="str">
        <f>견적!D42</f>
        <v>병렬 분산처리 자원 시스템 확장을 위한 로드맵 제시</v>
      </c>
      <c r="E8" s="61" t="s">
        <v>128</v>
      </c>
      <c r="F8" s="168">
        <v>1</v>
      </c>
      <c r="G8" s="169"/>
      <c r="H8" s="174">
        <f>Sheet6!F3</f>
        <v>27060000</v>
      </c>
      <c r="I8" s="177">
        <f t="shared" ref="I8" si="1">H8</f>
        <v>27060000</v>
      </c>
    </row>
    <row r="9" spans="1:9" s="1" customFormat="1" ht="18" customHeight="1">
      <c r="A9" s="107"/>
      <c r="B9" s="85"/>
      <c r="C9" s="165"/>
      <c r="D9" s="184"/>
      <c r="E9" s="12" t="s">
        <v>129</v>
      </c>
      <c r="F9" s="170"/>
      <c r="G9" s="171"/>
      <c r="H9" s="175"/>
      <c r="I9" s="178"/>
    </row>
    <row r="10" spans="1:9" s="1" customFormat="1" ht="18" customHeight="1" thickBot="1">
      <c r="A10" s="107"/>
      <c r="B10" s="85"/>
      <c r="C10" s="165"/>
      <c r="D10" s="185"/>
      <c r="E10" s="62" t="s">
        <v>130</v>
      </c>
      <c r="F10" s="172"/>
      <c r="G10" s="173"/>
      <c r="H10" s="176"/>
      <c r="I10" s="179"/>
    </row>
    <row r="11" spans="1:9" s="1" customFormat="1" ht="18" customHeight="1">
      <c r="A11" s="107"/>
      <c r="B11" s="85"/>
      <c r="C11" s="165"/>
      <c r="D11" s="183" t="str">
        <f>견적!D43</f>
        <v>병렬 라이브러리에 대한 교육 및 문서 지원</v>
      </c>
      <c r="E11" s="61" t="s">
        <v>131</v>
      </c>
      <c r="F11" s="168">
        <v>1</v>
      </c>
      <c r="G11" s="169"/>
      <c r="H11" s="174">
        <f>Sheet6!F4</f>
        <v>19680000</v>
      </c>
      <c r="I11" s="177">
        <f t="shared" ref="I11" si="2">H11</f>
        <v>19680000</v>
      </c>
    </row>
    <row r="12" spans="1:9" s="1" customFormat="1" ht="18" customHeight="1">
      <c r="A12" s="107"/>
      <c r="B12" s="85"/>
      <c r="C12" s="165"/>
      <c r="D12" s="184"/>
      <c r="E12" s="12" t="s">
        <v>132</v>
      </c>
      <c r="F12" s="170"/>
      <c r="G12" s="171"/>
      <c r="H12" s="175"/>
      <c r="I12" s="178"/>
    </row>
    <row r="13" spans="1:9" s="1" customFormat="1" ht="18" customHeight="1" thickBot="1">
      <c r="A13" s="107"/>
      <c r="B13" s="85"/>
      <c r="C13" s="165"/>
      <c r="D13" s="185"/>
      <c r="E13" s="62" t="s">
        <v>133</v>
      </c>
      <c r="F13" s="172"/>
      <c r="G13" s="173"/>
      <c r="H13" s="176"/>
      <c r="I13" s="179"/>
    </row>
    <row r="14" spans="1:9" s="1" customFormat="1" ht="18" customHeight="1">
      <c r="A14" s="107"/>
      <c r="B14" s="85"/>
      <c r="C14" s="165"/>
      <c r="D14" s="183" t="str">
        <f>견적!D44</f>
        <v>병렬 라이브러리의 안정화를 위한 패키지 업데이트 및 유지보수 계획 수립</v>
      </c>
      <c r="E14" s="61" t="s">
        <v>134</v>
      </c>
      <c r="F14" s="168">
        <v>1</v>
      </c>
      <c r="G14" s="169"/>
      <c r="H14" s="174">
        <f>Sheet6!F5</f>
        <v>29520000</v>
      </c>
      <c r="I14" s="177">
        <f t="shared" ref="I14" si="3">H14</f>
        <v>29520000</v>
      </c>
    </row>
    <row r="15" spans="1:9" s="1" customFormat="1" ht="18" customHeight="1">
      <c r="A15" s="107"/>
      <c r="B15" s="85"/>
      <c r="C15" s="165"/>
      <c r="D15" s="184"/>
      <c r="E15" s="12" t="s">
        <v>135</v>
      </c>
      <c r="F15" s="170"/>
      <c r="G15" s="171"/>
      <c r="H15" s="175"/>
      <c r="I15" s="178"/>
    </row>
    <row r="16" spans="1:9" s="1" customFormat="1" ht="18" customHeight="1" thickBot="1">
      <c r="A16" s="107"/>
      <c r="B16" s="85"/>
      <c r="C16" s="165"/>
      <c r="D16" s="185"/>
      <c r="E16" s="62" t="s">
        <v>136</v>
      </c>
      <c r="F16" s="172"/>
      <c r="G16" s="173"/>
      <c r="H16" s="176"/>
      <c r="I16" s="179"/>
    </row>
    <row r="17" spans="1:16" s="1" customFormat="1" ht="18" customHeight="1">
      <c r="A17" s="107"/>
      <c r="B17" s="85"/>
      <c r="C17" s="165"/>
      <c r="D17" s="183" t="str">
        <f>견적!D45</f>
        <v>병렬 분산 라이브러리의 호환성 및 통합성 검사 기능 제공</v>
      </c>
      <c r="E17" s="61" t="s">
        <v>137</v>
      </c>
      <c r="F17" s="168">
        <v>1</v>
      </c>
      <c r="G17" s="169"/>
      <c r="H17" s="174">
        <f>Sheet6!F6</f>
        <v>17220000</v>
      </c>
      <c r="I17" s="177">
        <f t="shared" ref="I17" si="4">H17</f>
        <v>17220000</v>
      </c>
    </row>
    <row r="18" spans="1:16" s="1" customFormat="1" ht="18" customHeight="1">
      <c r="A18" s="107"/>
      <c r="B18" s="85"/>
      <c r="C18" s="165"/>
      <c r="D18" s="184"/>
      <c r="E18" s="12" t="s">
        <v>138</v>
      </c>
      <c r="F18" s="170"/>
      <c r="G18" s="171"/>
      <c r="H18" s="175"/>
      <c r="I18" s="178"/>
    </row>
    <row r="19" spans="1:16" s="1" customFormat="1" ht="18" customHeight="1" thickBot="1">
      <c r="A19" s="107"/>
      <c r="B19" s="85"/>
      <c r="C19" s="165"/>
      <c r="D19" s="185"/>
      <c r="E19" s="62" t="s">
        <v>139</v>
      </c>
      <c r="F19" s="172"/>
      <c r="G19" s="173"/>
      <c r="H19" s="176"/>
      <c r="I19" s="179"/>
    </row>
    <row r="20" spans="1:16" s="1" customFormat="1" ht="18" customHeight="1">
      <c r="A20" s="107"/>
      <c r="B20" s="85"/>
      <c r="C20" s="165"/>
      <c r="D20" s="183" t="str">
        <f>견적!D46</f>
        <v>분산처리 라이브러리에 대한 성능 벤치마킹 도구 제공</v>
      </c>
      <c r="E20" s="61" t="s">
        <v>140</v>
      </c>
      <c r="F20" s="168">
        <v>1</v>
      </c>
      <c r="G20" s="169"/>
      <c r="H20" s="174">
        <f>Sheet6!F7</f>
        <v>31980000</v>
      </c>
      <c r="I20" s="177">
        <f t="shared" ref="I20" si="5">H20</f>
        <v>31980000</v>
      </c>
      <c r="J20" s="11"/>
      <c r="K20" s="11"/>
      <c r="L20" s="11"/>
      <c r="M20" s="11"/>
      <c r="N20" s="11"/>
      <c r="O20" s="11"/>
      <c r="P20" s="11"/>
    </row>
    <row r="21" spans="1:16" s="1" customFormat="1" ht="18" customHeight="1">
      <c r="A21" s="107"/>
      <c r="B21" s="85"/>
      <c r="C21" s="165"/>
      <c r="D21" s="184"/>
      <c r="E21" s="12" t="s">
        <v>141</v>
      </c>
      <c r="F21" s="170"/>
      <c r="G21" s="171"/>
      <c r="H21" s="175"/>
      <c r="I21" s="178"/>
    </row>
    <row r="22" spans="1:16" s="1" customFormat="1" ht="18" customHeight="1" thickBot="1">
      <c r="A22" s="107"/>
      <c r="B22" s="85"/>
      <c r="C22" s="165"/>
      <c r="D22" s="185"/>
      <c r="E22" s="62" t="s">
        <v>142</v>
      </c>
      <c r="F22" s="172">
        <v>1</v>
      </c>
      <c r="G22" s="173"/>
      <c r="H22" s="176"/>
      <c r="I22" s="179"/>
    </row>
    <row r="23" spans="1:16" s="1" customFormat="1" ht="18" customHeight="1">
      <c r="A23" s="107"/>
      <c r="B23" s="85"/>
      <c r="C23" s="165"/>
      <c r="D23" s="183" t="str">
        <f>견적!D47</f>
        <v>사용자 피드백을 통한 라이브러리 개선 절차 수립</v>
      </c>
      <c r="E23" s="61" t="s">
        <v>143</v>
      </c>
      <c r="F23" s="168">
        <v>1</v>
      </c>
      <c r="G23" s="169"/>
      <c r="H23" s="174">
        <f>Sheet6!F8</f>
        <v>14760000</v>
      </c>
      <c r="I23" s="177">
        <f t="shared" ref="I23" si="6">H23</f>
        <v>14760000</v>
      </c>
    </row>
    <row r="24" spans="1:16" s="1" customFormat="1" ht="18" customHeight="1">
      <c r="A24" s="107"/>
      <c r="B24" s="85"/>
      <c r="C24" s="165"/>
      <c r="D24" s="184"/>
      <c r="E24" s="12" t="s">
        <v>144</v>
      </c>
      <c r="F24" s="170"/>
      <c r="G24" s="171"/>
      <c r="H24" s="175"/>
      <c r="I24" s="178"/>
    </row>
    <row r="25" spans="1:16" s="1" customFormat="1" ht="18" customHeight="1" thickBot="1">
      <c r="A25" s="107"/>
      <c r="B25" s="85"/>
      <c r="C25" s="165"/>
      <c r="D25" s="185"/>
      <c r="E25" s="62" t="s">
        <v>145</v>
      </c>
      <c r="F25" s="172">
        <v>1</v>
      </c>
      <c r="G25" s="173"/>
      <c r="H25" s="176"/>
      <c r="I25" s="179"/>
    </row>
    <row r="26" spans="1:16" s="1" customFormat="1" ht="18" customHeight="1">
      <c r="A26" s="107"/>
      <c r="B26" s="85"/>
      <c r="C26" s="165"/>
      <c r="D26" s="183" t="str">
        <f>견적!D48</f>
        <v>시스템 장애 대응 및 복구 프로세스 구현</v>
      </c>
      <c r="E26" s="75" t="s">
        <v>148</v>
      </c>
      <c r="F26" s="170">
        <v>1</v>
      </c>
      <c r="G26" s="171"/>
      <c r="H26" s="174">
        <f>Sheet6!F9</f>
        <v>27060000</v>
      </c>
      <c r="I26" s="177">
        <f t="shared" ref="I26" si="7">H26</f>
        <v>27060000</v>
      </c>
    </row>
    <row r="27" spans="1:16" s="1" customFormat="1" ht="18" customHeight="1">
      <c r="A27" s="107"/>
      <c r="B27" s="85"/>
      <c r="C27" s="165"/>
      <c r="D27" s="184"/>
      <c r="E27" s="76" t="s">
        <v>146</v>
      </c>
      <c r="F27" s="170"/>
      <c r="G27" s="171"/>
      <c r="H27" s="175"/>
      <c r="I27" s="178"/>
    </row>
    <row r="28" spans="1:16" s="1" customFormat="1" ht="18" customHeight="1" thickBot="1">
      <c r="A28" s="107"/>
      <c r="B28" s="85"/>
      <c r="C28" s="165"/>
      <c r="D28" s="185"/>
      <c r="E28" s="77" t="s">
        <v>147</v>
      </c>
      <c r="F28" s="170"/>
      <c r="G28" s="171"/>
      <c r="H28" s="176"/>
      <c r="I28" s="179"/>
    </row>
    <row r="29" spans="1:16" s="1" customFormat="1" ht="18" customHeight="1">
      <c r="A29" s="107"/>
      <c r="B29" s="85"/>
      <c r="C29" s="165"/>
      <c r="D29" s="183" t="str">
        <f>견적!D49</f>
        <v>라이브러리 사용을 위한 샘플 코드 및 튜토리얼 제공</v>
      </c>
      <c r="E29" s="61" t="s">
        <v>149</v>
      </c>
      <c r="F29" s="168">
        <v>1</v>
      </c>
      <c r="G29" s="169"/>
      <c r="H29" s="174">
        <f>Sheet6!F10</f>
        <v>24600000</v>
      </c>
      <c r="I29" s="177">
        <f t="shared" ref="I29" si="8">H29</f>
        <v>24600000</v>
      </c>
    </row>
    <row r="30" spans="1:16" s="1" customFormat="1" ht="18" customHeight="1">
      <c r="A30" s="200"/>
      <c r="B30" s="85"/>
      <c r="C30" s="165"/>
      <c r="D30" s="184"/>
      <c r="E30" s="12" t="s">
        <v>150</v>
      </c>
      <c r="F30" s="170"/>
      <c r="G30" s="171"/>
      <c r="H30" s="175"/>
      <c r="I30" s="178"/>
    </row>
    <row r="31" spans="1:16" s="1" customFormat="1" ht="18" customHeight="1" thickBot="1">
      <c r="A31" s="200"/>
      <c r="B31" s="85"/>
      <c r="C31" s="165"/>
      <c r="D31" s="185"/>
      <c r="E31" s="62" t="s">
        <v>154</v>
      </c>
      <c r="F31" s="172"/>
      <c r="G31" s="173"/>
      <c r="H31" s="176"/>
      <c r="I31" s="179"/>
    </row>
    <row r="32" spans="1:16" s="1" customFormat="1" ht="18" customHeight="1">
      <c r="A32" s="200"/>
      <c r="B32" s="85"/>
      <c r="C32" s="165"/>
      <c r="D32" s="183" t="str">
        <f>견적!D50</f>
        <v>운영과 개발 환경 분리 및 지속적인 통합(CI/CD) 프로세스 구축</v>
      </c>
      <c r="E32" s="61" t="s">
        <v>151</v>
      </c>
      <c r="F32" s="168">
        <v>1</v>
      </c>
      <c r="G32" s="169"/>
      <c r="H32" s="174">
        <f>Sheet6!F11</f>
        <v>22140000</v>
      </c>
      <c r="I32" s="177">
        <f t="shared" ref="I32" si="9">H32</f>
        <v>22140000</v>
      </c>
    </row>
    <row r="33" spans="1:9" s="1" customFormat="1" ht="18" customHeight="1">
      <c r="A33" s="200"/>
      <c r="B33" s="85"/>
      <c r="C33" s="165"/>
      <c r="D33" s="184"/>
      <c r="E33" s="12" t="s">
        <v>152</v>
      </c>
      <c r="F33" s="170"/>
      <c r="G33" s="171"/>
      <c r="H33" s="175"/>
      <c r="I33" s="178"/>
    </row>
    <row r="34" spans="1:9" s="1" customFormat="1" ht="18" customHeight="1" thickBot="1">
      <c r="A34" s="200"/>
      <c r="B34" s="85"/>
      <c r="C34" s="165"/>
      <c r="D34" s="185"/>
      <c r="E34" s="63" t="s">
        <v>153</v>
      </c>
      <c r="F34" s="170"/>
      <c r="G34" s="171"/>
      <c r="H34" s="175"/>
      <c r="I34" s="178"/>
    </row>
    <row r="35" spans="1:9" s="1" customFormat="1" ht="18" customHeight="1" thickBot="1">
      <c r="A35" s="108"/>
      <c r="B35" s="86"/>
      <c r="C35" s="167"/>
      <c r="D35" s="198" t="s">
        <v>27</v>
      </c>
      <c r="E35" s="93"/>
      <c r="F35" s="93"/>
      <c r="G35" s="93"/>
      <c r="H35" s="94"/>
      <c r="I35" s="80">
        <f>SUM(I2:I34)</f>
        <v>246000000</v>
      </c>
    </row>
    <row r="36" spans="1:9" s="1" customFormat="1" ht="15" customHeight="1"/>
    <row r="37" spans="1:9" s="1" customFormat="1" ht="15" customHeight="1">
      <c r="A37" s="4"/>
    </row>
    <row r="38" spans="1:9" s="1" customFormat="1" ht="15" customHeight="1">
      <c r="A38" s="4"/>
    </row>
    <row r="39" spans="1:9" s="1" customFormat="1" ht="15" customHeight="1">
      <c r="F39" s="5"/>
    </row>
    <row r="40" spans="1:9" s="1" customFormat="1" ht="15" customHeight="1">
      <c r="F40" s="5"/>
    </row>
    <row r="41" spans="1:9" s="1" customFormat="1" ht="15" customHeight="1">
      <c r="F41" s="5"/>
    </row>
    <row r="42" spans="1:9" s="1" customFormat="1" ht="15" customHeight="1">
      <c r="F42" s="5"/>
    </row>
    <row r="43" spans="1:9" s="1" customFormat="1" ht="15" customHeight="1">
      <c r="F43" s="5"/>
    </row>
    <row r="44" spans="1:9" s="1" customFormat="1" ht="15" customHeight="1">
      <c r="F44" s="5"/>
    </row>
    <row r="45" spans="1:9" s="1" customFormat="1" ht="15" customHeight="1">
      <c r="F45" s="5"/>
      <c r="I45" s="6"/>
    </row>
    <row r="46" spans="1:9" s="1" customFormat="1" ht="15" customHeight="1">
      <c r="F46" s="7"/>
      <c r="G46" s="7"/>
      <c r="I46" s="8"/>
    </row>
    <row r="47" spans="1:9" s="1" customFormat="1" ht="15" customHeight="1">
      <c r="C47" s="6"/>
      <c r="D47" s="9"/>
      <c r="E47" s="9"/>
      <c r="F47" s="7"/>
      <c r="G47" s="7"/>
      <c r="I47" s="8"/>
    </row>
    <row r="48" spans="1:9" s="1" customFormat="1" ht="15" customHeight="1">
      <c r="C48" s="6"/>
      <c r="D48" s="9"/>
      <c r="E48" s="9"/>
      <c r="F48" s="7"/>
      <c r="G48" s="7"/>
      <c r="I48" s="8"/>
    </row>
    <row r="49" spans="3:9" s="1" customFormat="1" ht="15" customHeight="1">
      <c r="C49" s="6"/>
      <c r="D49" s="9"/>
      <c r="E49" s="9"/>
      <c r="F49" s="7"/>
      <c r="G49" s="7"/>
      <c r="I49" s="8"/>
    </row>
    <row r="50" spans="3:9" s="1" customFormat="1" ht="15" customHeight="1">
      <c r="F50" s="7"/>
      <c r="G50" s="7"/>
      <c r="I50" s="8"/>
    </row>
    <row r="51" spans="3:9" s="1" customFormat="1" ht="15" customHeight="1">
      <c r="F51" s="7"/>
      <c r="G51" s="7"/>
      <c r="I51" s="8"/>
    </row>
    <row r="52" spans="3:9" s="1" customFormat="1" ht="15" customHeight="1">
      <c r="D52" s="5"/>
      <c r="E52" s="5"/>
      <c r="F52" s="6"/>
      <c r="G52" s="6"/>
      <c r="I52" s="3"/>
    </row>
    <row r="53" spans="3:9" s="1" customFormat="1" ht="15" customHeight="1">
      <c r="F53" s="6"/>
      <c r="G53" s="6"/>
      <c r="I53" s="3"/>
    </row>
    <row r="54" spans="3:9" s="1" customFormat="1" ht="15" customHeight="1">
      <c r="F54" s="5"/>
    </row>
    <row r="55" spans="3:9" s="1" customFormat="1" ht="15" customHeight="1">
      <c r="F55" s="5"/>
    </row>
    <row r="56" spans="3:9" s="1" customFormat="1" ht="15" customHeight="1">
      <c r="F56" s="5"/>
    </row>
    <row r="57" spans="3:9" s="1" customFormat="1" ht="15" customHeight="1">
      <c r="F57" s="5"/>
    </row>
    <row r="58" spans="3:9" s="1" customFormat="1" ht="15" customHeight="1">
      <c r="F58" s="5"/>
    </row>
    <row r="59" spans="3:9" s="1" customFormat="1" ht="23.25" customHeight="1">
      <c r="F59" s="5"/>
    </row>
    <row r="60" spans="3:9" s="1" customFormat="1" ht="16.5" customHeight="1"/>
    <row r="77" spans="1:9" s="10" customFormat="1" ht="15" thickBot="1">
      <c r="A77" s="1"/>
      <c r="B77" s="1"/>
      <c r="C77" s="1"/>
      <c r="D77" s="1"/>
      <c r="E77" s="1"/>
      <c r="F77" s="1"/>
      <c r="G77" s="1"/>
      <c r="H77" s="1"/>
      <c r="I77" s="1"/>
    </row>
    <row r="84" s="1" customFormat="1"/>
    <row r="85" s="1" customFormat="1"/>
    <row r="86" s="1" customFormat="1"/>
  </sheetData>
  <mergeCells count="48">
    <mergeCell ref="F1:G1"/>
    <mergeCell ref="A2:A35"/>
    <mergeCell ref="B2:C35"/>
    <mergeCell ref="D2:D4"/>
    <mergeCell ref="F2:G4"/>
    <mergeCell ref="D11:D13"/>
    <mergeCell ref="F11:G13"/>
    <mergeCell ref="D20:D22"/>
    <mergeCell ref="D17:D19"/>
    <mergeCell ref="F17:G19"/>
    <mergeCell ref="H17:H19"/>
    <mergeCell ref="I17:I19"/>
    <mergeCell ref="I2:I4"/>
    <mergeCell ref="D5:D7"/>
    <mergeCell ref="F5:G7"/>
    <mergeCell ref="H5:H7"/>
    <mergeCell ref="I5:I7"/>
    <mergeCell ref="D8:D10"/>
    <mergeCell ref="F8:G10"/>
    <mergeCell ref="H8:H10"/>
    <mergeCell ref="I8:I10"/>
    <mergeCell ref="H2:H4"/>
    <mergeCell ref="H11:H13"/>
    <mergeCell ref="I11:I13"/>
    <mergeCell ref="D14:D16"/>
    <mergeCell ref="F14:G16"/>
    <mergeCell ref="H14:H16"/>
    <mergeCell ref="I14:I16"/>
    <mergeCell ref="F20:G22"/>
    <mergeCell ref="H20:H22"/>
    <mergeCell ref="I20:I22"/>
    <mergeCell ref="D23:D25"/>
    <mergeCell ref="F23:G25"/>
    <mergeCell ref="H23:H25"/>
    <mergeCell ref="I23:I25"/>
    <mergeCell ref="D26:D28"/>
    <mergeCell ref="F26:G28"/>
    <mergeCell ref="H26:H28"/>
    <mergeCell ref="I26:I28"/>
    <mergeCell ref="D29:D31"/>
    <mergeCell ref="F29:G31"/>
    <mergeCell ref="H29:H31"/>
    <mergeCell ref="I29:I31"/>
    <mergeCell ref="D32:D34"/>
    <mergeCell ref="F32:G34"/>
    <mergeCell ref="H32:H34"/>
    <mergeCell ref="I32:I34"/>
    <mergeCell ref="D35:H35"/>
  </mergeCells>
  <phoneticPr fontId="1" type="noConversion"/>
  <pageMargins left="0.25" right="0.25" top="0.75" bottom="0.75" header="0.3" footer="0.3"/>
  <pageSetup paperSize="9" scale="50" fitToHeight="0" orientation="portrait" r:id="rId1"/>
  <headerFooter alignWithMargins="0"/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CBFF-00C8-6849-9F27-3AC1A3BC3D60}">
  <dimension ref="A1:F15"/>
  <sheetViews>
    <sheetView zoomScale="177" workbookViewId="0">
      <selection activeCell="C2" sqref="C2"/>
    </sheetView>
  </sheetViews>
  <sheetFormatPr baseColWidth="10" defaultRowHeight="17"/>
  <cols>
    <col min="2" max="2" width="16.5" style="44" bestFit="1" customWidth="1"/>
    <col min="3" max="3" width="13.83203125" bestFit="1" customWidth="1"/>
    <col min="4" max="4" width="13.83203125" style="44" bestFit="1" customWidth="1"/>
    <col min="6" max="6" width="13.83203125" bestFit="1" customWidth="1"/>
  </cols>
  <sheetData>
    <row r="1" spans="1:6">
      <c r="A1" s="47">
        <v>0.1</v>
      </c>
      <c r="B1" s="45">
        <f>$B$13*A1</f>
        <v>20700000</v>
      </c>
      <c r="C1" s="47">
        <v>0.09</v>
      </c>
      <c r="D1" s="45">
        <f>$D$13*C1</f>
        <v>24030000</v>
      </c>
      <c r="E1" s="47">
        <v>0.06</v>
      </c>
      <c r="F1" s="45">
        <f>$F$13*E1</f>
        <v>14760000</v>
      </c>
    </row>
    <row r="2" spans="1:6">
      <c r="A2" s="47">
        <v>0.09</v>
      </c>
      <c r="B2" s="45">
        <f t="shared" ref="B2:B11" si="0">$B$13*A2</f>
        <v>18630000</v>
      </c>
      <c r="C2" s="47">
        <v>0.09</v>
      </c>
      <c r="D2" s="45">
        <f t="shared" ref="D2:D11" si="1">$D$13*C2</f>
        <v>24030000</v>
      </c>
      <c r="E2" s="47">
        <v>7.0000000000000007E-2</v>
      </c>
      <c r="F2" s="45">
        <f t="shared" ref="F2:F11" si="2">$F$13*E2</f>
        <v>17220000</v>
      </c>
    </row>
    <row r="3" spans="1:6">
      <c r="A3" s="47">
        <v>0.11</v>
      </c>
      <c r="B3" s="45">
        <f t="shared" si="0"/>
        <v>22770000</v>
      </c>
      <c r="C3" s="47">
        <v>0.09</v>
      </c>
      <c r="D3" s="45">
        <f t="shared" si="1"/>
        <v>24030000</v>
      </c>
      <c r="E3" s="47">
        <v>0.11</v>
      </c>
      <c r="F3" s="45">
        <f t="shared" si="2"/>
        <v>27060000</v>
      </c>
    </row>
    <row r="4" spans="1:6">
      <c r="A4" s="47">
        <v>0.09</v>
      </c>
      <c r="B4" s="45">
        <f t="shared" si="0"/>
        <v>18630000</v>
      </c>
      <c r="C4" s="47">
        <v>0.11</v>
      </c>
      <c r="D4" s="45">
        <f t="shared" si="1"/>
        <v>29370000</v>
      </c>
      <c r="E4" s="47">
        <v>0.08</v>
      </c>
      <c r="F4" s="45">
        <f t="shared" si="2"/>
        <v>19680000</v>
      </c>
    </row>
    <row r="5" spans="1:6">
      <c r="A5" s="47">
        <v>0.11</v>
      </c>
      <c r="B5" s="45">
        <f t="shared" si="0"/>
        <v>22770000</v>
      </c>
      <c r="C5" s="47">
        <v>0.08</v>
      </c>
      <c r="D5" s="45">
        <f t="shared" si="1"/>
        <v>21360000</v>
      </c>
      <c r="E5" s="47">
        <v>0.12</v>
      </c>
      <c r="F5" s="45">
        <f t="shared" si="2"/>
        <v>29520000</v>
      </c>
    </row>
    <row r="6" spans="1:6">
      <c r="A6" s="47">
        <v>0.1</v>
      </c>
      <c r="B6" s="45">
        <f t="shared" si="0"/>
        <v>20700000</v>
      </c>
      <c r="C6" s="47">
        <v>0.09</v>
      </c>
      <c r="D6" s="45">
        <f t="shared" si="1"/>
        <v>24030000</v>
      </c>
      <c r="E6" s="47">
        <v>7.0000000000000007E-2</v>
      </c>
      <c r="F6" s="45">
        <f t="shared" si="2"/>
        <v>17220000</v>
      </c>
    </row>
    <row r="7" spans="1:6">
      <c r="A7" s="47">
        <v>0.11</v>
      </c>
      <c r="B7" s="45">
        <f t="shared" si="0"/>
        <v>22770000</v>
      </c>
      <c r="C7" s="47">
        <v>0.09</v>
      </c>
      <c r="D7" s="45">
        <f t="shared" si="1"/>
        <v>24030000</v>
      </c>
      <c r="E7" s="47">
        <v>0.13</v>
      </c>
      <c r="F7" s="45">
        <f t="shared" si="2"/>
        <v>31980000</v>
      </c>
    </row>
    <row r="8" spans="1:6">
      <c r="A8" s="47">
        <v>0.08</v>
      </c>
      <c r="B8" s="45">
        <f t="shared" si="0"/>
        <v>16560000</v>
      </c>
      <c r="C8" s="47">
        <v>0.09</v>
      </c>
      <c r="D8" s="45">
        <f t="shared" si="1"/>
        <v>24030000</v>
      </c>
      <c r="E8" s="47">
        <v>0.06</v>
      </c>
      <c r="F8" s="45">
        <f t="shared" si="2"/>
        <v>14760000</v>
      </c>
    </row>
    <row r="9" spans="1:6">
      <c r="A9" s="47">
        <v>0.12</v>
      </c>
      <c r="B9" s="45">
        <f t="shared" si="0"/>
        <v>24840000</v>
      </c>
      <c r="C9" s="47">
        <v>0.08</v>
      </c>
      <c r="D9" s="45">
        <f t="shared" si="1"/>
        <v>21360000</v>
      </c>
      <c r="E9" s="47">
        <v>0.11</v>
      </c>
      <c r="F9" s="45">
        <f t="shared" si="2"/>
        <v>27060000</v>
      </c>
    </row>
    <row r="10" spans="1:6">
      <c r="A10" s="47">
        <v>0.09</v>
      </c>
      <c r="B10" s="45">
        <f t="shared" si="0"/>
        <v>18630000</v>
      </c>
      <c r="C10" s="47">
        <v>0.1</v>
      </c>
      <c r="D10" s="45">
        <f t="shared" si="1"/>
        <v>26700000</v>
      </c>
      <c r="E10" s="47">
        <v>0.1</v>
      </c>
      <c r="F10" s="45">
        <f t="shared" si="2"/>
        <v>24600000</v>
      </c>
    </row>
    <row r="11" spans="1:6">
      <c r="B11" s="45">
        <f t="shared" si="0"/>
        <v>0</v>
      </c>
      <c r="C11" s="47">
        <v>0.09</v>
      </c>
      <c r="D11" s="45">
        <f t="shared" si="1"/>
        <v>24030000</v>
      </c>
      <c r="E11" s="47">
        <v>0.09</v>
      </c>
      <c r="F11" s="45">
        <f t="shared" si="2"/>
        <v>22140000</v>
      </c>
    </row>
    <row r="12" spans="1:6">
      <c r="A12" s="46" t="s">
        <v>57</v>
      </c>
      <c r="B12" s="49">
        <f>SUM(A1:A11)</f>
        <v>0.99999999999999989</v>
      </c>
      <c r="D12" s="49">
        <f>SUM(C1:C11)</f>
        <v>0.99999999999999989</v>
      </c>
      <c r="F12" s="49">
        <f>SUM(E1:E11)</f>
        <v>0.99999999999999989</v>
      </c>
    </row>
    <row r="13" spans="1:6">
      <c r="A13" s="48" t="s">
        <v>58</v>
      </c>
      <c r="B13" s="45">
        <v>207000000</v>
      </c>
      <c r="D13" s="45">
        <v>267000000</v>
      </c>
      <c r="F13" s="45">
        <v>246000000</v>
      </c>
    </row>
    <row r="15" spans="1:6">
      <c r="A15" s="46" t="s">
        <v>59</v>
      </c>
      <c r="B15" s="44">
        <f>SUM(B1:B11)</f>
        <v>207000000</v>
      </c>
      <c r="D15" s="44">
        <f>SUM(D1:D11)</f>
        <v>267000000</v>
      </c>
      <c r="F15" s="44">
        <f>SUM(F1:F11)</f>
        <v>246000000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견적</vt:lpstr>
      <vt:lpstr>1</vt:lpstr>
      <vt:lpstr>2</vt:lpstr>
      <vt:lpstr>3</vt:lpstr>
      <vt:lpstr>Sheet6</vt:lpstr>
      <vt:lpstr>'1'!Print_Area</vt:lpstr>
      <vt:lpstr>'2'!Print_Area</vt:lpstr>
      <vt:lpstr>'3'!Print_Area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Microsoft Office User</cp:lastModifiedBy>
  <cp:lastPrinted>2023-05-30T07:46:57Z</cp:lastPrinted>
  <dcterms:created xsi:type="dcterms:W3CDTF">2016-06-28T02:01:49Z</dcterms:created>
  <dcterms:modified xsi:type="dcterms:W3CDTF">2023-05-30T07:51:06Z</dcterms:modified>
</cp:coreProperties>
</file>