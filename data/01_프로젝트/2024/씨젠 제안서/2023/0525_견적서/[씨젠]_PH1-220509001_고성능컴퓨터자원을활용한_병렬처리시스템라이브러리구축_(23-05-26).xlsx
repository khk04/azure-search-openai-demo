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5_견적서/"/>
    </mc:Choice>
  </mc:AlternateContent>
  <xr:revisionPtr revIDLastSave="0" documentId="13_ncr:1_{059F3325-A589-D14C-BCAA-4D3E3B267EA2}" xr6:coauthVersionLast="47" xr6:coauthVersionMax="47" xr10:uidLastSave="{00000000-0000-0000-0000-000000000000}"/>
  <bookViews>
    <workbookView xWindow="-2560" yWindow="-21100" windowWidth="38400" windowHeight="21100" xr2:uid="{00000000-000D-0000-FFFF-FFFF00000000}"/>
  </bookViews>
  <sheets>
    <sheet name="견적" sheetId="2" r:id="rId1"/>
    <sheet name="1" sheetId="21" r:id="rId2"/>
    <sheet name="2" sheetId="22" r:id="rId3"/>
    <sheet name="3" sheetId="23" r:id="rId4"/>
    <sheet name="Sheet6" sheetId="24" r:id="rId5"/>
  </sheets>
  <definedNames>
    <definedName name="_xlnm.Print_Area" localSheetId="1">'1'!$A$1:$H$12</definedName>
    <definedName name="_xlnm.Print_Area" localSheetId="2">'2'!$A$1:$H$13</definedName>
    <definedName name="_xlnm.Print_Area" localSheetId="3">'3'!$A$1:$H$13</definedName>
    <definedName name="_xlnm.Print_Area" localSheetId="0">견적!$A$1:$H$55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5" roundtripDataSignature="AMtx7mgw7bgpGbguO0OmDOXFFG7V0cklkQ=="/>
    </ext>
  </extLst>
</workbook>
</file>

<file path=xl/calcChain.xml><?xml version="1.0" encoding="utf-8"?>
<calcChain xmlns="http://schemas.openxmlformats.org/spreadsheetml/2006/main">
  <c r="H36" i="2" l="1"/>
  <c r="H34" i="2"/>
  <c r="H32" i="2"/>
  <c r="H31" i="2"/>
  <c r="H28" i="2"/>
  <c r="H51" i="2"/>
  <c r="H50" i="2"/>
  <c r="H48" i="2"/>
  <c r="H46" i="2"/>
  <c r="H44" i="2"/>
  <c r="H43" i="2"/>
  <c r="H40" i="2"/>
  <c r="H27" i="2"/>
  <c r="H26" i="2"/>
  <c r="H25" i="2"/>
  <c r="H24" i="2"/>
  <c r="H23" i="2"/>
  <c r="H21" i="2"/>
  <c r="H18" i="2"/>
  <c r="H17" i="2"/>
  <c r="H12" i="23"/>
  <c r="H10" i="23"/>
  <c r="H8" i="23"/>
  <c r="H6" i="23"/>
  <c r="H5" i="23"/>
  <c r="H2" i="23"/>
  <c r="F11" i="24"/>
  <c r="F10" i="24"/>
  <c r="F9" i="24"/>
  <c r="F8" i="24"/>
  <c r="F7" i="24"/>
  <c r="F6" i="24"/>
  <c r="F5" i="24"/>
  <c r="F4" i="24"/>
  <c r="F3" i="24"/>
  <c r="F2" i="24"/>
  <c r="F1" i="24"/>
  <c r="D11" i="24"/>
  <c r="D10" i="24"/>
  <c r="D9" i="24"/>
  <c r="D8" i="24"/>
  <c r="D7" i="24"/>
  <c r="D6" i="24"/>
  <c r="D5" i="24"/>
  <c r="D4" i="24"/>
  <c r="D3" i="24"/>
  <c r="D2" i="24"/>
  <c r="D1" i="24"/>
  <c r="H12" i="22"/>
  <c r="H10" i="22"/>
  <c r="H8" i="22"/>
  <c r="H6" i="22"/>
  <c r="H5" i="22"/>
  <c r="H2" i="22"/>
  <c r="H6" i="21"/>
  <c r="H3" i="21"/>
  <c r="B11" i="24"/>
  <c r="B10" i="24"/>
  <c r="B9" i="24"/>
  <c r="B8" i="24"/>
  <c r="B7" i="24"/>
  <c r="B6" i="24"/>
  <c r="B5" i="24"/>
  <c r="B4" i="24"/>
  <c r="B3" i="24"/>
  <c r="B2" i="24"/>
  <c r="B1" i="24"/>
  <c r="F12" i="24"/>
  <c r="D12" i="24"/>
  <c r="B12" i="24"/>
  <c r="H39" i="2" l="1"/>
  <c r="H13" i="22"/>
  <c r="B15" i="24"/>
  <c r="F15" i="24"/>
  <c r="D15" i="24"/>
  <c r="H11" i="21"/>
  <c r="H10" i="21"/>
  <c r="H9" i="21"/>
  <c r="H8" i="21"/>
  <c r="H2" i="21"/>
  <c r="E52" i="2"/>
  <c r="H13" i="23" l="1"/>
  <c r="H12" i="21"/>
  <c r="H38" i="2"/>
  <c r="H52" i="2" l="1"/>
  <c r="D14" i="2" s="1"/>
  <c r="D15" i="2" l="1"/>
</calcChain>
</file>

<file path=xl/sharedStrings.xml><?xml version="1.0" encoding="utf-8"?>
<sst xmlns="http://schemas.openxmlformats.org/spreadsheetml/2006/main" count="130" uniqueCount="72">
  <si>
    <t>NO</t>
  </si>
  <si>
    <t>견     적     서</t>
    <phoneticPr fontId="4" type="noConversion"/>
  </si>
  <si>
    <t>(주)씨젠</t>
    <phoneticPr fontId="5" type="noConversion"/>
  </si>
  <si>
    <t xml:space="preserve">  에프에이리눅스 주식회사    오  재  경</t>
    <phoneticPr fontId="5" type="noConversion"/>
  </si>
  <si>
    <t xml:space="preserve">  (16006)  경기도 의왕시 포일동 653</t>
    <phoneticPr fontId="5" type="noConversion"/>
  </si>
  <si>
    <t>T E L</t>
    <phoneticPr fontId="6" type="noConversion"/>
  </si>
  <si>
    <t>F A X</t>
    <phoneticPr fontId="6" type="noConversion"/>
  </si>
  <si>
    <t xml:space="preserve">  TEL/FAX : 02-572-9527 / 070-7862-5155</t>
    <phoneticPr fontId="5" type="noConversion"/>
  </si>
  <si>
    <t>견적일자</t>
    <phoneticPr fontId="5" type="noConversion"/>
  </si>
  <si>
    <t xml:space="preserve">  담  당 : 박문식 이사</t>
    <phoneticPr fontId="5" type="noConversion"/>
  </si>
  <si>
    <t>견적번호</t>
    <phoneticPr fontId="5" type="noConversion"/>
  </si>
  <si>
    <t xml:space="preserve">  연락처 : 070-7862-5148/010-9429-7998</t>
    <phoneticPr fontId="5" type="noConversion"/>
  </si>
  <si>
    <t>유효기간</t>
    <phoneticPr fontId="5" type="noConversion"/>
  </si>
  <si>
    <t xml:space="preserve">  E-mail : boggle70@falinux.com</t>
    <phoneticPr fontId="5" type="noConversion"/>
  </si>
  <si>
    <t>견    적    명</t>
    <phoneticPr fontId="5" type="noConversion"/>
  </si>
  <si>
    <t>납           기</t>
    <phoneticPr fontId="5" type="noConversion"/>
  </si>
  <si>
    <t>합  계  금  액</t>
    <phoneticPr fontId="4" type="noConversion"/>
  </si>
  <si>
    <t>품         명</t>
    <phoneticPr fontId="4" type="noConversion"/>
  </si>
  <si>
    <t>규   격</t>
    <phoneticPr fontId="4" type="noConversion"/>
  </si>
  <si>
    <t>수 량</t>
    <phoneticPr fontId="4" type="noConversion"/>
  </si>
  <si>
    <t>단    가</t>
    <phoneticPr fontId="4" type="noConversion"/>
  </si>
  <si>
    <t>금    액</t>
    <phoneticPr fontId="4" type="noConversion"/>
  </si>
  <si>
    <t>합            계</t>
    <phoneticPr fontId="4" type="noConversion"/>
  </si>
  <si>
    <t>받으실분</t>
    <phoneticPr fontId="5" type="noConversion"/>
  </si>
  <si>
    <t xml:space="preserve">  02-2195-6266 / 010-8682-1192</t>
    <phoneticPr fontId="1" type="noConversion"/>
  </si>
  <si>
    <t>* 상세 사항은 별첨되는 요구사항정의서를 참조.</t>
    <phoneticPr fontId="1" type="noConversion"/>
  </si>
  <si>
    <t>계</t>
    <phoneticPr fontId="1" type="noConversion"/>
  </si>
  <si>
    <t>소 계</t>
    <phoneticPr fontId="1" type="noConversion"/>
  </si>
  <si>
    <t>PH1-230525001</t>
    <phoneticPr fontId="1" type="noConversion"/>
  </si>
  <si>
    <t>고성능 컴퓨팅(HPC) 및 병렬 프로그래밍 환경 구축 및 안정화</t>
    <phoneticPr fontId="17" type="noConversion"/>
  </si>
  <si>
    <t>인실리코 분석응용 지원을 위한 데이터 분산 처리 시스템 구축</t>
    <phoneticPr fontId="17" type="noConversion"/>
  </si>
  <si>
    <t>현 시스템 분석 및 전략 수립을 통한 병렬 분산처리 라이브러리 구축</t>
    <phoneticPr fontId="1" type="noConversion"/>
  </si>
  <si>
    <t>현재 시스템의 성능, 자원 사용량, 문제점 등을 분석하는 기능</t>
  </si>
  <si>
    <t>병렬 분산처리 라이브러리 구축 전략 수립</t>
  </si>
  <si>
    <t>향후 시스템 확장을 위한 로드맵 제시</t>
  </si>
  <si>
    <t>구축된 라이브러리에 대한 교육 및 문서화 작업</t>
  </si>
  <si>
    <t>구축된 라이브러리의 안정화를 위한 패키지 업데이트 및 유지보수 계획 수립</t>
  </si>
  <si>
    <t>병렬 분산 라이브러리의 호환성 및 통합성 검사 기능 제공</t>
  </si>
  <si>
    <t>분산처리 라이브러리에 대한 성능 벤치마킹 도구 제공</t>
  </si>
  <si>
    <t>사용자 피드백을 통한 라이브러리 개선 절차 수립</t>
  </si>
  <si>
    <t>시스템 장애 대응 및 복구 프로세스 구현</t>
  </si>
  <si>
    <t>라이브러리 사용을 위한 샘플 코드 및 튜토리얼 제공</t>
  </si>
  <si>
    <t>운영과 개발 환경 분리 및 지속적인 통합(CI/CD) 프로세스 구축</t>
  </si>
  <si>
    <t>대규모 데이터를 효율적으로 처리할 수 있는 분산처리 시스템 구현</t>
  </si>
  <si>
    <t>인실리코 분석응용의 필요한 자원별 시스템 자원 동적 할당 관리 시스템</t>
  </si>
  <si>
    <t>사용자 친화적인 인터페이스 및 API 제공</t>
  </si>
  <si>
    <t>성능 모니터링 및 최적화 도구 제공</t>
  </si>
  <si>
    <t>데이터 처리 결과의 신속한 전달을 위한 메시징 시스템 구축</t>
  </si>
  <si>
    <t>데이터 롤링 및 로테이션 기능 제공</t>
  </si>
  <si>
    <t>HPC 시스템의 안정성을 위한 모니터링 및 알림 시스템 구현</t>
  </si>
  <si>
    <t>실패한 작업에 대한 자동 재시도 및 오류 복구 기능</t>
  </si>
  <si>
    <t>인실리코 소프트웨어 통합을 위한 확장 가능한 API 설계</t>
  </si>
  <si>
    <t>데이터 처리의 효율성을 높이기 위한 최적화 전략 수립</t>
  </si>
  <si>
    <t>인실리코 분석응용 버전 관리 및 업데이트 시스템 구축</t>
  </si>
  <si>
    <t>로그 데이터 수집, 저장, 검색, 분석 기능 구현</t>
  </si>
  <si>
    <t>병렬 프로그램의 실행 상태, 성능 등을 실시간으로 모니터링 할 수 있는 기능</t>
  </si>
  <si>
    <t>병렬 분산 처리를 위한 효율적인 라이브러리 구축 및 테스트</t>
  </si>
  <si>
    <t>안정적인 서비스를 위한 에러 및 예외 처리 시스템 구현</t>
  </si>
  <si>
    <t>HPC 시스템에 대한 사용자 인터페이스 및 API 제공</t>
  </si>
  <si>
    <t>시스템의 성능 모니터링 및 리포트 생성 기능</t>
  </si>
  <si>
    <t>병렬 프로그래밍을 위한 개발 툴 및 디버깅 도구 제공</t>
  </si>
  <si>
    <t>HPC 사용자 및 개발자를 위한 문서(시스템) 지원</t>
  </si>
  <si>
    <t>시스템 확장성 및 고가용성을 고려한 인프라 설계</t>
  </si>
  <si>
    <t>사용자별, 작업별 로그 데이터 관리 기능</t>
    <phoneticPr fontId="1" type="noConversion"/>
  </si>
  <si>
    <t>매니코어 기반 고성능 컴퓨터 자원 인프라 병렬처리시스템 라이브러리 통합 환경 구축</t>
    <phoneticPr fontId="5" type="noConversion"/>
  </si>
  <si>
    <t xml:space="preserve"> 별도 계약서 상의 일정 명시</t>
    <phoneticPr fontId="5" type="noConversion"/>
  </si>
  <si>
    <t>김성조 차장 귀하</t>
  </si>
  <si>
    <t>견적일로부터 15일</t>
    <phoneticPr fontId="5" type="noConversion"/>
  </si>
  <si>
    <t>인덕원IT밸리 B동 1001호</t>
    <phoneticPr fontId="5" type="noConversion"/>
  </si>
  <si>
    <t>비율</t>
    <phoneticPr fontId="1" type="noConversion"/>
  </si>
  <si>
    <t>총 값</t>
    <phoneticPr fontId="1" type="noConversion"/>
  </si>
  <si>
    <t>더한 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</si>
</sst>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25">
    <font>
      <sz val="11"/>
      <color theme="1"/>
      <name val="Arial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11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2"/>
      <name val="바탕체"/>
      <family val="1"/>
      <charset val="129"/>
    </font>
    <font>
      <sz val="11"/>
      <color theme="1"/>
      <name val="Arial"/>
      <family val="2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name val="Malgun Gothic"/>
      <family val="2"/>
      <charset val="129"/>
    </font>
    <font>
      <b/>
      <sz val="11"/>
      <name val="Malgun Gothic"/>
      <family val="2"/>
      <charset val="129"/>
    </font>
    <font>
      <sz val="8"/>
      <name val="Calibri"/>
      <family val="2"/>
      <charset val="129"/>
      <scheme val="minor"/>
    </font>
    <font>
      <sz val="11"/>
      <color theme="1"/>
      <name val="Arial"/>
      <family val="2"/>
    </font>
    <font>
      <sz val="11"/>
      <name val="Malgun Gothic"/>
      <family val="2"/>
      <charset val="129"/>
    </font>
    <font>
      <b/>
      <sz val="10"/>
      <name val="Malgun Gothic"/>
      <family val="2"/>
      <charset val="129"/>
    </font>
    <font>
      <sz val="10"/>
      <name val="Malgun Gothic"/>
      <family val="2"/>
      <charset val="129"/>
    </font>
    <font>
      <sz val="9"/>
      <name val="Malgun Gothic"/>
      <family val="2"/>
      <charset val="129"/>
    </font>
    <font>
      <b/>
      <sz val="8"/>
      <color theme="1"/>
      <name val="Malgun Gothic"/>
      <family val="2"/>
      <charset val="129"/>
    </font>
    <font>
      <b/>
      <sz val="20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1" fillId="0" borderId="0"/>
    <xf numFmtId="9" fontId="18" fillId="0" borderId="0" applyFont="0" applyFill="0" applyBorder="0" applyAlignment="0" applyProtection="0">
      <alignment vertical="center"/>
    </xf>
  </cellStyleXfs>
  <cellXfs count="147">
    <xf numFmtId="0" fontId="0" fillId="0" borderId="0" xfId="0"/>
    <xf numFmtId="0" fontId="3" fillId="0" borderId="0" xfId="1" applyFont="1">
      <alignment vertical="center"/>
    </xf>
    <xf numFmtId="0" fontId="2" fillId="0" borderId="0" xfId="1">
      <alignment vertical="center"/>
    </xf>
    <xf numFmtId="177" fontId="3" fillId="0" borderId="0" xfId="1" applyNumberFormat="1" applyFont="1">
      <alignment vertical="center"/>
    </xf>
    <xf numFmtId="0" fontId="7" fillId="0" borderId="0" xfId="1" applyFont="1">
      <alignment vertical="center"/>
    </xf>
    <xf numFmtId="9" fontId="3" fillId="0" borderId="0" xfId="1" applyNumberFormat="1" applyFont="1">
      <alignment vertical="center"/>
    </xf>
    <xf numFmtId="0" fontId="9" fillId="0" borderId="0" xfId="5">
      <alignment vertical="center"/>
    </xf>
    <xf numFmtId="0" fontId="9" fillId="0" borderId="0" xfId="5" applyAlignment="1">
      <alignment horizontal="center" vertical="center"/>
    </xf>
    <xf numFmtId="177" fontId="9" fillId="0" borderId="0" xfId="5" applyNumberFormat="1">
      <alignment vertical="center"/>
    </xf>
    <xf numFmtId="3" fontId="9" fillId="0" borderId="0" xfId="5" applyNumberFormat="1">
      <alignment vertical="center"/>
    </xf>
    <xf numFmtId="0" fontId="2" fillId="0" borderId="11" xfId="1" applyBorder="1">
      <alignment vertical="center"/>
    </xf>
    <xf numFmtId="0" fontId="3" fillId="0" borderId="31" xfId="1" applyFont="1" applyBorder="1">
      <alignment vertical="center"/>
    </xf>
    <xf numFmtId="178" fontId="14" fillId="0" borderId="15" xfId="0" quotePrefix="1" applyNumberFormat="1" applyFont="1" applyBorder="1" applyAlignment="1">
      <alignment vertical="center" wrapText="1"/>
    </xf>
    <xf numFmtId="178" fontId="14" fillId="0" borderId="7" xfId="0" applyNumberFormat="1" applyFont="1" applyBorder="1" applyAlignment="1">
      <alignment vertical="center" wrapText="1"/>
    </xf>
    <xf numFmtId="178" fontId="15" fillId="0" borderId="7" xfId="0" applyNumberFormat="1" applyFont="1" applyBorder="1" applyAlignment="1">
      <alignment vertical="center" wrapText="1"/>
    </xf>
    <xf numFmtId="178" fontId="15" fillId="0" borderId="12" xfId="0" applyNumberFormat="1" applyFont="1" applyBorder="1" applyAlignment="1">
      <alignment vertical="center" wrapText="1"/>
    </xf>
    <xf numFmtId="178" fontId="10" fillId="0" borderId="22" xfId="0" applyNumberFormat="1" applyFont="1" applyBorder="1" applyAlignment="1">
      <alignment horizontal="center" vertical="center" wrapText="1"/>
    </xf>
    <xf numFmtId="178" fontId="10" fillId="0" borderId="23" xfId="0" applyNumberFormat="1" applyFont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178" fontId="10" fillId="0" borderId="26" xfId="0" applyNumberFormat="1" applyFont="1" applyBorder="1" applyAlignment="1">
      <alignment horizontal="center" vertical="center" wrapText="1"/>
    </xf>
    <xf numFmtId="178" fontId="10" fillId="0" borderId="27" xfId="0" applyNumberFormat="1" applyFont="1" applyBorder="1" applyAlignment="1">
      <alignment horizontal="center" vertical="center" wrapText="1"/>
    </xf>
    <xf numFmtId="178" fontId="15" fillId="0" borderId="49" xfId="0" applyNumberFormat="1" applyFont="1" applyBorder="1" applyAlignment="1">
      <alignment horizontal="center" vertical="center" wrapText="1"/>
    </xf>
    <xf numFmtId="178" fontId="15" fillId="0" borderId="50" xfId="0" applyNumberFormat="1" applyFont="1" applyBorder="1" applyAlignment="1">
      <alignment horizontal="center" vertical="center" wrapText="1"/>
    </xf>
    <xf numFmtId="178" fontId="15" fillId="0" borderId="48" xfId="0" applyNumberFormat="1" applyFont="1" applyBorder="1" applyAlignment="1">
      <alignment horizontal="center" vertical="center" wrapText="1"/>
    </xf>
    <xf numFmtId="178" fontId="10" fillId="0" borderId="30" xfId="0" quotePrefix="1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9" fontId="10" fillId="0" borderId="41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9" fontId="10" fillId="0" borderId="18" xfId="0" applyNumberFormat="1" applyFont="1" applyBorder="1" applyAlignment="1">
      <alignment horizontal="center" vertical="center"/>
    </xf>
    <xf numFmtId="179" fontId="10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7" fontId="16" fillId="0" borderId="29" xfId="3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178" fontId="10" fillId="0" borderId="23" xfId="0" quotePrefix="1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77" fontId="16" fillId="0" borderId="25" xfId="3" applyNumberFormat="1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78" fontId="10" fillId="0" borderId="33" xfId="0" quotePrefix="1" applyNumberFormat="1" applyFont="1" applyBorder="1" applyAlignment="1">
      <alignment horizontal="center" vertical="center" wrapText="1"/>
    </xf>
    <xf numFmtId="178" fontId="10" fillId="0" borderId="5" xfId="0" quotePrefix="1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77" fontId="16" fillId="0" borderId="51" xfId="3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77" fontId="16" fillId="0" borderId="41" xfId="3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77" fontId="16" fillId="0" borderId="18" xfId="3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7" fontId="16" fillId="0" borderId="37" xfId="3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78" fontId="10" fillId="0" borderId="39" xfId="0" quotePrefix="1" applyNumberFormat="1" applyFont="1" applyBorder="1" applyAlignment="1">
      <alignment horizontal="center" vertical="center" wrapText="1"/>
    </xf>
    <xf numFmtId="178" fontId="10" fillId="0" borderId="27" xfId="0" quotePrefix="1" applyNumberFormat="1" applyFont="1" applyBorder="1" applyAlignment="1">
      <alignment horizontal="center" vertical="center" wrapText="1"/>
    </xf>
    <xf numFmtId="179" fontId="10" fillId="0" borderId="29" xfId="0" applyNumberFormat="1" applyFont="1" applyBorder="1" applyAlignment="1">
      <alignment horizontal="center" vertical="center"/>
    </xf>
    <xf numFmtId="0" fontId="16" fillId="3" borderId="36" xfId="1" applyFont="1" applyFill="1" applyBorder="1" applyAlignment="1">
      <alignment horizontal="center" vertical="center"/>
    </xf>
    <xf numFmtId="0" fontId="16" fillId="3" borderId="52" xfId="1" applyFont="1" applyFill="1" applyBorder="1" applyAlignment="1">
      <alignment horizontal="center" vertical="center"/>
    </xf>
    <xf numFmtId="0" fontId="16" fillId="3" borderId="53" xfId="1" applyFont="1" applyFill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0" fontId="16" fillId="3" borderId="10" xfId="1" applyFont="1" applyFill="1" applyBorder="1" applyAlignment="1">
      <alignment horizontal="center" vertical="center"/>
    </xf>
    <xf numFmtId="177" fontId="16" fillId="3" borderId="13" xfId="3" applyNumberFormat="1" applyFont="1" applyFill="1" applyBorder="1" applyAlignment="1">
      <alignment vertical="center"/>
    </xf>
    <xf numFmtId="177" fontId="16" fillId="3" borderId="41" xfId="3" applyNumberFormat="1" applyFont="1" applyFill="1" applyBorder="1" applyAlignment="1">
      <alignment vertical="center"/>
    </xf>
    <xf numFmtId="0" fontId="19" fillId="0" borderId="7" xfId="1" applyFont="1" applyBorder="1" applyAlignment="1" applyProtection="1">
      <alignment horizontal="center" vertical="center"/>
      <protection locked="0"/>
    </xf>
    <xf numFmtId="0" fontId="21" fillId="0" borderId="7" xfId="1" applyFont="1" applyBorder="1" applyAlignment="1">
      <alignment horizontal="left" vertical="center"/>
    </xf>
    <xf numFmtId="0" fontId="21" fillId="0" borderId="18" xfId="1" applyFont="1" applyBorder="1" applyAlignment="1">
      <alignment horizontal="left" vertical="center"/>
    </xf>
    <xf numFmtId="0" fontId="21" fillId="0" borderId="7" xfId="1" applyFont="1" applyBorder="1" applyAlignment="1" applyProtection="1">
      <alignment horizontal="left" vertical="center"/>
      <protection locked="0"/>
    </xf>
    <xf numFmtId="0" fontId="21" fillId="0" borderId="18" xfId="1" applyFont="1" applyBorder="1" applyAlignment="1" applyProtection="1">
      <alignment horizontal="left" vertical="center"/>
      <protection locked="0"/>
    </xf>
    <xf numFmtId="14" fontId="19" fillId="0" borderId="7" xfId="1" applyNumberFormat="1" applyFont="1" applyBorder="1" applyAlignment="1" applyProtection="1">
      <alignment horizontal="center" vertical="center"/>
      <protection locked="0"/>
    </xf>
    <xf numFmtId="0" fontId="22" fillId="0" borderId="2" xfId="1" quotePrefix="1" applyFont="1" applyBorder="1" applyAlignment="1">
      <alignment horizontal="left" vertical="center"/>
    </xf>
    <xf numFmtId="0" fontId="16" fillId="0" borderId="14" xfId="1" applyFont="1" applyBorder="1" applyAlignment="1">
      <alignment horizontal="left" vertical="top"/>
    </xf>
    <xf numFmtId="0" fontId="16" fillId="0" borderId="15" xfId="1" applyFont="1" applyBorder="1" applyAlignment="1">
      <alignment horizontal="left" vertical="top"/>
    </xf>
    <xf numFmtId="0" fontId="16" fillId="0" borderId="16" xfId="1" applyFont="1" applyBorder="1" applyAlignment="1">
      <alignment horizontal="left" vertical="top"/>
    </xf>
    <xf numFmtId="0" fontId="16" fillId="0" borderId="19" xfId="1" applyFont="1" applyBorder="1" applyAlignment="1" applyProtection="1">
      <alignment horizontal="left" vertical="top"/>
      <protection locked="0"/>
    </xf>
    <xf numFmtId="0" fontId="16" fillId="0" borderId="20" xfId="1" applyFont="1" applyBorder="1" applyAlignment="1" applyProtection="1">
      <alignment horizontal="left" vertical="top"/>
      <protection locked="0"/>
    </xf>
    <xf numFmtId="0" fontId="16" fillId="0" borderId="21" xfId="1" applyFont="1" applyBorder="1" applyAlignment="1" applyProtection="1">
      <alignment horizontal="left" vertical="top"/>
      <protection locked="0"/>
    </xf>
    <xf numFmtId="0" fontId="16" fillId="0" borderId="54" xfId="1" applyFont="1" applyBorder="1" applyAlignment="1" applyProtection="1">
      <alignment horizontal="center" vertical="center"/>
      <protection locked="0"/>
    </xf>
    <xf numFmtId="0" fontId="16" fillId="0" borderId="24" xfId="1" applyFont="1" applyBorder="1" applyAlignment="1" applyProtection="1">
      <alignment horizontal="center" vertical="center"/>
      <protection locked="0"/>
    </xf>
    <xf numFmtId="0" fontId="16" fillId="0" borderId="22" xfId="1" applyFont="1" applyBorder="1" applyAlignment="1" applyProtection="1">
      <alignment horizontal="center" vertical="center"/>
      <protection locked="0"/>
    </xf>
    <xf numFmtId="0" fontId="16" fillId="0" borderId="46" xfId="1" applyFont="1" applyBorder="1" applyAlignment="1" applyProtection="1">
      <alignment horizontal="center" vertical="center"/>
      <protection locked="0"/>
    </xf>
    <xf numFmtId="0" fontId="16" fillId="0" borderId="44" xfId="1" applyFont="1" applyBorder="1" applyAlignment="1" applyProtection="1">
      <alignment horizontal="center" vertical="center"/>
      <protection locked="0"/>
    </xf>
    <xf numFmtId="0" fontId="16" fillId="0" borderId="45" xfId="1" applyFont="1" applyBorder="1" applyAlignment="1" applyProtection="1">
      <alignment horizontal="center" vertical="center"/>
      <protection locked="0"/>
    </xf>
    <xf numFmtId="0" fontId="16" fillId="0" borderId="55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Continuous" vertical="center"/>
    </xf>
    <xf numFmtId="0" fontId="16" fillId="0" borderId="30" xfId="1" applyFont="1" applyBorder="1" applyAlignment="1">
      <alignment horizontal="center" vertical="center"/>
    </xf>
    <xf numFmtId="0" fontId="16" fillId="0" borderId="31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39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178" fontId="23" fillId="0" borderId="7" xfId="0" applyNumberFormat="1" applyFont="1" applyBorder="1" applyAlignment="1">
      <alignment vertical="center" wrapText="1"/>
    </xf>
    <xf numFmtId="178" fontId="23" fillId="0" borderId="15" xfId="0" quotePrefix="1" applyNumberFormat="1" applyFont="1" applyBorder="1" applyAlignment="1">
      <alignment vertical="center" wrapText="1"/>
    </xf>
    <xf numFmtId="177" fontId="20" fillId="4" borderId="30" xfId="1" applyNumberFormat="1" applyFont="1" applyFill="1" applyBorder="1" applyAlignment="1">
      <alignment horizontal="left" vertical="center"/>
    </xf>
    <xf numFmtId="0" fontId="20" fillId="4" borderId="31" xfId="1" applyFont="1" applyFill="1" applyBorder="1" applyAlignment="1">
      <alignment horizontal="left" vertical="center"/>
    </xf>
    <xf numFmtId="0" fontId="20" fillId="4" borderId="32" xfId="1" applyFont="1" applyFill="1" applyBorder="1" applyAlignment="1">
      <alignment horizontal="left" vertical="center"/>
    </xf>
    <xf numFmtId="177" fontId="20" fillId="4" borderId="56" xfId="1" applyNumberFormat="1" applyFont="1" applyFill="1" applyBorder="1" applyAlignment="1">
      <alignment horizontal="left" vertical="center"/>
    </xf>
    <xf numFmtId="0" fontId="20" fillId="4" borderId="57" xfId="1" applyFont="1" applyFill="1" applyBorder="1" applyAlignment="1">
      <alignment horizontal="left" vertical="center"/>
    </xf>
    <xf numFmtId="0" fontId="20" fillId="4" borderId="58" xfId="1" applyFont="1" applyFill="1" applyBorder="1" applyAlignment="1">
      <alignment horizontal="left" vertical="center"/>
    </xf>
    <xf numFmtId="0" fontId="20" fillId="2" borderId="17" xfId="1" applyFont="1" applyFill="1" applyBorder="1" applyAlignment="1" applyProtection="1">
      <alignment horizontal="center" vertical="center"/>
      <protection locked="0"/>
    </xf>
    <xf numFmtId="0" fontId="20" fillId="2" borderId="7" xfId="1" applyFont="1" applyFill="1" applyBorder="1" applyAlignment="1" applyProtection="1">
      <alignment horizontal="center" vertical="center"/>
      <protection locked="0"/>
    </xf>
    <xf numFmtId="0" fontId="19" fillId="0" borderId="15" xfId="1" applyFont="1" applyBorder="1" applyAlignment="1" applyProtection="1">
      <alignment horizontal="center" vertical="center"/>
      <protection locked="0"/>
    </xf>
    <xf numFmtId="0" fontId="21" fillId="0" borderId="15" xfId="1" applyFont="1" applyBorder="1" applyAlignment="1">
      <alignment horizontal="left" vertical="center"/>
    </xf>
    <xf numFmtId="0" fontId="21" fillId="0" borderId="16" xfId="1" applyFont="1" applyBorder="1" applyAlignment="1">
      <alignment horizontal="left" vertical="center"/>
    </xf>
    <xf numFmtId="0" fontId="20" fillId="2" borderId="19" xfId="1" applyFont="1" applyFill="1" applyBorder="1" applyAlignment="1" applyProtection="1">
      <alignment horizontal="center" vertical="center"/>
      <protection locked="0"/>
    </xf>
    <xf numFmtId="0" fontId="20" fillId="2" borderId="20" xfId="1" applyFont="1" applyFill="1" applyBorder="1" applyAlignment="1" applyProtection="1">
      <alignment horizontal="center" vertical="center"/>
      <protection locked="0"/>
    </xf>
    <xf numFmtId="0" fontId="19" fillId="0" borderId="20" xfId="1" applyFont="1" applyBorder="1" applyAlignment="1" applyProtection="1">
      <alignment horizontal="center" vertical="center"/>
      <protection locked="0"/>
    </xf>
    <xf numFmtId="0" fontId="21" fillId="0" borderId="20" xfId="1" applyFont="1" applyBorder="1" applyAlignment="1">
      <alignment horizontal="left" vertical="center"/>
    </xf>
    <xf numFmtId="0" fontId="21" fillId="0" borderId="21" xfId="1" applyFont="1" applyBorder="1" applyAlignment="1">
      <alignment horizontal="left" vertical="center"/>
    </xf>
    <xf numFmtId="0" fontId="20" fillId="2" borderId="14" xfId="1" applyFont="1" applyFill="1" applyBorder="1" applyAlignment="1" applyProtection="1">
      <alignment horizontal="center" vertical="center"/>
      <protection locked="0"/>
    </xf>
    <xf numFmtId="0" fontId="20" fillId="2" borderId="15" xfId="1" applyFont="1" applyFill="1" applyBorder="1" applyAlignment="1" applyProtection="1">
      <alignment horizontal="center" vertical="center"/>
      <protection locked="0"/>
    </xf>
    <xf numFmtId="0" fontId="19" fillId="0" borderId="30" xfId="1" applyFont="1" applyBorder="1">
      <alignment vertical="center"/>
    </xf>
    <xf numFmtId="0" fontId="19" fillId="0" borderId="31" xfId="1" applyFont="1" applyBorder="1">
      <alignment vertical="center"/>
    </xf>
    <xf numFmtId="14" fontId="19" fillId="0" borderId="31" xfId="1" applyNumberFormat="1" applyFont="1" applyBorder="1">
      <alignment vertical="center"/>
    </xf>
    <xf numFmtId="0" fontId="19" fillId="0" borderId="32" xfId="1" applyFont="1" applyBorder="1">
      <alignment vertical="center"/>
    </xf>
    <xf numFmtId="0" fontId="24" fillId="0" borderId="33" xfId="1" applyFont="1" applyBorder="1" applyAlignment="1">
      <alignment horizontal="centerContinuous" vertical="center"/>
    </xf>
    <xf numFmtId="0" fontId="19" fillId="0" borderId="0" xfId="1" applyFont="1" applyBorder="1" applyAlignment="1">
      <alignment horizontal="centerContinuous" vertical="center"/>
    </xf>
    <xf numFmtId="0" fontId="19" fillId="0" borderId="34" xfId="1" applyFont="1" applyBorder="1" applyAlignment="1">
      <alignment horizontal="centerContinuous" vertical="center"/>
    </xf>
    <xf numFmtId="0" fontId="19" fillId="0" borderId="33" xfId="1" applyFont="1" applyBorder="1" applyAlignment="1" applyProtection="1">
      <alignment horizontal="centerContinuous" vertical="center"/>
      <protection locked="0"/>
    </xf>
    <xf numFmtId="0" fontId="19" fillId="0" borderId="0" xfId="1" applyFont="1" applyBorder="1" applyAlignment="1" applyProtection="1">
      <alignment horizontal="centerContinuous" vertical="center"/>
      <protection locked="0"/>
    </xf>
    <xf numFmtId="0" fontId="21" fillId="0" borderId="33" xfId="1" applyFont="1" applyBorder="1" applyAlignment="1" applyProtection="1">
      <alignment horizontal="left" vertical="center"/>
      <protection locked="0"/>
    </xf>
    <xf numFmtId="0" fontId="21" fillId="0" borderId="0" xfId="1" applyFont="1" applyBorder="1" applyAlignment="1" applyProtection="1">
      <alignment horizontal="left" vertical="center"/>
      <protection locked="0"/>
    </xf>
    <xf numFmtId="0" fontId="19" fillId="0" borderId="0" xfId="1" applyFont="1" applyBorder="1" applyAlignment="1">
      <alignment horizontal="center" vertical="center"/>
    </xf>
    <xf numFmtId="0" fontId="21" fillId="0" borderId="0" xfId="1" applyFont="1" applyBorder="1">
      <alignment vertical="center"/>
    </xf>
    <xf numFmtId="0" fontId="21" fillId="0" borderId="34" xfId="1" applyFont="1" applyBorder="1">
      <alignment vertical="center"/>
    </xf>
    <xf numFmtId="0" fontId="22" fillId="0" borderId="35" xfId="1" quotePrefix="1" applyFont="1" applyBorder="1" applyAlignment="1">
      <alignment horizontal="left" vertical="center"/>
    </xf>
    <xf numFmtId="0" fontId="22" fillId="0" borderId="38" xfId="1" quotePrefix="1" applyFont="1" applyBorder="1" applyAlignment="1">
      <alignment horizontal="left" vertical="center"/>
    </xf>
    <xf numFmtId="0" fontId="22" fillId="0" borderId="33" xfId="1" quotePrefix="1" applyFont="1" applyBorder="1" applyAlignment="1">
      <alignment horizontal="left" vertical="center"/>
    </xf>
    <xf numFmtId="0" fontId="22" fillId="0" borderId="0" xfId="1" quotePrefix="1" applyFont="1" applyBorder="1" applyAlignment="1">
      <alignment horizontal="left" vertical="center"/>
    </xf>
    <xf numFmtId="0" fontId="22" fillId="0" borderId="34" xfId="1" quotePrefix="1" applyFont="1" applyBorder="1" applyAlignment="1">
      <alignment horizontal="left" vertical="center"/>
    </xf>
    <xf numFmtId="0" fontId="22" fillId="0" borderId="39" xfId="1" applyFont="1" applyBorder="1">
      <alignment vertical="center"/>
    </xf>
    <xf numFmtId="0" fontId="22" fillId="0" borderId="11" xfId="1" applyFont="1" applyBorder="1">
      <alignment vertical="center"/>
    </xf>
    <xf numFmtId="0" fontId="22" fillId="0" borderId="40" xfId="1" applyFont="1" applyBorder="1">
      <alignment vertical="center"/>
    </xf>
    <xf numFmtId="0" fontId="21" fillId="0" borderId="7" xfId="1" applyFont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177" fontId="16" fillId="0" borderId="0" xfId="3" applyNumberFormat="1" applyFont="1" applyFill="1" applyBorder="1" applyAlignment="1">
      <alignment horizontal="center" vertical="center"/>
    </xf>
    <xf numFmtId="177" fontId="16" fillId="0" borderId="7" xfId="3" applyNumberFormat="1" applyFont="1" applyFill="1" applyBorder="1" applyAlignment="1">
      <alignment horizontal="center" vertical="center"/>
    </xf>
    <xf numFmtId="0" fontId="12" fillId="0" borderId="0" xfId="0" applyFont="1"/>
    <xf numFmtId="9" fontId="0" fillId="0" borderId="7" xfId="7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9" fontId="16" fillId="0" borderId="0" xfId="7" applyFont="1" applyFill="1" applyBorder="1" applyAlignment="1">
      <alignment horizontal="center" vertical="center"/>
    </xf>
  </cellXfs>
  <cellStyles count="8">
    <cellStyle name="백분율" xfId="7" builtinId="5"/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  <cellStyle name="Normal 2" xfId="6" xr:uid="{AFDC1AD9-1EA4-2A40-B6BA-D396AD34F973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 editAs="oneCell">
    <xdr:from>
      <xdr:col>6</xdr:col>
      <xdr:colOff>1072852</xdr:colOff>
      <xdr:row>52</xdr:row>
      <xdr:rowOff>97008</xdr:rowOff>
    </xdr:from>
    <xdr:to>
      <xdr:col>7</xdr:col>
      <xdr:colOff>1070264</xdr:colOff>
      <xdr:row>53</xdr:row>
      <xdr:rowOff>91236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450397" y="10511008"/>
          <a:ext cx="1219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0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8673161" y="28575"/>
          <a:ext cx="1128930" cy="709335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776915</xdr:colOff>
      <xdr:row>3</xdr:row>
      <xdr:rowOff>13541</xdr:rowOff>
    </xdr:from>
    <xdr:to>
      <xdr:col>7</xdr:col>
      <xdr:colOff>1171200</xdr:colOff>
      <xdr:row>4</xdr:row>
      <xdr:rowOff>197457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79048" y="767074"/>
          <a:ext cx="394285" cy="387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O106"/>
  <sheetViews>
    <sheetView tabSelected="1" view="pageBreakPreview" topLeftCell="A17" zoomScale="110" zoomScaleNormal="150" zoomScaleSheetLayoutView="70" workbookViewId="0">
      <selection activeCell="H40" sqref="H40:H42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55.83203125" style="1" customWidth="1"/>
    <col min="5" max="6" width="2.33203125" style="1" customWidth="1"/>
    <col min="7" max="8" width="15.83203125" style="1" customWidth="1"/>
    <col min="9" max="15" width="1.83203125" style="2" hidden="1" customWidth="1"/>
    <col min="16" max="16384" width="10.83203125" style="2"/>
  </cols>
  <sheetData>
    <row r="1" spans="1:8" s="1" customFormat="1" ht="14" customHeight="1">
      <c r="A1" s="117"/>
      <c r="B1" s="118"/>
      <c r="C1" s="118"/>
      <c r="D1" s="119"/>
      <c r="E1" s="118"/>
      <c r="F1" s="118"/>
      <c r="G1" s="118"/>
      <c r="H1" s="120"/>
    </row>
    <row r="2" spans="1:8" s="1" customFormat="1" ht="31" customHeight="1">
      <c r="A2" s="121" t="s">
        <v>1</v>
      </c>
      <c r="B2" s="122"/>
      <c r="C2" s="122"/>
      <c r="D2" s="122"/>
      <c r="E2" s="122"/>
      <c r="F2" s="122"/>
      <c r="G2" s="122"/>
      <c r="H2" s="123"/>
    </row>
    <row r="3" spans="1:8" s="1" customFormat="1" ht="14" customHeight="1" thickBot="1">
      <c r="A3" s="124"/>
      <c r="B3" s="125"/>
      <c r="C3" s="125"/>
      <c r="D3" s="125"/>
      <c r="E3" s="122"/>
      <c r="F3" s="122"/>
      <c r="G3" s="122"/>
      <c r="H3" s="123"/>
    </row>
    <row r="4" spans="1:8" s="1" customFormat="1" ht="16.5" customHeight="1">
      <c r="A4" s="115" t="s">
        <v>23</v>
      </c>
      <c r="B4" s="116"/>
      <c r="C4" s="107" t="s">
        <v>2</v>
      </c>
      <c r="D4" s="107"/>
      <c r="E4" s="108" t="s">
        <v>3</v>
      </c>
      <c r="F4" s="108"/>
      <c r="G4" s="108"/>
      <c r="H4" s="109"/>
    </row>
    <row r="5" spans="1:8" s="1" customFormat="1" ht="16.5" customHeight="1">
      <c r="A5" s="105"/>
      <c r="B5" s="106"/>
      <c r="C5" s="66" t="s">
        <v>66</v>
      </c>
      <c r="D5" s="66"/>
      <c r="E5" s="69" t="s">
        <v>4</v>
      </c>
      <c r="F5" s="69"/>
      <c r="G5" s="69"/>
      <c r="H5" s="70"/>
    </row>
    <row r="6" spans="1:8" s="1" customFormat="1" ht="16.5" customHeight="1">
      <c r="A6" s="105" t="s">
        <v>5</v>
      </c>
      <c r="B6" s="106"/>
      <c r="C6" s="66" t="s">
        <v>24</v>
      </c>
      <c r="D6" s="66"/>
      <c r="E6" s="139" t="s">
        <v>68</v>
      </c>
      <c r="F6" s="139"/>
      <c r="G6" s="139"/>
      <c r="H6" s="140"/>
    </row>
    <row r="7" spans="1:8" s="1" customFormat="1" ht="16.5" customHeight="1">
      <c r="A7" s="105" t="s">
        <v>6</v>
      </c>
      <c r="B7" s="106"/>
      <c r="C7" s="66"/>
      <c r="D7" s="66"/>
      <c r="E7" s="67" t="s">
        <v>7</v>
      </c>
      <c r="F7" s="67"/>
      <c r="G7" s="67"/>
      <c r="H7" s="68"/>
    </row>
    <row r="8" spans="1:8" s="1" customFormat="1" ht="16.5" customHeight="1">
      <c r="A8" s="105" t="s">
        <v>8</v>
      </c>
      <c r="B8" s="106"/>
      <c r="C8" s="71">
        <v>45071</v>
      </c>
      <c r="D8" s="66"/>
      <c r="E8" s="67" t="s">
        <v>9</v>
      </c>
      <c r="F8" s="67"/>
      <c r="G8" s="67"/>
      <c r="H8" s="68"/>
    </row>
    <row r="9" spans="1:8" s="1" customFormat="1" ht="16.5" customHeight="1">
      <c r="A9" s="105" t="s">
        <v>10</v>
      </c>
      <c r="B9" s="106"/>
      <c r="C9" s="66" t="s">
        <v>28</v>
      </c>
      <c r="D9" s="66"/>
      <c r="E9" s="67" t="s">
        <v>11</v>
      </c>
      <c r="F9" s="67"/>
      <c r="G9" s="67"/>
      <c r="H9" s="68"/>
    </row>
    <row r="10" spans="1:8" s="1" customFormat="1" ht="16.5" customHeight="1" thickBot="1">
      <c r="A10" s="110" t="s">
        <v>12</v>
      </c>
      <c r="B10" s="111"/>
      <c r="C10" s="112" t="s">
        <v>67</v>
      </c>
      <c r="D10" s="112"/>
      <c r="E10" s="113" t="s">
        <v>13</v>
      </c>
      <c r="F10" s="113"/>
      <c r="G10" s="113"/>
      <c r="H10" s="114"/>
    </row>
    <row r="11" spans="1:8" s="1" customFormat="1" ht="14" customHeight="1" thickBot="1">
      <c r="A11" s="126"/>
      <c r="B11" s="127"/>
      <c r="C11" s="127"/>
      <c r="D11" s="127"/>
      <c r="E11" s="128"/>
      <c r="F11" s="129"/>
      <c r="G11" s="129"/>
      <c r="H11" s="130"/>
    </row>
    <row r="12" spans="1:8" s="1" customFormat="1" ht="19.5" customHeight="1" thickBot="1">
      <c r="A12" s="79" t="s">
        <v>14</v>
      </c>
      <c r="B12" s="80"/>
      <c r="C12" s="81"/>
      <c r="D12" s="73" t="s">
        <v>64</v>
      </c>
      <c r="E12" s="74"/>
      <c r="F12" s="74"/>
      <c r="G12" s="74"/>
      <c r="H12" s="75"/>
    </row>
    <row r="13" spans="1:8" s="1" customFormat="1" ht="19.5" customHeight="1" thickBot="1">
      <c r="A13" s="82" t="s">
        <v>15</v>
      </c>
      <c r="B13" s="83"/>
      <c r="C13" s="84"/>
      <c r="D13" s="76" t="s">
        <v>65</v>
      </c>
      <c r="E13" s="77"/>
      <c r="F13" s="77"/>
      <c r="G13" s="77"/>
      <c r="H13" s="78"/>
    </row>
    <row r="14" spans="1:8" s="1" customFormat="1" ht="19.5" customHeight="1" thickBot="1">
      <c r="A14" s="87" t="s">
        <v>16</v>
      </c>
      <c r="B14" s="88"/>
      <c r="C14" s="89"/>
      <c r="D14" s="99" t="str">
        <f>TEXT(H52,"일금 [DBNum4][$-412]G/표준원정(")&amp;TEXT(H52,"###,### - VAT별도 )")</f>
        <v>일금 칠억이천만원정(720,000,000 - VAT별도 )</v>
      </c>
      <c r="E14" s="100"/>
      <c r="F14" s="100"/>
      <c r="G14" s="100"/>
      <c r="H14" s="101"/>
    </row>
    <row r="15" spans="1:8" s="1" customFormat="1" ht="19.5" customHeight="1" thickBot="1">
      <c r="A15" s="90"/>
      <c r="B15" s="91"/>
      <c r="C15" s="92"/>
      <c r="D15" s="102" t="str">
        <f>TEXT(H52+(H52/10),"일금 [DBNum4][$-412]G/표준원정(")&amp;TEXT(H52+(H52/10),"###,### - VAT포함 )")</f>
        <v>일금 칠억구천이백만원정(792,000,000 - VAT포함 )</v>
      </c>
      <c r="E15" s="103"/>
      <c r="F15" s="103"/>
      <c r="G15" s="103"/>
      <c r="H15" s="104"/>
    </row>
    <row r="16" spans="1:8" s="1" customFormat="1" ht="19.5" customHeight="1" thickBot="1">
      <c r="A16" s="85" t="s">
        <v>0</v>
      </c>
      <c r="B16" s="86" t="s">
        <v>17</v>
      </c>
      <c r="C16" s="86"/>
      <c r="D16" s="93" t="s">
        <v>18</v>
      </c>
      <c r="E16" s="94" t="s">
        <v>19</v>
      </c>
      <c r="F16" s="95"/>
      <c r="G16" s="93" t="s">
        <v>20</v>
      </c>
      <c r="H16" s="96" t="s">
        <v>21</v>
      </c>
    </row>
    <row r="17" spans="1:15" s="1" customFormat="1" ht="19.5" customHeight="1">
      <c r="A17" s="27">
        <v>1</v>
      </c>
      <c r="B17" s="16" t="s">
        <v>29</v>
      </c>
      <c r="C17" s="17"/>
      <c r="D17" s="13" t="s">
        <v>54</v>
      </c>
      <c r="E17" s="28">
        <v>1</v>
      </c>
      <c r="F17" s="28"/>
      <c r="G17" s="32">
        <v>14490000.000000002</v>
      </c>
      <c r="H17" s="29">
        <f>G17</f>
        <v>14490000.000000002</v>
      </c>
    </row>
    <row r="18" spans="1:15" s="1" customFormat="1" ht="19.5" customHeight="1">
      <c r="A18" s="26"/>
      <c r="B18" s="18"/>
      <c r="C18" s="19"/>
      <c r="D18" s="13" t="s">
        <v>63</v>
      </c>
      <c r="E18" s="28">
        <v>1</v>
      </c>
      <c r="F18" s="28"/>
      <c r="G18" s="32">
        <v>16560000</v>
      </c>
      <c r="H18" s="31">
        <f>SUM(G18:G20)</f>
        <v>57960000</v>
      </c>
    </row>
    <row r="19" spans="1:15" s="1" customFormat="1" ht="19.5" customHeight="1">
      <c r="A19" s="26"/>
      <c r="B19" s="18"/>
      <c r="C19" s="19"/>
      <c r="D19" s="13" t="s">
        <v>55</v>
      </c>
      <c r="E19" s="28">
        <v>1</v>
      </c>
      <c r="F19" s="28"/>
      <c r="G19" s="32">
        <v>22770000</v>
      </c>
      <c r="H19" s="31"/>
    </row>
    <row r="20" spans="1:15" s="1" customFormat="1" ht="19.5" customHeight="1">
      <c r="A20" s="26"/>
      <c r="B20" s="18"/>
      <c r="C20" s="19"/>
      <c r="D20" s="14" t="s">
        <v>56</v>
      </c>
      <c r="E20" s="28">
        <v>1</v>
      </c>
      <c r="F20" s="28"/>
      <c r="G20" s="32">
        <v>18630000</v>
      </c>
      <c r="H20" s="31"/>
    </row>
    <row r="21" spans="1:15" s="1" customFormat="1" ht="19.5" customHeight="1">
      <c r="A21" s="26"/>
      <c r="B21" s="18"/>
      <c r="C21" s="19"/>
      <c r="D21" s="13" t="s">
        <v>57</v>
      </c>
      <c r="E21" s="28">
        <v>1</v>
      </c>
      <c r="F21" s="28"/>
      <c r="G21" s="32">
        <v>26910000</v>
      </c>
      <c r="H21" s="31">
        <f>SUM(G21:G22)</f>
        <v>43470000</v>
      </c>
    </row>
    <row r="22" spans="1:15" s="1" customFormat="1" ht="19.5" customHeight="1" thickBot="1">
      <c r="A22" s="26"/>
      <c r="B22" s="18"/>
      <c r="C22" s="19"/>
      <c r="D22" s="13" t="s">
        <v>58</v>
      </c>
      <c r="E22" s="28">
        <v>1</v>
      </c>
      <c r="F22" s="28"/>
      <c r="G22" s="32">
        <v>16560000</v>
      </c>
      <c r="H22" s="31"/>
    </row>
    <row r="23" spans="1:15" s="1" customFormat="1" ht="19.5" customHeight="1">
      <c r="A23" s="26"/>
      <c r="B23" s="18"/>
      <c r="C23" s="19"/>
      <c r="D23" s="13" t="s">
        <v>59</v>
      </c>
      <c r="E23" s="30">
        <v>1</v>
      </c>
      <c r="F23" s="30"/>
      <c r="G23" s="32">
        <v>28980000.000000004</v>
      </c>
      <c r="H23" s="32">
        <f>G23</f>
        <v>28980000.000000004</v>
      </c>
      <c r="I23" s="11"/>
      <c r="J23" s="11"/>
      <c r="K23" s="11"/>
      <c r="L23" s="11"/>
      <c r="M23" s="11"/>
      <c r="N23" s="11"/>
      <c r="O23" s="11"/>
    </row>
    <row r="24" spans="1:15" s="1" customFormat="1" ht="19.5" customHeight="1">
      <c r="A24" s="26"/>
      <c r="B24" s="18"/>
      <c r="C24" s="19"/>
      <c r="D24" s="14" t="s">
        <v>60</v>
      </c>
      <c r="E24" s="30">
        <v>1</v>
      </c>
      <c r="F24" s="30"/>
      <c r="G24" s="32">
        <v>14490000.000000002</v>
      </c>
      <c r="H24" s="32">
        <f>G24</f>
        <v>14490000.000000002</v>
      </c>
    </row>
    <row r="25" spans="1:15" s="1" customFormat="1" ht="19.5" customHeight="1">
      <c r="A25" s="26"/>
      <c r="B25" s="18"/>
      <c r="C25" s="19"/>
      <c r="D25" s="13" t="s">
        <v>61</v>
      </c>
      <c r="E25" s="30">
        <v>1</v>
      </c>
      <c r="F25" s="30"/>
      <c r="G25" s="32">
        <v>24840000</v>
      </c>
      <c r="H25" s="32">
        <f>G25</f>
        <v>24840000</v>
      </c>
    </row>
    <row r="26" spans="1:15" s="1" customFormat="1" ht="19.5" customHeight="1">
      <c r="A26" s="26"/>
      <c r="B26" s="18"/>
      <c r="C26" s="19"/>
      <c r="D26" s="13" t="s">
        <v>62</v>
      </c>
      <c r="E26" s="30">
        <v>1</v>
      </c>
      <c r="F26" s="30"/>
      <c r="G26" s="32">
        <v>22770000</v>
      </c>
      <c r="H26" s="32">
        <f>G26</f>
        <v>22770000</v>
      </c>
    </row>
    <row r="27" spans="1:15" s="1" customFormat="1" ht="19.5" customHeight="1" thickBot="1">
      <c r="A27" s="33"/>
      <c r="B27" s="20"/>
      <c r="C27" s="21"/>
      <c r="D27" s="22" t="s">
        <v>27</v>
      </c>
      <c r="E27" s="23"/>
      <c r="F27" s="23"/>
      <c r="G27" s="24"/>
      <c r="H27" s="34">
        <f>SUM(H17:H26)</f>
        <v>207000000</v>
      </c>
    </row>
    <row r="28" spans="1:15" s="1" customFormat="1" ht="19.5" customHeight="1">
      <c r="A28" s="35">
        <v>2</v>
      </c>
      <c r="B28" s="25" t="s">
        <v>30</v>
      </c>
      <c r="C28" s="36"/>
      <c r="D28" s="98" t="s">
        <v>43</v>
      </c>
      <c r="E28" s="30">
        <v>1</v>
      </c>
      <c r="F28" s="30"/>
      <c r="G28" s="51">
        <v>16020000</v>
      </c>
      <c r="H28" s="39">
        <f>SUM(G28:G30)</f>
        <v>64080000</v>
      </c>
    </row>
    <row r="29" spans="1:15" s="1" customFormat="1" ht="19.5" customHeight="1">
      <c r="A29" s="40"/>
      <c r="B29" s="41"/>
      <c r="C29" s="42"/>
      <c r="D29" s="97" t="s">
        <v>44</v>
      </c>
      <c r="E29" s="30">
        <v>1</v>
      </c>
      <c r="F29" s="30"/>
      <c r="G29" s="51">
        <v>18690000</v>
      </c>
      <c r="H29" s="45"/>
    </row>
    <row r="30" spans="1:15" s="1" customFormat="1" ht="19.5" customHeight="1">
      <c r="A30" s="40"/>
      <c r="B30" s="41"/>
      <c r="C30" s="42"/>
      <c r="D30" s="13" t="s">
        <v>45</v>
      </c>
      <c r="E30" s="30">
        <v>1</v>
      </c>
      <c r="F30" s="30"/>
      <c r="G30" s="51">
        <v>29370000</v>
      </c>
      <c r="H30" s="48"/>
    </row>
    <row r="31" spans="1:15" s="1" customFormat="1" ht="19.5" customHeight="1">
      <c r="A31" s="40"/>
      <c r="B31" s="41"/>
      <c r="C31" s="42"/>
      <c r="D31" s="13" t="s">
        <v>46</v>
      </c>
      <c r="E31" s="49">
        <v>1</v>
      </c>
      <c r="F31" s="50"/>
      <c r="G31" s="51">
        <v>21360000</v>
      </c>
      <c r="H31" s="51">
        <f>G31</f>
        <v>21360000</v>
      </c>
    </row>
    <row r="32" spans="1:15" s="1" customFormat="1" ht="19.5" customHeight="1">
      <c r="A32" s="40"/>
      <c r="B32" s="41"/>
      <c r="C32" s="42"/>
      <c r="D32" s="13" t="s">
        <v>47</v>
      </c>
      <c r="E32" s="49">
        <v>1</v>
      </c>
      <c r="F32" s="50"/>
      <c r="G32" s="51">
        <v>32040000</v>
      </c>
      <c r="H32" s="54">
        <f>SUM(G32:G33)</f>
        <v>50730000</v>
      </c>
    </row>
    <row r="33" spans="1:8" s="1" customFormat="1" ht="19.5" customHeight="1">
      <c r="A33" s="40"/>
      <c r="B33" s="41"/>
      <c r="C33" s="42"/>
      <c r="D33" s="13" t="s">
        <v>48</v>
      </c>
      <c r="E33" s="49">
        <v>1</v>
      </c>
      <c r="F33" s="50"/>
      <c r="G33" s="51">
        <v>18690000</v>
      </c>
      <c r="H33" s="48"/>
    </row>
    <row r="34" spans="1:8" s="1" customFormat="1" ht="19.5" customHeight="1">
      <c r="A34" s="40"/>
      <c r="B34" s="41"/>
      <c r="C34" s="42"/>
      <c r="D34" s="14" t="s">
        <v>49</v>
      </c>
      <c r="E34" s="49">
        <v>1</v>
      </c>
      <c r="F34" s="50"/>
      <c r="G34" s="51">
        <v>34710000</v>
      </c>
      <c r="H34" s="54">
        <f>SUM(G34:G35)</f>
        <v>50730000</v>
      </c>
    </row>
    <row r="35" spans="1:8" s="1" customFormat="1" ht="19.5" customHeight="1">
      <c r="A35" s="40"/>
      <c r="B35" s="41"/>
      <c r="C35" s="42"/>
      <c r="D35" s="14" t="s">
        <v>50</v>
      </c>
      <c r="E35" s="49">
        <v>1</v>
      </c>
      <c r="F35" s="50"/>
      <c r="G35" s="51">
        <v>16020000</v>
      </c>
      <c r="H35" s="48"/>
    </row>
    <row r="36" spans="1:8" s="1" customFormat="1" ht="19.5" customHeight="1">
      <c r="A36" s="40"/>
      <c r="B36" s="41"/>
      <c r="C36" s="42"/>
      <c r="D36" s="14" t="s">
        <v>51</v>
      </c>
      <c r="E36" s="49">
        <v>1</v>
      </c>
      <c r="F36" s="50"/>
      <c r="G36" s="51">
        <v>29370000</v>
      </c>
      <c r="H36" s="54">
        <f>SUM(G36:G37)</f>
        <v>56070000</v>
      </c>
    </row>
    <row r="37" spans="1:8" s="1" customFormat="1" ht="19.5" customHeight="1">
      <c r="A37" s="40"/>
      <c r="B37" s="41"/>
      <c r="C37" s="42"/>
      <c r="D37" s="14" t="s">
        <v>52</v>
      </c>
      <c r="E37" s="49">
        <v>1</v>
      </c>
      <c r="F37" s="50"/>
      <c r="G37" s="51">
        <v>26700000</v>
      </c>
      <c r="H37" s="48"/>
    </row>
    <row r="38" spans="1:8" s="1" customFormat="1" ht="19.5" customHeight="1">
      <c r="A38" s="40"/>
      <c r="B38" s="41"/>
      <c r="C38" s="42"/>
      <c r="D38" s="15" t="s">
        <v>53</v>
      </c>
      <c r="E38" s="49">
        <v>1</v>
      </c>
      <c r="F38" s="50"/>
      <c r="G38" s="51">
        <v>24030000</v>
      </c>
      <c r="H38" s="51">
        <f>E38*G38</f>
        <v>24030000</v>
      </c>
    </row>
    <row r="39" spans="1:8" s="1" customFormat="1" ht="19.5" customHeight="1" thickBot="1">
      <c r="A39" s="55"/>
      <c r="B39" s="56"/>
      <c r="C39" s="57"/>
      <c r="D39" s="22" t="s">
        <v>27</v>
      </c>
      <c r="E39" s="23"/>
      <c r="F39" s="23"/>
      <c r="G39" s="24"/>
      <c r="H39" s="58">
        <f>SUM(H28:H38)</f>
        <v>267000000</v>
      </c>
    </row>
    <row r="40" spans="1:8" s="1" customFormat="1" ht="19.5" customHeight="1">
      <c r="A40" s="35">
        <v>3</v>
      </c>
      <c r="B40" s="25" t="s">
        <v>31</v>
      </c>
      <c r="C40" s="36"/>
      <c r="D40" s="12" t="s">
        <v>32</v>
      </c>
      <c r="E40" s="30">
        <v>1</v>
      </c>
      <c r="F40" s="30"/>
      <c r="G40" s="51">
        <v>14760000</v>
      </c>
      <c r="H40" s="39">
        <f>SUM(G40:G42)</f>
        <v>59040000</v>
      </c>
    </row>
    <row r="41" spans="1:8" s="1" customFormat="1" ht="19.5" customHeight="1">
      <c r="A41" s="40"/>
      <c r="B41" s="41"/>
      <c r="C41" s="42"/>
      <c r="D41" s="13" t="s">
        <v>33</v>
      </c>
      <c r="E41" s="49">
        <v>1</v>
      </c>
      <c r="F41" s="50"/>
      <c r="G41" s="51">
        <v>17220000</v>
      </c>
      <c r="H41" s="45"/>
    </row>
    <row r="42" spans="1:8" s="1" customFormat="1" ht="19.5" customHeight="1">
      <c r="A42" s="40"/>
      <c r="B42" s="41"/>
      <c r="C42" s="42"/>
      <c r="D42" s="13" t="s">
        <v>34</v>
      </c>
      <c r="E42" s="49">
        <v>1</v>
      </c>
      <c r="F42" s="50"/>
      <c r="G42" s="51">
        <v>27060000</v>
      </c>
      <c r="H42" s="48"/>
    </row>
    <row r="43" spans="1:8" s="1" customFormat="1" ht="19.5" customHeight="1">
      <c r="A43" s="40"/>
      <c r="B43" s="41"/>
      <c r="C43" s="42"/>
      <c r="D43" s="13" t="s">
        <v>35</v>
      </c>
      <c r="E43" s="49">
        <v>1</v>
      </c>
      <c r="F43" s="50"/>
      <c r="G43" s="51">
        <v>19680000</v>
      </c>
      <c r="H43" s="51">
        <f>G43</f>
        <v>19680000</v>
      </c>
    </row>
    <row r="44" spans="1:8" s="1" customFormat="1" ht="19.5" customHeight="1">
      <c r="A44" s="40"/>
      <c r="B44" s="41"/>
      <c r="C44" s="42"/>
      <c r="D44" s="13" t="s">
        <v>36</v>
      </c>
      <c r="E44" s="49">
        <v>1</v>
      </c>
      <c r="F44" s="50"/>
      <c r="G44" s="51">
        <v>29520000</v>
      </c>
      <c r="H44" s="54">
        <f>SUM(G44:G45)</f>
        <v>46740000</v>
      </c>
    </row>
    <row r="45" spans="1:8" s="1" customFormat="1" ht="19.5" customHeight="1">
      <c r="A45" s="40"/>
      <c r="B45" s="41"/>
      <c r="C45" s="42"/>
      <c r="D45" s="13" t="s">
        <v>37</v>
      </c>
      <c r="E45" s="49">
        <v>1</v>
      </c>
      <c r="F45" s="50"/>
      <c r="G45" s="51">
        <v>17220000</v>
      </c>
      <c r="H45" s="48"/>
    </row>
    <row r="46" spans="1:8" s="1" customFormat="1" ht="19.5" customHeight="1">
      <c r="A46" s="40"/>
      <c r="B46" s="41"/>
      <c r="C46" s="42"/>
      <c r="D46" s="13" t="s">
        <v>38</v>
      </c>
      <c r="E46" s="49">
        <v>1</v>
      </c>
      <c r="F46" s="50"/>
      <c r="G46" s="51">
        <v>31980000</v>
      </c>
      <c r="H46" s="54">
        <f>SUM(G46:G47)</f>
        <v>46740000</v>
      </c>
    </row>
    <row r="47" spans="1:8" s="1" customFormat="1" ht="19.5" customHeight="1">
      <c r="A47" s="40"/>
      <c r="B47" s="41"/>
      <c r="C47" s="42"/>
      <c r="D47" s="13" t="s">
        <v>39</v>
      </c>
      <c r="E47" s="49">
        <v>1</v>
      </c>
      <c r="F47" s="50"/>
      <c r="G47" s="51">
        <v>14760000</v>
      </c>
      <c r="H47" s="48"/>
    </row>
    <row r="48" spans="1:8" s="1" customFormat="1" ht="19.5" customHeight="1">
      <c r="A48" s="40"/>
      <c r="B48" s="41"/>
      <c r="C48" s="42"/>
      <c r="D48" s="13" t="s">
        <v>40</v>
      </c>
      <c r="E48" s="49">
        <v>1</v>
      </c>
      <c r="F48" s="50"/>
      <c r="G48" s="51">
        <v>27060000</v>
      </c>
      <c r="H48" s="54">
        <f>SUM(G48:G49)</f>
        <v>51660000</v>
      </c>
    </row>
    <row r="49" spans="1:8" s="1" customFormat="1" ht="19.5" customHeight="1">
      <c r="A49" s="40"/>
      <c r="B49" s="41"/>
      <c r="C49" s="42"/>
      <c r="D49" s="13" t="s">
        <v>41</v>
      </c>
      <c r="E49" s="49">
        <v>1</v>
      </c>
      <c r="F49" s="50"/>
      <c r="G49" s="51">
        <v>24600000</v>
      </c>
      <c r="H49" s="48"/>
    </row>
    <row r="50" spans="1:8" s="1" customFormat="1" ht="19.5" customHeight="1">
      <c r="A50" s="40"/>
      <c r="B50" s="41"/>
      <c r="C50" s="42"/>
      <c r="D50" s="13" t="s">
        <v>42</v>
      </c>
      <c r="E50" s="49">
        <v>1</v>
      </c>
      <c r="F50" s="50"/>
      <c r="G50" s="51">
        <v>22140000</v>
      </c>
      <c r="H50" s="51">
        <f>G50</f>
        <v>22140000</v>
      </c>
    </row>
    <row r="51" spans="1:8" s="1" customFormat="1" ht="19.5" customHeight="1" thickBot="1">
      <c r="A51" s="55"/>
      <c r="B51" s="56"/>
      <c r="C51" s="57"/>
      <c r="D51" s="22" t="s">
        <v>27</v>
      </c>
      <c r="E51" s="23"/>
      <c r="F51" s="23"/>
      <c r="G51" s="24"/>
      <c r="H51" s="58">
        <f>SUM(H40:H50)</f>
        <v>246000000</v>
      </c>
    </row>
    <row r="52" spans="1:8" s="1" customFormat="1" ht="19.5" customHeight="1">
      <c r="A52" s="59" t="s">
        <v>22</v>
      </c>
      <c r="B52" s="60" t="s">
        <v>26</v>
      </c>
      <c r="C52" s="60"/>
      <c r="D52" s="61"/>
      <c r="E52" s="62">
        <f>SUM(E17:F51)</f>
        <v>32</v>
      </c>
      <c r="F52" s="63"/>
      <c r="G52" s="64"/>
      <c r="H52" s="65">
        <f>H51+H39+H27</f>
        <v>720000000</v>
      </c>
    </row>
    <row r="53" spans="1:8" s="1" customFormat="1" ht="15" customHeight="1">
      <c r="A53" s="131"/>
      <c r="B53" s="72" t="s">
        <v>25</v>
      </c>
      <c r="C53" s="72"/>
      <c r="D53" s="72"/>
      <c r="E53" s="72"/>
      <c r="F53" s="72"/>
      <c r="G53" s="72"/>
      <c r="H53" s="132"/>
    </row>
    <row r="54" spans="1:8" s="1" customFormat="1" ht="14" customHeight="1">
      <c r="A54" s="133"/>
      <c r="B54" s="134"/>
      <c r="C54" s="134"/>
      <c r="D54" s="134"/>
      <c r="E54" s="134"/>
      <c r="F54" s="134"/>
      <c r="G54" s="134"/>
      <c r="H54" s="135"/>
    </row>
    <row r="55" spans="1:8" s="1" customFormat="1" ht="14" customHeight="1" thickBot="1">
      <c r="A55" s="136"/>
      <c r="B55" s="137"/>
      <c r="C55" s="137"/>
      <c r="D55" s="137"/>
      <c r="E55" s="137"/>
      <c r="F55" s="137"/>
      <c r="G55" s="137"/>
      <c r="H55" s="138"/>
    </row>
    <row r="56" spans="1:8" s="1" customFormat="1" ht="15" customHeight="1"/>
    <row r="57" spans="1:8" s="1" customFormat="1" ht="15" customHeight="1">
      <c r="A57" s="4"/>
    </row>
    <row r="58" spans="1:8" s="1" customFormat="1" ht="15" customHeight="1">
      <c r="A58" s="4"/>
    </row>
    <row r="59" spans="1:8" s="1" customFormat="1" ht="15" customHeight="1">
      <c r="E59" s="5"/>
    </row>
    <row r="60" spans="1:8" s="1" customFormat="1" ht="15" customHeight="1">
      <c r="E60" s="5"/>
    </row>
    <row r="61" spans="1:8" s="1" customFormat="1" ht="15" customHeight="1">
      <c r="E61" s="5"/>
    </row>
    <row r="62" spans="1:8" s="1" customFormat="1" ht="15" customHeight="1">
      <c r="E62" s="5"/>
    </row>
    <row r="63" spans="1:8" s="1" customFormat="1" ht="15" customHeight="1">
      <c r="E63" s="5"/>
    </row>
    <row r="64" spans="1:8" s="1" customFormat="1" ht="15" customHeight="1">
      <c r="E64" s="5"/>
    </row>
    <row r="65" spans="3:8" s="1" customFormat="1" ht="15" customHeight="1">
      <c r="E65" s="5"/>
      <c r="H65" s="6"/>
    </row>
    <row r="66" spans="3:8" s="1" customFormat="1" ht="15" customHeight="1">
      <c r="E66" s="7"/>
      <c r="F66" s="7"/>
      <c r="H66" s="8"/>
    </row>
    <row r="67" spans="3:8" s="1" customFormat="1" ht="15" customHeight="1">
      <c r="C67" s="6"/>
      <c r="D67" s="9"/>
      <c r="E67" s="7"/>
      <c r="F67" s="7"/>
      <c r="H67" s="8"/>
    </row>
    <row r="68" spans="3:8" s="1" customFormat="1" ht="15" customHeight="1">
      <c r="C68" s="6"/>
      <c r="D68" s="9"/>
      <c r="E68" s="7"/>
      <c r="F68" s="7"/>
      <c r="H68" s="8"/>
    </row>
    <row r="69" spans="3:8" s="1" customFormat="1" ht="15" customHeight="1">
      <c r="C69" s="6"/>
      <c r="D69" s="9"/>
      <c r="E69" s="7"/>
      <c r="F69" s="7"/>
      <c r="H69" s="8"/>
    </row>
    <row r="70" spans="3:8" s="1" customFormat="1" ht="15" customHeight="1">
      <c r="E70" s="7"/>
      <c r="F70" s="7"/>
      <c r="H70" s="8"/>
    </row>
    <row r="71" spans="3:8" s="1" customFormat="1" ht="15" customHeight="1">
      <c r="E71" s="7"/>
      <c r="F71" s="7"/>
      <c r="H71" s="8"/>
    </row>
    <row r="72" spans="3:8" s="1" customFormat="1" ht="15" customHeight="1">
      <c r="D72" s="5"/>
      <c r="E72" s="6"/>
      <c r="F72" s="6"/>
      <c r="H72" s="3"/>
    </row>
    <row r="73" spans="3:8" s="1" customFormat="1" ht="15" customHeight="1">
      <c r="E73" s="6"/>
      <c r="F73" s="6"/>
      <c r="H73" s="3"/>
    </row>
    <row r="74" spans="3:8" s="1" customFormat="1" ht="15" customHeight="1">
      <c r="E74" s="5"/>
    </row>
    <row r="75" spans="3:8" s="1" customFormat="1" ht="15" customHeight="1">
      <c r="E75" s="5"/>
    </row>
    <row r="76" spans="3:8" s="1" customFormat="1" ht="15" customHeight="1">
      <c r="E76" s="5"/>
    </row>
    <row r="77" spans="3:8" s="1" customFormat="1" ht="15" customHeight="1">
      <c r="E77" s="5"/>
    </row>
    <row r="78" spans="3:8" s="1" customFormat="1" ht="15" customHeight="1">
      <c r="E78" s="5"/>
    </row>
    <row r="79" spans="3:8" s="1" customFormat="1" ht="23.25" customHeight="1">
      <c r="E79" s="5"/>
    </row>
    <row r="80" spans="3:8" s="1" customFormat="1" ht="16.5" customHeight="1"/>
    <row r="97" spans="1:8" s="10" customFormat="1" ht="15" thickBot="1">
      <c r="A97" s="1"/>
      <c r="B97" s="1"/>
      <c r="C97" s="1"/>
      <c r="D97" s="1"/>
      <c r="E97" s="1"/>
      <c r="F97" s="1"/>
      <c r="G97" s="1"/>
      <c r="H97" s="1"/>
    </row>
    <row r="104" spans="1:8" s="1" customFormat="1"/>
    <row r="105" spans="1:8" s="1" customFormat="1"/>
    <row r="106" spans="1:8" s="1" customFormat="1"/>
  </sheetData>
  <mergeCells count="81">
    <mergeCell ref="E49:F49"/>
    <mergeCell ref="H32:H33"/>
    <mergeCell ref="H34:H35"/>
    <mergeCell ref="H36:H37"/>
    <mergeCell ref="E32:F32"/>
    <mergeCell ref="E33:F33"/>
    <mergeCell ref="E34:F34"/>
    <mergeCell ref="E35:F35"/>
    <mergeCell ref="E36:F36"/>
    <mergeCell ref="E37:F37"/>
    <mergeCell ref="E9:H9"/>
    <mergeCell ref="C10:D10"/>
    <mergeCell ref="C8:D8"/>
    <mergeCell ref="H18:H20"/>
    <mergeCell ref="E18:F18"/>
    <mergeCell ref="E19:F19"/>
    <mergeCell ref="E20:F20"/>
    <mergeCell ref="E21:F21"/>
    <mergeCell ref="E22:F22"/>
    <mergeCell ref="H44:H45"/>
    <mergeCell ref="A10:B10"/>
    <mergeCell ref="A12:C12"/>
    <mergeCell ref="D12:H12"/>
    <mergeCell ref="A13:C13"/>
    <mergeCell ref="D13:H13"/>
    <mergeCell ref="D14:H14"/>
    <mergeCell ref="E10:H10"/>
    <mergeCell ref="A28:A39"/>
    <mergeCell ref="B28:C39"/>
    <mergeCell ref="D39:G39"/>
    <mergeCell ref="H28:H30"/>
    <mergeCell ref="E4:H4"/>
    <mergeCell ref="E5:H5"/>
    <mergeCell ref="E6:H6"/>
    <mergeCell ref="E7:H7"/>
    <mergeCell ref="E8:H8"/>
    <mergeCell ref="A4:B5"/>
    <mergeCell ref="C4:D4"/>
    <mergeCell ref="A9:B9"/>
    <mergeCell ref="A8:B8"/>
    <mergeCell ref="A6:B6"/>
    <mergeCell ref="A7:B7"/>
    <mergeCell ref="C9:D9"/>
    <mergeCell ref="C5:D5"/>
    <mergeCell ref="C6:D6"/>
    <mergeCell ref="C7:D7"/>
    <mergeCell ref="E17:F17"/>
    <mergeCell ref="E52:F52"/>
    <mergeCell ref="D51:G51"/>
    <mergeCell ref="E31:F31"/>
    <mergeCell ref="E38:F38"/>
    <mergeCell ref="B52:D52"/>
    <mergeCell ref="E25:F25"/>
    <mergeCell ref="E28:F28"/>
    <mergeCell ref="E29:F29"/>
    <mergeCell ref="E30:F30"/>
    <mergeCell ref="E40:F40"/>
    <mergeCell ref="E41:F41"/>
    <mergeCell ref="A40:A51"/>
    <mergeCell ref="B40:C51"/>
    <mergeCell ref="E26:F26"/>
    <mergeCell ref="E50:F50"/>
    <mergeCell ref="E42:F42"/>
    <mergeCell ref="E44:F44"/>
    <mergeCell ref="E45:F45"/>
    <mergeCell ref="E46:F46"/>
    <mergeCell ref="E47:F47"/>
    <mergeCell ref="E48:F48"/>
    <mergeCell ref="A14:C15"/>
    <mergeCell ref="D15:H15"/>
    <mergeCell ref="H46:H47"/>
    <mergeCell ref="H48:H49"/>
    <mergeCell ref="E16:F16"/>
    <mergeCell ref="E23:F23"/>
    <mergeCell ref="E24:F24"/>
    <mergeCell ref="E43:F43"/>
    <mergeCell ref="B17:C27"/>
    <mergeCell ref="H21:H22"/>
    <mergeCell ref="H40:H42"/>
    <mergeCell ref="D27:G27"/>
    <mergeCell ref="A17:A27"/>
  </mergeCells>
  <phoneticPr fontId="5" type="noConversion"/>
  <pageMargins left="0.25" right="0.25" top="0.75" bottom="0.75" header="0.3" footer="0.3"/>
  <pageSetup paperSize="9" scale="72" fitToHeight="0" orientation="portrait" r:id="rId1"/>
  <headerFooter alignWithMargins="0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EB7D-2464-2E4D-96AB-5A6DD99A4091}">
  <sheetPr>
    <pageSetUpPr fitToPage="1"/>
  </sheetPr>
  <dimension ref="A1:O63"/>
  <sheetViews>
    <sheetView zoomScale="150" zoomScaleNormal="150" zoomScaleSheetLayoutView="70" workbookViewId="0">
      <selection activeCell="G2" sqref="G2:G11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55.83203125" style="1" customWidth="1"/>
    <col min="5" max="6" width="2.33203125" style="1" customWidth="1"/>
    <col min="7" max="8" width="15.83203125" style="1" customWidth="1"/>
    <col min="9" max="15" width="1.83203125" style="2" hidden="1" customWidth="1"/>
    <col min="16" max="16384" width="10.83203125" style="2"/>
  </cols>
  <sheetData>
    <row r="1" spans="1:15" s="1" customFormat="1" ht="20" customHeight="1" thickBot="1">
      <c r="A1" s="85" t="s">
        <v>0</v>
      </c>
      <c r="B1" s="86" t="s">
        <v>17</v>
      </c>
      <c r="C1" s="86"/>
      <c r="D1" s="93" t="s">
        <v>18</v>
      </c>
      <c r="E1" s="94" t="s">
        <v>19</v>
      </c>
      <c r="F1" s="95"/>
      <c r="G1" s="93" t="s">
        <v>20</v>
      </c>
      <c r="H1" s="96" t="s">
        <v>21</v>
      </c>
    </row>
    <row r="2" spans="1:15" s="1" customFormat="1" ht="18" customHeight="1">
      <c r="A2" s="27">
        <v>1</v>
      </c>
      <c r="B2" s="16" t="s">
        <v>29</v>
      </c>
      <c r="C2" s="17"/>
      <c r="D2" s="13" t="s">
        <v>54</v>
      </c>
      <c r="E2" s="28">
        <v>1</v>
      </c>
      <c r="F2" s="28"/>
      <c r="G2" s="32">
        <v>14490000.000000002</v>
      </c>
      <c r="H2" s="29">
        <f>E2*G2</f>
        <v>14490000.000000002</v>
      </c>
    </row>
    <row r="3" spans="1:15" s="1" customFormat="1" ht="18" customHeight="1">
      <c r="A3" s="26"/>
      <c r="B3" s="18"/>
      <c r="C3" s="19"/>
      <c r="D3" s="13" t="s">
        <v>63</v>
      </c>
      <c r="E3" s="30">
        <v>1</v>
      </c>
      <c r="F3" s="30"/>
      <c r="G3" s="32">
        <v>16560000</v>
      </c>
      <c r="H3" s="31">
        <f>G3+G4+G5</f>
        <v>57960000</v>
      </c>
    </row>
    <row r="4" spans="1:15" s="1" customFormat="1" ht="18" customHeight="1">
      <c r="A4" s="26"/>
      <c r="B4" s="18"/>
      <c r="C4" s="19"/>
      <c r="D4" s="13" t="s">
        <v>55</v>
      </c>
      <c r="E4" s="30"/>
      <c r="F4" s="30"/>
      <c r="G4" s="32">
        <v>22770000</v>
      </c>
      <c r="H4" s="31"/>
    </row>
    <row r="5" spans="1:15" s="1" customFormat="1" ht="18" customHeight="1">
      <c r="A5" s="26"/>
      <c r="B5" s="18"/>
      <c r="C5" s="19"/>
      <c r="D5" s="14" t="s">
        <v>56</v>
      </c>
      <c r="E5" s="30"/>
      <c r="F5" s="30"/>
      <c r="G5" s="32">
        <v>18630000</v>
      </c>
      <c r="H5" s="31"/>
    </row>
    <row r="6" spans="1:15" s="1" customFormat="1" ht="18" customHeight="1">
      <c r="A6" s="26"/>
      <c r="B6" s="18"/>
      <c r="C6" s="19"/>
      <c r="D6" s="13" t="s">
        <v>57</v>
      </c>
      <c r="E6" s="30">
        <v>1</v>
      </c>
      <c r="F6" s="30"/>
      <c r="G6" s="32">
        <v>26910000</v>
      </c>
      <c r="H6" s="31">
        <f>G6+G7</f>
        <v>43470000</v>
      </c>
    </row>
    <row r="7" spans="1:15" s="1" customFormat="1" ht="18" customHeight="1" thickBot="1">
      <c r="A7" s="26"/>
      <c r="B7" s="18"/>
      <c r="C7" s="19"/>
      <c r="D7" s="13" t="s">
        <v>58</v>
      </c>
      <c r="E7" s="30"/>
      <c r="F7" s="30"/>
      <c r="G7" s="32">
        <v>16560000</v>
      </c>
      <c r="H7" s="31"/>
    </row>
    <row r="8" spans="1:15" s="1" customFormat="1" ht="18" customHeight="1">
      <c r="A8" s="26"/>
      <c r="B8" s="18"/>
      <c r="C8" s="19"/>
      <c r="D8" s="13" t="s">
        <v>59</v>
      </c>
      <c r="E8" s="30">
        <v>1</v>
      </c>
      <c r="F8" s="30"/>
      <c r="G8" s="32">
        <v>28980000.000000004</v>
      </c>
      <c r="H8" s="32">
        <f>E8*G8</f>
        <v>28980000.000000004</v>
      </c>
      <c r="I8" s="11"/>
      <c r="J8" s="11"/>
      <c r="K8" s="11"/>
      <c r="L8" s="11"/>
      <c r="M8" s="11"/>
      <c r="N8" s="11"/>
      <c r="O8" s="11"/>
    </row>
    <row r="9" spans="1:15" s="1" customFormat="1" ht="18" customHeight="1">
      <c r="A9" s="26"/>
      <c r="B9" s="18"/>
      <c r="C9" s="19"/>
      <c r="D9" s="14" t="s">
        <v>60</v>
      </c>
      <c r="E9" s="30">
        <v>1</v>
      </c>
      <c r="F9" s="30"/>
      <c r="G9" s="32">
        <v>14490000.000000002</v>
      </c>
      <c r="H9" s="32">
        <f>E9*G9</f>
        <v>14490000.000000002</v>
      </c>
    </row>
    <row r="10" spans="1:15" s="1" customFormat="1" ht="18" customHeight="1">
      <c r="A10" s="26"/>
      <c r="B10" s="18"/>
      <c r="C10" s="19"/>
      <c r="D10" s="13" t="s">
        <v>61</v>
      </c>
      <c r="E10" s="30">
        <v>1</v>
      </c>
      <c r="F10" s="30"/>
      <c r="G10" s="32">
        <v>24840000</v>
      </c>
      <c r="H10" s="32">
        <f>E10*G10</f>
        <v>24840000</v>
      </c>
    </row>
    <row r="11" spans="1:15" s="1" customFormat="1" ht="18" customHeight="1">
      <c r="A11" s="26"/>
      <c r="B11" s="18"/>
      <c r="C11" s="19"/>
      <c r="D11" s="13" t="s">
        <v>62</v>
      </c>
      <c r="E11" s="30">
        <v>1</v>
      </c>
      <c r="F11" s="30"/>
      <c r="G11" s="32">
        <v>22770000</v>
      </c>
      <c r="H11" s="32">
        <f>E11*G11</f>
        <v>22770000</v>
      </c>
    </row>
    <row r="12" spans="1:15" s="1" customFormat="1" ht="18" customHeight="1" thickBot="1">
      <c r="A12" s="33"/>
      <c r="B12" s="20"/>
      <c r="C12" s="21"/>
      <c r="D12" s="22" t="s">
        <v>27</v>
      </c>
      <c r="E12" s="23"/>
      <c r="F12" s="23"/>
      <c r="G12" s="24"/>
      <c r="H12" s="34">
        <f>SUM(H2:H11)</f>
        <v>207000000</v>
      </c>
    </row>
    <row r="13" spans="1:15" s="1" customFormat="1" ht="15" customHeight="1"/>
    <row r="14" spans="1:15" s="1" customFormat="1" ht="15" customHeight="1">
      <c r="A14" s="4"/>
    </row>
    <row r="15" spans="1:15" s="1" customFormat="1" ht="15" customHeight="1">
      <c r="A15" s="4"/>
    </row>
    <row r="16" spans="1:15" s="1" customFormat="1" ht="15" customHeight="1">
      <c r="E16" s="5"/>
    </row>
    <row r="17" spans="3:8" s="1" customFormat="1" ht="15" customHeight="1">
      <c r="E17" s="5"/>
    </row>
    <row r="18" spans="3:8" s="1" customFormat="1" ht="15" customHeight="1">
      <c r="E18" s="5"/>
    </row>
    <row r="19" spans="3:8" s="1" customFormat="1" ht="15" customHeight="1">
      <c r="E19" s="5"/>
    </row>
    <row r="20" spans="3:8" s="1" customFormat="1" ht="15" customHeight="1">
      <c r="E20" s="5"/>
    </row>
    <row r="21" spans="3:8" s="1" customFormat="1" ht="15" customHeight="1">
      <c r="E21" s="5"/>
    </row>
    <row r="22" spans="3:8" s="1" customFormat="1" ht="15" customHeight="1">
      <c r="E22" s="5"/>
      <c r="H22" s="6"/>
    </row>
    <row r="23" spans="3:8" s="1" customFormat="1" ht="15" customHeight="1">
      <c r="E23" s="7"/>
      <c r="F23" s="7"/>
      <c r="H23" s="8"/>
    </row>
    <row r="24" spans="3:8" s="1" customFormat="1" ht="15" customHeight="1">
      <c r="C24" s="6"/>
      <c r="D24" s="9"/>
      <c r="E24" s="7"/>
      <c r="F24" s="7"/>
      <c r="H24" s="8"/>
    </row>
    <row r="25" spans="3:8" s="1" customFormat="1" ht="15" customHeight="1">
      <c r="C25" s="6"/>
      <c r="D25" s="9"/>
      <c r="E25" s="7"/>
      <c r="F25" s="7"/>
      <c r="H25" s="8"/>
    </row>
    <row r="26" spans="3:8" s="1" customFormat="1" ht="15" customHeight="1">
      <c r="C26" s="6"/>
      <c r="D26" s="9"/>
      <c r="E26" s="7"/>
      <c r="F26" s="7"/>
      <c r="H26" s="8"/>
    </row>
    <row r="27" spans="3:8" s="1" customFormat="1" ht="15" customHeight="1">
      <c r="E27" s="7"/>
      <c r="F27" s="7"/>
      <c r="H27" s="8"/>
    </row>
    <row r="28" spans="3:8" s="1" customFormat="1" ht="15" customHeight="1">
      <c r="E28" s="7"/>
      <c r="F28" s="7"/>
      <c r="H28" s="8"/>
    </row>
    <row r="29" spans="3:8" s="1" customFormat="1" ht="15" customHeight="1">
      <c r="D29" s="5"/>
      <c r="E29" s="6"/>
      <c r="F29" s="6"/>
      <c r="H29" s="3"/>
    </row>
    <row r="30" spans="3:8" s="1" customFormat="1" ht="15" customHeight="1">
      <c r="E30" s="6"/>
      <c r="F30" s="6"/>
      <c r="H30" s="3"/>
    </row>
    <row r="31" spans="3:8" s="1" customFormat="1" ht="15" customHeight="1">
      <c r="E31" s="5"/>
    </row>
    <row r="32" spans="3:8" s="1" customFormat="1" ht="15" customHeight="1">
      <c r="E32" s="5"/>
    </row>
    <row r="33" spans="5:5" s="1" customFormat="1" ht="15" customHeight="1">
      <c r="E33" s="5"/>
    </row>
    <row r="34" spans="5:5" s="1" customFormat="1" ht="15" customHeight="1">
      <c r="E34" s="5"/>
    </row>
    <row r="35" spans="5:5" s="1" customFormat="1" ht="15" customHeight="1">
      <c r="E35" s="5"/>
    </row>
    <row r="36" spans="5:5" s="1" customFormat="1" ht="23.25" customHeight="1">
      <c r="E36" s="5"/>
    </row>
    <row r="37" spans="5:5" s="1" customFormat="1" ht="16.5" customHeight="1"/>
    <row r="54" spans="1:8" s="10" customFormat="1" ht="15" thickBot="1">
      <c r="A54" s="1"/>
      <c r="B54" s="1"/>
      <c r="C54" s="1"/>
      <c r="D54" s="1"/>
      <c r="E54" s="1"/>
      <c r="F54" s="1"/>
      <c r="G54" s="1"/>
      <c r="H54" s="1"/>
    </row>
    <row r="61" spans="1:8" s="1" customFormat="1"/>
    <row r="62" spans="1:8" s="1" customFormat="1"/>
    <row r="63" spans="1:8" s="1" customFormat="1"/>
  </sheetData>
  <mergeCells count="13">
    <mergeCell ref="H3:H5"/>
    <mergeCell ref="E6:F7"/>
    <mergeCell ref="H6:H7"/>
    <mergeCell ref="E8:F8"/>
    <mergeCell ref="E9:F9"/>
    <mergeCell ref="E1:F1"/>
    <mergeCell ref="A2:A12"/>
    <mergeCell ref="B2:C12"/>
    <mergeCell ref="E2:F2"/>
    <mergeCell ref="E3:F5"/>
    <mergeCell ref="E10:F10"/>
    <mergeCell ref="E11:F11"/>
    <mergeCell ref="D12:G12"/>
  </mergeCells>
  <phoneticPr fontId="1" type="noConversion"/>
  <pageMargins left="0.25" right="0.25" top="0.75" bottom="0.75" header="0.3" footer="0.3"/>
  <pageSetup paperSize="9" scale="72" fitToHeight="0" orientation="portrait" r:id="rId1"/>
  <headerFooter alignWithMargins="0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01DA-1A12-6E43-AD8C-D11DCD1DC0DB}">
  <sheetPr>
    <pageSetUpPr fitToPage="1"/>
  </sheetPr>
  <dimension ref="A1:O64"/>
  <sheetViews>
    <sheetView zoomScale="150" zoomScaleNormal="150" zoomScaleSheetLayoutView="70" workbookViewId="0">
      <selection activeCell="D16" sqref="D16:D26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55.83203125" style="1" customWidth="1"/>
    <col min="5" max="6" width="2.33203125" style="1" customWidth="1"/>
    <col min="7" max="8" width="15.83203125" style="1" customWidth="1"/>
    <col min="9" max="15" width="1.83203125" style="2" hidden="1" customWidth="1"/>
    <col min="16" max="16384" width="10.83203125" style="2"/>
  </cols>
  <sheetData>
    <row r="1" spans="1:8" s="1" customFormat="1" ht="20" customHeight="1" thickBot="1">
      <c r="A1" s="85" t="s">
        <v>0</v>
      </c>
      <c r="B1" s="86" t="s">
        <v>17</v>
      </c>
      <c r="C1" s="86"/>
      <c r="D1" s="93" t="s">
        <v>18</v>
      </c>
      <c r="E1" s="94" t="s">
        <v>19</v>
      </c>
      <c r="F1" s="95"/>
      <c r="G1" s="93" t="s">
        <v>20</v>
      </c>
      <c r="H1" s="96" t="s">
        <v>21</v>
      </c>
    </row>
    <row r="2" spans="1:8" s="1" customFormat="1" ht="18" customHeight="1">
      <c r="A2" s="35">
        <v>2</v>
      </c>
      <c r="B2" s="25" t="s">
        <v>30</v>
      </c>
      <c r="C2" s="36"/>
      <c r="D2" s="98" t="s">
        <v>43</v>
      </c>
      <c r="E2" s="37">
        <v>1</v>
      </c>
      <c r="F2" s="38"/>
      <c r="G2" s="51">
        <v>16020000</v>
      </c>
      <c r="H2" s="39">
        <f>SUM(G2:G4)</f>
        <v>64080000</v>
      </c>
    </row>
    <row r="3" spans="1:8" s="1" customFormat="1" ht="18" customHeight="1">
      <c r="A3" s="40"/>
      <c r="B3" s="41"/>
      <c r="C3" s="42"/>
      <c r="D3" s="97" t="s">
        <v>44</v>
      </c>
      <c r="E3" s="43"/>
      <c r="F3" s="44"/>
      <c r="G3" s="51">
        <v>18690000</v>
      </c>
      <c r="H3" s="45"/>
    </row>
    <row r="4" spans="1:8" s="1" customFormat="1" ht="18" customHeight="1">
      <c r="A4" s="40"/>
      <c r="B4" s="41"/>
      <c r="C4" s="42"/>
      <c r="D4" s="13" t="s">
        <v>45</v>
      </c>
      <c r="E4" s="46"/>
      <c r="F4" s="47"/>
      <c r="G4" s="51">
        <v>29370000</v>
      </c>
      <c r="H4" s="48"/>
    </row>
    <row r="5" spans="1:8" s="1" customFormat="1" ht="18" customHeight="1">
      <c r="A5" s="40"/>
      <c r="B5" s="41"/>
      <c r="C5" s="42"/>
      <c r="D5" s="13" t="s">
        <v>46</v>
      </c>
      <c r="E5" s="49">
        <v>1</v>
      </c>
      <c r="F5" s="50"/>
      <c r="G5" s="51">
        <v>21360000</v>
      </c>
      <c r="H5" s="51">
        <f>G5</f>
        <v>21360000</v>
      </c>
    </row>
    <row r="6" spans="1:8" s="1" customFormat="1" ht="18" customHeight="1">
      <c r="A6" s="40"/>
      <c r="B6" s="41"/>
      <c r="C6" s="42"/>
      <c r="D6" s="13" t="s">
        <v>47</v>
      </c>
      <c r="E6" s="52">
        <v>1</v>
      </c>
      <c r="F6" s="53"/>
      <c r="G6" s="51">
        <v>32040000</v>
      </c>
      <c r="H6" s="54">
        <f>SUM(G6:G7)</f>
        <v>50730000</v>
      </c>
    </row>
    <row r="7" spans="1:8" s="1" customFormat="1" ht="18" customHeight="1">
      <c r="A7" s="40"/>
      <c r="B7" s="41"/>
      <c r="C7" s="42"/>
      <c r="D7" s="13" t="s">
        <v>48</v>
      </c>
      <c r="E7" s="46"/>
      <c r="F7" s="47"/>
      <c r="G7" s="51">
        <v>18690000</v>
      </c>
      <c r="H7" s="48"/>
    </row>
    <row r="8" spans="1:8" s="1" customFormat="1" ht="17" customHeight="1">
      <c r="A8" s="40"/>
      <c r="B8" s="41"/>
      <c r="C8" s="42"/>
      <c r="D8" s="14" t="s">
        <v>49</v>
      </c>
      <c r="E8" s="52">
        <v>1</v>
      </c>
      <c r="F8" s="53"/>
      <c r="G8" s="51">
        <v>34710000</v>
      </c>
      <c r="H8" s="54">
        <f>SUM(G8:G9)</f>
        <v>50730000</v>
      </c>
    </row>
    <row r="9" spans="1:8" s="1" customFormat="1" ht="18" customHeight="1">
      <c r="A9" s="40"/>
      <c r="B9" s="41"/>
      <c r="C9" s="42"/>
      <c r="D9" s="14" t="s">
        <v>50</v>
      </c>
      <c r="E9" s="46"/>
      <c r="F9" s="47"/>
      <c r="G9" s="51">
        <v>16020000</v>
      </c>
      <c r="H9" s="48"/>
    </row>
    <row r="10" spans="1:8" s="1" customFormat="1" ht="18" customHeight="1">
      <c r="A10" s="40"/>
      <c r="B10" s="41"/>
      <c r="C10" s="42"/>
      <c r="D10" s="14" t="s">
        <v>51</v>
      </c>
      <c r="E10" s="52">
        <v>1</v>
      </c>
      <c r="F10" s="53"/>
      <c r="G10" s="51">
        <v>29370000</v>
      </c>
      <c r="H10" s="54">
        <f>SUM(G10:G11)</f>
        <v>56070000</v>
      </c>
    </row>
    <row r="11" spans="1:8" s="1" customFormat="1" ht="18" customHeight="1">
      <c r="A11" s="40"/>
      <c r="B11" s="41"/>
      <c r="C11" s="42"/>
      <c r="D11" s="14" t="s">
        <v>52</v>
      </c>
      <c r="E11" s="46"/>
      <c r="F11" s="47"/>
      <c r="G11" s="51">
        <v>26700000</v>
      </c>
      <c r="H11" s="48"/>
    </row>
    <row r="12" spans="1:8" s="1" customFormat="1" ht="18" customHeight="1">
      <c r="A12" s="40"/>
      <c r="B12" s="41"/>
      <c r="C12" s="42"/>
      <c r="D12" s="15" t="s">
        <v>53</v>
      </c>
      <c r="E12" s="49">
        <v>1</v>
      </c>
      <c r="F12" s="50"/>
      <c r="G12" s="51">
        <v>24030000</v>
      </c>
      <c r="H12" s="51">
        <f>G12</f>
        <v>24030000</v>
      </c>
    </row>
    <row r="13" spans="1:8" s="1" customFormat="1" ht="18" customHeight="1" thickBot="1">
      <c r="A13" s="55"/>
      <c r="B13" s="56"/>
      <c r="C13" s="57"/>
      <c r="D13" s="22" t="s">
        <v>27</v>
      </c>
      <c r="E13" s="23"/>
      <c r="F13" s="23"/>
      <c r="G13" s="24"/>
      <c r="H13" s="58">
        <f>SUM(H2:H12)</f>
        <v>267000000</v>
      </c>
    </row>
    <row r="14" spans="1:8" s="1" customFormat="1" ht="15" customHeight="1"/>
    <row r="15" spans="1:8" s="1" customFormat="1" ht="15" customHeight="1">
      <c r="A15" s="4"/>
    </row>
    <row r="16" spans="1:8" s="1" customFormat="1" ht="15" customHeight="1">
      <c r="A16" s="4"/>
      <c r="D16" s="51">
        <v>16020000</v>
      </c>
    </row>
    <row r="17" spans="3:8" s="1" customFormat="1" ht="15" customHeight="1">
      <c r="D17" s="51">
        <v>18690000</v>
      </c>
      <c r="E17" s="5"/>
    </row>
    <row r="18" spans="3:8" s="1" customFormat="1" ht="15" customHeight="1">
      <c r="D18" s="51">
        <v>29370000</v>
      </c>
      <c r="E18" s="5"/>
    </row>
    <row r="19" spans="3:8" s="1" customFormat="1" ht="15" customHeight="1">
      <c r="D19" s="51">
        <v>21360000</v>
      </c>
      <c r="E19" s="5"/>
    </row>
    <row r="20" spans="3:8" s="1" customFormat="1" ht="15" customHeight="1">
      <c r="D20" s="51">
        <v>32040000</v>
      </c>
      <c r="E20" s="5"/>
    </row>
    <row r="21" spans="3:8" s="1" customFormat="1" ht="15" customHeight="1">
      <c r="D21" s="51">
        <v>18690000</v>
      </c>
      <c r="E21" s="5"/>
    </row>
    <row r="22" spans="3:8" s="1" customFormat="1" ht="15" customHeight="1">
      <c r="D22" s="51">
        <v>34710000</v>
      </c>
      <c r="E22" s="5"/>
    </row>
    <row r="23" spans="3:8" s="1" customFormat="1" ht="15" customHeight="1">
      <c r="D23" s="51">
        <v>16020000</v>
      </c>
      <c r="E23" s="5"/>
      <c r="H23" s="6"/>
    </row>
    <row r="24" spans="3:8" s="1" customFormat="1" ht="15" customHeight="1">
      <c r="D24" s="51">
        <v>29370000</v>
      </c>
      <c r="E24" s="7"/>
      <c r="F24" s="7"/>
      <c r="H24" s="8"/>
    </row>
    <row r="25" spans="3:8" s="1" customFormat="1" ht="15" customHeight="1">
      <c r="C25" s="6"/>
      <c r="D25" s="51">
        <v>26700000</v>
      </c>
      <c r="E25" s="7"/>
      <c r="F25" s="7"/>
      <c r="H25" s="8"/>
    </row>
    <row r="26" spans="3:8" s="1" customFormat="1" ht="15" customHeight="1">
      <c r="C26" s="6"/>
      <c r="D26" s="51">
        <v>24030000</v>
      </c>
      <c r="E26" s="7"/>
      <c r="F26" s="7"/>
      <c r="H26" s="8"/>
    </row>
    <row r="27" spans="3:8" s="1" customFormat="1" ht="15" customHeight="1">
      <c r="C27" s="6"/>
      <c r="D27" s="9"/>
      <c r="E27" s="7"/>
      <c r="F27" s="7"/>
      <c r="H27" s="8"/>
    </row>
    <row r="28" spans="3:8" s="1" customFormat="1" ht="15" customHeight="1">
      <c r="E28" s="7"/>
      <c r="F28" s="7"/>
      <c r="H28" s="8"/>
    </row>
    <row r="29" spans="3:8" s="1" customFormat="1" ht="15" customHeight="1">
      <c r="E29" s="7"/>
      <c r="F29" s="7"/>
      <c r="H29" s="8"/>
    </row>
    <row r="30" spans="3:8" s="1" customFormat="1" ht="15" customHeight="1">
      <c r="D30" s="5"/>
      <c r="E30" s="6"/>
      <c r="F30" s="6"/>
      <c r="H30" s="3"/>
    </row>
    <row r="31" spans="3:8" s="1" customFormat="1" ht="15" customHeight="1">
      <c r="E31" s="6"/>
      <c r="F31" s="6"/>
      <c r="H31" s="3"/>
    </row>
    <row r="32" spans="3:8" s="1" customFormat="1" ht="15" customHeight="1">
      <c r="E32" s="5"/>
    </row>
    <row r="33" spans="5:5" s="1" customFormat="1" ht="15" customHeight="1">
      <c r="E33" s="5"/>
    </row>
    <row r="34" spans="5:5" s="1" customFormat="1" ht="15" customHeight="1">
      <c r="E34" s="5"/>
    </row>
    <row r="35" spans="5:5" s="1" customFormat="1" ht="15" customHeight="1">
      <c r="E35" s="5"/>
    </row>
    <row r="36" spans="5:5" s="1" customFormat="1" ht="15" customHeight="1">
      <c r="E36" s="5"/>
    </row>
    <row r="37" spans="5:5" s="1" customFormat="1" ht="23.25" customHeight="1">
      <c r="E37" s="5"/>
    </row>
    <row r="38" spans="5:5" s="1" customFormat="1" ht="16.5" customHeight="1"/>
    <row r="55" spans="1:8" s="10" customFormat="1" ht="15" thickBot="1">
      <c r="A55" s="1"/>
      <c r="B55" s="1"/>
      <c r="C55" s="1"/>
      <c r="D55" s="1"/>
      <c r="E55" s="1"/>
      <c r="F55" s="1"/>
      <c r="G55" s="1"/>
      <c r="H55" s="1"/>
    </row>
    <row r="62" spans="1:8" s="1" customFormat="1"/>
    <row r="63" spans="1:8" s="1" customFormat="1"/>
    <row r="64" spans="1:8" s="1" customFormat="1"/>
  </sheetData>
  <mergeCells count="14">
    <mergeCell ref="D13:G13"/>
    <mergeCell ref="H8:H9"/>
    <mergeCell ref="E10:F11"/>
    <mergeCell ref="H10:H11"/>
    <mergeCell ref="E12:F12"/>
    <mergeCell ref="A2:A13"/>
    <mergeCell ref="B2:C13"/>
    <mergeCell ref="E2:F4"/>
    <mergeCell ref="H2:H4"/>
    <mergeCell ref="E5:F5"/>
    <mergeCell ref="E6:F7"/>
    <mergeCell ref="H6:H7"/>
    <mergeCell ref="E8:F9"/>
    <mergeCell ref="E1:F1"/>
  </mergeCells>
  <phoneticPr fontId="1" type="noConversion"/>
  <pageMargins left="0.25" right="0.25" top="0.75" bottom="0.75" header="0.3" footer="0.3"/>
  <pageSetup paperSize="9" scale="72" fitToHeight="0" orientation="portrait" r:id="rId1"/>
  <headerFooter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95BC-6376-E941-B2B9-27BFA2660FC3}">
  <sheetPr>
    <pageSetUpPr fitToPage="1"/>
  </sheetPr>
  <dimension ref="A1:O64"/>
  <sheetViews>
    <sheetView zoomScale="150" zoomScaleNormal="150" zoomScaleSheetLayoutView="70" workbookViewId="0">
      <selection activeCell="D16" sqref="D16:D26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55.83203125" style="1" customWidth="1"/>
    <col min="5" max="6" width="2.33203125" style="1" customWidth="1"/>
    <col min="7" max="8" width="15.83203125" style="1" customWidth="1"/>
    <col min="9" max="15" width="1.83203125" style="2" hidden="1" customWidth="1"/>
    <col min="16" max="16384" width="10.83203125" style="2"/>
  </cols>
  <sheetData>
    <row r="1" spans="1:8" s="1" customFormat="1" ht="20" customHeight="1" thickBot="1">
      <c r="A1" s="85" t="s">
        <v>0</v>
      </c>
      <c r="B1" s="86" t="s">
        <v>17</v>
      </c>
      <c r="C1" s="86"/>
      <c r="D1" s="93" t="s">
        <v>18</v>
      </c>
      <c r="E1" s="94" t="s">
        <v>19</v>
      </c>
      <c r="F1" s="95"/>
      <c r="G1" s="93" t="s">
        <v>20</v>
      </c>
      <c r="H1" s="96" t="s">
        <v>21</v>
      </c>
    </row>
    <row r="2" spans="1:8" s="1" customFormat="1" ht="18" customHeight="1">
      <c r="A2" s="35">
        <v>3</v>
      </c>
      <c r="B2" s="25" t="s">
        <v>31</v>
      </c>
      <c r="C2" s="36"/>
      <c r="D2" s="12" t="s">
        <v>32</v>
      </c>
      <c r="E2" s="37">
        <v>1</v>
      </c>
      <c r="F2" s="38"/>
      <c r="G2" s="51">
        <v>14760000</v>
      </c>
      <c r="H2" s="39">
        <f>SUM(G2:G4)</f>
        <v>59040000</v>
      </c>
    </row>
    <row r="3" spans="1:8" s="1" customFormat="1" ht="18" customHeight="1">
      <c r="A3" s="40"/>
      <c r="B3" s="41"/>
      <c r="C3" s="42"/>
      <c r="D3" s="13" t="s">
        <v>33</v>
      </c>
      <c r="E3" s="43"/>
      <c r="F3" s="44"/>
      <c r="G3" s="51">
        <v>17220000</v>
      </c>
      <c r="H3" s="45"/>
    </row>
    <row r="4" spans="1:8" s="1" customFormat="1" ht="18" customHeight="1">
      <c r="A4" s="40"/>
      <c r="B4" s="41"/>
      <c r="C4" s="42"/>
      <c r="D4" s="13" t="s">
        <v>34</v>
      </c>
      <c r="E4" s="46"/>
      <c r="F4" s="47"/>
      <c r="G4" s="51">
        <v>27060000</v>
      </c>
      <c r="H4" s="48"/>
    </row>
    <row r="5" spans="1:8" s="1" customFormat="1" ht="18" customHeight="1">
      <c r="A5" s="40"/>
      <c r="B5" s="41"/>
      <c r="C5" s="42"/>
      <c r="D5" s="13" t="s">
        <v>35</v>
      </c>
      <c r="E5" s="49">
        <v>1</v>
      </c>
      <c r="F5" s="50"/>
      <c r="G5" s="51">
        <v>19680000</v>
      </c>
      <c r="H5" s="51">
        <f>G5</f>
        <v>19680000</v>
      </c>
    </row>
    <row r="6" spans="1:8" s="1" customFormat="1" ht="18" customHeight="1">
      <c r="A6" s="40"/>
      <c r="B6" s="41"/>
      <c r="C6" s="42"/>
      <c r="D6" s="13" t="s">
        <v>36</v>
      </c>
      <c r="E6" s="52">
        <v>1</v>
      </c>
      <c r="F6" s="53"/>
      <c r="G6" s="51">
        <v>29520000</v>
      </c>
      <c r="H6" s="54">
        <f>SUM(G6:G7)</f>
        <v>46740000</v>
      </c>
    </row>
    <row r="7" spans="1:8" s="1" customFormat="1" ht="18" customHeight="1">
      <c r="A7" s="40"/>
      <c r="B7" s="41"/>
      <c r="C7" s="42"/>
      <c r="D7" s="13" t="s">
        <v>37</v>
      </c>
      <c r="E7" s="46"/>
      <c r="F7" s="47"/>
      <c r="G7" s="51">
        <v>17220000</v>
      </c>
      <c r="H7" s="48"/>
    </row>
    <row r="8" spans="1:8" s="1" customFormat="1" ht="17" customHeight="1">
      <c r="A8" s="40"/>
      <c r="B8" s="41"/>
      <c r="C8" s="42"/>
      <c r="D8" s="13" t="s">
        <v>38</v>
      </c>
      <c r="E8" s="52">
        <v>1</v>
      </c>
      <c r="F8" s="53"/>
      <c r="G8" s="51">
        <v>31980000</v>
      </c>
      <c r="H8" s="54">
        <f>SUM(G8:G9)</f>
        <v>46740000</v>
      </c>
    </row>
    <row r="9" spans="1:8" s="1" customFormat="1" ht="18" customHeight="1">
      <c r="A9" s="40"/>
      <c r="B9" s="41"/>
      <c r="C9" s="42"/>
      <c r="D9" s="13" t="s">
        <v>39</v>
      </c>
      <c r="E9" s="46"/>
      <c r="F9" s="47"/>
      <c r="G9" s="51">
        <v>14760000</v>
      </c>
      <c r="H9" s="48"/>
    </row>
    <row r="10" spans="1:8" s="1" customFormat="1" ht="18" customHeight="1">
      <c r="A10" s="40"/>
      <c r="B10" s="41"/>
      <c r="C10" s="42"/>
      <c r="D10" s="13" t="s">
        <v>40</v>
      </c>
      <c r="E10" s="52">
        <v>1</v>
      </c>
      <c r="F10" s="53"/>
      <c r="G10" s="51">
        <v>27060000</v>
      </c>
      <c r="H10" s="54">
        <f>SUM(G10:G11)</f>
        <v>51660000</v>
      </c>
    </row>
    <row r="11" spans="1:8" s="1" customFormat="1" ht="18" customHeight="1">
      <c r="A11" s="40"/>
      <c r="B11" s="41"/>
      <c r="C11" s="42"/>
      <c r="D11" s="13" t="s">
        <v>41</v>
      </c>
      <c r="E11" s="46"/>
      <c r="F11" s="47"/>
      <c r="G11" s="51">
        <v>24600000</v>
      </c>
      <c r="H11" s="48"/>
    </row>
    <row r="12" spans="1:8" s="1" customFormat="1" ht="18" customHeight="1">
      <c r="A12" s="40"/>
      <c r="B12" s="41"/>
      <c r="C12" s="42"/>
      <c r="D12" s="13" t="s">
        <v>42</v>
      </c>
      <c r="E12" s="49">
        <v>1</v>
      </c>
      <c r="F12" s="50"/>
      <c r="G12" s="51">
        <v>22140000</v>
      </c>
      <c r="H12" s="51">
        <f>G12</f>
        <v>22140000</v>
      </c>
    </row>
    <row r="13" spans="1:8" s="1" customFormat="1" ht="18" customHeight="1" thickBot="1">
      <c r="A13" s="55"/>
      <c r="B13" s="56"/>
      <c r="C13" s="57"/>
      <c r="D13" s="22" t="s">
        <v>27</v>
      </c>
      <c r="E13" s="23"/>
      <c r="F13" s="23"/>
      <c r="G13" s="24"/>
      <c r="H13" s="58">
        <f>SUM(H2:H12)</f>
        <v>246000000</v>
      </c>
    </row>
    <row r="14" spans="1:8" s="1" customFormat="1" ht="15" customHeight="1"/>
    <row r="15" spans="1:8" s="1" customFormat="1" ht="15" customHeight="1">
      <c r="A15" s="4"/>
    </row>
    <row r="16" spans="1:8" s="1" customFormat="1" ht="15" customHeight="1">
      <c r="A16" s="4"/>
      <c r="D16" s="51">
        <v>14760000</v>
      </c>
    </row>
    <row r="17" spans="3:8" s="1" customFormat="1" ht="15" customHeight="1">
      <c r="D17" s="51">
        <v>17220000</v>
      </c>
      <c r="E17" s="5"/>
    </row>
    <row r="18" spans="3:8" s="1" customFormat="1" ht="15" customHeight="1">
      <c r="D18" s="51">
        <v>27060000</v>
      </c>
      <c r="E18" s="5"/>
    </row>
    <row r="19" spans="3:8" s="1" customFormat="1" ht="15" customHeight="1">
      <c r="D19" s="51">
        <v>19680000</v>
      </c>
      <c r="E19" s="5"/>
    </row>
    <row r="20" spans="3:8" s="1" customFormat="1" ht="15" customHeight="1">
      <c r="D20" s="51">
        <v>29520000</v>
      </c>
      <c r="E20" s="5"/>
    </row>
    <row r="21" spans="3:8" s="1" customFormat="1" ht="15" customHeight="1">
      <c r="D21" s="51">
        <v>17220000</v>
      </c>
      <c r="E21" s="5"/>
    </row>
    <row r="22" spans="3:8" s="1" customFormat="1" ht="15" customHeight="1">
      <c r="D22" s="51">
        <v>31980000</v>
      </c>
      <c r="E22" s="5"/>
    </row>
    <row r="23" spans="3:8" s="1" customFormat="1" ht="15" customHeight="1">
      <c r="D23" s="51">
        <v>14760000</v>
      </c>
      <c r="E23" s="5"/>
      <c r="H23" s="6"/>
    </row>
    <row r="24" spans="3:8" s="1" customFormat="1" ht="15" customHeight="1">
      <c r="D24" s="51">
        <v>27060000</v>
      </c>
      <c r="E24" s="7"/>
      <c r="F24" s="7"/>
      <c r="H24" s="8"/>
    </row>
    <row r="25" spans="3:8" s="1" customFormat="1" ht="15" customHeight="1">
      <c r="C25" s="6"/>
      <c r="D25" s="51">
        <v>24600000</v>
      </c>
      <c r="E25" s="7"/>
      <c r="F25" s="7"/>
      <c r="H25" s="8"/>
    </row>
    <row r="26" spans="3:8" s="1" customFormat="1" ht="15" customHeight="1">
      <c r="C26" s="6"/>
      <c r="D26" s="51">
        <v>22140000</v>
      </c>
      <c r="E26" s="7"/>
      <c r="F26" s="7"/>
      <c r="H26" s="8"/>
    </row>
    <row r="27" spans="3:8" s="1" customFormat="1" ht="15" customHeight="1">
      <c r="C27" s="6"/>
      <c r="D27" s="9"/>
      <c r="E27" s="7"/>
      <c r="F27" s="7"/>
      <c r="H27" s="8"/>
    </row>
    <row r="28" spans="3:8" s="1" customFormat="1" ht="15" customHeight="1">
      <c r="E28" s="7"/>
      <c r="F28" s="7"/>
      <c r="H28" s="8"/>
    </row>
    <row r="29" spans="3:8" s="1" customFormat="1" ht="15" customHeight="1">
      <c r="E29" s="7"/>
      <c r="F29" s="7"/>
      <c r="H29" s="8"/>
    </row>
    <row r="30" spans="3:8" s="1" customFormat="1" ht="15" customHeight="1">
      <c r="D30" s="5"/>
      <c r="E30" s="6"/>
      <c r="F30" s="6"/>
      <c r="H30" s="3"/>
    </row>
    <row r="31" spans="3:8" s="1" customFormat="1" ht="15" customHeight="1">
      <c r="E31" s="6"/>
      <c r="F31" s="6"/>
      <c r="H31" s="3"/>
    </row>
    <row r="32" spans="3:8" s="1" customFormat="1" ht="15" customHeight="1">
      <c r="E32" s="5"/>
    </row>
    <row r="33" spans="5:5" s="1" customFormat="1" ht="15" customHeight="1">
      <c r="E33" s="5"/>
    </row>
    <row r="34" spans="5:5" s="1" customFormat="1" ht="15" customHeight="1">
      <c r="E34" s="5"/>
    </row>
    <row r="35" spans="5:5" s="1" customFormat="1" ht="15" customHeight="1">
      <c r="E35" s="5"/>
    </row>
    <row r="36" spans="5:5" s="1" customFormat="1" ht="15" customHeight="1">
      <c r="E36" s="5"/>
    </row>
    <row r="37" spans="5:5" s="1" customFormat="1" ht="23.25" customHeight="1">
      <c r="E37" s="5"/>
    </row>
    <row r="38" spans="5:5" s="1" customFormat="1" ht="16.5" customHeight="1"/>
    <row r="55" spans="1:8" s="10" customFormat="1" ht="15" thickBot="1">
      <c r="A55" s="1"/>
      <c r="B55" s="1"/>
      <c r="C55" s="1"/>
      <c r="D55" s="1"/>
      <c r="E55" s="1"/>
      <c r="F55" s="1"/>
      <c r="G55" s="1"/>
      <c r="H55" s="1"/>
    </row>
    <row r="62" spans="1:8" s="1" customFormat="1"/>
    <row r="63" spans="1:8" s="1" customFormat="1"/>
    <row r="64" spans="1:8" s="1" customFormat="1"/>
  </sheetData>
  <mergeCells count="14">
    <mergeCell ref="E12:F12"/>
    <mergeCell ref="D13:G13"/>
    <mergeCell ref="E8:F9"/>
    <mergeCell ref="H8:H9"/>
    <mergeCell ref="E10:F11"/>
    <mergeCell ref="H10:H11"/>
    <mergeCell ref="A2:A13"/>
    <mergeCell ref="B2:C13"/>
    <mergeCell ref="E2:F4"/>
    <mergeCell ref="H2:H4"/>
    <mergeCell ref="E5:F5"/>
    <mergeCell ref="E6:F7"/>
    <mergeCell ref="H6:H7"/>
    <mergeCell ref="E1:F1"/>
  </mergeCells>
  <phoneticPr fontId="1" type="noConversion"/>
  <pageMargins left="0.25" right="0.25" top="0.75" bottom="0.75" header="0.3" footer="0.3"/>
  <pageSetup paperSize="9" scale="72" fitToHeight="0" orientation="portrait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CBFF-00C8-6849-9F27-3AC1A3BC3D60}">
  <dimension ref="A1:F15"/>
  <sheetViews>
    <sheetView zoomScale="177" workbookViewId="0">
      <selection activeCell="F11" sqref="F1:F11"/>
    </sheetView>
  </sheetViews>
  <sheetFormatPr baseColWidth="10" defaultRowHeight="17"/>
  <cols>
    <col min="2" max="2" width="16.5" style="141" bestFit="1" customWidth="1"/>
    <col min="3" max="3" width="13.83203125" bestFit="1" customWidth="1"/>
    <col min="4" max="4" width="13.83203125" style="141" bestFit="1" customWidth="1"/>
    <col min="6" max="6" width="13.83203125" bestFit="1" customWidth="1"/>
  </cols>
  <sheetData>
    <row r="1" spans="1:6">
      <c r="A1" s="144">
        <v>7.0000000000000007E-2</v>
      </c>
      <c r="B1" s="142">
        <f>$B$13*A1</f>
        <v>14490000.000000002</v>
      </c>
      <c r="C1" s="144">
        <v>0.06</v>
      </c>
      <c r="D1" s="142">
        <f>$D$13*C1</f>
        <v>16020000</v>
      </c>
      <c r="E1" s="144">
        <v>0.06</v>
      </c>
      <c r="F1" s="142">
        <f>$F$13*E1</f>
        <v>14760000</v>
      </c>
    </row>
    <row r="2" spans="1:6">
      <c r="A2" s="144">
        <v>0.08</v>
      </c>
      <c r="B2" s="142">
        <f t="shared" ref="B2:B11" si="0">$B$13*A2</f>
        <v>16560000</v>
      </c>
      <c r="C2" s="144">
        <v>7.0000000000000007E-2</v>
      </c>
      <c r="D2" s="142">
        <f t="shared" ref="D2:D11" si="1">$D$13*C2</f>
        <v>18690000</v>
      </c>
      <c r="E2" s="144">
        <v>7.0000000000000007E-2</v>
      </c>
      <c r="F2" s="142">
        <f t="shared" ref="F2:F11" si="2">$F$13*E2</f>
        <v>17220000</v>
      </c>
    </row>
    <row r="3" spans="1:6">
      <c r="A3" s="144">
        <v>0.11</v>
      </c>
      <c r="B3" s="142">
        <f t="shared" si="0"/>
        <v>22770000</v>
      </c>
      <c r="C3" s="144">
        <v>0.11</v>
      </c>
      <c r="D3" s="142">
        <f t="shared" si="1"/>
        <v>29370000</v>
      </c>
      <c r="E3" s="144">
        <v>0.11</v>
      </c>
      <c r="F3" s="142">
        <f t="shared" si="2"/>
        <v>27060000</v>
      </c>
    </row>
    <row r="4" spans="1:6">
      <c r="A4" s="144">
        <v>0.09</v>
      </c>
      <c r="B4" s="142">
        <f t="shared" si="0"/>
        <v>18630000</v>
      </c>
      <c r="C4" s="144">
        <v>0.08</v>
      </c>
      <c r="D4" s="142">
        <f t="shared" si="1"/>
        <v>21360000</v>
      </c>
      <c r="E4" s="144">
        <v>0.08</v>
      </c>
      <c r="F4" s="142">
        <f t="shared" si="2"/>
        <v>19680000</v>
      </c>
    </row>
    <row r="5" spans="1:6">
      <c r="A5" s="144">
        <v>0.13</v>
      </c>
      <c r="B5" s="142">
        <f t="shared" si="0"/>
        <v>26910000</v>
      </c>
      <c r="C5" s="144">
        <v>0.12</v>
      </c>
      <c r="D5" s="142">
        <f t="shared" si="1"/>
        <v>32040000</v>
      </c>
      <c r="E5" s="144">
        <v>0.12</v>
      </c>
      <c r="F5" s="142">
        <f t="shared" si="2"/>
        <v>29520000</v>
      </c>
    </row>
    <row r="6" spans="1:6">
      <c r="A6" s="144">
        <v>0.08</v>
      </c>
      <c r="B6" s="142">
        <f t="shared" si="0"/>
        <v>16560000</v>
      </c>
      <c r="C6" s="144">
        <v>7.0000000000000007E-2</v>
      </c>
      <c r="D6" s="142">
        <f t="shared" si="1"/>
        <v>18690000</v>
      </c>
      <c r="E6" s="144">
        <v>7.0000000000000007E-2</v>
      </c>
      <c r="F6" s="142">
        <f t="shared" si="2"/>
        <v>17220000</v>
      </c>
    </row>
    <row r="7" spans="1:6">
      <c r="A7" s="144">
        <v>0.14000000000000001</v>
      </c>
      <c r="B7" s="142">
        <f t="shared" si="0"/>
        <v>28980000.000000004</v>
      </c>
      <c r="C7" s="144">
        <v>0.13</v>
      </c>
      <c r="D7" s="142">
        <f t="shared" si="1"/>
        <v>34710000</v>
      </c>
      <c r="E7" s="144">
        <v>0.13</v>
      </c>
      <c r="F7" s="142">
        <f t="shared" si="2"/>
        <v>31980000</v>
      </c>
    </row>
    <row r="8" spans="1:6">
      <c r="A8" s="144">
        <v>7.0000000000000007E-2</v>
      </c>
      <c r="B8" s="142">
        <f t="shared" si="0"/>
        <v>14490000.000000002</v>
      </c>
      <c r="C8" s="144">
        <v>0.06</v>
      </c>
      <c r="D8" s="142">
        <f t="shared" si="1"/>
        <v>16020000</v>
      </c>
      <c r="E8" s="144">
        <v>0.06</v>
      </c>
      <c r="F8" s="142">
        <f t="shared" si="2"/>
        <v>14760000</v>
      </c>
    </row>
    <row r="9" spans="1:6">
      <c r="A9" s="144">
        <v>0.12</v>
      </c>
      <c r="B9" s="142">
        <f t="shared" si="0"/>
        <v>24840000</v>
      </c>
      <c r="C9" s="144">
        <v>0.11</v>
      </c>
      <c r="D9" s="142">
        <f t="shared" si="1"/>
        <v>29370000</v>
      </c>
      <c r="E9" s="144">
        <v>0.11</v>
      </c>
      <c r="F9" s="142">
        <f t="shared" si="2"/>
        <v>27060000</v>
      </c>
    </row>
    <row r="10" spans="1:6">
      <c r="A10" s="144">
        <v>0.11</v>
      </c>
      <c r="B10" s="142">
        <f t="shared" si="0"/>
        <v>22770000</v>
      </c>
      <c r="C10" s="144">
        <v>0.1</v>
      </c>
      <c r="D10" s="142">
        <f t="shared" si="1"/>
        <v>26700000</v>
      </c>
      <c r="E10" s="144">
        <v>0.1</v>
      </c>
      <c r="F10" s="142">
        <f t="shared" si="2"/>
        <v>24600000</v>
      </c>
    </row>
    <row r="11" spans="1:6">
      <c r="B11" s="142">
        <f t="shared" si="0"/>
        <v>0</v>
      </c>
      <c r="C11" s="144">
        <v>0.09</v>
      </c>
      <c r="D11" s="142">
        <f t="shared" si="1"/>
        <v>24030000</v>
      </c>
      <c r="E11" s="144">
        <v>0.09</v>
      </c>
      <c r="F11" s="142">
        <f t="shared" si="2"/>
        <v>22140000</v>
      </c>
    </row>
    <row r="12" spans="1:6">
      <c r="A12" s="143" t="s">
        <v>69</v>
      </c>
      <c r="B12" s="146">
        <f>SUM(A1:A11)</f>
        <v>1</v>
      </c>
      <c r="D12" s="146">
        <f>SUM(C1:C11)</f>
        <v>0.99999999999999989</v>
      </c>
      <c r="F12" s="146">
        <f>SUM(E1:E11)</f>
        <v>0.99999999999999989</v>
      </c>
    </row>
    <row r="13" spans="1:6">
      <c r="A13" s="145" t="s">
        <v>70</v>
      </c>
      <c r="B13" s="142">
        <v>207000000</v>
      </c>
      <c r="D13" s="142">
        <v>267000000</v>
      </c>
      <c r="F13" s="142">
        <v>246000000</v>
      </c>
    </row>
    <row r="15" spans="1:6">
      <c r="A15" s="143" t="s">
        <v>71</v>
      </c>
      <c r="B15" s="141">
        <f>SUM(B1:B11)</f>
        <v>207000000</v>
      </c>
      <c r="D15" s="141">
        <f>SUM(D1:D11)</f>
        <v>267000000</v>
      </c>
      <c r="F15" s="141">
        <f>SUM(F1:F11)</f>
        <v>246000000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견적</vt:lpstr>
      <vt:lpstr>1</vt:lpstr>
      <vt:lpstr>2</vt:lpstr>
      <vt:lpstr>3</vt:lpstr>
      <vt:lpstr>Sheet6</vt:lpstr>
      <vt:lpstr>'1'!Print_Area</vt:lpstr>
      <vt:lpstr>'2'!Print_Area</vt:lpstr>
      <vt:lpstr>'3'!Print_Area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2023-05-26T07:38:14Z</cp:lastPrinted>
  <dcterms:created xsi:type="dcterms:W3CDTF">2016-06-28T02:01:49Z</dcterms:created>
  <dcterms:modified xsi:type="dcterms:W3CDTF">2023-05-26T08:50:04Z</dcterms:modified>
</cp:coreProperties>
</file>