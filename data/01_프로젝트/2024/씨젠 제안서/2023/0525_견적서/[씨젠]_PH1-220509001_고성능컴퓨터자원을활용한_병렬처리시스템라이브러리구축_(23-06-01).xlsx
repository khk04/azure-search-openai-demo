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5_견적서/"/>
    </mc:Choice>
  </mc:AlternateContent>
  <xr:revisionPtr revIDLastSave="0" documentId="13_ncr:1_{6577850D-90C1-1047-8502-441D1EDF706A}" xr6:coauthVersionLast="47" xr6:coauthVersionMax="47" xr10:uidLastSave="{00000000-0000-0000-0000-000000000000}"/>
  <bookViews>
    <workbookView xWindow="0" yWindow="500" windowWidth="35840" windowHeight="21100" xr2:uid="{00000000-000D-0000-FFFF-FFFF00000000}"/>
  </bookViews>
  <sheets>
    <sheet name="견적" sheetId="2" r:id="rId1"/>
    <sheet name="1" sheetId="21" r:id="rId2"/>
    <sheet name="2" sheetId="25" r:id="rId3"/>
    <sheet name="3" sheetId="26" r:id="rId4"/>
    <sheet name="Sheet6" sheetId="24" r:id="rId5"/>
  </sheets>
  <definedNames>
    <definedName name="_xlnm.Print_Area" localSheetId="1">'1'!$A$1:$I$32</definedName>
    <definedName name="_xlnm.Print_Area" localSheetId="2">'2'!$A$1:$I$32</definedName>
    <definedName name="_xlnm.Print_Area" localSheetId="3">'3'!$A$1:$I$32</definedName>
    <definedName name="_xlnm.Print_Area" localSheetId="0">견적!$A$1:$H$53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5" roundtripDataSignature="AMtx7mgw7bgpGbguO0OmDOXFFG7V0cklkQ=="/>
    </ext>
  </extLst>
</workbook>
</file>

<file path=xl/calcChain.xml><?xml version="1.0" encoding="utf-8"?>
<calcChain xmlns="http://schemas.openxmlformats.org/spreadsheetml/2006/main">
  <c r="H35" i="2" l="1"/>
  <c r="H17" i="2"/>
  <c r="H19" i="2"/>
  <c r="A32" i="24"/>
  <c r="H29" i="21"/>
  <c r="H17" i="21"/>
  <c r="H14" i="21"/>
  <c r="H11" i="21"/>
  <c r="I11" i="21" s="1"/>
  <c r="H8" i="21"/>
  <c r="H5" i="21"/>
  <c r="H2" i="21"/>
  <c r="I2" i="21" s="1"/>
  <c r="I17" i="21"/>
  <c r="I29" i="21"/>
  <c r="A44" i="24"/>
  <c r="A20" i="24"/>
  <c r="C11" i="24"/>
  <c r="G18" i="2" s="1"/>
  <c r="C12" i="24"/>
  <c r="G19" i="2" s="1"/>
  <c r="C13" i="24"/>
  <c r="G20" i="2" s="1"/>
  <c r="C14" i="24"/>
  <c r="G21" i="2" s="1"/>
  <c r="H21" i="2" s="1"/>
  <c r="C15" i="24"/>
  <c r="G22" i="2" s="1"/>
  <c r="H22" i="2" s="1"/>
  <c r="C16" i="24"/>
  <c r="G23" i="2" s="1"/>
  <c r="H23" i="2" s="1"/>
  <c r="C17" i="24"/>
  <c r="G24" i="2" s="1"/>
  <c r="H24" i="2" s="1"/>
  <c r="C18" i="24"/>
  <c r="G25" i="2" s="1"/>
  <c r="H25" i="2" s="1"/>
  <c r="C19" i="24"/>
  <c r="G26" i="2" s="1"/>
  <c r="H26" i="2" s="1"/>
  <c r="C6" i="24"/>
  <c r="C35" i="24" s="1"/>
  <c r="G40" i="2" s="1"/>
  <c r="H39" i="2" s="1"/>
  <c r="C5" i="24"/>
  <c r="C28" i="24" s="1"/>
  <c r="G34" i="2" s="1"/>
  <c r="H34" i="2" s="1"/>
  <c r="C4" i="24"/>
  <c r="C10" i="24" s="1"/>
  <c r="B5" i="24"/>
  <c r="B6" i="24"/>
  <c r="B4" i="24"/>
  <c r="B7" i="24"/>
  <c r="B35" i="24"/>
  <c r="B36" i="24"/>
  <c r="B37" i="24"/>
  <c r="B38" i="24"/>
  <c r="B39" i="24"/>
  <c r="B40" i="24"/>
  <c r="B41" i="24"/>
  <c r="B42" i="24"/>
  <c r="B43" i="24"/>
  <c r="B34" i="24"/>
  <c r="B23" i="24"/>
  <c r="B24" i="24"/>
  <c r="B25" i="24"/>
  <c r="B26" i="24"/>
  <c r="B27" i="24"/>
  <c r="B28" i="24"/>
  <c r="B29" i="24"/>
  <c r="B30" i="24"/>
  <c r="B31" i="24"/>
  <c r="B22" i="24"/>
  <c r="B11" i="24"/>
  <c r="B12" i="24"/>
  <c r="B13" i="24"/>
  <c r="B14" i="24"/>
  <c r="B15" i="24"/>
  <c r="B16" i="24"/>
  <c r="B17" i="24"/>
  <c r="B18" i="24"/>
  <c r="B19" i="24"/>
  <c r="B10" i="24"/>
  <c r="D29" i="26"/>
  <c r="D26" i="26"/>
  <c r="D23" i="26"/>
  <c r="D20" i="26"/>
  <c r="D17" i="26"/>
  <c r="D14" i="26"/>
  <c r="D11" i="26"/>
  <c r="D8" i="26"/>
  <c r="D5" i="26"/>
  <c r="D2" i="26"/>
  <c r="D29" i="25"/>
  <c r="D26" i="25"/>
  <c r="D23" i="25"/>
  <c r="D20" i="25"/>
  <c r="D17" i="25"/>
  <c r="D14" i="25"/>
  <c r="D11" i="25"/>
  <c r="D8" i="25"/>
  <c r="D5" i="25"/>
  <c r="D2" i="25"/>
  <c r="D29" i="21"/>
  <c r="D26" i="21"/>
  <c r="D23" i="21"/>
  <c r="D20" i="21"/>
  <c r="D17" i="21"/>
  <c r="D14" i="21"/>
  <c r="D11" i="21"/>
  <c r="D8" i="21"/>
  <c r="D5" i="21"/>
  <c r="D2" i="21"/>
  <c r="I14" i="21"/>
  <c r="I5" i="21"/>
  <c r="H5" i="26" l="1"/>
  <c r="H20" i="25"/>
  <c r="H20" i="21"/>
  <c r="H26" i="21"/>
  <c r="H23" i="21"/>
  <c r="C40" i="24"/>
  <c r="G45" i="2" s="1"/>
  <c r="C41" i="24"/>
  <c r="G46" i="2" s="1"/>
  <c r="C39" i="24"/>
  <c r="G44" i="2" s="1"/>
  <c r="H44" i="2" s="1"/>
  <c r="C22" i="24"/>
  <c r="G28" i="2" s="1"/>
  <c r="C34" i="24"/>
  <c r="G39" i="2" s="1"/>
  <c r="C42" i="24"/>
  <c r="G47" i="2" s="1"/>
  <c r="H47" i="2" s="1"/>
  <c r="C38" i="24"/>
  <c r="G43" i="2" s="1"/>
  <c r="C31" i="24"/>
  <c r="G37" i="2" s="1"/>
  <c r="C25" i="24"/>
  <c r="G31" i="2" s="1"/>
  <c r="C23" i="24"/>
  <c r="G29" i="2" s="1"/>
  <c r="C43" i="24"/>
  <c r="G48" i="2" s="1"/>
  <c r="C37" i="24"/>
  <c r="G42" i="2" s="1"/>
  <c r="H11" i="26" s="1"/>
  <c r="I11" i="26" s="1"/>
  <c r="C27" i="24"/>
  <c r="G33" i="2" s="1"/>
  <c r="C24" i="24"/>
  <c r="G30" i="2" s="1"/>
  <c r="C26" i="24"/>
  <c r="G32" i="2" s="1"/>
  <c r="C20" i="24"/>
  <c r="G17" i="2"/>
  <c r="C36" i="24"/>
  <c r="G41" i="2" s="1"/>
  <c r="C30" i="24"/>
  <c r="G36" i="2" s="1"/>
  <c r="C29" i="24"/>
  <c r="G35" i="2" s="1"/>
  <c r="I5" i="26"/>
  <c r="I20" i="25"/>
  <c r="I8" i="21"/>
  <c r="I23" i="21"/>
  <c r="I26" i="21"/>
  <c r="I20" i="21"/>
  <c r="E50" i="2"/>
  <c r="H2" i="26" l="1"/>
  <c r="I2" i="26" s="1"/>
  <c r="H26" i="26"/>
  <c r="I26" i="26" s="1"/>
  <c r="H46" i="2"/>
  <c r="H23" i="26"/>
  <c r="I23" i="26" s="1"/>
  <c r="H43" i="2"/>
  <c r="H14" i="26"/>
  <c r="I14" i="26" s="1"/>
  <c r="H42" i="2"/>
  <c r="H17" i="26"/>
  <c r="I17" i="26" s="1"/>
  <c r="H45" i="2"/>
  <c r="H20" i="26"/>
  <c r="I20" i="26" s="1"/>
  <c r="H29" i="26"/>
  <c r="I29" i="26" s="1"/>
  <c r="H41" i="2"/>
  <c r="H8" i="26"/>
  <c r="I8" i="26" s="1"/>
  <c r="H32" i="2"/>
  <c r="H14" i="25"/>
  <c r="I14" i="25" s="1"/>
  <c r="H28" i="2"/>
  <c r="H2" i="25"/>
  <c r="I2" i="25" s="1"/>
  <c r="H37" i="2"/>
  <c r="H29" i="25"/>
  <c r="I29" i="25" s="1"/>
  <c r="H26" i="25"/>
  <c r="I26" i="25" s="1"/>
  <c r="H23" i="25"/>
  <c r="I23" i="25" s="1"/>
  <c r="H33" i="2"/>
  <c r="H17" i="25"/>
  <c r="I17" i="25" s="1"/>
  <c r="H31" i="2"/>
  <c r="H11" i="25"/>
  <c r="I11" i="25" s="1"/>
  <c r="H30" i="2"/>
  <c r="H8" i="25"/>
  <c r="I8" i="25" s="1"/>
  <c r="H29" i="2"/>
  <c r="H5" i="25"/>
  <c r="I5" i="25" s="1"/>
  <c r="C44" i="24"/>
  <c r="C32" i="24"/>
  <c r="H27" i="2"/>
  <c r="I32" i="21"/>
  <c r="H49" i="2" l="1"/>
  <c r="I32" i="26"/>
  <c r="C46" i="24"/>
  <c r="I32" i="25"/>
  <c r="H38" i="2"/>
  <c r="H50" i="2" s="1"/>
  <c r="D14" i="2" s="1"/>
  <c r="D15" i="2" l="1"/>
</calcChain>
</file>

<file path=xl/sharedStrings.xml><?xml version="1.0" encoding="utf-8"?>
<sst xmlns="http://schemas.openxmlformats.org/spreadsheetml/2006/main" count="195" uniqueCount="169">
  <si>
    <t>NO</t>
  </si>
  <si>
    <t>견     적     서</t>
    <phoneticPr fontId="4" type="noConversion"/>
  </si>
  <si>
    <t>(주)씨젠</t>
    <phoneticPr fontId="5" type="noConversion"/>
  </si>
  <si>
    <t xml:space="preserve">  에프에이리눅스 주식회사    오  재  경</t>
    <phoneticPr fontId="5" type="noConversion"/>
  </si>
  <si>
    <t xml:space="preserve">  (16006)  경기도 의왕시 포일동 653</t>
    <phoneticPr fontId="5" type="noConversion"/>
  </si>
  <si>
    <t>T E L</t>
    <phoneticPr fontId="6" type="noConversion"/>
  </si>
  <si>
    <t>F A X</t>
    <phoneticPr fontId="6" type="noConversion"/>
  </si>
  <si>
    <t xml:space="preserve">  TEL/FAX : 02-572-9527 / 070-7862-5155</t>
    <phoneticPr fontId="5" type="noConversion"/>
  </si>
  <si>
    <t>견적일자</t>
    <phoneticPr fontId="5" type="noConversion"/>
  </si>
  <si>
    <t xml:space="preserve">  담  당 : 박문식 이사</t>
    <phoneticPr fontId="5" type="noConversion"/>
  </si>
  <si>
    <t>견적번호</t>
    <phoneticPr fontId="5" type="noConversion"/>
  </si>
  <si>
    <t xml:space="preserve">  연락처 : 070-7862-5148/010-9429-7998</t>
    <phoneticPr fontId="5" type="noConversion"/>
  </si>
  <si>
    <t>유효기간</t>
    <phoneticPr fontId="5" type="noConversion"/>
  </si>
  <si>
    <t xml:space="preserve">  E-mail : boggle70@falinux.com</t>
    <phoneticPr fontId="5" type="noConversion"/>
  </si>
  <si>
    <t>견    적    명</t>
    <phoneticPr fontId="5" type="noConversion"/>
  </si>
  <si>
    <t>납           기</t>
    <phoneticPr fontId="5" type="noConversion"/>
  </si>
  <si>
    <t>합  계  금  액</t>
    <phoneticPr fontId="4" type="noConversion"/>
  </si>
  <si>
    <t>품         명</t>
    <phoneticPr fontId="4" type="noConversion"/>
  </si>
  <si>
    <t>규   격</t>
    <phoneticPr fontId="4" type="noConversion"/>
  </si>
  <si>
    <t>수 량</t>
    <phoneticPr fontId="4" type="noConversion"/>
  </si>
  <si>
    <t>단    가</t>
    <phoneticPr fontId="4" type="noConversion"/>
  </si>
  <si>
    <t>금    액</t>
    <phoneticPr fontId="4" type="noConversion"/>
  </si>
  <si>
    <t>합            계</t>
    <phoneticPr fontId="4" type="noConversion"/>
  </si>
  <si>
    <t>받으실분</t>
    <phoneticPr fontId="5" type="noConversion"/>
  </si>
  <si>
    <t xml:space="preserve">  02-2195-6266 / 010-8682-1192</t>
    <phoneticPr fontId="1" type="noConversion"/>
  </si>
  <si>
    <t>* 상세 사항은 별첨되는 요구사항정의서를 참조.</t>
    <phoneticPr fontId="1" type="noConversion"/>
  </si>
  <si>
    <t>계</t>
    <phoneticPr fontId="1" type="noConversion"/>
  </si>
  <si>
    <t>소 계</t>
    <phoneticPr fontId="1" type="noConversion"/>
  </si>
  <si>
    <t>고성능 컴퓨팅(HPC) 및 병렬 프로그래밍 환경 구축 및 안정화</t>
    <phoneticPr fontId="17" type="noConversion"/>
  </si>
  <si>
    <t>분산처리 라이브러리에 대한 성능 벤치마킹 도구 제공</t>
  </si>
  <si>
    <t>성능 모니터링 및 최적화 도구 제공</t>
  </si>
  <si>
    <t>인실리코 분석응용 버전 관리 및 업데이트 시스템 구축</t>
  </si>
  <si>
    <t>로그 데이터 수집, 저장, 검색, 분석 기능 구현</t>
  </si>
  <si>
    <t>병렬 분산 처리를 위한 효율적인 라이브러리 구축 및 테스트</t>
  </si>
  <si>
    <t>HPC 시스템에 대한 사용자 인터페이스 및 API 제공</t>
  </si>
  <si>
    <t>시스템 확장성 및 고가용성을 고려한 인프라 설계</t>
  </si>
  <si>
    <t>매니코어 기반 고성능 컴퓨터 자원 인프라 병렬처리시스템 라이브러리 통합 환경 구축</t>
    <phoneticPr fontId="5" type="noConversion"/>
  </si>
  <si>
    <t xml:space="preserve"> 별도 계약서 상의 일정 명시</t>
    <phoneticPr fontId="5" type="noConversion"/>
  </si>
  <si>
    <t>김성조 차장 귀하</t>
  </si>
  <si>
    <t>견적일로부터 15일</t>
    <phoneticPr fontId="5" type="noConversion"/>
  </si>
  <si>
    <t>인덕원IT밸리 B동 1001호</t>
    <phoneticPr fontId="5" type="noConversion"/>
  </si>
  <si>
    <t>인실리코 분석응용 지원을 위한 데이터 분산 처리 시스템 구축</t>
    <phoneticPr fontId="1" type="noConversion"/>
  </si>
  <si>
    <t xml:space="preserve"> 현 시스템 분석 및 전략 수립을 통한 병렬 분산처리 라이브러리 구축</t>
    <phoneticPr fontId="1" type="noConversion"/>
  </si>
  <si>
    <t>HPC 로그 데이터 수집기 개발</t>
    <phoneticPr fontId="1" type="noConversion"/>
  </si>
  <si>
    <t>HPC 로그 데이터 분석기 개발</t>
    <phoneticPr fontId="1" type="noConversion"/>
  </si>
  <si>
    <t>HPC 로그 데이트 검색기 개발</t>
    <phoneticPr fontId="1" type="noConversion"/>
  </si>
  <si>
    <t>사용자 로그 데이터 관리 시스템 개발</t>
    <phoneticPr fontId="1" type="noConversion"/>
  </si>
  <si>
    <t>작업별 로그 데이터 관리 시스템 개발</t>
    <phoneticPr fontId="1" type="noConversion"/>
  </si>
  <si>
    <t>사용자 및 작업 데이터 통합 관리 시스템 개발</t>
    <phoneticPr fontId="1" type="noConversion"/>
  </si>
  <si>
    <t>병렬 분산처리를 지원하는 라이브러리 개발 및 테스트</t>
    <phoneticPr fontId="1" type="noConversion"/>
  </si>
  <si>
    <t>효율적인 병렬 분산처리를 위한 라이브러리 설계 및 검증</t>
    <phoneticPr fontId="1" type="noConversion"/>
  </si>
  <si>
    <t>병렬 분산 처리를 위한 고성능 라이브러리 구축 및 테스트 실행</t>
    <phoneticPr fontId="1" type="noConversion"/>
  </si>
  <si>
    <t>안정성 확보를 위한 에러 및 예외 상황 대응 시스템 설계 및 구축</t>
    <phoneticPr fontId="1" type="noConversion"/>
  </si>
  <si>
    <t>서비스의 안정성 향상을 위한 에러 및 예외 처리 메커니즘 구현</t>
    <phoneticPr fontId="1" type="noConversion"/>
  </si>
  <si>
    <t>신뢰성 있는 서비스 제공을 위한 에러 및 예외 관리 시스템 구축</t>
    <phoneticPr fontId="1" type="noConversion"/>
  </si>
  <si>
    <t>사용자 친화적인 HPC 시스템 인터페이스 및 API 설계 및 제공</t>
    <phoneticPr fontId="1" type="noConversion"/>
  </si>
  <si>
    <t>HPC 시스템의 접근성 향상을 위한 사용자 인터페이스 및 API 제공</t>
    <phoneticPr fontId="1" type="noConversion"/>
  </si>
  <si>
    <t>사용자 대상 HPC 시스템 인터페이스 및 API 개발 및 배포</t>
    <phoneticPr fontId="1" type="noConversion"/>
  </si>
  <si>
    <t>시스템 성능 추적 및 보고서 생성 기능 구현</t>
    <phoneticPr fontId="1" type="noConversion"/>
  </si>
  <si>
    <t>정기적인 성능 모니터링 및 리포팅 시스템 개발</t>
    <phoneticPr fontId="1" type="noConversion"/>
  </si>
  <si>
    <t>시스템의 성능을 측정하고 분석 리포트를 생성하는 기능 구현</t>
    <phoneticPr fontId="1" type="noConversion"/>
  </si>
  <si>
    <t>병렬 프로그래밍 지원을 위한 개발 도구 및 디버깅 툴 제공</t>
    <phoneticPr fontId="1" type="noConversion"/>
  </si>
  <si>
    <t>병렬 코드 작성 및 디버깅을 지원하는 도구 세트 구축</t>
    <phoneticPr fontId="1" type="noConversion"/>
  </si>
  <si>
    <t>병렬 프로그래밍 개발 및 디버깅 도구의 설계 및 배포</t>
    <phoneticPr fontId="1" type="noConversion"/>
  </si>
  <si>
    <t>HPC 활용을 위한 사용자 및 개발자 문서 제공</t>
    <phoneticPr fontId="1" type="noConversion"/>
  </si>
  <si>
    <t>HPC 시스템에 대한 사용자 및 개발자 가이드라인 및 지원문서 구축</t>
    <phoneticPr fontId="1" type="noConversion"/>
  </si>
  <si>
    <t>사용자와 개발자를 위한 HPC 시스템 설명서 및 도움말 문서 작성 및 배포</t>
    <phoneticPr fontId="1" type="noConversion"/>
  </si>
  <si>
    <t>확장성과 고가용성을 중심으로 한 시스템 인프라 설계</t>
    <phoneticPr fontId="1" type="noConversion"/>
  </si>
  <si>
    <t>시스템의 확장성 및 고가용성을 보장하는 인프라 구조 설계</t>
    <phoneticPr fontId="1" type="noConversion"/>
  </si>
  <si>
    <t>높은 확장성과 안정성을 고려한 시스템 인프라 설계 및 구현</t>
    <phoneticPr fontId="1" type="noConversion"/>
  </si>
  <si>
    <t>대용량 데이터 효과적 처리를 위한 분산처리 시스템 구축</t>
  </si>
  <si>
    <t>분산처리 시스템을 이용한 대규모 데이터의 효율적 처리 구현</t>
  </si>
  <si>
    <t>대규모 데이터 처리를 위한 고성능 분산처리 시스템 설계 및 구현</t>
  </si>
  <si>
    <t>인실리코 분석응용에 필요한 자원을 동적으로 할당하는 시스템 구축</t>
  </si>
  <si>
    <t>시스템 자원의 동적 할당 관리를 통한 인실리코 분석응용 지원</t>
  </si>
  <si>
    <t>자원별 동적 할당을 위한 시스템 자원 관리 시스템 개발</t>
  </si>
  <si>
    <t>사용자 중심 인터페이스와 API 제공</t>
  </si>
  <si>
    <t>사용자 친화적인 UI/UX와 API 설계 및 제공</t>
  </si>
  <si>
    <t>사용자 친화적인 인터페이스 및 편리한 API 개발 및 배포</t>
  </si>
  <si>
    <t>시스템 성능 모니터링 및 최적화를 위한 도구 제공</t>
  </si>
  <si>
    <t>성능 모니터링과 최적화 도구의 개발 및 배포</t>
  </si>
  <si>
    <t>성능 추적 및 최적화 도구의 설계 및 제공</t>
  </si>
  <si>
    <t>데이터 처리 결과를 빠르게 전달하는 메시징 시스템 설계 및 구축</t>
  </si>
  <si>
    <t>신속한 데이터 처리 결과 전달을 위한 메시징 시스템 개발</t>
  </si>
  <si>
    <t>효율적인 데이터 처리 결과 전달을 위한 메시징 시스템 구현</t>
  </si>
  <si>
    <t>데이터의 롤링 및 로테이션 처리 기능 구현</t>
  </si>
  <si>
    <t>데이터 롤링과 로테이션을 지원하는 기능 제공</t>
  </si>
  <si>
    <t>데이터 롤링 및 로테이션을 위한 기능 개발 및 제공</t>
  </si>
  <si>
    <t>안정적인 HPC 시스템 운영을 위한 모니터링 및 알림 시스템 설계 및 구축</t>
  </si>
  <si>
    <t>HPC 시스템의 안정성 확보를 위한 모니터링 및 알림 기능 개발</t>
  </si>
  <si>
    <t>HPC 시스템 안정성을 위한 상시 모니터링 및 알림 시스템 구현</t>
  </si>
  <si>
    <t>작업 실패 시 자동 재시도 및 오류 복구 기능 개발</t>
  </si>
  <si>
    <t>실패한 작업에 대해 자동 재실행 및 오류 복구 기능 구현</t>
  </si>
  <si>
    <t>작업 실패에 대한 자동 재시도 및 오류 복구 메커니즘 구축</t>
  </si>
  <si>
    <t>확장성 있는 API를 통한 인실리코 소프트웨어 통합 설계</t>
  </si>
  <si>
    <t>인실리코 소프트웨어 통합을 위한 확장 가능한 API 개발</t>
  </si>
  <si>
    <t>통합 소프트웨어 설계를 위한 확장 가능한 API 구축</t>
  </si>
  <si>
    <t>데이터 처리 효율 향상을 위한 최적화 전략 개발</t>
  </si>
  <si>
    <t>데이터 처리 효율성 향상을 위한 최적화 전략 구축</t>
  </si>
  <si>
    <t>효율적인 데이터 처리를 위한 최적화 전략 설정 및 실행</t>
  </si>
  <si>
    <t>시스템 성능, 자원 사용, 문제점 등을 파악하는 분석 기능 구현</t>
  </si>
  <si>
    <t>시스템의 현 상태를 이해하는 데 필요한 성능, 자원 사용량, 문제점 분석 기능</t>
  </si>
  <si>
    <t>현재 시스템 상태 분석을 위한 성능, 자원 사용량, 문제점 등의 체크 기능</t>
  </si>
  <si>
    <t>병렬 분산 처리를 위한 라이브러리 구축을 위한 전략 설정</t>
  </si>
  <si>
    <t>병렬 분산처리 라이브러리 설계 및 구현을 위한 전략 수립</t>
  </si>
  <si>
    <t>효율적인 병렬 분산처리 라이브러리 구축을 위한 전략 개발</t>
  </si>
  <si>
    <t>시스템 확장 계획을 위한 로드맵 개발</t>
  </si>
  <si>
    <t>미래 시스템 확장을 지원하기 위한 로드맵 구성</t>
  </si>
  <si>
    <t>시스템 확장에 대한 장래 로드맵 제공</t>
  </si>
  <si>
    <t>라이브러리 사용을 위한 교육자료 및 문서화 작업 제공</t>
  </si>
  <si>
    <t>구축된 라이브러리의 사용자 교육 및 관련 문서 작성</t>
  </si>
  <si>
    <t>라이브러리 사용자를 위한 교육 프로그램 및 문서화 실행</t>
  </si>
  <si>
    <t>라이브러리의 안정적 운영을 위한 업데이트 및 유지보수 계획 설정</t>
  </si>
  <si>
    <t>구축된 라이브러리의 안정화를 위해 패키지 업데이트 및 유지보수 전략을 개발</t>
  </si>
  <si>
    <t>패키지 업데이트 및 유지보수를 통한 라이브러리 안정성 확보 계획 수립</t>
  </si>
  <si>
    <t>병렬 분산처리 라이브러리에 대한 호환성 및 통합성 확인 기능 구현</t>
  </si>
  <si>
    <t>라이브러리의 호환성 및 통합성 검사를 위한 기능 제공</t>
  </si>
  <si>
    <t>병렬 분산 라이브러리의 호환 및 통합 검사 기능 개발</t>
  </si>
  <si>
    <t>라이브러리 성능 평가를 위한 벤치마킹 도구 제공</t>
  </si>
  <si>
    <t>분산처리 라이브러리의 성능을 측정하는 벤치마킹 도구 제공</t>
  </si>
  <si>
    <t>성능 벤치마킹 도구를 통한 분산처리 라이브러리 성능 평가 기능</t>
  </si>
  <si>
    <t>사용자 피드백 기반 라이브러리 개선 전략 개발</t>
  </si>
  <si>
    <t>사용자 피드백을 이용한 라이브러리의 개선 절차 설정</t>
  </si>
  <si>
    <t>사용자 피드백을 활용한 라이브러리의 향상 절차 설계</t>
  </si>
  <si>
    <t>시스템 장애에 대응하고 복구하는 프로세스 설계 및 구현</t>
  </si>
  <si>
    <t>시스템 장애 발생 시 대응 및 복구 과정을 위한 프로세스 개발</t>
  </si>
  <si>
    <t>시스템 오류 대처 및 복구 방법을 위한 프로세스 구축</t>
  </si>
  <si>
    <t>라이브러리 이용자를 위한 샘플 코드 및 튜토리얼 제작</t>
  </si>
  <si>
    <t>라이브러리 사용 방법을 설명하는 샘플 코드 및 튜토리얼 제공</t>
  </si>
  <si>
    <t>사용자가 이해하고 사용할 수 있도록 샘플 코드 및 튜토리얼 제작</t>
    <phoneticPr fontId="1" type="noConversion"/>
  </si>
  <si>
    <t>실시간 병렬 프로그램 실행 상태 추적 기능 개발</t>
    <phoneticPr fontId="1" type="noConversion"/>
  </si>
  <si>
    <t>병렬 프로그램 성능 모니터링 기능 개발</t>
    <phoneticPr fontId="1" type="noConversion"/>
  </si>
  <si>
    <t>병렬 프로그램의 다양한 메트릭스를 확인할 수 있는 대시보드 제공 기능 개발</t>
    <phoneticPr fontId="1" type="noConversion"/>
  </si>
  <si>
    <t>사용자별, 작업별 로그 데이터 관리 기능 제공</t>
  </si>
  <si>
    <t>병렬 프로그램의 실행 상태, 성능 의 실시간 모니터링 기능 제공</t>
  </si>
  <si>
    <t>시스템의 성능 모니터링 및 리포트 생성 기능 제공</t>
  </si>
  <si>
    <t>병렬 프로그래밍을 위한 개발 환경 구축</t>
  </si>
  <si>
    <t>병렬 라이브러리에 대한 교육 및 문서 지원</t>
  </si>
  <si>
    <t>PH1-230601001</t>
    <phoneticPr fontId="1" type="noConversion"/>
  </si>
  <si>
    <t>고성능 컴퓨팅을 활용한 
병렬 프로그래밍 환경 구축 및 안정화</t>
    <phoneticPr fontId="17" type="noConversion"/>
  </si>
  <si>
    <t>인실리코 분석응용 지원을 위한
데이터 분산처리시스템 구축</t>
    <phoneticPr fontId="17" type="noConversion"/>
  </si>
  <si>
    <t>고성능 컴퓨팅 시스템 분석을 통한
병렬분산처리 라이브러리 구축</t>
    <phoneticPr fontId="1" type="noConversion"/>
  </si>
  <si>
    <t>분석 응용 프로그램의 에러 및 예외 처리 프로세스 구현</t>
  </si>
  <si>
    <t>HPC 사용자 및 개발자를 위한 사용자 문서 제작</t>
  </si>
  <si>
    <t>분석 응용 프로그램 자원 동적 할당 시스템 구축</t>
  </si>
  <si>
    <t>분석 응용 단계별 산출물 관리</t>
  </si>
  <si>
    <t>바이오 빅데이터 처리 결과 전달을 위한 메시징 시스템 구축</t>
  </si>
  <si>
    <t>HPC 산출물 관리 프로세스 구축</t>
  </si>
  <si>
    <t>바이오 빅데이터 처리 시스템 모니터링 및 알람 시스템 구현</t>
  </si>
  <si>
    <t>분석응용 실행 결과 상태 리포팅기능 제공</t>
  </si>
  <si>
    <t>분석응용 산출물 데이터 관리 기능 제공</t>
  </si>
  <si>
    <t>분석응용 버전 정보 확인 기능 제공</t>
  </si>
  <si>
    <t>병렬 분산처리 라이브러리 버전 리스트 문서 제공</t>
  </si>
  <si>
    <t>병렬 분산 라이브러리 접근권한 설정 기능 제공</t>
  </si>
  <si>
    <t>병렬 라이브러리 패키지 업데이트 및 유지보수 시스템 구축</t>
  </si>
  <si>
    <t>분산처리 라이브러리 사용자 인터뷰를 통한 요구사항 적용</t>
  </si>
  <si>
    <t>별령 분산처리 운영 환경_x0008_및 개발 환경 구축</t>
  </si>
  <si>
    <t>병렬 라이브러리 사용을 위한 샘플 코드 및 튜토리얼 제공</t>
  </si>
  <si>
    <t>지속적인 통합배포 프로세스 구축</t>
  </si>
  <si>
    <t>병렬 컴퓨팅 하드웨어 자원 추가 프로세스 구축</t>
  </si>
  <si>
    <t>요구사항</t>
    <phoneticPr fontId="1" type="noConversion"/>
  </si>
  <si>
    <t>총 견적</t>
    <phoneticPr fontId="1" type="noConversion"/>
  </si>
  <si>
    <t>총 비율</t>
    <phoneticPr fontId="1" type="noConversion"/>
  </si>
  <si>
    <t>대제목당 비율</t>
    <phoneticPr fontId="1" type="noConversion"/>
  </si>
  <si>
    <t>요구사항당 비율</t>
    <phoneticPr fontId="1" type="noConversion"/>
  </si>
  <si>
    <t>대제목</t>
    <phoneticPr fontId="1" type="noConversion"/>
  </si>
  <si>
    <t>가격</t>
    <phoneticPr fontId="1" type="noConversion"/>
  </si>
  <si>
    <t>합계</t>
    <phoneticPr fontId="1" type="noConversion"/>
  </si>
  <si>
    <t>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</si>
</sst>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25">
    <font>
      <sz val="11"/>
      <color theme="1"/>
      <name val="Arial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11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2"/>
      <name val="바탕체"/>
      <family val="1"/>
      <charset val="129"/>
    </font>
    <font>
      <sz val="11"/>
      <color theme="1"/>
      <name val="Arial"/>
      <family val="2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name val="Malgun Gothic"/>
      <family val="2"/>
      <charset val="129"/>
    </font>
    <font>
      <b/>
      <sz val="11"/>
      <name val="Malgun Gothic"/>
      <family val="2"/>
      <charset val="129"/>
    </font>
    <font>
      <sz val="8"/>
      <name val="Calibri"/>
      <family val="2"/>
      <charset val="129"/>
      <scheme val="minor"/>
    </font>
    <font>
      <sz val="11"/>
      <name val="Malgun Gothic"/>
      <family val="2"/>
      <charset val="129"/>
    </font>
    <font>
      <b/>
      <sz val="10"/>
      <name val="Malgun Gothic"/>
      <family val="2"/>
      <charset val="129"/>
    </font>
    <font>
      <sz val="10"/>
      <name val="Malgun Gothic"/>
      <family val="2"/>
      <charset val="129"/>
    </font>
    <font>
      <sz val="9"/>
      <name val="Malgun Gothic"/>
      <family val="2"/>
      <charset val="129"/>
    </font>
    <font>
      <b/>
      <sz val="20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1" fillId="0" borderId="0"/>
    <xf numFmtId="10" fontId="12" fillId="0" borderId="0" applyFont="0" applyFill="0" applyBorder="0" applyAlignment="0" applyProtection="0">
      <alignment vertical="center"/>
    </xf>
  </cellStyleXfs>
  <cellXfs count="229">
    <xf numFmtId="0" fontId="0" fillId="0" borderId="0" xfId="0"/>
    <xf numFmtId="0" fontId="3" fillId="0" borderId="0" xfId="1" applyFont="1">
      <alignment vertical="center"/>
    </xf>
    <xf numFmtId="0" fontId="2" fillId="0" borderId="0" xfId="1">
      <alignment vertical="center"/>
    </xf>
    <xf numFmtId="177" fontId="3" fillId="0" borderId="0" xfId="1" applyNumberFormat="1" applyFont="1">
      <alignment vertical="center"/>
    </xf>
    <xf numFmtId="0" fontId="7" fillId="0" borderId="0" xfId="1" applyFont="1">
      <alignment vertical="center"/>
    </xf>
    <xf numFmtId="9" fontId="3" fillId="0" borderId="0" xfId="1" applyNumberFormat="1" applyFont="1">
      <alignment vertical="center"/>
    </xf>
    <xf numFmtId="0" fontId="9" fillId="0" borderId="0" xfId="5">
      <alignment vertical="center"/>
    </xf>
    <xf numFmtId="0" fontId="9" fillId="0" borderId="0" xfId="5" applyAlignment="1">
      <alignment horizontal="center" vertical="center"/>
    </xf>
    <xf numFmtId="177" fontId="9" fillId="0" borderId="0" xfId="5" applyNumberFormat="1">
      <alignment vertical="center"/>
    </xf>
    <xf numFmtId="3" fontId="9" fillId="0" borderId="0" xfId="5" applyNumberFormat="1">
      <alignment vertical="center"/>
    </xf>
    <xf numFmtId="0" fontId="2" fillId="0" borderId="9" xfId="1" applyBorder="1">
      <alignment vertical="center"/>
    </xf>
    <xf numFmtId="0" fontId="3" fillId="0" borderId="29" xfId="1" applyFont="1" applyBorder="1">
      <alignment vertical="center"/>
    </xf>
    <xf numFmtId="178" fontId="14" fillId="0" borderId="6" xfId="0" applyNumberFormat="1" applyFont="1" applyBorder="1" applyAlignment="1">
      <alignment vertical="center" wrapText="1"/>
    </xf>
    <xf numFmtId="179" fontId="10" fillId="0" borderId="16" xfId="0" applyNumberFormat="1" applyFont="1" applyBorder="1" applyAlignment="1">
      <alignment horizontal="center" vertical="center"/>
    </xf>
    <xf numFmtId="177" fontId="16" fillId="0" borderId="27" xfId="3" applyNumberFormat="1" applyFont="1" applyFill="1" applyBorder="1" applyAlignment="1">
      <alignment horizontal="center" vertical="center"/>
    </xf>
    <xf numFmtId="177" fontId="16" fillId="0" borderId="16" xfId="3" applyNumberFormat="1" applyFont="1" applyFill="1" applyBorder="1" applyAlignment="1">
      <alignment horizontal="center" vertical="center"/>
    </xf>
    <xf numFmtId="179" fontId="10" fillId="0" borderId="27" xfId="0" applyNumberFormat="1" applyFont="1" applyBorder="1" applyAlignment="1">
      <alignment horizontal="center" vertical="center"/>
    </xf>
    <xf numFmtId="0" fontId="16" fillId="3" borderId="34" xfId="1" applyFont="1" applyFill="1" applyBorder="1" applyAlignment="1">
      <alignment horizontal="center" vertical="center"/>
    </xf>
    <xf numFmtId="177" fontId="16" fillId="3" borderId="11" xfId="3" applyNumberFormat="1" applyFont="1" applyFill="1" applyBorder="1" applyAlignment="1">
      <alignment vertical="center"/>
    </xf>
    <xf numFmtId="177" fontId="16" fillId="3" borderId="39" xfId="3" applyNumberFormat="1" applyFont="1" applyFill="1" applyBorder="1" applyAlignment="1">
      <alignment vertical="center"/>
    </xf>
    <xf numFmtId="0" fontId="21" fillId="0" borderId="1" xfId="1" quotePrefix="1" applyFont="1" applyBorder="1" applyAlignment="1">
      <alignment horizontal="left" vertical="center"/>
    </xf>
    <xf numFmtId="0" fontId="16" fillId="0" borderId="51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Continuous" vertical="center"/>
    </xf>
    <xf numFmtId="0" fontId="16" fillId="0" borderId="26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8" fillId="0" borderId="28" xfId="1" applyFont="1" applyBorder="1">
      <alignment vertical="center"/>
    </xf>
    <xf numFmtId="0" fontId="18" fillId="0" borderId="29" xfId="1" applyFont="1" applyBorder="1">
      <alignment vertical="center"/>
    </xf>
    <xf numFmtId="14" fontId="18" fillId="0" borderId="29" xfId="1" applyNumberFormat="1" applyFont="1" applyBorder="1">
      <alignment vertical="center"/>
    </xf>
    <xf numFmtId="0" fontId="18" fillId="0" borderId="30" xfId="1" applyFont="1" applyBorder="1">
      <alignment vertical="center"/>
    </xf>
    <xf numFmtId="0" fontId="22" fillId="0" borderId="31" xfId="1" applyFont="1" applyBorder="1" applyAlignment="1">
      <alignment horizontal="centerContinuous" vertical="center"/>
    </xf>
    <xf numFmtId="0" fontId="18" fillId="0" borderId="32" xfId="1" applyFont="1" applyBorder="1" applyAlignment="1">
      <alignment horizontal="centerContinuous" vertical="center"/>
    </xf>
    <xf numFmtId="0" fontId="18" fillId="0" borderId="31" xfId="1" applyFont="1" applyBorder="1" applyAlignment="1" applyProtection="1">
      <alignment horizontal="centerContinuous" vertical="center"/>
      <protection locked="0"/>
    </xf>
    <xf numFmtId="0" fontId="20" fillId="0" borderId="31" xfId="1" applyFont="1" applyBorder="1" applyAlignment="1" applyProtection="1">
      <alignment horizontal="left" vertical="center"/>
      <protection locked="0"/>
    </xf>
    <xf numFmtId="0" fontId="20" fillId="0" borderId="32" xfId="1" applyFont="1" applyBorder="1">
      <alignment vertical="center"/>
    </xf>
    <xf numFmtId="0" fontId="21" fillId="0" borderId="33" xfId="1" quotePrefix="1" applyFont="1" applyBorder="1" applyAlignment="1">
      <alignment horizontal="left" vertical="center"/>
    </xf>
    <xf numFmtId="0" fontId="21" fillId="0" borderId="36" xfId="1" quotePrefix="1" applyFont="1" applyBorder="1" applyAlignment="1">
      <alignment horizontal="left" vertical="center"/>
    </xf>
    <xf numFmtId="0" fontId="21" fillId="0" borderId="31" xfId="1" quotePrefix="1" applyFont="1" applyBorder="1" applyAlignment="1">
      <alignment horizontal="left" vertical="center"/>
    </xf>
    <xf numFmtId="0" fontId="21" fillId="0" borderId="0" xfId="1" quotePrefix="1" applyFont="1" applyAlignment="1">
      <alignment horizontal="left" vertical="center"/>
    </xf>
    <xf numFmtId="0" fontId="21" fillId="0" borderId="32" xfId="1" quotePrefix="1" applyFont="1" applyBorder="1" applyAlignment="1">
      <alignment horizontal="left" vertical="center"/>
    </xf>
    <xf numFmtId="0" fontId="21" fillId="0" borderId="37" xfId="1" applyFont="1" applyBorder="1">
      <alignment vertical="center"/>
    </xf>
    <xf numFmtId="0" fontId="21" fillId="0" borderId="9" xfId="1" applyFont="1" applyBorder="1">
      <alignment vertical="center"/>
    </xf>
    <xf numFmtId="0" fontId="21" fillId="0" borderId="38" xfId="1" applyFont="1" applyBorder="1">
      <alignment vertical="center"/>
    </xf>
    <xf numFmtId="177" fontId="16" fillId="0" borderId="0" xfId="3" applyNumberFormat="1" applyFont="1" applyFill="1" applyBorder="1" applyAlignment="1">
      <alignment horizontal="center" vertical="center"/>
    </xf>
    <xf numFmtId="10" fontId="16" fillId="0" borderId="0" xfId="7" applyFont="1" applyFill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Continuous" vertical="center"/>
    </xf>
    <xf numFmtId="0" fontId="16" fillId="0" borderId="20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178" fontId="14" fillId="0" borderId="14" xfId="0" applyNumberFormat="1" applyFont="1" applyBorder="1" applyAlignment="1">
      <alignment vertical="center" wrapText="1"/>
    </xf>
    <xf numFmtId="178" fontId="14" fillId="0" borderId="19" xfId="0" applyNumberFormat="1" applyFont="1" applyBorder="1" applyAlignment="1">
      <alignment vertical="center" wrapText="1"/>
    </xf>
    <xf numFmtId="178" fontId="14" fillId="0" borderId="61" xfId="0" applyNumberFormat="1" applyFont="1" applyBorder="1" applyAlignment="1">
      <alignment vertical="center" wrapText="1"/>
    </xf>
    <xf numFmtId="178" fontId="14" fillId="0" borderId="62" xfId="0" applyNumberFormat="1" applyFont="1" applyBorder="1" applyAlignment="1">
      <alignment vertical="center" wrapText="1"/>
    </xf>
    <xf numFmtId="178" fontId="14" fillId="0" borderId="63" xfId="0" applyNumberFormat="1" applyFont="1" applyBorder="1" applyAlignment="1">
      <alignment vertical="center" wrapText="1"/>
    </xf>
    <xf numFmtId="178" fontId="14" fillId="0" borderId="13" xfId="0" applyNumberFormat="1" applyFont="1" applyBorder="1" applyAlignment="1">
      <alignment vertical="center" wrapText="1"/>
    </xf>
    <xf numFmtId="178" fontId="14" fillId="0" borderId="18" xfId="0" applyNumberFormat="1" applyFont="1" applyBorder="1" applyAlignment="1">
      <alignment vertical="center" wrapText="1"/>
    </xf>
    <xf numFmtId="0" fontId="16" fillId="0" borderId="23" xfId="1" applyFont="1" applyBorder="1" applyAlignment="1">
      <alignment horizontal="center" vertical="center"/>
    </xf>
    <xf numFmtId="0" fontId="3" fillId="0" borderId="32" xfId="1" applyFont="1" applyBorder="1">
      <alignment vertical="center"/>
    </xf>
    <xf numFmtId="0" fontId="3" fillId="0" borderId="30" xfId="1" applyFont="1" applyBorder="1">
      <alignment vertical="center"/>
    </xf>
    <xf numFmtId="0" fontId="18" fillId="0" borderId="0" xfId="1" applyFont="1" applyAlignment="1">
      <alignment horizontal="centerContinuous" vertical="center"/>
    </xf>
    <xf numFmtId="0" fontId="18" fillId="0" borderId="0" xfId="1" applyFont="1" applyAlignment="1" applyProtection="1">
      <alignment horizontal="centerContinuous" vertical="center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18" fillId="0" borderId="0" xfId="1" applyFont="1" applyAlignment="1">
      <alignment horizontal="center" vertical="center"/>
    </xf>
    <xf numFmtId="0" fontId="20" fillId="0" borderId="0" xfId="1" applyFont="1">
      <alignment vertical="center"/>
    </xf>
    <xf numFmtId="178" fontId="14" fillId="0" borderId="65" xfId="0" applyNumberFormat="1" applyFont="1" applyBorder="1" applyAlignment="1">
      <alignment vertical="center" wrapText="1"/>
    </xf>
    <xf numFmtId="178" fontId="14" fillId="0" borderId="59" xfId="0" applyNumberFormat="1" applyFont="1" applyBorder="1" applyAlignment="1">
      <alignment vertical="center" wrapText="1"/>
    </xf>
    <xf numFmtId="178" fontId="14" fillId="0" borderId="64" xfId="0" applyNumberFormat="1" applyFont="1" applyBorder="1" applyAlignment="1">
      <alignment vertical="center" wrapText="1"/>
    </xf>
    <xf numFmtId="178" fontId="14" fillId="0" borderId="49" xfId="0" applyNumberFormat="1" applyFont="1" applyBorder="1" applyAlignment="1">
      <alignment vertical="center" wrapText="1"/>
    </xf>
    <xf numFmtId="178" fontId="14" fillId="0" borderId="7" xfId="0" applyNumberFormat="1" applyFont="1" applyBorder="1" applyAlignment="1">
      <alignment vertical="center" wrapText="1"/>
    </xf>
    <xf numFmtId="178" fontId="14" fillId="0" borderId="46" xfId="0" applyNumberFormat="1" applyFont="1" applyBorder="1" applyAlignment="1">
      <alignment vertical="center" wrapText="1"/>
    </xf>
    <xf numFmtId="177" fontId="16" fillId="0" borderId="60" xfId="3" applyNumberFormat="1" applyFont="1" applyFill="1" applyBorder="1" applyAlignment="1">
      <alignment horizontal="center" vertical="center"/>
    </xf>
    <xf numFmtId="0" fontId="3" fillId="0" borderId="60" xfId="1" applyFont="1" applyBorder="1">
      <alignment vertical="center"/>
    </xf>
    <xf numFmtId="0" fontId="16" fillId="0" borderId="56" xfId="1" applyFont="1" applyBorder="1" applyAlignment="1">
      <alignment horizontal="center" vertical="center"/>
    </xf>
    <xf numFmtId="0" fontId="20" fillId="0" borderId="6" xfId="1" applyFont="1" applyBorder="1" applyAlignment="1">
      <alignment horizontal="left" vertical="center"/>
    </xf>
    <xf numFmtId="0" fontId="20" fillId="0" borderId="16" xfId="1" applyFont="1" applyBorder="1" applyAlignment="1">
      <alignment horizontal="left" vertical="center"/>
    </xf>
    <xf numFmtId="0" fontId="18" fillId="0" borderId="18" xfId="1" applyFont="1" applyBorder="1" applyAlignment="1" applyProtection="1">
      <alignment horizontal="center" vertical="center"/>
      <protection locked="0"/>
    </xf>
    <xf numFmtId="14" fontId="18" fillId="0" borderId="6" xfId="1" applyNumberFormat="1" applyFont="1" applyBorder="1" applyAlignment="1" applyProtection="1">
      <alignment horizontal="center" vertical="center"/>
      <protection locked="0"/>
    </xf>
    <xf numFmtId="0" fontId="18" fillId="0" borderId="6" xfId="1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/>
    </xf>
    <xf numFmtId="0" fontId="16" fillId="0" borderId="37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/>
    </xf>
    <xf numFmtId="177" fontId="19" fillId="4" borderId="52" xfId="1" applyNumberFormat="1" applyFont="1" applyFill="1" applyBorder="1" applyAlignment="1">
      <alignment horizontal="left" vertical="center"/>
    </xf>
    <xf numFmtId="0" fontId="19" fillId="4" borderId="53" xfId="1" applyFont="1" applyFill="1" applyBorder="1" applyAlignment="1">
      <alignment horizontal="left" vertical="center"/>
    </xf>
    <xf numFmtId="0" fontId="19" fillId="4" borderId="54" xfId="1" applyFont="1" applyFill="1" applyBorder="1" applyAlignment="1">
      <alignment horizontal="left" vertical="center"/>
    </xf>
    <xf numFmtId="0" fontId="16" fillId="0" borderId="24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0" fontId="19" fillId="2" borderId="17" xfId="1" applyFont="1" applyFill="1" applyBorder="1" applyAlignment="1" applyProtection="1">
      <alignment horizontal="center" vertical="center"/>
      <protection locked="0"/>
    </xf>
    <xf numFmtId="0" fontId="19" fillId="2" borderId="18" xfId="1" applyFont="1" applyFill="1" applyBorder="1" applyAlignment="1" applyProtection="1">
      <alignment horizontal="center" vertical="center"/>
      <protection locked="0"/>
    </xf>
    <xf numFmtId="0" fontId="16" fillId="0" borderId="50" xfId="1" applyFont="1" applyBorder="1" applyAlignment="1" applyProtection="1">
      <alignment horizontal="center" vertical="center"/>
      <protection locked="0"/>
    </xf>
    <xf numFmtId="0" fontId="16" fillId="0" borderId="22" xfId="1" applyFont="1" applyBorder="1" applyAlignment="1" applyProtection="1">
      <alignment horizontal="center" vertical="center"/>
      <protection locked="0"/>
    </xf>
    <xf numFmtId="0" fontId="16" fillId="0" borderId="20" xfId="1" applyFont="1" applyBorder="1" applyAlignment="1" applyProtection="1">
      <alignment horizontal="center" vertical="center"/>
      <protection locked="0"/>
    </xf>
    <xf numFmtId="0" fontId="16" fillId="0" borderId="12" xfId="1" applyFont="1" applyBorder="1" applyAlignment="1">
      <alignment horizontal="left" vertical="top"/>
    </xf>
    <xf numFmtId="0" fontId="16" fillId="0" borderId="13" xfId="1" applyFont="1" applyBorder="1" applyAlignment="1">
      <alignment horizontal="left" vertical="top"/>
    </xf>
    <xf numFmtId="0" fontId="16" fillId="0" borderId="14" xfId="1" applyFont="1" applyBorder="1" applyAlignment="1">
      <alignment horizontal="left" vertical="top"/>
    </xf>
    <xf numFmtId="0" fontId="16" fillId="0" borderId="44" xfId="1" applyFont="1" applyBorder="1" applyAlignment="1" applyProtection="1">
      <alignment horizontal="center" vertical="center"/>
      <protection locked="0"/>
    </xf>
    <xf numFmtId="0" fontId="16" fillId="0" borderId="42" xfId="1" applyFont="1" applyBorder="1" applyAlignment="1" applyProtection="1">
      <alignment horizontal="center" vertical="center"/>
      <protection locked="0"/>
    </xf>
    <xf numFmtId="0" fontId="16" fillId="0" borderId="43" xfId="1" applyFont="1" applyBorder="1" applyAlignment="1" applyProtection="1">
      <alignment horizontal="center" vertical="center"/>
      <protection locked="0"/>
    </xf>
    <xf numFmtId="0" fontId="16" fillId="0" borderId="17" xfId="1" applyFont="1" applyBorder="1" applyAlignment="1" applyProtection="1">
      <alignment horizontal="left" vertical="top"/>
      <protection locked="0"/>
    </xf>
    <xf numFmtId="0" fontId="16" fillId="0" borderId="18" xfId="1" applyFont="1" applyBorder="1" applyAlignment="1" applyProtection="1">
      <alignment horizontal="left" vertical="top"/>
      <protection locked="0"/>
    </xf>
    <xf numFmtId="0" fontId="16" fillId="0" borderId="19" xfId="1" applyFont="1" applyBorder="1" applyAlignment="1" applyProtection="1">
      <alignment horizontal="left" vertical="top"/>
      <protection locked="0"/>
    </xf>
    <xf numFmtId="177" fontId="19" fillId="4" borderId="28" xfId="1" applyNumberFormat="1" applyFont="1" applyFill="1" applyBorder="1" applyAlignment="1">
      <alignment horizontal="left" vertical="center"/>
    </xf>
    <xf numFmtId="0" fontId="19" fillId="4" borderId="29" xfId="1" applyFont="1" applyFill="1" applyBorder="1" applyAlignment="1">
      <alignment horizontal="left" vertical="center"/>
    </xf>
    <xf numFmtId="0" fontId="19" fillId="4" borderId="30" xfId="1" applyFont="1" applyFill="1" applyBorder="1" applyAlignment="1">
      <alignment horizontal="left" vertical="center"/>
    </xf>
    <xf numFmtId="0" fontId="20" fillId="0" borderId="18" xfId="1" applyFont="1" applyBorder="1" applyAlignment="1">
      <alignment horizontal="left" vertical="center"/>
    </xf>
    <xf numFmtId="0" fontId="20" fillId="0" borderId="19" xfId="1" applyFont="1" applyBorder="1" applyAlignment="1">
      <alignment horizontal="left" vertical="center"/>
    </xf>
    <xf numFmtId="0" fontId="10" fillId="0" borderId="45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78" fontId="10" fillId="0" borderId="28" xfId="0" quotePrefix="1" applyNumberFormat="1" applyFont="1" applyBorder="1" applyAlignment="1">
      <alignment horizontal="center" vertical="center" wrapText="1"/>
    </xf>
    <xf numFmtId="178" fontId="10" fillId="0" borderId="29" xfId="0" quotePrefix="1" applyNumberFormat="1" applyFont="1" applyBorder="1" applyAlignment="1">
      <alignment horizontal="center" vertical="center" wrapText="1"/>
    </xf>
    <xf numFmtId="178" fontId="10" fillId="0" borderId="31" xfId="0" quotePrefix="1" applyNumberFormat="1" applyFont="1" applyBorder="1" applyAlignment="1">
      <alignment horizontal="center" vertical="center" wrapText="1"/>
    </xf>
    <xf numFmtId="178" fontId="10" fillId="0" borderId="0" xfId="0" quotePrefix="1" applyNumberFormat="1" applyFont="1" applyAlignment="1">
      <alignment horizontal="center" vertical="center" wrapText="1"/>
    </xf>
    <xf numFmtId="178" fontId="10" fillId="0" borderId="37" xfId="0" quotePrefix="1" applyNumberFormat="1" applyFont="1" applyBorder="1" applyAlignment="1">
      <alignment horizontal="center" vertical="center" wrapText="1"/>
    </xf>
    <xf numFmtId="178" fontId="10" fillId="0" borderId="9" xfId="0" quotePrefix="1" applyNumberFormat="1" applyFont="1" applyBorder="1" applyAlignment="1">
      <alignment horizontal="center" vertical="center" wrapText="1"/>
    </xf>
    <xf numFmtId="178" fontId="10" fillId="0" borderId="25" xfId="0" quotePrefix="1" applyNumberFormat="1" applyFont="1" applyBorder="1" applyAlignment="1">
      <alignment horizontal="center" vertical="center" wrapText="1"/>
    </xf>
    <xf numFmtId="178" fontId="15" fillId="0" borderId="60" xfId="0" applyNumberFormat="1" applyFont="1" applyBorder="1" applyAlignment="1">
      <alignment horizontal="center" vertical="center" wrapText="1"/>
    </xf>
    <xf numFmtId="178" fontId="15" fillId="0" borderId="53" xfId="0" applyNumberFormat="1" applyFont="1" applyBorder="1" applyAlignment="1">
      <alignment horizontal="center" vertical="center" wrapText="1"/>
    </xf>
    <xf numFmtId="178" fontId="15" fillId="0" borderId="54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0" fillId="0" borderId="13" xfId="1" applyFont="1" applyBorder="1" applyAlignment="1">
      <alignment horizontal="left" vertical="center"/>
    </xf>
    <xf numFmtId="0" fontId="20" fillId="0" borderId="14" xfId="1" applyFont="1" applyBorder="1" applyAlignment="1">
      <alignment horizontal="left" vertical="center"/>
    </xf>
    <xf numFmtId="0" fontId="20" fillId="0" borderId="6" xfId="1" applyFont="1" applyBorder="1" applyAlignment="1" applyProtection="1">
      <alignment horizontal="left" vertical="center"/>
      <protection locked="0"/>
    </xf>
    <xf numFmtId="0" fontId="20" fillId="0" borderId="16" xfId="1" applyFont="1" applyBorder="1" applyAlignment="1" applyProtection="1">
      <alignment horizontal="left" vertical="center"/>
      <protection locked="0"/>
    </xf>
    <xf numFmtId="0" fontId="20" fillId="0" borderId="6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19" fillId="2" borderId="12" xfId="1" applyFont="1" applyFill="1" applyBorder="1" applyAlignment="1" applyProtection="1">
      <alignment horizontal="center" vertical="center"/>
      <protection locked="0"/>
    </xf>
    <xf numFmtId="0" fontId="19" fillId="2" borderId="13" xfId="1" applyFont="1" applyFill="1" applyBorder="1" applyAlignment="1" applyProtection="1">
      <alignment horizontal="center" vertical="center"/>
      <protection locked="0"/>
    </xf>
    <xf numFmtId="0" fontId="19" fillId="2" borderId="15" xfId="1" applyFont="1" applyFill="1" applyBorder="1" applyAlignment="1" applyProtection="1">
      <alignment horizontal="center" vertical="center"/>
      <protection locked="0"/>
    </xf>
    <xf numFmtId="0" fontId="19" fillId="2" borderId="6" xfId="1" applyFont="1" applyFill="1" applyBorder="1" applyAlignment="1" applyProtection="1">
      <alignment horizontal="center" vertical="center"/>
      <protection locked="0"/>
    </xf>
    <xf numFmtId="0" fontId="18" fillId="0" borderId="13" xfId="1" applyFont="1" applyBorder="1" applyAlignment="1" applyProtection="1">
      <alignment horizontal="center" vertical="center"/>
      <protection locked="0"/>
    </xf>
    <xf numFmtId="0" fontId="16" fillId="3" borderId="5" xfId="1" applyFont="1" applyFill="1" applyBorder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6" fillId="3" borderId="48" xfId="1" applyFont="1" applyFill="1" applyBorder="1" applyAlignment="1">
      <alignment horizontal="center" vertical="center"/>
    </xf>
    <xf numFmtId="0" fontId="16" fillId="3" borderId="49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8" fontId="10" fillId="0" borderId="20" xfId="0" applyNumberFormat="1" applyFont="1" applyBorder="1" applyAlignment="1">
      <alignment horizontal="center" vertical="center" wrapText="1"/>
    </xf>
    <xf numFmtId="178" fontId="10" fillId="0" borderId="29" xfId="0" applyNumberFormat="1" applyFont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24" xfId="0" applyNumberFormat="1" applyFont="1" applyBorder="1" applyAlignment="1">
      <alignment horizontal="center" vertical="center" wrapText="1"/>
    </xf>
    <xf numFmtId="178" fontId="10" fillId="0" borderId="25" xfId="0" applyNumberFormat="1" applyFont="1" applyBorder="1" applyAlignment="1">
      <alignment horizontal="center" vertical="center" wrapText="1"/>
    </xf>
    <xf numFmtId="178" fontId="14" fillId="0" borderId="50" xfId="0" applyNumberFormat="1" applyFont="1" applyBorder="1" applyAlignment="1">
      <alignment horizontal="left" vertical="center" wrapText="1"/>
    </xf>
    <xf numFmtId="178" fontId="14" fillId="0" borderId="55" xfId="0" applyNumberFormat="1" applyFont="1" applyBorder="1" applyAlignment="1">
      <alignment horizontal="left" vertical="center" wrapText="1"/>
    </xf>
    <xf numFmtId="178" fontId="14" fillId="0" borderId="51" xfId="0" applyNumberFormat="1" applyFont="1" applyBorder="1" applyAlignment="1">
      <alignment horizontal="left" vertical="center" wrapText="1"/>
    </xf>
    <xf numFmtId="0" fontId="16" fillId="0" borderId="20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78" fontId="15" fillId="0" borderId="24" xfId="0" applyNumberFormat="1" applyFont="1" applyBorder="1" applyAlignment="1">
      <alignment horizontal="center" vertical="center" wrapText="1"/>
    </xf>
    <xf numFmtId="178" fontId="15" fillId="0" borderId="9" xfId="0" applyNumberFormat="1" applyFont="1" applyBorder="1" applyAlignment="1">
      <alignment horizontal="center" vertical="center" wrapText="1"/>
    </xf>
    <xf numFmtId="178" fontId="15" fillId="0" borderId="25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79" fontId="10" fillId="0" borderId="22" xfId="0" applyNumberFormat="1" applyFont="1" applyBorder="1" applyAlignment="1">
      <alignment horizontal="center" vertical="center"/>
    </xf>
    <xf numFmtId="179" fontId="10" fillId="0" borderId="56" xfId="0" applyNumberFormat="1" applyFont="1" applyBorder="1" applyAlignment="1">
      <alignment horizontal="center" vertical="center"/>
    </xf>
    <xf numFmtId="179" fontId="10" fillId="0" borderId="26" xfId="0" applyNumberFormat="1" applyFont="1" applyBorder="1" applyAlignment="1">
      <alignment horizontal="center" vertical="center"/>
    </xf>
    <xf numFmtId="179" fontId="10" fillId="0" borderId="23" xfId="0" applyNumberFormat="1" applyFont="1" applyBorder="1" applyAlignment="1">
      <alignment horizontal="center" vertical="center"/>
    </xf>
    <xf numFmtId="179" fontId="10" fillId="0" borderId="47" xfId="0" applyNumberFormat="1" applyFont="1" applyBorder="1" applyAlignment="1">
      <alignment horizontal="center" vertical="center"/>
    </xf>
    <xf numFmtId="179" fontId="10" fillId="0" borderId="27" xfId="0" applyNumberFormat="1" applyFont="1" applyBorder="1" applyAlignment="1">
      <alignment horizontal="center" vertical="center"/>
    </xf>
    <xf numFmtId="178" fontId="10" fillId="0" borderId="28" xfId="0" applyNumberFormat="1" applyFont="1" applyBorder="1" applyAlignment="1">
      <alignment horizontal="center" vertical="center" wrapText="1"/>
    </xf>
    <xf numFmtId="178" fontId="10" fillId="0" borderId="31" xfId="0" applyNumberFormat="1" applyFont="1" applyBorder="1" applyAlignment="1">
      <alignment horizontal="center" vertical="center" wrapText="1"/>
    </xf>
    <xf numFmtId="178" fontId="10" fillId="0" borderId="37" xfId="0" applyNumberFormat="1" applyFont="1" applyBorder="1" applyAlignment="1">
      <alignment horizontal="center" vertical="center" wrapText="1"/>
    </xf>
    <xf numFmtId="178" fontId="10" fillId="0" borderId="9" xfId="0" applyNumberFormat="1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78" fontId="15" fillId="0" borderId="52" xfId="0" applyNumberFormat="1" applyFont="1" applyBorder="1" applyAlignment="1">
      <alignment horizontal="center" vertical="center" wrapText="1"/>
    </xf>
    <xf numFmtId="178" fontId="14" fillId="0" borderId="28" xfId="0" applyNumberFormat="1" applyFont="1" applyBorder="1" applyAlignment="1">
      <alignment horizontal="left" vertical="center" wrapText="1"/>
    </xf>
    <xf numFmtId="178" fontId="14" fillId="0" borderId="31" xfId="0" applyNumberFormat="1" applyFont="1" applyBorder="1" applyAlignment="1">
      <alignment horizontal="left" vertical="center" wrapText="1"/>
    </xf>
    <xf numFmtId="178" fontId="14" fillId="0" borderId="37" xfId="0" applyNumberFormat="1" applyFont="1" applyBorder="1" applyAlignment="1">
      <alignment horizontal="left" vertical="center" wrapText="1"/>
    </xf>
    <xf numFmtId="0" fontId="13" fillId="0" borderId="67" xfId="0" applyFont="1" applyBorder="1" applyAlignment="1">
      <alignment horizontal="center" vertical="center"/>
    </xf>
    <xf numFmtId="177" fontId="16" fillId="0" borderId="39" xfId="3" applyNumberFormat="1" applyFont="1" applyFill="1" applyBorder="1" applyAlignment="1">
      <alignment vertical="center"/>
    </xf>
    <xf numFmtId="177" fontId="16" fillId="0" borderId="35" xfId="3" applyNumberFormat="1" applyFont="1" applyFill="1" applyBorder="1" applyAlignment="1">
      <alignment vertical="center"/>
    </xf>
    <xf numFmtId="179" fontId="10" fillId="0" borderId="45" xfId="0" applyNumberFormat="1" applyFont="1" applyBorder="1" applyAlignment="1">
      <alignment horizontal="center" vertical="center"/>
    </xf>
    <xf numFmtId="10" fontId="0" fillId="0" borderId="0" xfId="7" applyFont="1" applyBorder="1" applyAlignment="1">
      <alignment horizontal="center"/>
    </xf>
    <xf numFmtId="0" fontId="0" fillId="0" borderId="0" xfId="0" applyBorder="1"/>
    <xf numFmtId="10" fontId="0" fillId="0" borderId="0" xfId="7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77" fontId="18" fillId="0" borderId="0" xfId="3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4" fillId="0" borderId="0" xfId="0" applyFont="1" applyAlignment="1">
      <alignment horizontal="center"/>
    </xf>
    <xf numFmtId="10" fontId="0" fillId="0" borderId="0" xfId="7" applyFont="1" applyFill="1" applyBorder="1" applyAlignment="1">
      <alignment horizontal="center" vertical="center"/>
    </xf>
    <xf numFmtId="177" fontId="18" fillId="0" borderId="0" xfId="3" applyNumberFormat="1" applyFont="1" applyFill="1" applyBorder="1" applyAlignment="1">
      <alignment vertical="center"/>
    </xf>
    <xf numFmtId="177" fontId="0" fillId="0" borderId="0" xfId="0" applyNumberFormat="1" applyAlignment="1">
      <alignment horizontal="left"/>
    </xf>
    <xf numFmtId="0" fontId="0" fillId="0" borderId="6" xfId="0" applyBorder="1" applyAlignment="1">
      <alignment horizontal="left"/>
    </xf>
    <xf numFmtId="179" fontId="10" fillId="0" borderId="45" xfId="0" applyNumberFormat="1" applyFont="1" applyBorder="1" applyAlignment="1">
      <alignment vertical="center"/>
    </xf>
    <xf numFmtId="0" fontId="12" fillId="0" borderId="12" xfId="0" applyFont="1" applyBorder="1"/>
    <xf numFmtId="0" fontId="12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10" fontId="0" fillId="5" borderId="15" xfId="7" applyFont="1" applyFill="1" applyBorder="1" applyAlignment="1">
      <alignment horizontal="center" vertical="center"/>
    </xf>
    <xf numFmtId="177" fontId="0" fillId="0" borderId="16" xfId="0" applyNumberFormat="1" applyBorder="1" applyAlignment="1">
      <alignment horizontal="left"/>
    </xf>
    <xf numFmtId="177" fontId="16" fillId="0" borderId="18" xfId="3" applyNumberFormat="1" applyFont="1" applyFill="1" applyBorder="1" applyAlignment="1">
      <alignment horizontal="center" vertical="center"/>
    </xf>
    <xf numFmtId="177" fontId="0" fillId="0" borderId="19" xfId="7" applyNumberFormat="1" applyFont="1" applyFill="1" applyBorder="1" applyAlignment="1">
      <alignment horizontal="center" vertical="center"/>
    </xf>
    <xf numFmtId="10" fontId="0" fillId="5" borderId="12" xfId="7" applyFont="1" applyFill="1" applyBorder="1" applyAlignment="1">
      <alignment horizontal="center" vertical="center"/>
    </xf>
    <xf numFmtId="177" fontId="0" fillId="0" borderId="14" xfId="0" applyNumberFormat="1" applyBorder="1" applyAlignment="1">
      <alignment horizontal="left"/>
    </xf>
    <xf numFmtId="0" fontId="0" fillId="0" borderId="13" xfId="0" applyBorder="1" applyAlignment="1">
      <alignment horizontal="left" vertical="center"/>
    </xf>
    <xf numFmtId="177" fontId="0" fillId="0" borderId="19" xfId="0" applyNumberFormat="1" applyBorder="1" applyAlignment="1">
      <alignment horizontal="left"/>
    </xf>
    <xf numFmtId="0" fontId="23" fillId="0" borderId="12" xfId="0" applyFont="1" applyBorder="1"/>
    <xf numFmtId="177" fontId="16" fillId="0" borderId="13" xfId="3" applyNumberFormat="1" applyFont="1" applyFill="1" applyBorder="1" applyAlignment="1">
      <alignment horizontal="center" vertical="center"/>
    </xf>
    <xf numFmtId="10" fontId="16" fillId="5" borderId="15" xfId="7" applyFont="1" applyFill="1" applyBorder="1" applyAlignment="1">
      <alignment horizontal="center" vertical="center"/>
    </xf>
    <xf numFmtId="0" fontId="12" fillId="0" borderId="17" xfId="0" applyFont="1" applyBorder="1"/>
    <xf numFmtId="10" fontId="16" fillId="0" borderId="18" xfId="7" applyFont="1" applyFill="1" applyBorder="1" applyAlignment="1">
      <alignment horizontal="center" vertical="center"/>
    </xf>
    <xf numFmtId="0" fontId="0" fillId="0" borderId="19" xfId="0" applyBorder="1" applyAlignment="1">
      <alignment horizontal="left"/>
    </xf>
    <xf numFmtId="178" fontId="14" fillId="0" borderId="60" xfId="0" applyNumberFormat="1" applyFont="1" applyBorder="1" applyAlignment="1">
      <alignment vertical="center" wrapText="1"/>
    </xf>
    <xf numFmtId="10" fontId="0" fillId="0" borderId="17" xfId="7" applyFont="1" applyBorder="1" applyAlignment="1"/>
    <xf numFmtId="179" fontId="10" fillId="0" borderId="41" xfId="0" applyNumberFormat="1" applyFont="1" applyBorder="1" applyAlignment="1">
      <alignment horizontal="center" vertical="center"/>
    </xf>
  </cellXfs>
  <cellStyles count="8">
    <cellStyle name="백분율" xfId="7" builtinId="5" customBuiltin="1"/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  <cellStyle name="Normal 2" xfId="6" xr:uid="{AFDC1AD9-1EA4-2A40-B6BA-D396AD34F973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 editAs="oneCell">
    <xdr:from>
      <xdr:col>6</xdr:col>
      <xdr:colOff>1072852</xdr:colOff>
      <xdr:row>50</xdr:row>
      <xdr:rowOff>97008</xdr:rowOff>
    </xdr:from>
    <xdr:to>
      <xdr:col>7</xdr:col>
      <xdr:colOff>1070264</xdr:colOff>
      <xdr:row>51</xdr:row>
      <xdr:rowOff>91235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450397" y="10511008"/>
          <a:ext cx="1219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0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8662598" y="28575"/>
          <a:ext cx="1125859" cy="711055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776915</xdr:colOff>
      <xdr:row>3</xdr:row>
      <xdr:rowOff>13541</xdr:rowOff>
    </xdr:from>
    <xdr:to>
      <xdr:col>7</xdr:col>
      <xdr:colOff>1171200</xdr:colOff>
      <xdr:row>4</xdr:row>
      <xdr:rowOff>197457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79048" y="767074"/>
          <a:ext cx="394285" cy="387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O104"/>
  <sheetViews>
    <sheetView tabSelected="1" view="pageBreakPreview" topLeftCell="A16" zoomScale="188" zoomScaleNormal="150" zoomScaleSheetLayoutView="110" workbookViewId="0">
      <selection activeCell="B28" sqref="B28:C38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55.83203125" style="1" customWidth="1"/>
    <col min="5" max="6" width="2.33203125" style="1" customWidth="1"/>
    <col min="7" max="8" width="15.83203125" style="1" customWidth="1"/>
    <col min="9" max="15" width="1.83203125" style="2" hidden="1" customWidth="1"/>
    <col min="16" max="16384" width="10.83203125" style="2"/>
  </cols>
  <sheetData>
    <row r="1" spans="1:9" s="1" customFormat="1" ht="14" customHeight="1">
      <c r="A1" s="25"/>
      <c r="B1" s="26"/>
      <c r="C1" s="26"/>
      <c r="D1" s="27"/>
      <c r="E1" s="26"/>
      <c r="F1" s="26"/>
      <c r="G1" s="26"/>
      <c r="H1" s="28"/>
      <c r="I1" s="57"/>
    </row>
    <row r="2" spans="1:9" s="1" customFormat="1" ht="31" customHeight="1">
      <c r="A2" s="29" t="s">
        <v>1</v>
      </c>
      <c r="B2" s="58"/>
      <c r="C2" s="58"/>
      <c r="D2" s="58"/>
      <c r="E2" s="58"/>
      <c r="F2" s="58"/>
      <c r="G2" s="58"/>
      <c r="H2" s="30"/>
      <c r="I2" s="56"/>
    </row>
    <row r="3" spans="1:9" s="1" customFormat="1" ht="14" customHeight="1" thickBot="1">
      <c r="A3" s="31"/>
      <c r="B3" s="59"/>
      <c r="C3" s="59"/>
      <c r="D3" s="59"/>
      <c r="E3" s="58"/>
      <c r="F3" s="58"/>
      <c r="G3" s="58"/>
      <c r="H3" s="30"/>
      <c r="I3" s="56"/>
    </row>
    <row r="4" spans="1:9" s="1" customFormat="1" ht="16.5" customHeight="1">
      <c r="A4" s="130" t="s">
        <v>23</v>
      </c>
      <c r="B4" s="131"/>
      <c r="C4" s="134" t="s">
        <v>2</v>
      </c>
      <c r="D4" s="134"/>
      <c r="E4" s="124" t="s">
        <v>3</v>
      </c>
      <c r="F4" s="124"/>
      <c r="G4" s="124"/>
      <c r="H4" s="125"/>
      <c r="I4" s="56"/>
    </row>
    <row r="5" spans="1:9" s="1" customFormat="1" ht="16.5" customHeight="1">
      <c r="A5" s="132"/>
      <c r="B5" s="133"/>
      <c r="C5" s="76" t="s">
        <v>38</v>
      </c>
      <c r="D5" s="76"/>
      <c r="E5" s="126" t="s">
        <v>4</v>
      </c>
      <c r="F5" s="126"/>
      <c r="G5" s="126"/>
      <c r="H5" s="127"/>
      <c r="I5" s="56"/>
    </row>
    <row r="6" spans="1:9" s="1" customFormat="1" ht="16.5" customHeight="1">
      <c r="A6" s="132" t="s">
        <v>5</v>
      </c>
      <c r="B6" s="133"/>
      <c r="C6" s="76" t="s">
        <v>24</v>
      </c>
      <c r="D6" s="76"/>
      <c r="E6" s="128" t="s">
        <v>40</v>
      </c>
      <c r="F6" s="128"/>
      <c r="G6" s="128"/>
      <c r="H6" s="129"/>
      <c r="I6" s="56"/>
    </row>
    <row r="7" spans="1:9" s="1" customFormat="1" ht="16.5" customHeight="1">
      <c r="A7" s="132" t="s">
        <v>6</v>
      </c>
      <c r="B7" s="133"/>
      <c r="C7" s="76"/>
      <c r="D7" s="76"/>
      <c r="E7" s="72" t="s">
        <v>7</v>
      </c>
      <c r="F7" s="72"/>
      <c r="G7" s="72"/>
      <c r="H7" s="73"/>
      <c r="I7" s="56"/>
    </row>
    <row r="8" spans="1:9" s="1" customFormat="1" ht="16.5" customHeight="1">
      <c r="A8" s="132" t="s">
        <v>8</v>
      </c>
      <c r="B8" s="133"/>
      <c r="C8" s="75">
        <v>45078</v>
      </c>
      <c r="D8" s="76"/>
      <c r="E8" s="72" t="s">
        <v>9</v>
      </c>
      <c r="F8" s="72"/>
      <c r="G8" s="72"/>
      <c r="H8" s="73"/>
      <c r="I8" s="56"/>
    </row>
    <row r="9" spans="1:9" s="1" customFormat="1" ht="16.5" customHeight="1">
      <c r="A9" s="132" t="s">
        <v>10</v>
      </c>
      <c r="B9" s="133"/>
      <c r="C9" s="76" t="s">
        <v>138</v>
      </c>
      <c r="D9" s="76"/>
      <c r="E9" s="72" t="s">
        <v>11</v>
      </c>
      <c r="F9" s="72"/>
      <c r="G9" s="72"/>
      <c r="H9" s="73"/>
      <c r="I9" s="56"/>
    </row>
    <row r="10" spans="1:9" s="1" customFormat="1" ht="16.5" customHeight="1" thickBot="1">
      <c r="A10" s="90" t="s">
        <v>12</v>
      </c>
      <c r="B10" s="91"/>
      <c r="C10" s="74" t="s">
        <v>39</v>
      </c>
      <c r="D10" s="74"/>
      <c r="E10" s="107" t="s">
        <v>13</v>
      </c>
      <c r="F10" s="107"/>
      <c r="G10" s="107"/>
      <c r="H10" s="108"/>
      <c r="I10" s="56"/>
    </row>
    <row r="11" spans="1:9" s="1" customFormat="1" ht="14" customHeight="1" thickBot="1">
      <c r="A11" s="32"/>
      <c r="B11" s="60"/>
      <c r="C11" s="60"/>
      <c r="D11" s="60"/>
      <c r="E11" s="61"/>
      <c r="F11" s="62"/>
      <c r="G11" s="62"/>
      <c r="H11" s="33"/>
      <c r="I11" s="56"/>
    </row>
    <row r="12" spans="1:9" s="1" customFormat="1" ht="19.5" customHeight="1" thickBot="1">
      <c r="A12" s="92" t="s">
        <v>14</v>
      </c>
      <c r="B12" s="93"/>
      <c r="C12" s="94"/>
      <c r="D12" s="95" t="s">
        <v>36</v>
      </c>
      <c r="E12" s="96"/>
      <c r="F12" s="96"/>
      <c r="G12" s="96"/>
      <c r="H12" s="97"/>
      <c r="I12" s="56"/>
    </row>
    <row r="13" spans="1:9" s="1" customFormat="1" ht="19.5" customHeight="1" thickBot="1">
      <c r="A13" s="98" t="s">
        <v>15</v>
      </c>
      <c r="B13" s="99"/>
      <c r="C13" s="100"/>
      <c r="D13" s="101" t="s">
        <v>37</v>
      </c>
      <c r="E13" s="102"/>
      <c r="F13" s="102"/>
      <c r="G13" s="102"/>
      <c r="H13" s="103"/>
      <c r="I13" s="56"/>
    </row>
    <row r="14" spans="1:9" s="1" customFormat="1" ht="19.5" customHeight="1" thickBot="1">
      <c r="A14" s="79" t="s">
        <v>16</v>
      </c>
      <c r="B14" s="80"/>
      <c r="C14" s="81"/>
      <c r="D14" s="104" t="str">
        <f>TEXT(H50,"일금 [DBNum4][$-412]G/표준원정(")&amp;TEXT(H50,"###,### - VAT별도 )")</f>
        <v>일금 칠억이천만원정(720,000,000 - VAT별도 )</v>
      </c>
      <c r="E14" s="105"/>
      <c r="F14" s="105"/>
      <c r="G14" s="105"/>
      <c r="H14" s="106"/>
      <c r="I14" s="56"/>
    </row>
    <row r="15" spans="1:9" s="1" customFormat="1" ht="19.5" customHeight="1" thickBot="1">
      <c r="A15" s="82"/>
      <c r="B15" s="83"/>
      <c r="C15" s="84"/>
      <c r="D15" s="85" t="str">
        <f>TEXT(H50+(H50/10),"일금 [DBNum4][$-412]G/표준원정(")&amp;TEXT(H50+(H50/10),"###,### - VAT포함 )")</f>
        <v>일금 칠억구천이백만원정(792,000,000 - VAT포함 )</v>
      </c>
      <c r="E15" s="86"/>
      <c r="F15" s="86"/>
      <c r="G15" s="86"/>
      <c r="H15" s="87"/>
      <c r="I15" s="56"/>
    </row>
    <row r="16" spans="1:9" s="1" customFormat="1" ht="19.5" customHeight="1" thickBot="1">
      <c r="A16" s="21" t="s">
        <v>0</v>
      </c>
      <c r="B16" s="22" t="s">
        <v>17</v>
      </c>
      <c r="C16" s="22"/>
      <c r="D16" s="71" t="s">
        <v>18</v>
      </c>
      <c r="E16" s="88" t="s">
        <v>19</v>
      </c>
      <c r="F16" s="89"/>
      <c r="G16" s="23" t="s">
        <v>20</v>
      </c>
      <c r="H16" s="24" t="s">
        <v>21</v>
      </c>
      <c r="I16" s="56"/>
    </row>
    <row r="17" spans="1:15" s="1" customFormat="1" ht="19.5" customHeight="1" thickBot="1">
      <c r="A17" s="143">
        <v>1</v>
      </c>
      <c r="B17" s="146" t="s">
        <v>139</v>
      </c>
      <c r="C17" s="147"/>
      <c r="D17" s="226" t="s">
        <v>32</v>
      </c>
      <c r="E17" s="77">
        <v>1</v>
      </c>
      <c r="F17" s="78"/>
      <c r="G17" s="13">
        <f>Sheet6!C10</f>
        <v>24840000</v>
      </c>
      <c r="H17" s="192">
        <f>SUM(G17:G18)</f>
        <v>47196000</v>
      </c>
      <c r="I17" s="56"/>
    </row>
    <row r="18" spans="1:15" s="1" customFormat="1" ht="19.5" customHeight="1" thickBot="1">
      <c r="A18" s="144"/>
      <c r="B18" s="148"/>
      <c r="C18" s="149"/>
      <c r="D18" s="52" t="s">
        <v>133</v>
      </c>
      <c r="E18" s="77">
        <v>1</v>
      </c>
      <c r="F18" s="78"/>
      <c r="G18" s="13">
        <f>Sheet6!C11</f>
        <v>22355999.999999996</v>
      </c>
      <c r="H18" s="228"/>
      <c r="I18" s="56"/>
    </row>
    <row r="19" spans="1:15" s="1" customFormat="1" ht="19.5" customHeight="1" thickBot="1">
      <c r="A19" s="144"/>
      <c r="B19" s="148"/>
      <c r="C19" s="149"/>
      <c r="D19" s="52" t="s">
        <v>134</v>
      </c>
      <c r="E19" s="77">
        <v>1</v>
      </c>
      <c r="F19" s="78"/>
      <c r="G19" s="13">
        <f>Sheet6!C12</f>
        <v>22355999.999999996</v>
      </c>
      <c r="H19" s="192">
        <f>SUM(G19:G20)</f>
        <v>49679999.999999993</v>
      </c>
      <c r="I19" s="56"/>
    </row>
    <row r="20" spans="1:15" s="1" customFormat="1" ht="19.5" customHeight="1" thickBot="1">
      <c r="A20" s="144"/>
      <c r="B20" s="148"/>
      <c r="C20" s="149"/>
      <c r="D20" s="52" t="s">
        <v>33</v>
      </c>
      <c r="E20" s="77">
        <v>1</v>
      </c>
      <c r="F20" s="78"/>
      <c r="G20" s="13">
        <f>Sheet6!C13</f>
        <v>27323999.999999996</v>
      </c>
      <c r="H20" s="228"/>
      <c r="I20" s="56"/>
    </row>
    <row r="21" spans="1:15" s="1" customFormat="1" ht="19.5" customHeight="1" thickBot="1">
      <c r="A21" s="144"/>
      <c r="B21" s="148"/>
      <c r="C21" s="149"/>
      <c r="D21" s="52" t="s">
        <v>142</v>
      </c>
      <c r="E21" s="77">
        <v>1</v>
      </c>
      <c r="F21" s="78"/>
      <c r="G21" s="13">
        <f>Sheet6!C14</f>
        <v>27323999.999999996</v>
      </c>
      <c r="H21" s="208">
        <f t="shared" ref="H18:H26" si="0">G21</f>
        <v>27323999.999999996</v>
      </c>
      <c r="I21" s="56"/>
    </row>
    <row r="22" spans="1:15" s="1" customFormat="1" ht="19.5" customHeight="1" thickBot="1">
      <c r="A22" s="144"/>
      <c r="B22" s="148"/>
      <c r="C22" s="149"/>
      <c r="D22" s="52" t="s">
        <v>34</v>
      </c>
      <c r="E22" s="77">
        <v>1</v>
      </c>
      <c r="F22" s="78"/>
      <c r="G22" s="13">
        <f>Sheet6!C15</f>
        <v>27323999.999999996</v>
      </c>
      <c r="H22" s="208">
        <f t="shared" si="0"/>
        <v>27323999.999999996</v>
      </c>
      <c r="I22" s="56"/>
    </row>
    <row r="23" spans="1:15" s="1" customFormat="1" ht="19.5" customHeight="1" thickBot="1">
      <c r="A23" s="144"/>
      <c r="B23" s="148"/>
      <c r="C23" s="149"/>
      <c r="D23" s="52" t="s">
        <v>135</v>
      </c>
      <c r="E23" s="122">
        <v>1</v>
      </c>
      <c r="F23" s="123"/>
      <c r="G23" s="13">
        <f>Sheet6!C16</f>
        <v>24840000</v>
      </c>
      <c r="H23" s="208">
        <f t="shared" si="0"/>
        <v>24840000</v>
      </c>
      <c r="I23" s="57"/>
      <c r="J23" s="11"/>
      <c r="K23" s="11"/>
      <c r="L23" s="11"/>
      <c r="M23" s="11"/>
      <c r="N23" s="11"/>
      <c r="O23" s="11"/>
    </row>
    <row r="24" spans="1:15" s="1" customFormat="1" ht="19.5" customHeight="1" thickBot="1">
      <c r="A24" s="144"/>
      <c r="B24" s="148"/>
      <c r="C24" s="149"/>
      <c r="D24" s="52" t="s">
        <v>136</v>
      </c>
      <c r="E24" s="122">
        <v>1</v>
      </c>
      <c r="F24" s="123"/>
      <c r="G24" s="13">
        <f>Sheet6!C17</f>
        <v>29807999.999999996</v>
      </c>
      <c r="H24" s="208">
        <f t="shared" si="0"/>
        <v>29807999.999999996</v>
      </c>
      <c r="I24" s="56"/>
    </row>
    <row r="25" spans="1:15" s="1" customFormat="1" ht="19.5" customHeight="1" thickBot="1">
      <c r="A25" s="144"/>
      <c r="B25" s="148"/>
      <c r="C25" s="149"/>
      <c r="D25" s="52" t="s">
        <v>143</v>
      </c>
      <c r="E25" s="122">
        <v>1</v>
      </c>
      <c r="F25" s="123"/>
      <c r="G25" s="13">
        <f>Sheet6!C18</f>
        <v>19871999.999999996</v>
      </c>
      <c r="H25" s="208">
        <f t="shared" si="0"/>
        <v>19871999.999999996</v>
      </c>
      <c r="I25" s="56"/>
    </row>
    <row r="26" spans="1:15" s="1" customFormat="1" ht="19.5" customHeight="1" thickBot="1">
      <c r="A26" s="144"/>
      <c r="B26" s="148"/>
      <c r="C26" s="149"/>
      <c r="D26" s="52" t="s">
        <v>35</v>
      </c>
      <c r="E26" s="141">
        <v>1</v>
      </c>
      <c r="F26" s="142"/>
      <c r="G26" s="13">
        <f>Sheet6!C19</f>
        <v>22355999.999999996</v>
      </c>
      <c r="H26" s="208">
        <f t="shared" si="0"/>
        <v>22355999.999999996</v>
      </c>
      <c r="I26" s="56"/>
    </row>
    <row r="27" spans="1:15" s="1" customFormat="1" ht="19.5" customHeight="1" thickBot="1">
      <c r="A27" s="145"/>
      <c r="B27" s="150"/>
      <c r="C27" s="151"/>
      <c r="D27" s="185" t="s">
        <v>27</v>
      </c>
      <c r="E27" s="120"/>
      <c r="F27" s="120"/>
      <c r="G27" s="121"/>
      <c r="H27" s="208">
        <f>SUM(H17:H26)</f>
        <v>248400000</v>
      </c>
      <c r="I27" s="56"/>
    </row>
    <row r="28" spans="1:15" s="1" customFormat="1" ht="19.5" customHeight="1" thickBot="1">
      <c r="A28" s="109">
        <v>2</v>
      </c>
      <c r="B28" s="112" t="s">
        <v>140</v>
      </c>
      <c r="C28" s="113"/>
      <c r="D28" s="226" t="s">
        <v>144</v>
      </c>
      <c r="E28" s="122">
        <v>1</v>
      </c>
      <c r="F28" s="123"/>
      <c r="G28" s="15">
        <f>Sheet6!C22</f>
        <v>24948000</v>
      </c>
      <c r="H28" s="208">
        <f>G28</f>
        <v>24948000</v>
      </c>
      <c r="I28" s="56"/>
    </row>
    <row r="29" spans="1:15" s="1" customFormat="1" ht="19.5" customHeight="1" thickBot="1">
      <c r="A29" s="110"/>
      <c r="B29" s="114"/>
      <c r="C29" s="115"/>
      <c r="D29" s="52" t="s">
        <v>145</v>
      </c>
      <c r="E29" s="122">
        <v>1</v>
      </c>
      <c r="F29" s="123"/>
      <c r="G29" s="15">
        <f>Sheet6!C23</f>
        <v>27324000</v>
      </c>
      <c r="H29" s="208">
        <f t="shared" ref="H29:H37" si="1">G29</f>
        <v>27324000</v>
      </c>
      <c r="I29" s="56"/>
    </row>
    <row r="30" spans="1:15" s="1" customFormat="1" ht="19.5" customHeight="1" thickBot="1">
      <c r="A30" s="110"/>
      <c r="B30" s="114"/>
      <c r="C30" s="115"/>
      <c r="D30" s="52" t="s">
        <v>30</v>
      </c>
      <c r="E30" s="122">
        <v>1</v>
      </c>
      <c r="F30" s="123"/>
      <c r="G30" s="15">
        <f>Sheet6!C24</f>
        <v>21384000</v>
      </c>
      <c r="H30" s="208">
        <f t="shared" si="1"/>
        <v>21384000</v>
      </c>
      <c r="I30" s="56"/>
    </row>
    <row r="31" spans="1:15" s="1" customFormat="1" ht="19.5" customHeight="1" thickBot="1">
      <c r="A31" s="110"/>
      <c r="B31" s="114"/>
      <c r="C31" s="115"/>
      <c r="D31" s="52" t="s">
        <v>146</v>
      </c>
      <c r="E31" s="137">
        <v>1</v>
      </c>
      <c r="F31" s="122"/>
      <c r="G31" s="15">
        <f>Sheet6!C25</f>
        <v>23760000</v>
      </c>
      <c r="H31" s="208">
        <f t="shared" si="1"/>
        <v>23760000</v>
      </c>
      <c r="I31" s="56"/>
    </row>
    <row r="32" spans="1:15" s="1" customFormat="1" ht="19.5" customHeight="1" thickBot="1">
      <c r="A32" s="110"/>
      <c r="B32" s="114"/>
      <c r="C32" s="115"/>
      <c r="D32" s="52" t="s">
        <v>147</v>
      </c>
      <c r="E32" s="137">
        <v>1</v>
      </c>
      <c r="F32" s="122"/>
      <c r="G32" s="15">
        <f>Sheet6!C26</f>
        <v>26136000</v>
      </c>
      <c r="H32" s="208">
        <f t="shared" si="1"/>
        <v>26136000</v>
      </c>
      <c r="I32" s="56"/>
    </row>
    <row r="33" spans="1:9" s="1" customFormat="1" ht="19.5" customHeight="1" thickBot="1">
      <c r="A33" s="110"/>
      <c r="B33" s="114"/>
      <c r="C33" s="115"/>
      <c r="D33" s="52" t="s">
        <v>148</v>
      </c>
      <c r="E33" s="137">
        <v>1</v>
      </c>
      <c r="F33" s="122"/>
      <c r="G33" s="15">
        <f>Sheet6!C27</f>
        <v>20196000</v>
      </c>
      <c r="H33" s="208">
        <f t="shared" si="1"/>
        <v>20196000</v>
      </c>
      <c r="I33" s="56"/>
    </row>
    <row r="34" spans="1:9" s="1" customFormat="1" ht="19.5" customHeight="1" thickBot="1">
      <c r="A34" s="110"/>
      <c r="B34" s="114"/>
      <c r="C34" s="115"/>
      <c r="D34" s="52" t="s">
        <v>149</v>
      </c>
      <c r="E34" s="140">
        <v>1</v>
      </c>
      <c r="F34" s="141"/>
      <c r="G34" s="15">
        <f>Sheet6!C28</f>
        <v>19008000</v>
      </c>
      <c r="H34" s="208">
        <f t="shared" si="1"/>
        <v>19008000</v>
      </c>
      <c r="I34" s="56"/>
    </row>
    <row r="35" spans="1:9" s="1" customFormat="1" ht="19.5" customHeight="1" thickBot="1">
      <c r="A35" s="111"/>
      <c r="B35" s="116"/>
      <c r="C35" s="117"/>
      <c r="D35" s="52" t="s">
        <v>150</v>
      </c>
      <c r="E35" s="137">
        <v>1</v>
      </c>
      <c r="F35" s="122"/>
      <c r="G35" s="15">
        <f>Sheet6!C29</f>
        <v>24948000</v>
      </c>
      <c r="H35" s="192">
        <f>SUM(G35:G36)</f>
        <v>51084000</v>
      </c>
      <c r="I35" s="70"/>
    </row>
    <row r="36" spans="1:9" s="1" customFormat="1" ht="19.5" customHeight="1" thickBot="1">
      <c r="A36" s="110"/>
      <c r="B36" s="114"/>
      <c r="C36" s="115"/>
      <c r="D36" s="52" t="s">
        <v>151</v>
      </c>
      <c r="E36" s="137">
        <v>1</v>
      </c>
      <c r="F36" s="122"/>
      <c r="G36" s="15">
        <f>Sheet6!C30</f>
        <v>26136000</v>
      </c>
      <c r="H36" s="228"/>
    </row>
    <row r="37" spans="1:9" s="1" customFormat="1" ht="19.5" customHeight="1" thickBot="1">
      <c r="A37" s="110"/>
      <c r="B37" s="114"/>
      <c r="C37" s="115"/>
      <c r="D37" s="52" t="s">
        <v>31</v>
      </c>
      <c r="E37" s="189">
        <v>1</v>
      </c>
      <c r="F37" s="122"/>
      <c r="G37" s="15">
        <f>Sheet6!C31</f>
        <v>23760000</v>
      </c>
      <c r="H37" s="208">
        <f t="shared" si="1"/>
        <v>23760000</v>
      </c>
    </row>
    <row r="38" spans="1:9" s="1" customFormat="1" ht="19.5" customHeight="1" thickBot="1">
      <c r="A38" s="111"/>
      <c r="B38" s="116"/>
      <c r="C38" s="118"/>
      <c r="D38" s="119" t="s">
        <v>27</v>
      </c>
      <c r="E38" s="120"/>
      <c r="F38" s="120"/>
      <c r="G38" s="121"/>
      <c r="H38" s="208">
        <f>SUM(H28:H37)</f>
        <v>237600000</v>
      </c>
    </row>
    <row r="39" spans="1:9" s="1" customFormat="1" ht="19.5" customHeight="1" thickBot="1">
      <c r="A39" s="109">
        <v>3</v>
      </c>
      <c r="B39" s="112" t="s">
        <v>141</v>
      </c>
      <c r="C39" s="113"/>
      <c r="D39" s="52" t="s">
        <v>152</v>
      </c>
      <c r="E39" s="122">
        <v>1</v>
      </c>
      <c r="F39" s="123"/>
      <c r="G39" s="15">
        <f>Sheet6!C34</f>
        <v>19188000</v>
      </c>
      <c r="H39" s="192">
        <f>SUM(G39:G40)</f>
        <v>40014000</v>
      </c>
    </row>
    <row r="40" spans="1:9" s="1" customFormat="1" ht="19.5" customHeight="1" thickBot="1">
      <c r="A40" s="110"/>
      <c r="B40" s="114"/>
      <c r="C40" s="115"/>
      <c r="D40" s="52" t="s">
        <v>137</v>
      </c>
      <c r="E40" s="137">
        <v>1</v>
      </c>
      <c r="F40" s="122"/>
      <c r="G40" s="15">
        <f>Sheet6!C35</f>
        <v>20826000</v>
      </c>
      <c r="H40" s="228"/>
    </row>
    <row r="41" spans="1:9" s="1" customFormat="1" ht="19.5" customHeight="1" thickBot="1">
      <c r="A41" s="110"/>
      <c r="B41" s="114"/>
      <c r="C41" s="115"/>
      <c r="D41" s="52" t="s">
        <v>153</v>
      </c>
      <c r="E41" s="137">
        <v>1</v>
      </c>
      <c r="F41" s="122"/>
      <c r="G41" s="15">
        <f>Sheet6!C36</f>
        <v>24570000</v>
      </c>
      <c r="H41" s="208">
        <f>G41</f>
        <v>24570000</v>
      </c>
    </row>
    <row r="42" spans="1:9" s="1" customFormat="1" ht="19.5" customHeight="1" thickBot="1">
      <c r="A42" s="110"/>
      <c r="B42" s="114"/>
      <c r="C42" s="115"/>
      <c r="D42" s="52" t="s">
        <v>154</v>
      </c>
      <c r="E42" s="137">
        <v>1</v>
      </c>
      <c r="F42" s="122"/>
      <c r="G42" s="15">
        <f>Sheet6!C37</f>
        <v>24336000</v>
      </c>
      <c r="H42" s="208">
        <f>G42</f>
        <v>24336000</v>
      </c>
    </row>
    <row r="43" spans="1:9" s="1" customFormat="1" ht="19.5" customHeight="1" thickBot="1">
      <c r="A43" s="110"/>
      <c r="B43" s="114"/>
      <c r="C43" s="115"/>
      <c r="D43" s="52" t="s">
        <v>29</v>
      </c>
      <c r="E43" s="137">
        <v>1</v>
      </c>
      <c r="F43" s="122"/>
      <c r="G43" s="15">
        <f>Sheet6!C38</f>
        <v>24804000</v>
      </c>
      <c r="H43" s="208">
        <f>G43</f>
        <v>24804000</v>
      </c>
    </row>
    <row r="44" spans="1:9" s="1" customFormat="1" ht="19.5" customHeight="1" thickBot="1">
      <c r="A44" s="110"/>
      <c r="B44" s="114"/>
      <c r="C44" s="115"/>
      <c r="D44" s="52" t="s">
        <v>155</v>
      </c>
      <c r="E44" s="137">
        <v>1</v>
      </c>
      <c r="F44" s="122"/>
      <c r="G44" s="15">
        <f>Sheet6!C39</f>
        <v>21060000</v>
      </c>
      <c r="H44" s="190">
        <f>G44</f>
        <v>21060000</v>
      </c>
    </row>
    <row r="45" spans="1:9" s="1" customFormat="1" ht="19.5" customHeight="1" thickBot="1">
      <c r="A45" s="110"/>
      <c r="B45" s="114"/>
      <c r="C45" s="115"/>
      <c r="D45" s="52" t="s">
        <v>156</v>
      </c>
      <c r="E45" s="137">
        <v>1</v>
      </c>
      <c r="F45" s="122"/>
      <c r="G45" s="15">
        <f>Sheet6!C40</f>
        <v>25038000</v>
      </c>
      <c r="H45" s="191">
        <f>G45</f>
        <v>25038000</v>
      </c>
    </row>
    <row r="46" spans="1:9" s="1" customFormat="1" ht="19.5" customHeight="1" thickBot="1">
      <c r="A46" s="110"/>
      <c r="B46" s="114"/>
      <c r="C46" s="115"/>
      <c r="D46" s="52" t="s">
        <v>157</v>
      </c>
      <c r="E46" s="137">
        <v>1</v>
      </c>
      <c r="F46" s="122"/>
      <c r="G46" s="15">
        <f>Sheet6!C41</f>
        <v>25506000</v>
      </c>
      <c r="H46" s="190">
        <f>G46</f>
        <v>25506000</v>
      </c>
    </row>
    <row r="47" spans="1:9" s="1" customFormat="1" ht="19.5" customHeight="1" thickBot="1">
      <c r="A47" s="110"/>
      <c r="B47" s="114"/>
      <c r="C47" s="115"/>
      <c r="D47" s="52" t="s">
        <v>158</v>
      </c>
      <c r="E47" s="137">
        <v>1</v>
      </c>
      <c r="F47" s="122"/>
      <c r="G47" s="15">
        <f>Sheet6!C42</f>
        <v>24102000</v>
      </c>
      <c r="H47" s="192">
        <f>SUM(G47:G48)</f>
        <v>48672000</v>
      </c>
    </row>
    <row r="48" spans="1:9" s="1" customFormat="1" ht="19.5" customHeight="1" thickBot="1">
      <c r="A48" s="110"/>
      <c r="B48" s="114"/>
      <c r="C48" s="115"/>
      <c r="D48" s="52" t="s">
        <v>159</v>
      </c>
      <c r="E48" s="137">
        <v>1</v>
      </c>
      <c r="F48" s="122"/>
      <c r="G48" s="15">
        <f>Sheet6!C43</f>
        <v>24570000</v>
      </c>
      <c r="H48" s="228"/>
    </row>
    <row r="49" spans="1:8" s="1" customFormat="1" ht="19.5" customHeight="1" thickBot="1">
      <c r="A49" s="111"/>
      <c r="B49" s="116"/>
      <c r="C49" s="118"/>
      <c r="D49" s="119" t="s">
        <v>27</v>
      </c>
      <c r="E49" s="120"/>
      <c r="F49" s="120"/>
      <c r="G49" s="121"/>
      <c r="H49" s="16">
        <f>SUM(H39:H48)</f>
        <v>234000000</v>
      </c>
    </row>
    <row r="50" spans="1:8" s="1" customFormat="1" ht="19.5" customHeight="1">
      <c r="A50" s="17" t="s">
        <v>22</v>
      </c>
      <c r="B50" s="138" t="s">
        <v>26</v>
      </c>
      <c r="C50" s="138"/>
      <c r="D50" s="139"/>
      <c r="E50" s="135">
        <f>SUM(E17:F49)</f>
        <v>30</v>
      </c>
      <c r="F50" s="136"/>
      <c r="G50" s="18"/>
      <c r="H50" s="19">
        <f>H49+H38+H27</f>
        <v>720000000</v>
      </c>
    </row>
    <row r="51" spans="1:8" s="1" customFormat="1" ht="15" customHeight="1">
      <c r="A51" s="34"/>
      <c r="B51" s="20" t="s">
        <v>25</v>
      </c>
      <c r="C51" s="20"/>
      <c r="D51" s="20"/>
      <c r="E51" s="20"/>
      <c r="F51" s="20"/>
      <c r="G51" s="20"/>
      <c r="H51" s="35"/>
    </row>
    <row r="52" spans="1:8" s="1" customFormat="1" ht="14" customHeight="1">
      <c r="A52" s="36"/>
      <c r="B52" s="37"/>
      <c r="C52" s="37"/>
      <c r="D52" s="37"/>
      <c r="E52" s="37"/>
      <c r="F52" s="37"/>
      <c r="G52" s="37"/>
      <c r="H52" s="38"/>
    </row>
    <row r="53" spans="1:8" s="1" customFormat="1" ht="14" customHeight="1" thickBot="1">
      <c r="A53" s="39"/>
      <c r="B53" s="40"/>
      <c r="C53" s="40"/>
      <c r="D53" s="40"/>
      <c r="E53" s="40"/>
      <c r="F53" s="40"/>
      <c r="G53" s="40"/>
      <c r="H53" s="41"/>
    </row>
    <row r="54" spans="1:8" s="1" customFormat="1" ht="15" customHeight="1"/>
    <row r="55" spans="1:8" s="1" customFormat="1" ht="15" customHeight="1">
      <c r="A55" s="4"/>
    </row>
    <row r="56" spans="1:8" s="1" customFormat="1" ht="15" customHeight="1">
      <c r="A56" s="4"/>
    </row>
    <row r="57" spans="1:8" s="1" customFormat="1" ht="15" customHeight="1">
      <c r="E57" s="5"/>
    </row>
    <row r="58" spans="1:8" s="1" customFormat="1" ht="15" customHeight="1" thickBot="1">
      <c r="D58" s="52"/>
      <c r="E58" s="5"/>
    </row>
    <row r="59" spans="1:8" s="1" customFormat="1" ht="15" customHeight="1">
      <c r="E59" s="5"/>
    </row>
    <row r="60" spans="1:8" s="1" customFormat="1" ht="15" customHeight="1">
      <c r="E60" s="5"/>
    </row>
    <row r="61" spans="1:8" s="1" customFormat="1" ht="15" customHeight="1">
      <c r="E61" s="5"/>
    </row>
    <row r="62" spans="1:8" s="1" customFormat="1" ht="15" customHeight="1">
      <c r="E62" s="5"/>
    </row>
    <row r="63" spans="1:8" s="1" customFormat="1" ht="15" customHeight="1">
      <c r="E63" s="5"/>
      <c r="H63" s="6"/>
    </row>
    <row r="64" spans="1:8" s="1" customFormat="1" ht="15" customHeight="1">
      <c r="E64" s="7"/>
      <c r="F64" s="7"/>
      <c r="H64" s="8"/>
    </row>
    <row r="65" spans="3:8" s="1" customFormat="1" ht="15" customHeight="1">
      <c r="C65" s="6"/>
      <c r="D65" s="9"/>
      <c r="E65" s="7"/>
      <c r="F65" s="7"/>
      <c r="H65" s="8"/>
    </row>
    <row r="66" spans="3:8" s="1" customFormat="1" ht="15" customHeight="1">
      <c r="C66" s="6"/>
      <c r="D66" s="9"/>
      <c r="E66" s="7"/>
      <c r="F66" s="7"/>
      <c r="H66" s="8"/>
    </row>
    <row r="67" spans="3:8" s="1" customFormat="1" ht="15" customHeight="1">
      <c r="C67" s="6"/>
      <c r="D67" s="9"/>
      <c r="E67" s="7"/>
      <c r="F67" s="7"/>
      <c r="H67" s="8"/>
    </row>
    <row r="68" spans="3:8" s="1" customFormat="1" ht="15" customHeight="1">
      <c r="E68" s="7"/>
      <c r="F68" s="7"/>
      <c r="H68" s="8"/>
    </row>
    <row r="69" spans="3:8" s="1" customFormat="1" ht="15" customHeight="1">
      <c r="E69" s="7"/>
      <c r="F69" s="7"/>
      <c r="H69" s="8"/>
    </row>
    <row r="70" spans="3:8" s="1" customFormat="1" ht="15" customHeight="1">
      <c r="D70" s="5"/>
      <c r="E70" s="6"/>
      <c r="F70" s="6"/>
      <c r="H70" s="3"/>
    </row>
    <row r="71" spans="3:8" s="1" customFormat="1" ht="15" customHeight="1">
      <c r="E71" s="6"/>
      <c r="F71" s="6"/>
      <c r="H71" s="3"/>
    </row>
    <row r="72" spans="3:8" s="1" customFormat="1" ht="15" customHeight="1">
      <c r="E72" s="5"/>
    </row>
    <row r="73" spans="3:8" s="1" customFormat="1" ht="15" customHeight="1">
      <c r="E73" s="5"/>
    </row>
    <row r="74" spans="3:8" s="1" customFormat="1" ht="15" customHeight="1">
      <c r="E74" s="5"/>
    </row>
    <row r="75" spans="3:8" s="1" customFormat="1" ht="15" customHeight="1">
      <c r="E75" s="5"/>
    </row>
    <row r="76" spans="3:8" s="1" customFormat="1" ht="15" customHeight="1">
      <c r="E76" s="5"/>
    </row>
    <row r="77" spans="3:8" s="1" customFormat="1" ht="23.25" customHeight="1">
      <c r="E77" s="5"/>
    </row>
    <row r="78" spans="3:8" s="1" customFormat="1" ht="16.5" customHeight="1"/>
    <row r="95" spans="1:8" s="10" customFormat="1" ht="15" thickBot="1">
      <c r="A95" s="1"/>
      <c r="B95" s="1"/>
      <c r="C95" s="1"/>
      <c r="D95" s="1"/>
      <c r="E95" s="1"/>
      <c r="F95" s="1"/>
      <c r="G95" s="1"/>
      <c r="H95" s="1"/>
    </row>
    <row r="102" s="1" customFormat="1"/>
    <row r="103" s="1" customFormat="1"/>
    <row r="104" s="1" customFormat="1"/>
  </sheetData>
  <mergeCells count="74">
    <mergeCell ref="D27:G27"/>
    <mergeCell ref="H19:H20"/>
    <mergeCell ref="E21:F21"/>
    <mergeCell ref="E22:F22"/>
    <mergeCell ref="H35:H36"/>
    <mergeCell ref="H39:H40"/>
    <mergeCell ref="A39:A49"/>
    <mergeCell ref="B39:C49"/>
    <mergeCell ref="E26:F26"/>
    <mergeCell ref="E41:F41"/>
    <mergeCell ref="E43:F43"/>
    <mergeCell ref="E44:F44"/>
    <mergeCell ref="E45:F45"/>
    <mergeCell ref="E46:F46"/>
    <mergeCell ref="E47:F47"/>
    <mergeCell ref="A17:A27"/>
    <mergeCell ref="E28:F28"/>
    <mergeCell ref="E29:F29"/>
    <mergeCell ref="E30:F30"/>
    <mergeCell ref="E39:F39"/>
    <mergeCell ref="E40:F40"/>
    <mergeCell ref="E50:F50"/>
    <mergeCell ref="D49:G49"/>
    <mergeCell ref="E31:F31"/>
    <mergeCell ref="B50:D50"/>
    <mergeCell ref="E48:F48"/>
    <mergeCell ref="E32:F32"/>
    <mergeCell ref="E33:F33"/>
    <mergeCell ref="E34:F34"/>
    <mergeCell ref="E35:F35"/>
    <mergeCell ref="E36:F36"/>
    <mergeCell ref="E37:F37"/>
    <mergeCell ref="E42:F42"/>
    <mergeCell ref="A4:B5"/>
    <mergeCell ref="C4:D4"/>
    <mergeCell ref="A9:B9"/>
    <mergeCell ref="A8:B8"/>
    <mergeCell ref="A6:B6"/>
    <mergeCell ref="A7:B7"/>
    <mergeCell ref="C9:D9"/>
    <mergeCell ref="C5:D5"/>
    <mergeCell ref="C6:D6"/>
    <mergeCell ref="C7:D7"/>
    <mergeCell ref="E4:H4"/>
    <mergeCell ref="E5:H5"/>
    <mergeCell ref="E6:H6"/>
    <mergeCell ref="E7:H7"/>
    <mergeCell ref="E8:H8"/>
    <mergeCell ref="D14:H14"/>
    <mergeCell ref="E10:H10"/>
    <mergeCell ref="A28:A38"/>
    <mergeCell ref="B28:C38"/>
    <mergeCell ref="D38:G38"/>
    <mergeCell ref="E17:F17"/>
    <mergeCell ref="E25:F25"/>
    <mergeCell ref="E20:F20"/>
    <mergeCell ref="E23:F23"/>
    <mergeCell ref="E24:F24"/>
    <mergeCell ref="B17:C27"/>
    <mergeCell ref="H17:H18"/>
    <mergeCell ref="H47:H48"/>
    <mergeCell ref="E9:H9"/>
    <mergeCell ref="C10:D10"/>
    <mergeCell ref="C8:D8"/>
    <mergeCell ref="E18:F18"/>
    <mergeCell ref="E19:F19"/>
    <mergeCell ref="A14:C15"/>
    <mergeCell ref="D15:H15"/>
    <mergeCell ref="E16:F16"/>
    <mergeCell ref="A10:B10"/>
    <mergeCell ref="A12:C12"/>
    <mergeCell ref="D12:H12"/>
    <mergeCell ref="A13:C13"/>
    <mergeCell ref="D13:H13"/>
  </mergeCells>
  <phoneticPr fontId="5" type="noConversion"/>
  <pageMargins left="0.25" right="0.25" top="0.75" bottom="0.75" header="0.3" footer="0.3"/>
  <pageSetup paperSize="9" scale="72" fitToHeight="0" orientation="portrait" r:id="rId1"/>
  <headerFooter alignWithMargins="0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EB7D-2464-2E4D-96AB-5A6DD99A4091}">
  <sheetPr>
    <pageSetUpPr fitToPage="1"/>
  </sheetPr>
  <dimension ref="A1:P83"/>
  <sheetViews>
    <sheetView topLeftCell="A3" zoomScale="143" zoomScaleNormal="150" zoomScaleSheetLayoutView="70" workbookViewId="0">
      <selection activeCell="E31" sqref="D2:E31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44" t="s">
        <v>0</v>
      </c>
      <c r="B1" s="45" t="s">
        <v>17</v>
      </c>
      <c r="C1" s="45"/>
      <c r="D1" s="47" t="s">
        <v>18</v>
      </c>
      <c r="E1" s="46"/>
      <c r="F1" s="155" t="s">
        <v>19</v>
      </c>
      <c r="G1" s="156"/>
      <c r="H1" s="47" t="s">
        <v>20</v>
      </c>
      <c r="I1" s="55" t="s">
        <v>21</v>
      </c>
    </row>
    <row r="2" spans="1:9" s="1" customFormat="1" ht="18" customHeight="1" thickBot="1">
      <c r="A2" s="157">
        <v>1</v>
      </c>
      <c r="B2" s="179" t="s">
        <v>28</v>
      </c>
      <c r="C2" s="147"/>
      <c r="D2" s="152" t="str">
        <f>견적!D17</f>
        <v>로그 데이터 수집, 저장, 검색, 분석 기능 구현</v>
      </c>
      <c r="E2" s="48" t="s">
        <v>43</v>
      </c>
      <c r="F2" s="164">
        <v>1</v>
      </c>
      <c r="G2" s="165"/>
      <c r="H2" s="173">
        <f>견적!G17</f>
        <v>24840000</v>
      </c>
      <c r="I2" s="176">
        <f>H2</f>
        <v>24840000</v>
      </c>
    </row>
    <row r="3" spans="1:9" s="1" customFormat="1" ht="18" customHeight="1">
      <c r="A3" s="158"/>
      <c r="B3" s="180"/>
      <c r="C3" s="149"/>
      <c r="D3" s="153"/>
      <c r="E3" s="48" t="s">
        <v>44</v>
      </c>
      <c r="F3" s="166"/>
      <c r="G3" s="167"/>
      <c r="H3" s="174"/>
      <c r="I3" s="177"/>
    </row>
    <row r="4" spans="1:9" s="1" customFormat="1" ht="18" customHeight="1" thickBot="1">
      <c r="A4" s="158"/>
      <c r="B4" s="180"/>
      <c r="C4" s="149"/>
      <c r="D4" s="154"/>
      <c r="E4" s="49" t="s">
        <v>45</v>
      </c>
      <c r="F4" s="168"/>
      <c r="G4" s="169"/>
      <c r="H4" s="175"/>
      <c r="I4" s="178"/>
    </row>
    <row r="5" spans="1:9" s="1" customFormat="1" ht="18" customHeight="1">
      <c r="A5" s="159"/>
      <c r="B5" s="180"/>
      <c r="C5" s="149"/>
      <c r="D5" s="152" t="str">
        <f>견적!D18</f>
        <v>사용자별, 작업별 로그 데이터 관리 기능 제공</v>
      </c>
      <c r="E5" s="50" t="s">
        <v>46</v>
      </c>
      <c r="F5" s="164">
        <v>1</v>
      </c>
      <c r="G5" s="165"/>
      <c r="H5" s="173">
        <f>견적!G18</f>
        <v>22355999.999999996</v>
      </c>
      <c r="I5" s="176">
        <f t="shared" ref="I5" si="0">H5</f>
        <v>22355999.999999996</v>
      </c>
    </row>
    <row r="6" spans="1:9" s="1" customFormat="1" ht="18" customHeight="1">
      <c r="A6" s="159"/>
      <c r="B6" s="180"/>
      <c r="C6" s="149"/>
      <c r="D6" s="153"/>
      <c r="E6" s="51" t="s">
        <v>47</v>
      </c>
      <c r="F6" s="166"/>
      <c r="G6" s="167"/>
      <c r="H6" s="174"/>
      <c r="I6" s="177"/>
    </row>
    <row r="7" spans="1:9" s="1" customFormat="1" ht="18" customHeight="1" thickBot="1">
      <c r="A7" s="159"/>
      <c r="B7" s="180"/>
      <c r="C7" s="149"/>
      <c r="D7" s="154"/>
      <c r="E7" s="52" t="s">
        <v>48</v>
      </c>
      <c r="F7" s="168"/>
      <c r="G7" s="169"/>
      <c r="H7" s="175"/>
      <c r="I7" s="178"/>
    </row>
    <row r="8" spans="1:9" s="1" customFormat="1" ht="18" customHeight="1">
      <c r="A8" s="159"/>
      <c r="B8" s="180"/>
      <c r="C8" s="149"/>
      <c r="D8" s="152" t="str">
        <f>견적!D19</f>
        <v>병렬 프로그램의 실행 상태, 성능 의 실시간 모니터링 기능 제공</v>
      </c>
      <c r="E8" s="50" t="s">
        <v>130</v>
      </c>
      <c r="F8" s="170">
        <v>1</v>
      </c>
      <c r="G8" s="165"/>
      <c r="H8" s="173">
        <f>견적!G19</f>
        <v>22355999.999999996</v>
      </c>
      <c r="I8" s="176">
        <f t="shared" ref="I8" si="1">H8</f>
        <v>22355999.999999996</v>
      </c>
    </row>
    <row r="9" spans="1:9" s="1" customFormat="1" ht="18" customHeight="1">
      <c r="A9" s="159"/>
      <c r="B9" s="180"/>
      <c r="C9" s="149"/>
      <c r="D9" s="153"/>
      <c r="E9" s="51" t="s">
        <v>131</v>
      </c>
      <c r="F9" s="171"/>
      <c r="G9" s="167"/>
      <c r="H9" s="174"/>
      <c r="I9" s="177"/>
    </row>
    <row r="10" spans="1:9" s="1" customFormat="1" ht="18" customHeight="1" thickBot="1">
      <c r="A10" s="159"/>
      <c r="B10" s="180"/>
      <c r="C10" s="149"/>
      <c r="D10" s="154"/>
      <c r="E10" s="52" t="s">
        <v>132</v>
      </c>
      <c r="F10" s="172"/>
      <c r="G10" s="169"/>
      <c r="H10" s="175"/>
      <c r="I10" s="178"/>
    </row>
    <row r="11" spans="1:9" s="1" customFormat="1" ht="18" customHeight="1">
      <c r="A11" s="159"/>
      <c r="B11" s="180"/>
      <c r="C11" s="149"/>
      <c r="D11" s="152" t="str">
        <f>견적!D20</f>
        <v>병렬 분산 처리를 위한 효율적인 라이브러리 구축 및 테스트</v>
      </c>
      <c r="E11" s="50" t="s">
        <v>49</v>
      </c>
      <c r="F11" s="170">
        <v>1</v>
      </c>
      <c r="G11" s="165"/>
      <c r="H11" s="173">
        <f>견적!G20</f>
        <v>27323999.999999996</v>
      </c>
      <c r="I11" s="176">
        <f t="shared" ref="I11" si="2">H11</f>
        <v>27323999.999999996</v>
      </c>
    </row>
    <row r="12" spans="1:9" s="1" customFormat="1" ht="18" customHeight="1">
      <c r="A12" s="159"/>
      <c r="B12" s="180"/>
      <c r="C12" s="149"/>
      <c r="D12" s="153"/>
      <c r="E12" s="51" t="s">
        <v>50</v>
      </c>
      <c r="F12" s="171"/>
      <c r="G12" s="167"/>
      <c r="H12" s="174"/>
      <c r="I12" s="177"/>
    </row>
    <row r="13" spans="1:9" s="1" customFormat="1" ht="18" customHeight="1" thickBot="1">
      <c r="A13" s="159"/>
      <c r="B13" s="180"/>
      <c r="C13" s="149"/>
      <c r="D13" s="154"/>
      <c r="E13" s="52" t="s">
        <v>51</v>
      </c>
      <c r="F13" s="172"/>
      <c r="G13" s="169"/>
      <c r="H13" s="175"/>
      <c r="I13" s="178"/>
    </row>
    <row r="14" spans="1:9" s="1" customFormat="1" ht="18" customHeight="1">
      <c r="A14" s="159"/>
      <c r="B14" s="180"/>
      <c r="C14" s="149"/>
      <c r="D14" s="152" t="str">
        <f>견적!D21</f>
        <v>분석 응용 프로그램의 에러 및 예외 처리 프로세스 구현</v>
      </c>
      <c r="E14" s="50" t="s">
        <v>52</v>
      </c>
      <c r="F14" s="170">
        <v>1</v>
      </c>
      <c r="G14" s="165"/>
      <c r="H14" s="173">
        <f>견적!G21</f>
        <v>27323999.999999996</v>
      </c>
      <c r="I14" s="176">
        <f t="shared" ref="I14" si="3">H14</f>
        <v>27323999.999999996</v>
      </c>
    </row>
    <row r="15" spans="1:9" s="1" customFormat="1" ht="18" customHeight="1">
      <c r="A15" s="159"/>
      <c r="B15" s="180"/>
      <c r="C15" s="149"/>
      <c r="D15" s="153"/>
      <c r="E15" s="51" t="s">
        <v>53</v>
      </c>
      <c r="F15" s="171"/>
      <c r="G15" s="167"/>
      <c r="H15" s="174"/>
      <c r="I15" s="177"/>
    </row>
    <row r="16" spans="1:9" s="1" customFormat="1" ht="18" customHeight="1" thickBot="1">
      <c r="A16" s="159"/>
      <c r="B16" s="180"/>
      <c r="C16" s="149"/>
      <c r="D16" s="154"/>
      <c r="E16" s="52" t="s">
        <v>54</v>
      </c>
      <c r="F16" s="172"/>
      <c r="G16" s="169"/>
      <c r="H16" s="175"/>
      <c r="I16" s="178"/>
    </row>
    <row r="17" spans="1:16" s="1" customFormat="1" ht="18" customHeight="1">
      <c r="A17" s="159"/>
      <c r="B17" s="180"/>
      <c r="C17" s="149"/>
      <c r="D17" s="152" t="str">
        <f>견적!D22</f>
        <v>HPC 시스템에 대한 사용자 인터페이스 및 API 제공</v>
      </c>
      <c r="E17" s="50" t="s">
        <v>55</v>
      </c>
      <c r="F17" s="170">
        <v>1</v>
      </c>
      <c r="G17" s="165"/>
      <c r="H17" s="173">
        <f>견적!G22</f>
        <v>27323999.999999996</v>
      </c>
      <c r="I17" s="176">
        <f t="shared" ref="I17" si="4">H17</f>
        <v>27323999.999999996</v>
      </c>
    </row>
    <row r="18" spans="1:16" s="1" customFormat="1" ht="18" customHeight="1">
      <c r="A18" s="159"/>
      <c r="B18" s="180"/>
      <c r="C18" s="149"/>
      <c r="D18" s="153"/>
      <c r="E18" s="51" t="s">
        <v>56</v>
      </c>
      <c r="F18" s="171"/>
      <c r="G18" s="167"/>
      <c r="H18" s="174"/>
      <c r="I18" s="177"/>
    </row>
    <row r="19" spans="1:16" s="1" customFormat="1" ht="18" customHeight="1" thickBot="1">
      <c r="A19" s="159"/>
      <c r="B19" s="180"/>
      <c r="C19" s="149"/>
      <c r="D19" s="154"/>
      <c r="E19" s="52" t="s">
        <v>57</v>
      </c>
      <c r="F19" s="172"/>
      <c r="G19" s="169"/>
      <c r="H19" s="175"/>
      <c r="I19" s="178"/>
    </row>
    <row r="20" spans="1:16" s="1" customFormat="1" ht="18" customHeight="1">
      <c r="A20" s="159"/>
      <c r="B20" s="180"/>
      <c r="C20" s="149"/>
      <c r="D20" s="152" t="str">
        <f>견적!D23</f>
        <v>시스템의 성능 모니터링 및 리포트 생성 기능 제공</v>
      </c>
      <c r="E20" s="50" t="s">
        <v>58</v>
      </c>
      <c r="F20" s="170">
        <v>1</v>
      </c>
      <c r="G20" s="165"/>
      <c r="H20" s="173">
        <f>견적!G23</f>
        <v>24840000</v>
      </c>
      <c r="I20" s="176">
        <f t="shared" ref="I20" si="5">H20</f>
        <v>24840000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59"/>
      <c r="B21" s="180"/>
      <c r="C21" s="149"/>
      <c r="D21" s="153"/>
      <c r="E21" s="51" t="s">
        <v>59</v>
      </c>
      <c r="F21" s="171"/>
      <c r="G21" s="167"/>
      <c r="H21" s="174"/>
      <c r="I21" s="177"/>
    </row>
    <row r="22" spans="1:16" s="1" customFormat="1" ht="18" customHeight="1" thickBot="1">
      <c r="A22" s="159"/>
      <c r="B22" s="180"/>
      <c r="C22" s="149"/>
      <c r="D22" s="154"/>
      <c r="E22" s="52" t="s">
        <v>60</v>
      </c>
      <c r="F22" s="172">
        <v>1</v>
      </c>
      <c r="G22" s="169"/>
      <c r="H22" s="175"/>
      <c r="I22" s="178"/>
    </row>
    <row r="23" spans="1:16" s="1" customFormat="1" ht="18" customHeight="1">
      <c r="A23" s="159"/>
      <c r="B23" s="180"/>
      <c r="C23" s="149"/>
      <c r="D23" s="152" t="str">
        <f>견적!D24</f>
        <v>병렬 프로그래밍을 위한 개발 환경 구축</v>
      </c>
      <c r="E23" s="50" t="s">
        <v>61</v>
      </c>
      <c r="F23" s="170">
        <v>1</v>
      </c>
      <c r="G23" s="165"/>
      <c r="H23" s="173">
        <f>견적!G24</f>
        <v>29807999.999999996</v>
      </c>
      <c r="I23" s="176">
        <f t="shared" ref="I23" si="6">H23</f>
        <v>29807999.999999996</v>
      </c>
    </row>
    <row r="24" spans="1:16" s="1" customFormat="1" ht="18" customHeight="1">
      <c r="A24" s="159"/>
      <c r="B24" s="180"/>
      <c r="C24" s="149"/>
      <c r="D24" s="153"/>
      <c r="E24" s="51" t="s">
        <v>62</v>
      </c>
      <c r="F24" s="171"/>
      <c r="G24" s="167"/>
      <c r="H24" s="174"/>
      <c r="I24" s="177"/>
    </row>
    <row r="25" spans="1:16" s="1" customFormat="1" ht="18" customHeight="1" thickBot="1">
      <c r="A25" s="159"/>
      <c r="B25" s="180"/>
      <c r="C25" s="149"/>
      <c r="D25" s="154"/>
      <c r="E25" s="52" t="s">
        <v>63</v>
      </c>
      <c r="F25" s="172">
        <v>1</v>
      </c>
      <c r="G25" s="169"/>
      <c r="H25" s="175"/>
      <c r="I25" s="178"/>
    </row>
    <row r="26" spans="1:16" s="1" customFormat="1" ht="18" customHeight="1">
      <c r="A26" s="159"/>
      <c r="B26" s="180"/>
      <c r="C26" s="149"/>
      <c r="D26" s="152" t="str">
        <f>견적!D25</f>
        <v>HPC 사용자 및 개발자를 위한 사용자 문서 제작</v>
      </c>
      <c r="E26" s="63" t="s">
        <v>64</v>
      </c>
      <c r="F26" s="171">
        <v>1</v>
      </c>
      <c r="G26" s="167"/>
      <c r="H26" s="173">
        <f>견적!G25</f>
        <v>19871999.999999996</v>
      </c>
      <c r="I26" s="176">
        <f t="shared" ref="I26" si="7">H26</f>
        <v>19871999.999999996</v>
      </c>
    </row>
    <row r="27" spans="1:16" s="1" customFormat="1" ht="18" customHeight="1">
      <c r="A27" s="159"/>
      <c r="B27" s="180"/>
      <c r="C27" s="149"/>
      <c r="D27" s="153"/>
      <c r="E27" s="64" t="s">
        <v>65</v>
      </c>
      <c r="F27" s="171"/>
      <c r="G27" s="167"/>
      <c r="H27" s="174"/>
      <c r="I27" s="177"/>
    </row>
    <row r="28" spans="1:16" s="1" customFormat="1" ht="18" customHeight="1" thickBot="1">
      <c r="A28" s="159"/>
      <c r="B28" s="180"/>
      <c r="C28" s="149"/>
      <c r="D28" s="154"/>
      <c r="E28" s="65" t="s">
        <v>66</v>
      </c>
      <c r="F28" s="171"/>
      <c r="G28" s="167"/>
      <c r="H28" s="175"/>
      <c r="I28" s="178"/>
    </row>
    <row r="29" spans="1:16" s="1" customFormat="1" ht="18" customHeight="1">
      <c r="A29" s="159"/>
      <c r="B29" s="180"/>
      <c r="C29" s="149"/>
      <c r="D29" s="152" t="str">
        <f>견적!D26</f>
        <v>시스템 확장성 및 고가용성을 고려한 인프라 설계</v>
      </c>
      <c r="E29" s="50" t="s">
        <v>67</v>
      </c>
      <c r="F29" s="170">
        <v>1</v>
      </c>
      <c r="G29" s="165"/>
      <c r="H29" s="173">
        <f>견적!G26</f>
        <v>22355999.999999996</v>
      </c>
      <c r="I29" s="176">
        <f t="shared" ref="I29" si="8">H29</f>
        <v>22355999.999999996</v>
      </c>
    </row>
    <row r="30" spans="1:16" s="1" customFormat="1" ht="18" customHeight="1">
      <c r="A30" s="160"/>
      <c r="B30" s="180"/>
      <c r="C30" s="149"/>
      <c r="D30" s="153"/>
      <c r="E30" s="51" t="s">
        <v>68</v>
      </c>
      <c r="F30" s="171"/>
      <c r="G30" s="167"/>
      <c r="H30" s="174"/>
      <c r="I30" s="177"/>
    </row>
    <row r="31" spans="1:16" s="1" customFormat="1" ht="18" customHeight="1" thickBot="1">
      <c r="A31" s="160"/>
      <c r="B31" s="180"/>
      <c r="C31" s="149"/>
      <c r="D31" s="154"/>
      <c r="E31" s="52" t="s">
        <v>69</v>
      </c>
      <c r="F31" s="172"/>
      <c r="G31" s="169"/>
      <c r="H31" s="175"/>
      <c r="I31" s="178"/>
    </row>
    <row r="32" spans="1:16" s="1" customFormat="1" ht="18" customHeight="1" thickBot="1">
      <c r="A32" s="160"/>
      <c r="B32" s="181"/>
      <c r="C32" s="182"/>
      <c r="D32" s="161" t="s">
        <v>27</v>
      </c>
      <c r="E32" s="162"/>
      <c r="F32" s="162"/>
      <c r="G32" s="162"/>
      <c r="H32" s="163"/>
      <c r="I32" s="14">
        <f>SUM(I2:I31)</f>
        <v>248400000</v>
      </c>
    </row>
    <row r="33" spans="1:9" s="1" customFormat="1" ht="15" customHeight="1"/>
    <row r="34" spans="1:9" s="1" customFormat="1" ht="15" customHeight="1">
      <c r="A34" s="4"/>
    </row>
    <row r="35" spans="1:9" s="1" customFormat="1" ht="15" customHeight="1">
      <c r="A35" s="4"/>
    </row>
    <row r="36" spans="1:9" s="1" customFormat="1" ht="15" customHeight="1">
      <c r="F36" s="5"/>
    </row>
    <row r="37" spans="1:9" s="1" customFormat="1" ht="15" customHeight="1">
      <c r="F37" s="5"/>
    </row>
    <row r="38" spans="1:9" s="1" customFormat="1" ht="15" customHeight="1">
      <c r="F38" s="5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  <c r="I42" s="6"/>
    </row>
    <row r="43" spans="1:9" s="1" customFormat="1" ht="15" customHeight="1">
      <c r="F43" s="7"/>
      <c r="G43" s="7"/>
      <c r="I43" s="8"/>
    </row>
    <row r="44" spans="1:9" s="1" customFormat="1" ht="15" customHeight="1">
      <c r="C44" s="6"/>
      <c r="D44" s="9"/>
      <c r="E44" s="9"/>
      <c r="F44" s="7"/>
      <c r="G44" s="7"/>
      <c r="I44" s="8"/>
    </row>
    <row r="45" spans="1:9" s="1" customFormat="1" ht="15" customHeight="1">
      <c r="C45" s="6"/>
      <c r="D45" s="9"/>
      <c r="E45" s="9"/>
      <c r="F45" s="7"/>
      <c r="G45" s="7"/>
      <c r="I45" s="8"/>
    </row>
    <row r="46" spans="1:9" s="1" customFormat="1" ht="15" customHeight="1">
      <c r="C46" s="6"/>
      <c r="D46" s="9"/>
      <c r="E46" s="9"/>
      <c r="F46" s="7"/>
      <c r="G46" s="7"/>
      <c r="I46" s="8"/>
    </row>
    <row r="47" spans="1:9" s="1" customFormat="1" ht="15" customHeight="1">
      <c r="F47" s="7"/>
      <c r="G47" s="7"/>
      <c r="I47" s="8"/>
    </row>
    <row r="48" spans="1:9" s="1" customFormat="1" ht="15" customHeight="1">
      <c r="F48" s="7"/>
      <c r="G48" s="7"/>
      <c r="I48" s="8"/>
    </row>
    <row r="49" spans="4:9" s="1" customFormat="1" ht="15" customHeight="1">
      <c r="D49" s="5"/>
      <c r="E49" s="5"/>
      <c r="F49" s="6"/>
      <c r="G49" s="6"/>
      <c r="I49" s="3"/>
    </row>
    <row r="50" spans="4:9" s="1" customFormat="1" ht="15" customHeight="1">
      <c r="F50" s="6"/>
      <c r="G50" s="6"/>
      <c r="I50" s="3"/>
    </row>
    <row r="51" spans="4:9" s="1" customFormat="1" ht="15" customHeight="1">
      <c r="F51" s="5"/>
    </row>
    <row r="52" spans="4:9" s="1" customFormat="1" ht="15" customHeight="1">
      <c r="F52" s="5"/>
    </row>
    <row r="53" spans="4:9" s="1" customFormat="1" ht="15" customHeight="1">
      <c r="F53" s="5"/>
    </row>
    <row r="54" spans="4:9" s="1" customFormat="1" ht="15" customHeight="1">
      <c r="F54" s="5"/>
    </row>
    <row r="55" spans="4:9" s="1" customFormat="1" ht="15" customHeight="1">
      <c r="F55" s="5"/>
    </row>
    <row r="56" spans="4:9" s="1" customFormat="1" ht="23.25" customHeight="1">
      <c r="F56" s="5"/>
    </row>
    <row r="57" spans="4:9" s="1" customFormat="1" ht="16.5" customHeight="1"/>
    <row r="74" spans="1:9" s="10" customFormat="1">
      <c r="A74" s="1"/>
      <c r="B74" s="1"/>
      <c r="C74" s="1"/>
      <c r="D74" s="1"/>
      <c r="E74" s="1"/>
      <c r="F74" s="1"/>
      <c r="G74" s="1"/>
      <c r="H74" s="1"/>
      <c r="I74" s="1"/>
    </row>
    <row r="81" s="1" customFormat="1"/>
    <row r="82" s="1" customFormat="1"/>
    <row r="83" s="1" customFormat="1"/>
  </sheetData>
  <mergeCells count="44">
    <mergeCell ref="D26:D28"/>
    <mergeCell ref="I23:I25"/>
    <mergeCell ref="I26:I28"/>
    <mergeCell ref="I29:I31"/>
    <mergeCell ref="B2:C32"/>
    <mergeCell ref="F14:G16"/>
    <mergeCell ref="F17:G19"/>
    <mergeCell ref="F20:G22"/>
    <mergeCell ref="F23:G25"/>
    <mergeCell ref="F26:G28"/>
    <mergeCell ref="F29:G31"/>
    <mergeCell ref="D2:D4"/>
    <mergeCell ref="D5:D7"/>
    <mergeCell ref="D8:D10"/>
    <mergeCell ref="D11:D13"/>
    <mergeCell ref="D14:D16"/>
    <mergeCell ref="D17:D19"/>
    <mergeCell ref="I2:I4"/>
    <mergeCell ref="H5:H7"/>
    <mergeCell ref="H8:H10"/>
    <mergeCell ref="H11:H13"/>
    <mergeCell ref="H20:H22"/>
    <mergeCell ref="I5:I7"/>
    <mergeCell ref="I8:I10"/>
    <mergeCell ref="I11:I13"/>
    <mergeCell ref="I14:I16"/>
    <mergeCell ref="I17:I19"/>
    <mergeCell ref="I20:I22"/>
    <mergeCell ref="D29:D31"/>
    <mergeCell ref="F1:G1"/>
    <mergeCell ref="A2:A32"/>
    <mergeCell ref="D32:H32"/>
    <mergeCell ref="F2:G4"/>
    <mergeCell ref="F5:G7"/>
    <mergeCell ref="F8:G10"/>
    <mergeCell ref="F11:G13"/>
    <mergeCell ref="H14:H16"/>
    <mergeCell ref="H17:H19"/>
    <mergeCell ref="H2:H4"/>
    <mergeCell ref="H23:H25"/>
    <mergeCell ref="H26:H28"/>
    <mergeCell ref="H29:H31"/>
    <mergeCell ref="D20:D22"/>
    <mergeCell ref="D23:D25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7AC1-2834-414B-915C-84BEE31A2A48}">
  <sheetPr>
    <pageSetUpPr fitToPage="1"/>
  </sheetPr>
  <dimension ref="A1:P83"/>
  <sheetViews>
    <sheetView zoomScale="150" zoomScaleNormal="150" zoomScaleSheetLayoutView="70" workbookViewId="0">
      <selection activeCell="D38" sqref="D38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44" t="s">
        <v>0</v>
      </c>
      <c r="B1" s="45" t="s">
        <v>17</v>
      </c>
      <c r="C1" s="45"/>
      <c r="D1" s="47" t="s">
        <v>18</v>
      </c>
      <c r="E1" s="46"/>
      <c r="F1" s="155" t="s">
        <v>19</v>
      </c>
      <c r="G1" s="156"/>
      <c r="H1" s="47" t="s">
        <v>20</v>
      </c>
      <c r="I1" s="55" t="s">
        <v>21</v>
      </c>
    </row>
    <row r="2" spans="1:9" s="1" customFormat="1" ht="18" customHeight="1">
      <c r="A2" s="143">
        <v>2</v>
      </c>
      <c r="B2" s="146" t="s">
        <v>41</v>
      </c>
      <c r="C2" s="147"/>
      <c r="D2" s="152" t="str">
        <f>견적!D28</f>
        <v>분석 응용 프로그램 자원 동적 할당 시스템 구축</v>
      </c>
      <c r="E2" s="50" t="s">
        <v>70</v>
      </c>
      <c r="F2" s="164">
        <v>1</v>
      </c>
      <c r="G2" s="165"/>
      <c r="H2" s="173">
        <f>견적!G28</f>
        <v>24948000</v>
      </c>
      <c r="I2" s="176">
        <f>H2</f>
        <v>24948000</v>
      </c>
    </row>
    <row r="3" spans="1:9" s="1" customFormat="1" ht="18" customHeight="1">
      <c r="A3" s="183"/>
      <c r="B3" s="148"/>
      <c r="C3" s="149"/>
      <c r="D3" s="153"/>
      <c r="E3" s="51" t="s">
        <v>71</v>
      </c>
      <c r="F3" s="166"/>
      <c r="G3" s="167"/>
      <c r="H3" s="174"/>
      <c r="I3" s="177"/>
    </row>
    <row r="4" spans="1:9" s="1" customFormat="1" ht="18" customHeight="1" thickBot="1">
      <c r="A4" s="183"/>
      <c r="B4" s="148"/>
      <c r="C4" s="149"/>
      <c r="D4" s="154"/>
      <c r="E4" s="52" t="s">
        <v>72</v>
      </c>
      <c r="F4" s="168"/>
      <c r="G4" s="169"/>
      <c r="H4" s="175"/>
      <c r="I4" s="178"/>
    </row>
    <row r="5" spans="1:9" s="1" customFormat="1" ht="18" customHeight="1">
      <c r="A5" s="144"/>
      <c r="B5" s="148"/>
      <c r="C5" s="149"/>
      <c r="D5" s="152" t="str">
        <f>견적!D29</f>
        <v>분석 응용 단계별 산출물 관리</v>
      </c>
      <c r="E5" s="50" t="s">
        <v>73</v>
      </c>
      <c r="F5" s="164">
        <v>1</v>
      </c>
      <c r="G5" s="165"/>
      <c r="H5" s="173">
        <f>견적!G29</f>
        <v>27324000</v>
      </c>
      <c r="I5" s="176">
        <f t="shared" ref="I5" si="0">H5</f>
        <v>27324000</v>
      </c>
    </row>
    <row r="6" spans="1:9" s="1" customFormat="1" ht="18" customHeight="1">
      <c r="A6" s="144"/>
      <c r="B6" s="148"/>
      <c r="C6" s="149"/>
      <c r="D6" s="153"/>
      <c r="E6" s="51" t="s">
        <v>74</v>
      </c>
      <c r="F6" s="166"/>
      <c r="G6" s="167"/>
      <c r="H6" s="174"/>
      <c r="I6" s="177"/>
    </row>
    <row r="7" spans="1:9" s="1" customFormat="1" ht="18" customHeight="1" thickBot="1">
      <c r="A7" s="144"/>
      <c r="B7" s="148"/>
      <c r="C7" s="149"/>
      <c r="D7" s="154"/>
      <c r="E7" s="52" t="s">
        <v>75</v>
      </c>
      <c r="F7" s="168"/>
      <c r="G7" s="169"/>
      <c r="H7" s="175"/>
      <c r="I7" s="178"/>
    </row>
    <row r="8" spans="1:9" s="1" customFormat="1" ht="18" customHeight="1">
      <c r="A8" s="144"/>
      <c r="B8" s="148"/>
      <c r="C8" s="149"/>
      <c r="D8" s="152" t="str">
        <f>견적!D30</f>
        <v>성능 모니터링 및 최적화 도구 제공</v>
      </c>
      <c r="E8" s="50" t="s">
        <v>76</v>
      </c>
      <c r="F8" s="170">
        <v>1</v>
      </c>
      <c r="G8" s="165"/>
      <c r="H8" s="173">
        <f>견적!G30</f>
        <v>21384000</v>
      </c>
      <c r="I8" s="176">
        <f t="shared" ref="I8" si="1">H8</f>
        <v>21384000</v>
      </c>
    </row>
    <row r="9" spans="1:9" s="1" customFormat="1" ht="18" customHeight="1">
      <c r="A9" s="144"/>
      <c r="B9" s="148"/>
      <c r="C9" s="149"/>
      <c r="D9" s="153"/>
      <c r="E9" s="51" t="s">
        <v>77</v>
      </c>
      <c r="F9" s="171"/>
      <c r="G9" s="167"/>
      <c r="H9" s="174"/>
      <c r="I9" s="177"/>
    </row>
    <row r="10" spans="1:9" s="1" customFormat="1" ht="18" customHeight="1" thickBot="1">
      <c r="A10" s="144"/>
      <c r="B10" s="148"/>
      <c r="C10" s="149"/>
      <c r="D10" s="154"/>
      <c r="E10" s="52" t="s">
        <v>78</v>
      </c>
      <c r="F10" s="172"/>
      <c r="G10" s="169"/>
      <c r="H10" s="175"/>
      <c r="I10" s="178"/>
    </row>
    <row r="11" spans="1:9" s="1" customFormat="1" ht="18" customHeight="1">
      <c r="A11" s="144"/>
      <c r="B11" s="148"/>
      <c r="C11" s="149"/>
      <c r="D11" s="152" t="str">
        <f>견적!D31</f>
        <v>바이오 빅데이터 처리 결과 전달을 위한 메시징 시스템 구축</v>
      </c>
      <c r="E11" s="50" t="s">
        <v>79</v>
      </c>
      <c r="F11" s="170">
        <v>1</v>
      </c>
      <c r="G11" s="165"/>
      <c r="H11" s="173">
        <f>견적!G31</f>
        <v>23760000</v>
      </c>
      <c r="I11" s="176">
        <f t="shared" ref="I11" si="2">H11</f>
        <v>23760000</v>
      </c>
    </row>
    <row r="12" spans="1:9" s="1" customFormat="1" ht="18" customHeight="1">
      <c r="A12" s="144"/>
      <c r="B12" s="148"/>
      <c r="C12" s="149"/>
      <c r="D12" s="153"/>
      <c r="E12" s="51" t="s">
        <v>80</v>
      </c>
      <c r="F12" s="171"/>
      <c r="G12" s="167"/>
      <c r="H12" s="174"/>
      <c r="I12" s="177"/>
    </row>
    <row r="13" spans="1:9" s="1" customFormat="1" ht="18" customHeight="1" thickBot="1">
      <c r="A13" s="144"/>
      <c r="B13" s="148"/>
      <c r="C13" s="149"/>
      <c r="D13" s="154"/>
      <c r="E13" s="52" t="s">
        <v>81</v>
      </c>
      <c r="F13" s="172"/>
      <c r="G13" s="169"/>
      <c r="H13" s="175"/>
      <c r="I13" s="178"/>
    </row>
    <row r="14" spans="1:9" s="1" customFormat="1" ht="18" customHeight="1">
      <c r="A14" s="144"/>
      <c r="B14" s="148"/>
      <c r="C14" s="149"/>
      <c r="D14" s="152" t="str">
        <f>견적!D32</f>
        <v>HPC 산출물 관리 프로세스 구축</v>
      </c>
      <c r="E14" s="50" t="s">
        <v>82</v>
      </c>
      <c r="F14" s="170">
        <v>1</v>
      </c>
      <c r="G14" s="165"/>
      <c r="H14" s="173">
        <f>견적!G32</f>
        <v>26136000</v>
      </c>
      <c r="I14" s="176">
        <f t="shared" ref="I14" si="3">H14</f>
        <v>26136000</v>
      </c>
    </row>
    <row r="15" spans="1:9" s="1" customFormat="1" ht="18" customHeight="1">
      <c r="A15" s="144"/>
      <c r="B15" s="148"/>
      <c r="C15" s="149"/>
      <c r="D15" s="153"/>
      <c r="E15" s="51" t="s">
        <v>83</v>
      </c>
      <c r="F15" s="171"/>
      <c r="G15" s="167"/>
      <c r="H15" s="174"/>
      <c r="I15" s="177"/>
    </row>
    <row r="16" spans="1:9" s="1" customFormat="1" ht="18" customHeight="1" thickBot="1">
      <c r="A16" s="144"/>
      <c r="B16" s="148"/>
      <c r="C16" s="149"/>
      <c r="D16" s="154"/>
      <c r="E16" s="52" t="s">
        <v>84</v>
      </c>
      <c r="F16" s="172"/>
      <c r="G16" s="169"/>
      <c r="H16" s="175"/>
      <c r="I16" s="178"/>
    </row>
    <row r="17" spans="1:16" s="1" customFormat="1" ht="18" customHeight="1">
      <c r="A17" s="144"/>
      <c r="B17" s="148"/>
      <c r="C17" s="149"/>
      <c r="D17" s="152" t="str">
        <f>견적!D33</f>
        <v>바이오 빅데이터 처리 시스템 모니터링 및 알람 시스템 구현</v>
      </c>
      <c r="E17" s="50" t="s">
        <v>85</v>
      </c>
      <c r="F17" s="170">
        <v>1</v>
      </c>
      <c r="G17" s="165"/>
      <c r="H17" s="173">
        <f>견적!G33</f>
        <v>20196000</v>
      </c>
      <c r="I17" s="176">
        <f t="shared" ref="I17" si="4">H17</f>
        <v>20196000</v>
      </c>
    </row>
    <row r="18" spans="1:16" s="1" customFormat="1" ht="18" customHeight="1">
      <c r="A18" s="144"/>
      <c r="B18" s="148"/>
      <c r="C18" s="149"/>
      <c r="D18" s="153"/>
      <c r="E18" s="51" t="s">
        <v>86</v>
      </c>
      <c r="F18" s="171"/>
      <c r="G18" s="167"/>
      <c r="H18" s="174"/>
      <c r="I18" s="177"/>
    </row>
    <row r="19" spans="1:16" s="1" customFormat="1" ht="18" customHeight="1" thickBot="1">
      <c r="A19" s="144"/>
      <c r="B19" s="148"/>
      <c r="C19" s="149"/>
      <c r="D19" s="154"/>
      <c r="E19" s="52" t="s">
        <v>87</v>
      </c>
      <c r="F19" s="172"/>
      <c r="G19" s="169"/>
      <c r="H19" s="175"/>
      <c r="I19" s="178"/>
    </row>
    <row r="20" spans="1:16" s="1" customFormat="1" ht="18" customHeight="1">
      <c r="A20" s="144"/>
      <c r="B20" s="148"/>
      <c r="C20" s="149"/>
      <c r="D20" s="152" t="str">
        <f>견적!D34</f>
        <v>분석응용 실행 결과 상태 리포팅기능 제공</v>
      </c>
      <c r="E20" s="50" t="s">
        <v>88</v>
      </c>
      <c r="F20" s="170">
        <v>1</v>
      </c>
      <c r="G20" s="165"/>
      <c r="H20" s="173">
        <f>견적!G34</f>
        <v>19008000</v>
      </c>
      <c r="I20" s="176">
        <f t="shared" ref="I20" si="5">H20</f>
        <v>19008000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44"/>
      <c r="B21" s="148"/>
      <c r="C21" s="149"/>
      <c r="D21" s="153"/>
      <c r="E21" s="51" t="s">
        <v>89</v>
      </c>
      <c r="F21" s="171"/>
      <c r="G21" s="167"/>
      <c r="H21" s="174"/>
      <c r="I21" s="177"/>
    </row>
    <row r="22" spans="1:16" s="1" customFormat="1" ht="18" customHeight="1" thickBot="1">
      <c r="A22" s="144"/>
      <c r="B22" s="148"/>
      <c r="C22" s="149"/>
      <c r="D22" s="154"/>
      <c r="E22" s="52" t="s">
        <v>90</v>
      </c>
      <c r="F22" s="172">
        <v>1</v>
      </c>
      <c r="G22" s="169"/>
      <c r="H22" s="175"/>
      <c r="I22" s="178"/>
    </row>
    <row r="23" spans="1:16" s="1" customFormat="1" ht="18" customHeight="1">
      <c r="A23" s="144"/>
      <c r="B23" s="148"/>
      <c r="C23" s="149"/>
      <c r="D23" s="152" t="str">
        <f>견적!D35</f>
        <v>분석응용 산출물 데이터 관리 기능 제공</v>
      </c>
      <c r="E23" s="50" t="s">
        <v>91</v>
      </c>
      <c r="F23" s="170">
        <v>1</v>
      </c>
      <c r="G23" s="165"/>
      <c r="H23" s="173">
        <f>견적!G35</f>
        <v>24948000</v>
      </c>
      <c r="I23" s="176">
        <f t="shared" ref="I23" si="6">H23</f>
        <v>24948000</v>
      </c>
    </row>
    <row r="24" spans="1:16" s="1" customFormat="1" ht="18" customHeight="1">
      <c r="A24" s="144"/>
      <c r="B24" s="148"/>
      <c r="C24" s="149"/>
      <c r="D24" s="153"/>
      <c r="E24" s="51" t="s">
        <v>92</v>
      </c>
      <c r="F24" s="171"/>
      <c r="G24" s="167"/>
      <c r="H24" s="174"/>
      <c r="I24" s="177"/>
    </row>
    <row r="25" spans="1:16" s="1" customFormat="1" ht="18" customHeight="1" thickBot="1">
      <c r="A25" s="144"/>
      <c r="B25" s="148"/>
      <c r="C25" s="149"/>
      <c r="D25" s="154"/>
      <c r="E25" s="52" t="s">
        <v>93</v>
      </c>
      <c r="F25" s="172">
        <v>1</v>
      </c>
      <c r="G25" s="169"/>
      <c r="H25" s="175"/>
      <c r="I25" s="178"/>
    </row>
    <row r="26" spans="1:16" s="1" customFormat="1" ht="18" customHeight="1">
      <c r="A26" s="144"/>
      <c r="B26" s="148"/>
      <c r="C26" s="149"/>
      <c r="D26" s="152" t="str">
        <f>견적!D36</f>
        <v>분석응용 버전 정보 확인 기능 제공</v>
      </c>
      <c r="E26" s="63" t="s">
        <v>94</v>
      </c>
      <c r="F26" s="171">
        <v>1</v>
      </c>
      <c r="G26" s="167"/>
      <c r="H26" s="173">
        <f>견적!G36</f>
        <v>26136000</v>
      </c>
      <c r="I26" s="176">
        <f>H26</f>
        <v>26136000</v>
      </c>
    </row>
    <row r="27" spans="1:16" s="1" customFormat="1" ht="18" customHeight="1">
      <c r="A27" s="144"/>
      <c r="B27" s="148"/>
      <c r="C27" s="149"/>
      <c r="D27" s="153"/>
      <c r="E27" s="64" t="s">
        <v>95</v>
      </c>
      <c r="F27" s="171"/>
      <c r="G27" s="167"/>
      <c r="H27" s="174"/>
      <c r="I27" s="177"/>
    </row>
    <row r="28" spans="1:16" s="1" customFormat="1" ht="18" customHeight="1" thickBot="1">
      <c r="A28" s="144"/>
      <c r="B28" s="148"/>
      <c r="C28" s="149"/>
      <c r="D28" s="154"/>
      <c r="E28" s="65" t="s">
        <v>96</v>
      </c>
      <c r="F28" s="171"/>
      <c r="G28" s="167"/>
      <c r="H28" s="175"/>
      <c r="I28" s="178"/>
    </row>
    <row r="29" spans="1:16" s="1" customFormat="1" ht="18" customHeight="1">
      <c r="A29" s="144"/>
      <c r="B29" s="148"/>
      <c r="C29" s="149"/>
      <c r="D29" s="152" t="str">
        <f>견적!D37</f>
        <v>인실리코 분석응용 버전 관리 및 업데이트 시스템 구축</v>
      </c>
      <c r="E29" s="50" t="s">
        <v>97</v>
      </c>
      <c r="F29" s="170">
        <v>1</v>
      </c>
      <c r="G29" s="165"/>
      <c r="H29" s="173">
        <f>견적!G37</f>
        <v>23760000</v>
      </c>
      <c r="I29" s="176">
        <f>H29</f>
        <v>23760000</v>
      </c>
    </row>
    <row r="30" spans="1:16" s="1" customFormat="1" ht="18" customHeight="1">
      <c r="A30" s="184"/>
      <c r="B30" s="148"/>
      <c r="C30" s="149"/>
      <c r="D30" s="153"/>
      <c r="E30" s="51" t="s">
        <v>98</v>
      </c>
      <c r="F30" s="171"/>
      <c r="G30" s="167"/>
      <c r="H30" s="174"/>
      <c r="I30" s="177"/>
    </row>
    <row r="31" spans="1:16" s="1" customFormat="1" ht="18" customHeight="1" thickBot="1">
      <c r="A31" s="184"/>
      <c r="B31" s="148"/>
      <c r="C31" s="149"/>
      <c r="D31" s="154"/>
      <c r="E31" s="52" t="s">
        <v>99</v>
      </c>
      <c r="F31" s="172"/>
      <c r="G31" s="169"/>
      <c r="H31" s="175"/>
      <c r="I31" s="178"/>
    </row>
    <row r="32" spans="1:16" s="1" customFormat="1" ht="18" customHeight="1" thickBot="1">
      <c r="A32" s="145"/>
      <c r="B32" s="150"/>
      <c r="C32" s="182"/>
      <c r="D32" s="185" t="s">
        <v>27</v>
      </c>
      <c r="E32" s="120"/>
      <c r="F32" s="120"/>
      <c r="G32" s="120"/>
      <c r="H32" s="121"/>
      <c r="I32" s="69">
        <f>SUM(I2:I31)</f>
        <v>237600000</v>
      </c>
    </row>
    <row r="33" spans="1:9" s="1" customFormat="1" ht="15" customHeight="1"/>
    <row r="34" spans="1:9" s="1" customFormat="1" ht="15" customHeight="1">
      <c r="A34" s="4"/>
    </row>
    <row r="35" spans="1:9" s="1" customFormat="1" ht="15" customHeight="1">
      <c r="A35" s="4"/>
    </row>
    <row r="36" spans="1:9" s="1" customFormat="1" ht="15" customHeight="1">
      <c r="F36" s="5"/>
    </row>
    <row r="37" spans="1:9" s="1" customFormat="1" ht="15" customHeight="1">
      <c r="F37" s="5"/>
    </row>
    <row r="38" spans="1:9" s="1" customFormat="1" ht="15" customHeight="1">
      <c r="F38" s="5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  <c r="I42" s="6"/>
    </row>
    <row r="43" spans="1:9" s="1" customFormat="1" ht="15" customHeight="1">
      <c r="F43" s="7"/>
      <c r="G43" s="7"/>
      <c r="I43" s="8"/>
    </row>
    <row r="44" spans="1:9" s="1" customFormat="1" ht="15" customHeight="1">
      <c r="C44" s="6"/>
      <c r="D44" s="9"/>
      <c r="E44" s="9"/>
      <c r="F44" s="7"/>
      <c r="G44" s="7"/>
      <c r="I44" s="8"/>
    </row>
    <row r="45" spans="1:9" s="1" customFormat="1" ht="15" customHeight="1">
      <c r="C45" s="6"/>
      <c r="D45" s="9"/>
      <c r="E45" s="9"/>
      <c r="F45" s="7"/>
      <c r="G45" s="7"/>
      <c r="I45" s="8"/>
    </row>
    <row r="46" spans="1:9" s="1" customFormat="1" ht="15" customHeight="1">
      <c r="C46" s="6"/>
      <c r="D46" s="9"/>
      <c r="E46" s="9"/>
      <c r="F46" s="7"/>
      <c r="G46" s="7"/>
      <c r="I46" s="8"/>
    </row>
    <row r="47" spans="1:9" s="1" customFormat="1" ht="15" customHeight="1">
      <c r="F47" s="7"/>
      <c r="G47" s="7"/>
      <c r="I47" s="8"/>
    </row>
    <row r="48" spans="1:9" s="1" customFormat="1" ht="15" customHeight="1">
      <c r="F48" s="7"/>
      <c r="G48" s="7"/>
      <c r="I48" s="8"/>
    </row>
    <row r="49" spans="4:9" s="1" customFormat="1" ht="15" customHeight="1">
      <c r="D49" s="5"/>
      <c r="E49" s="5"/>
      <c r="F49" s="6"/>
      <c r="G49" s="6"/>
      <c r="I49" s="3"/>
    </row>
    <row r="50" spans="4:9" s="1" customFormat="1" ht="15" customHeight="1">
      <c r="F50" s="6"/>
      <c r="G50" s="6"/>
      <c r="I50" s="3"/>
    </row>
    <row r="51" spans="4:9" s="1" customFormat="1" ht="15" customHeight="1">
      <c r="F51" s="5"/>
    </row>
    <row r="52" spans="4:9" s="1" customFormat="1" ht="15" customHeight="1">
      <c r="F52" s="5"/>
    </row>
    <row r="53" spans="4:9" s="1" customFormat="1" ht="15" customHeight="1">
      <c r="F53" s="5"/>
    </row>
    <row r="54" spans="4:9" s="1" customFormat="1" ht="15" customHeight="1">
      <c r="F54" s="5"/>
    </row>
    <row r="55" spans="4:9" s="1" customFormat="1" ht="15" customHeight="1">
      <c r="F55" s="5"/>
    </row>
    <row r="56" spans="4:9" s="1" customFormat="1" ht="23.25" customHeight="1">
      <c r="F56" s="5"/>
    </row>
    <row r="57" spans="4:9" s="1" customFormat="1" ht="16.5" customHeight="1"/>
    <row r="74" spans="1:9" s="10" customFormat="1" ht="15" thickBot="1">
      <c r="A74" s="1"/>
      <c r="B74" s="1"/>
      <c r="C74" s="1"/>
      <c r="D74" s="1"/>
      <c r="E74" s="1"/>
      <c r="F74" s="1"/>
      <c r="G74" s="1"/>
      <c r="H74" s="1"/>
      <c r="I74" s="1"/>
    </row>
    <row r="81" s="1" customFormat="1"/>
    <row r="82" s="1" customFormat="1"/>
    <row r="83" s="1" customFormat="1"/>
  </sheetData>
  <mergeCells count="44">
    <mergeCell ref="D26:D28"/>
    <mergeCell ref="F26:G28"/>
    <mergeCell ref="H26:H28"/>
    <mergeCell ref="I26:I28"/>
    <mergeCell ref="D29:D31"/>
    <mergeCell ref="F29:G31"/>
    <mergeCell ref="H29:H31"/>
    <mergeCell ref="I29:I31"/>
    <mergeCell ref="I20:I22"/>
    <mergeCell ref="D23:D25"/>
    <mergeCell ref="F23:G25"/>
    <mergeCell ref="H23:H25"/>
    <mergeCell ref="I23:I25"/>
    <mergeCell ref="D20:D22"/>
    <mergeCell ref="F20:G22"/>
    <mergeCell ref="H20:H22"/>
    <mergeCell ref="I14:I16"/>
    <mergeCell ref="D17:D19"/>
    <mergeCell ref="F17:G19"/>
    <mergeCell ref="H17:H19"/>
    <mergeCell ref="I17:I19"/>
    <mergeCell ref="D14:D16"/>
    <mergeCell ref="F14:G16"/>
    <mergeCell ref="H14:H16"/>
    <mergeCell ref="I8:I10"/>
    <mergeCell ref="D11:D13"/>
    <mergeCell ref="F11:G13"/>
    <mergeCell ref="H11:H13"/>
    <mergeCell ref="I11:I13"/>
    <mergeCell ref="D8:D10"/>
    <mergeCell ref="F8:G10"/>
    <mergeCell ref="H8:H10"/>
    <mergeCell ref="F1:G1"/>
    <mergeCell ref="A2:A32"/>
    <mergeCell ref="D2:D4"/>
    <mergeCell ref="F2:G4"/>
    <mergeCell ref="H2:H4"/>
    <mergeCell ref="D32:H32"/>
    <mergeCell ref="B2:C32"/>
    <mergeCell ref="I2:I4"/>
    <mergeCell ref="D5:D7"/>
    <mergeCell ref="F5:G7"/>
    <mergeCell ref="H5:H7"/>
    <mergeCell ref="I5:I7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A40C-DF51-3B40-9A53-C06D25FE786E}">
  <sheetPr>
    <pageSetUpPr fitToPage="1"/>
  </sheetPr>
  <dimension ref="A1:P83"/>
  <sheetViews>
    <sheetView zoomScale="150" zoomScaleNormal="150" zoomScaleSheetLayoutView="70" workbookViewId="0">
      <selection activeCell="E31" sqref="D2:E31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44" t="s">
        <v>0</v>
      </c>
      <c r="B1" s="45" t="s">
        <v>17</v>
      </c>
      <c r="C1" s="45"/>
      <c r="D1" s="47" t="s">
        <v>18</v>
      </c>
      <c r="E1" s="46"/>
      <c r="F1" s="155" t="s">
        <v>19</v>
      </c>
      <c r="G1" s="156"/>
      <c r="H1" s="47" t="s">
        <v>20</v>
      </c>
      <c r="I1" s="55" t="s">
        <v>21</v>
      </c>
    </row>
    <row r="2" spans="1:9" s="1" customFormat="1" ht="18" customHeight="1">
      <c r="A2" s="143">
        <v>3</v>
      </c>
      <c r="B2" s="146" t="s">
        <v>42</v>
      </c>
      <c r="C2" s="147"/>
      <c r="D2" s="186" t="str">
        <f>견적!D39</f>
        <v>병렬 분산처리 라이브러리 버전 리스트 문서 제공</v>
      </c>
      <c r="E2" s="53" t="s">
        <v>100</v>
      </c>
      <c r="F2" s="164">
        <v>1</v>
      </c>
      <c r="G2" s="165"/>
      <c r="H2" s="173">
        <f>견적!G39</f>
        <v>19188000</v>
      </c>
      <c r="I2" s="176">
        <f>H2</f>
        <v>19188000</v>
      </c>
    </row>
    <row r="3" spans="1:9" s="1" customFormat="1" ht="18" customHeight="1">
      <c r="A3" s="183"/>
      <c r="B3" s="148"/>
      <c r="C3" s="149"/>
      <c r="D3" s="187"/>
      <c r="E3" s="12" t="s">
        <v>101</v>
      </c>
      <c r="F3" s="166"/>
      <c r="G3" s="167"/>
      <c r="H3" s="174"/>
      <c r="I3" s="177"/>
    </row>
    <row r="4" spans="1:9" s="1" customFormat="1" ht="18" customHeight="1" thickBot="1">
      <c r="A4" s="183"/>
      <c r="B4" s="148"/>
      <c r="C4" s="149"/>
      <c r="D4" s="188"/>
      <c r="E4" s="54" t="s">
        <v>102</v>
      </c>
      <c r="F4" s="168"/>
      <c r="G4" s="169"/>
      <c r="H4" s="175"/>
      <c r="I4" s="178"/>
    </row>
    <row r="5" spans="1:9" s="1" customFormat="1" ht="18" customHeight="1">
      <c r="A5" s="144"/>
      <c r="B5" s="148"/>
      <c r="C5" s="149"/>
      <c r="D5" s="186" t="str">
        <f>견적!D40</f>
        <v>병렬 라이브러리에 대한 교육 및 문서 지원</v>
      </c>
      <c r="E5" s="53" t="s">
        <v>103</v>
      </c>
      <c r="F5" s="164">
        <v>1</v>
      </c>
      <c r="G5" s="165"/>
      <c r="H5" s="173">
        <f>견적!G40</f>
        <v>20826000</v>
      </c>
      <c r="I5" s="176">
        <f t="shared" ref="I5" si="0">H5</f>
        <v>20826000</v>
      </c>
    </row>
    <row r="6" spans="1:9" s="1" customFormat="1" ht="18" customHeight="1">
      <c r="A6" s="144"/>
      <c r="B6" s="148"/>
      <c r="C6" s="149"/>
      <c r="D6" s="187"/>
      <c r="E6" s="12" t="s">
        <v>104</v>
      </c>
      <c r="F6" s="166"/>
      <c r="G6" s="167"/>
      <c r="H6" s="174"/>
      <c r="I6" s="177"/>
    </row>
    <row r="7" spans="1:9" s="1" customFormat="1" ht="18" customHeight="1" thickBot="1">
      <c r="A7" s="144"/>
      <c r="B7" s="148"/>
      <c r="C7" s="149"/>
      <c r="D7" s="188"/>
      <c r="E7" s="54" t="s">
        <v>105</v>
      </c>
      <c r="F7" s="168"/>
      <c r="G7" s="169"/>
      <c r="H7" s="175"/>
      <c r="I7" s="178"/>
    </row>
    <row r="8" spans="1:9" s="1" customFormat="1" ht="18" customHeight="1">
      <c r="A8" s="144"/>
      <c r="B8" s="148"/>
      <c r="C8" s="149"/>
      <c r="D8" s="186" t="str">
        <f>견적!D41</f>
        <v>병렬 분산 라이브러리 접근권한 설정 기능 제공</v>
      </c>
      <c r="E8" s="53" t="s">
        <v>106</v>
      </c>
      <c r="F8" s="170">
        <v>1</v>
      </c>
      <c r="G8" s="165"/>
      <c r="H8" s="173">
        <f>견적!G41</f>
        <v>24570000</v>
      </c>
      <c r="I8" s="176">
        <f t="shared" ref="I8" si="1">H8</f>
        <v>24570000</v>
      </c>
    </row>
    <row r="9" spans="1:9" s="1" customFormat="1" ht="18" customHeight="1">
      <c r="A9" s="144"/>
      <c r="B9" s="148"/>
      <c r="C9" s="149"/>
      <c r="D9" s="187"/>
      <c r="E9" s="12" t="s">
        <v>107</v>
      </c>
      <c r="F9" s="171"/>
      <c r="G9" s="167"/>
      <c r="H9" s="174"/>
      <c r="I9" s="177"/>
    </row>
    <row r="10" spans="1:9" s="1" customFormat="1" ht="18" customHeight="1" thickBot="1">
      <c r="A10" s="144"/>
      <c r="B10" s="148"/>
      <c r="C10" s="149"/>
      <c r="D10" s="188"/>
      <c r="E10" s="54" t="s">
        <v>108</v>
      </c>
      <c r="F10" s="172"/>
      <c r="G10" s="169"/>
      <c r="H10" s="175"/>
      <c r="I10" s="178"/>
    </row>
    <row r="11" spans="1:9" s="1" customFormat="1" ht="18" customHeight="1">
      <c r="A11" s="144"/>
      <c r="B11" s="148"/>
      <c r="C11" s="149"/>
      <c r="D11" s="186" t="str">
        <f>견적!D42</f>
        <v>병렬 라이브러리 패키지 업데이트 및 유지보수 시스템 구축</v>
      </c>
      <c r="E11" s="53" t="s">
        <v>109</v>
      </c>
      <c r="F11" s="170">
        <v>1</v>
      </c>
      <c r="G11" s="165"/>
      <c r="H11" s="173">
        <f>견적!G42</f>
        <v>24336000</v>
      </c>
      <c r="I11" s="176">
        <f t="shared" ref="I11" si="2">H11</f>
        <v>24336000</v>
      </c>
    </row>
    <row r="12" spans="1:9" s="1" customFormat="1" ht="18" customHeight="1">
      <c r="A12" s="144"/>
      <c r="B12" s="148"/>
      <c r="C12" s="149"/>
      <c r="D12" s="187"/>
      <c r="E12" s="12" t="s">
        <v>110</v>
      </c>
      <c r="F12" s="171"/>
      <c r="G12" s="167"/>
      <c r="H12" s="174"/>
      <c r="I12" s="177"/>
    </row>
    <row r="13" spans="1:9" s="1" customFormat="1" ht="18" customHeight="1" thickBot="1">
      <c r="A13" s="144"/>
      <c r="B13" s="148"/>
      <c r="C13" s="149"/>
      <c r="D13" s="188"/>
      <c r="E13" s="54" t="s">
        <v>111</v>
      </c>
      <c r="F13" s="172"/>
      <c r="G13" s="169"/>
      <c r="H13" s="175"/>
      <c r="I13" s="178"/>
    </row>
    <row r="14" spans="1:9" s="1" customFormat="1" ht="18" customHeight="1">
      <c r="A14" s="144"/>
      <c r="B14" s="148"/>
      <c r="C14" s="149"/>
      <c r="D14" s="186" t="str">
        <f>견적!D43</f>
        <v>분산처리 라이브러리에 대한 성능 벤치마킹 도구 제공</v>
      </c>
      <c r="E14" s="53" t="s">
        <v>112</v>
      </c>
      <c r="F14" s="170">
        <v>1</v>
      </c>
      <c r="G14" s="165"/>
      <c r="H14" s="173">
        <f>견적!G43</f>
        <v>24804000</v>
      </c>
      <c r="I14" s="176">
        <f t="shared" ref="I14" si="3">H14</f>
        <v>24804000</v>
      </c>
    </row>
    <row r="15" spans="1:9" s="1" customFormat="1" ht="18" customHeight="1">
      <c r="A15" s="144"/>
      <c r="B15" s="148"/>
      <c r="C15" s="149"/>
      <c r="D15" s="187"/>
      <c r="E15" s="12" t="s">
        <v>113</v>
      </c>
      <c r="F15" s="171"/>
      <c r="G15" s="167"/>
      <c r="H15" s="174"/>
      <c r="I15" s="177"/>
    </row>
    <row r="16" spans="1:9" s="1" customFormat="1" ht="18" customHeight="1" thickBot="1">
      <c r="A16" s="144"/>
      <c r="B16" s="148"/>
      <c r="C16" s="149"/>
      <c r="D16" s="188"/>
      <c r="E16" s="54" t="s">
        <v>114</v>
      </c>
      <c r="F16" s="172"/>
      <c r="G16" s="169"/>
      <c r="H16" s="175"/>
      <c r="I16" s="178"/>
    </row>
    <row r="17" spans="1:16" s="1" customFormat="1" ht="18" customHeight="1">
      <c r="A17" s="144"/>
      <c r="B17" s="148"/>
      <c r="C17" s="149"/>
      <c r="D17" s="186" t="str">
        <f>견적!D44</f>
        <v>분산처리 라이브러리 사용자 인터뷰를 통한 요구사항 적용</v>
      </c>
      <c r="E17" s="53" t="s">
        <v>115</v>
      </c>
      <c r="F17" s="170">
        <v>1</v>
      </c>
      <c r="G17" s="165"/>
      <c r="H17" s="173">
        <f>견적!G44</f>
        <v>21060000</v>
      </c>
      <c r="I17" s="176">
        <f t="shared" ref="I17" si="4">H17</f>
        <v>21060000</v>
      </c>
    </row>
    <row r="18" spans="1:16" s="1" customFormat="1" ht="18" customHeight="1">
      <c r="A18" s="144"/>
      <c r="B18" s="148"/>
      <c r="C18" s="149"/>
      <c r="D18" s="187"/>
      <c r="E18" s="12" t="s">
        <v>116</v>
      </c>
      <c r="F18" s="171"/>
      <c r="G18" s="167"/>
      <c r="H18" s="174"/>
      <c r="I18" s="177"/>
    </row>
    <row r="19" spans="1:16" s="1" customFormat="1" ht="18" customHeight="1" thickBot="1">
      <c r="A19" s="144"/>
      <c r="B19" s="148"/>
      <c r="C19" s="149"/>
      <c r="D19" s="188"/>
      <c r="E19" s="54" t="s">
        <v>117</v>
      </c>
      <c r="F19" s="172"/>
      <c r="G19" s="169"/>
      <c r="H19" s="175"/>
      <c r="I19" s="178"/>
    </row>
    <row r="20" spans="1:16" s="1" customFormat="1" ht="18" customHeight="1">
      <c r="A20" s="144"/>
      <c r="B20" s="148"/>
      <c r="C20" s="149"/>
      <c r="D20" s="186" t="str">
        <f>견적!D45</f>
        <v>별령 분산처리 운영 환경_x0008_및 개발 환경 구축</v>
      </c>
      <c r="E20" s="53" t="s">
        <v>118</v>
      </c>
      <c r="F20" s="170">
        <v>1</v>
      </c>
      <c r="G20" s="165"/>
      <c r="H20" s="173">
        <f>견적!G45</f>
        <v>25038000</v>
      </c>
      <c r="I20" s="176">
        <f t="shared" ref="I20" si="5">H20</f>
        <v>25038000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44"/>
      <c r="B21" s="148"/>
      <c r="C21" s="149"/>
      <c r="D21" s="187"/>
      <c r="E21" s="12" t="s">
        <v>119</v>
      </c>
      <c r="F21" s="171"/>
      <c r="G21" s="167"/>
      <c r="H21" s="174"/>
      <c r="I21" s="177"/>
    </row>
    <row r="22" spans="1:16" s="1" customFormat="1" ht="18" customHeight="1" thickBot="1">
      <c r="A22" s="144"/>
      <c r="B22" s="148"/>
      <c r="C22" s="149"/>
      <c r="D22" s="188"/>
      <c r="E22" s="54" t="s">
        <v>120</v>
      </c>
      <c r="F22" s="172">
        <v>1</v>
      </c>
      <c r="G22" s="169"/>
      <c r="H22" s="175"/>
      <c r="I22" s="178"/>
    </row>
    <row r="23" spans="1:16" s="1" customFormat="1" ht="18" customHeight="1">
      <c r="A23" s="144"/>
      <c r="B23" s="148"/>
      <c r="C23" s="149"/>
      <c r="D23" s="186" t="str">
        <f>견적!D46</f>
        <v>병렬 라이브러리 사용을 위한 샘플 코드 및 튜토리얼 제공</v>
      </c>
      <c r="E23" s="53" t="s">
        <v>121</v>
      </c>
      <c r="F23" s="170">
        <v>1</v>
      </c>
      <c r="G23" s="165"/>
      <c r="H23" s="173">
        <f>견적!G46</f>
        <v>25506000</v>
      </c>
      <c r="I23" s="176">
        <f t="shared" ref="I23" si="6">H23</f>
        <v>25506000</v>
      </c>
    </row>
    <row r="24" spans="1:16" s="1" customFormat="1" ht="18" customHeight="1">
      <c r="A24" s="144"/>
      <c r="B24" s="148"/>
      <c r="C24" s="149"/>
      <c r="D24" s="187"/>
      <c r="E24" s="12" t="s">
        <v>122</v>
      </c>
      <c r="F24" s="171"/>
      <c r="G24" s="167"/>
      <c r="H24" s="174"/>
      <c r="I24" s="177"/>
    </row>
    <row r="25" spans="1:16" s="1" customFormat="1" ht="18" customHeight="1" thickBot="1">
      <c r="A25" s="144"/>
      <c r="B25" s="148"/>
      <c r="C25" s="149"/>
      <c r="D25" s="188"/>
      <c r="E25" s="54" t="s">
        <v>123</v>
      </c>
      <c r="F25" s="172">
        <v>1</v>
      </c>
      <c r="G25" s="169"/>
      <c r="H25" s="175"/>
      <c r="I25" s="178"/>
    </row>
    <row r="26" spans="1:16" s="1" customFormat="1" ht="18" customHeight="1">
      <c r="A26" s="144"/>
      <c r="B26" s="148"/>
      <c r="C26" s="149"/>
      <c r="D26" s="186" t="str">
        <f>견적!D47</f>
        <v>지속적인 통합배포 프로세스 구축</v>
      </c>
      <c r="E26" s="66" t="s">
        <v>126</v>
      </c>
      <c r="F26" s="171">
        <v>1</v>
      </c>
      <c r="G26" s="167"/>
      <c r="H26" s="173">
        <f>견적!G47</f>
        <v>24102000</v>
      </c>
      <c r="I26" s="176">
        <f t="shared" ref="I26" si="7">H26</f>
        <v>24102000</v>
      </c>
    </row>
    <row r="27" spans="1:16" s="1" customFormat="1" ht="18" customHeight="1">
      <c r="A27" s="144"/>
      <c r="B27" s="148"/>
      <c r="C27" s="149"/>
      <c r="D27" s="187"/>
      <c r="E27" s="67" t="s">
        <v>124</v>
      </c>
      <c r="F27" s="171"/>
      <c r="G27" s="167"/>
      <c r="H27" s="174"/>
      <c r="I27" s="177"/>
    </row>
    <row r="28" spans="1:16" s="1" customFormat="1" ht="18" customHeight="1" thickBot="1">
      <c r="A28" s="144"/>
      <c r="B28" s="148"/>
      <c r="C28" s="149"/>
      <c r="D28" s="188"/>
      <c r="E28" s="68" t="s">
        <v>125</v>
      </c>
      <c r="F28" s="171"/>
      <c r="G28" s="167"/>
      <c r="H28" s="175"/>
      <c r="I28" s="178"/>
    </row>
    <row r="29" spans="1:16" s="1" customFormat="1" ht="18" customHeight="1">
      <c r="A29" s="144"/>
      <c r="B29" s="148"/>
      <c r="C29" s="149"/>
      <c r="D29" s="186" t="str">
        <f>견적!D48</f>
        <v>병렬 컴퓨팅 하드웨어 자원 추가 프로세스 구축</v>
      </c>
      <c r="E29" s="53" t="s">
        <v>127</v>
      </c>
      <c r="F29" s="170">
        <v>1</v>
      </c>
      <c r="G29" s="165"/>
      <c r="H29" s="173">
        <f>견적!G48</f>
        <v>24570000</v>
      </c>
      <c r="I29" s="176">
        <f t="shared" ref="I29" si="8">H29</f>
        <v>24570000</v>
      </c>
    </row>
    <row r="30" spans="1:16" s="1" customFormat="1" ht="18" customHeight="1">
      <c r="A30" s="184"/>
      <c r="B30" s="148"/>
      <c r="C30" s="149"/>
      <c r="D30" s="187"/>
      <c r="E30" s="12" t="s">
        <v>128</v>
      </c>
      <c r="F30" s="171"/>
      <c r="G30" s="167"/>
      <c r="H30" s="174"/>
      <c r="I30" s="177"/>
    </row>
    <row r="31" spans="1:16" s="1" customFormat="1" ht="18" customHeight="1" thickBot="1">
      <c r="A31" s="184"/>
      <c r="B31" s="148"/>
      <c r="C31" s="149"/>
      <c r="D31" s="188"/>
      <c r="E31" s="54" t="s">
        <v>129</v>
      </c>
      <c r="F31" s="172"/>
      <c r="G31" s="169"/>
      <c r="H31" s="175"/>
      <c r="I31" s="178"/>
    </row>
    <row r="32" spans="1:16" s="1" customFormat="1" ht="18" customHeight="1" thickBot="1">
      <c r="A32" s="145"/>
      <c r="B32" s="150"/>
      <c r="C32" s="182"/>
      <c r="D32" s="185" t="s">
        <v>27</v>
      </c>
      <c r="E32" s="120"/>
      <c r="F32" s="120"/>
      <c r="G32" s="120"/>
      <c r="H32" s="121"/>
      <c r="I32" s="69">
        <f>SUM(I2:I31)</f>
        <v>234000000</v>
      </c>
    </row>
    <row r="33" spans="1:9" s="1" customFormat="1" ht="15" customHeight="1"/>
    <row r="34" spans="1:9" s="1" customFormat="1" ht="15" customHeight="1">
      <c r="A34" s="4"/>
    </row>
    <row r="35" spans="1:9" s="1" customFormat="1" ht="15" customHeight="1">
      <c r="A35" s="4"/>
    </row>
    <row r="36" spans="1:9" s="1" customFormat="1" ht="15" customHeight="1">
      <c r="F36" s="5"/>
    </row>
    <row r="37" spans="1:9" s="1" customFormat="1" ht="15" customHeight="1">
      <c r="F37" s="5"/>
    </row>
    <row r="38" spans="1:9" s="1" customFormat="1" ht="15" customHeight="1">
      <c r="F38" s="5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  <c r="I42" s="6"/>
    </row>
    <row r="43" spans="1:9" s="1" customFormat="1" ht="15" customHeight="1">
      <c r="F43" s="7"/>
      <c r="G43" s="7"/>
      <c r="I43" s="8"/>
    </row>
    <row r="44" spans="1:9" s="1" customFormat="1" ht="15" customHeight="1">
      <c r="C44" s="6"/>
      <c r="D44" s="9"/>
      <c r="E44" s="9"/>
      <c r="F44" s="7"/>
      <c r="G44" s="7"/>
      <c r="I44" s="8"/>
    </row>
    <row r="45" spans="1:9" s="1" customFormat="1" ht="15" customHeight="1">
      <c r="C45" s="6"/>
      <c r="D45" s="9"/>
      <c r="E45" s="9"/>
      <c r="F45" s="7"/>
      <c r="G45" s="7"/>
      <c r="I45" s="8"/>
    </row>
    <row r="46" spans="1:9" s="1" customFormat="1" ht="15" customHeight="1">
      <c r="C46" s="6"/>
      <c r="D46" s="9"/>
      <c r="E46" s="9"/>
      <c r="F46" s="7"/>
      <c r="G46" s="7"/>
      <c r="I46" s="8"/>
    </row>
    <row r="47" spans="1:9" s="1" customFormat="1" ht="15" customHeight="1">
      <c r="F47" s="7"/>
      <c r="G47" s="7"/>
      <c r="I47" s="8"/>
    </row>
    <row r="48" spans="1:9" s="1" customFormat="1" ht="15" customHeight="1">
      <c r="F48" s="7"/>
      <c r="G48" s="7"/>
      <c r="I48" s="8"/>
    </row>
    <row r="49" spans="4:9" s="1" customFormat="1" ht="15" customHeight="1">
      <c r="D49" s="5"/>
      <c r="E49" s="5"/>
      <c r="F49" s="6"/>
      <c r="G49" s="6"/>
      <c r="I49" s="3"/>
    </row>
    <row r="50" spans="4:9" s="1" customFormat="1" ht="15" customHeight="1">
      <c r="F50" s="6"/>
      <c r="G50" s="6"/>
      <c r="I50" s="3"/>
    </row>
    <row r="51" spans="4:9" s="1" customFormat="1" ht="15" customHeight="1">
      <c r="F51" s="5"/>
    </row>
    <row r="52" spans="4:9" s="1" customFormat="1" ht="15" customHeight="1">
      <c r="F52" s="5"/>
    </row>
    <row r="53" spans="4:9" s="1" customFormat="1" ht="15" customHeight="1">
      <c r="F53" s="5"/>
    </row>
    <row r="54" spans="4:9" s="1" customFormat="1" ht="15" customHeight="1">
      <c r="F54" s="5"/>
    </row>
    <row r="55" spans="4:9" s="1" customFormat="1" ht="15" customHeight="1">
      <c r="F55" s="5"/>
    </row>
    <row r="56" spans="4:9" s="1" customFormat="1" ht="23.25" customHeight="1">
      <c r="F56" s="5"/>
    </row>
    <row r="57" spans="4:9" s="1" customFormat="1" ht="16.5" customHeight="1"/>
    <row r="74" spans="1:9" s="10" customFormat="1" ht="15" thickBot="1">
      <c r="A74" s="1"/>
      <c r="B74" s="1"/>
      <c r="C74" s="1"/>
      <c r="D74" s="1"/>
      <c r="E74" s="1"/>
      <c r="F74" s="1"/>
      <c r="G74" s="1"/>
      <c r="H74" s="1"/>
      <c r="I74" s="1"/>
    </row>
    <row r="81" s="1" customFormat="1"/>
    <row r="82" s="1" customFormat="1"/>
    <row r="83" s="1" customFormat="1"/>
  </sheetData>
  <mergeCells count="44">
    <mergeCell ref="H29:H31"/>
    <mergeCell ref="I29:I31"/>
    <mergeCell ref="H23:H25"/>
    <mergeCell ref="I23:I25"/>
    <mergeCell ref="D26:D28"/>
    <mergeCell ref="F26:G28"/>
    <mergeCell ref="H26:H28"/>
    <mergeCell ref="I26:I28"/>
    <mergeCell ref="H14:H16"/>
    <mergeCell ref="I14:I16"/>
    <mergeCell ref="F20:G22"/>
    <mergeCell ref="H20:H22"/>
    <mergeCell ref="I20:I22"/>
    <mergeCell ref="H17:H19"/>
    <mergeCell ref="I17:I19"/>
    <mergeCell ref="I2:I4"/>
    <mergeCell ref="D5:D7"/>
    <mergeCell ref="F5:G7"/>
    <mergeCell ref="H5:H7"/>
    <mergeCell ref="I5:I7"/>
    <mergeCell ref="D8:D10"/>
    <mergeCell ref="F8:G10"/>
    <mergeCell ref="H8:H10"/>
    <mergeCell ref="I8:I10"/>
    <mergeCell ref="H2:H4"/>
    <mergeCell ref="H11:H13"/>
    <mergeCell ref="I11:I13"/>
    <mergeCell ref="D14:D16"/>
    <mergeCell ref="F14:G16"/>
    <mergeCell ref="F1:G1"/>
    <mergeCell ref="A2:A32"/>
    <mergeCell ref="B2:C32"/>
    <mergeCell ref="D2:D4"/>
    <mergeCell ref="F2:G4"/>
    <mergeCell ref="D11:D13"/>
    <mergeCell ref="F11:G13"/>
    <mergeCell ref="D20:D22"/>
    <mergeCell ref="D17:D19"/>
    <mergeCell ref="F17:G19"/>
    <mergeCell ref="D23:D25"/>
    <mergeCell ref="F23:G25"/>
    <mergeCell ref="D29:D31"/>
    <mergeCell ref="F29:G31"/>
    <mergeCell ref="D32:H32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CBFF-00C8-6849-9F27-3AC1A3BC3D60}">
  <dimension ref="A1:E62"/>
  <sheetViews>
    <sheetView topLeftCell="A14" zoomScale="169" workbookViewId="0">
      <selection activeCell="B17" sqref="B17"/>
    </sheetView>
  </sheetViews>
  <sheetFormatPr baseColWidth="10" defaultRowHeight="17"/>
  <cols>
    <col min="1" max="1" width="16.6640625" bestFit="1" customWidth="1"/>
    <col min="2" max="2" width="57.5" style="42" bestFit="1" customWidth="1"/>
    <col min="3" max="3" width="13.33203125" style="200" bestFit="1" customWidth="1"/>
    <col min="4" max="4" width="13.83203125" style="42" bestFit="1" customWidth="1"/>
    <col min="5" max="6" width="13.83203125" bestFit="1" customWidth="1"/>
  </cols>
  <sheetData>
    <row r="1" spans="1:5">
      <c r="A1" s="203" t="s">
        <v>161</v>
      </c>
      <c r="B1" s="205">
        <v>720000000</v>
      </c>
    </row>
    <row r="2" spans="1:5" ht="18" thickBot="1">
      <c r="D2" s="196"/>
      <c r="E2" s="42"/>
    </row>
    <row r="3" spans="1:5">
      <c r="A3" s="220" t="s">
        <v>163</v>
      </c>
      <c r="B3" s="221" t="s">
        <v>165</v>
      </c>
      <c r="C3" s="211" t="s">
        <v>166</v>
      </c>
      <c r="D3" s="198"/>
      <c r="E3" s="42"/>
    </row>
    <row r="4" spans="1:5">
      <c r="A4" s="222">
        <v>0.34499999999999997</v>
      </c>
      <c r="B4" s="207" t="str">
        <f>견적!B17</f>
        <v>고성능 컴퓨팅을 활용한 
병렬 프로그래밍 환경 구축 및 안정화</v>
      </c>
      <c r="C4" s="213">
        <f>B1*A4</f>
        <v>248399999.99999997</v>
      </c>
      <c r="D4" s="196"/>
      <c r="E4" s="42"/>
    </row>
    <row r="5" spans="1:5">
      <c r="A5" s="222">
        <v>0.33</v>
      </c>
      <c r="B5" s="207" t="str">
        <f>견적!B28</f>
        <v>인실리코 분석응용 지원을 위한
데이터 분산처리시스템 구축</v>
      </c>
      <c r="C5" s="213">
        <f>B1*A5</f>
        <v>237600000</v>
      </c>
      <c r="E5" s="197"/>
    </row>
    <row r="6" spans="1:5">
      <c r="A6" s="222">
        <v>0.32500000000000001</v>
      </c>
      <c r="B6" s="207" t="str">
        <f>견적!B39</f>
        <v>고성능 컴퓨팅 시스템 분석을 통한
병렬분산처리 라이브러리 구축</v>
      </c>
      <c r="C6" s="213">
        <f>B1*A6</f>
        <v>234000000</v>
      </c>
      <c r="E6" s="197"/>
    </row>
    <row r="7" spans="1:5" ht="18" thickBot="1">
      <c r="A7" s="223" t="s">
        <v>162</v>
      </c>
      <c r="B7" s="224">
        <f>SUM(A4:A6)</f>
        <v>1</v>
      </c>
      <c r="C7" s="225"/>
      <c r="E7" s="197"/>
    </row>
    <row r="8" spans="1:5" ht="18" thickBot="1">
      <c r="E8" s="197"/>
    </row>
    <row r="9" spans="1:5">
      <c r="A9" s="209" t="s">
        <v>164</v>
      </c>
      <c r="B9" s="210" t="s">
        <v>160</v>
      </c>
      <c r="C9" s="211" t="s">
        <v>166</v>
      </c>
      <c r="E9" s="197"/>
    </row>
    <row r="10" spans="1:5">
      <c r="A10" s="212">
        <v>0.1</v>
      </c>
      <c r="B10" s="202" t="str">
        <f>견적!D17</f>
        <v>로그 데이터 수집, 저장, 검색, 분석 기능 구현</v>
      </c>
      <c r="C10" s="213">
        <f>$C$4*A10</f>
        <v>24840000</v>
      </c>
      <c r="E10" s="197"/>
    </row>
    <row r="11" spans="1:5">
      <c r="A11" s="212">
        <v>0.09</v>
      </c>
      <c r="B11" s="202" t="str">
        <f>견적!D18</f>
        <v>사용자별, 작업별 로그 데이터 관리 기능 제공</v>
      </c>
      <c r="C11" s="213">
        <f t="shared" ref="C11:C19" si="0">$C$4*A11</f>
        <v>22355999.999999996</v>
      </c>
      <c r="E11" s="197"/>
    </row>
    <row r="12" spans="1:5">
      <c r="A12" s="212">
        <v>0.09</v>
      </c>
      <c r="B12" s="202" t="str">
        <f>견적!D19</f>
        <v>병렬 프로그램의 실행 상태, 성능 의 실시간 모니터링 기능 제공</v>
      </c>
      <c r="C12" s="213">
        <f t="shared" si="0"/>
        <v>22355999.999999996</v>
      </c>
    </row>
    <row r="13" spans="1:5">
      <c r="A13" s="212">
        <v>0.11</v>
      </c>
      <c r="B13" s="202" t="str">
        <f>견적!D20</f>
        <v>병렬 분산 처리를 위한 효율적인 라이브러리 구축 및 테스트</v>
      </c>
      <c r="C13" s="213">
        <f t="shared" si="0"/>
        <v>27323999.999999996</v>
      </c>
      <c r="D13" s="201"/>
    </row>
    <row r="14" spans="1:5">
      <c r="A14" s="212">
        <v>0.11</v>
      </c>
      <c r="B14" s="202" t="str">
        <f>견적!D21</f>
        <v>분석 응용 프로그램의 에러 및 예외 처리 프로세스 구현</v>
      </c>
      <c r="C14" s="213">
        <f t="shared" si="0"/>
        <v>27323999.999999996</v>
      </c>
      <c r="D14" s="201"/>
    </row>
    <row r="15" spans="1:5">
      <c r="A15" s="212">
        <v>0.11</v>
      </c>
      <c r="B15" s="202" t="str">
        <f>견적!D22</f>
        <v>HPC 시스템에 대한 사용자 인터페이스 및 API 제공</v>
      </c>
      <c r="C15" s="213">
        <f t="shared" si="0"/>
        <v>27323999.999999996</v>
      </c>
      <c r="D15" s="201"/>
    </row>
    <row r="16" spans="1:5">
      <c r="A16" s="212">
        <v>0.1</v>
      </c>
      <c r="B16" s="202" t="str">
        <f>견적!D23</f>
        <v>시스템의 성능 모니터링 및 리포트 생성 기능 제공</v>
      </c>
      <c r="C16" s="213">
        <f t="shared" si="0"/>
        <v>24840000</v>
      </c>
      <c r="D16" s="201"/>
    </row>
    <row r="17" spans="1:4">
      <c r="A17" s="212">
        <v>0.12</v>
      </c>
      <c r="B17" s="202" t="str">
        <f>견적!D24</f>
        <v>병렬 프로그래밍을 위한 개발 환경 구축</v>
      </c>
      <c r="C17" s="213">
        <f t="shared" si="0"/>
        <v>29807999.999999996</v>
      </c>
      <c r="D17" s="201"/>
    </row>
    <row r="18" spans="1:4">
      <c r="A18" s="212">
        <v>0.08</v>
      </c>
      <c r="B18" s="202" t="str">
        <f>견적!D25</f>
        <v>HPC 사용자 및 개발자를 위한 사용자 문서 제작</v>
      </c>
      <c r="C18" s="213">
        <f t="shared" si="0"/>
        <v>19871999.999999996</v>
      </c>
      <c r="D18" s="201"/>
    </row>
    <row r="19" spans="1:4">
      <c r="A19" s="212">
        <v>0.09</v>
      </c>
      <c r="B19" s="202" t="str">
        <f>견적!D26</f>
        <v>시스템 확장성 및 고가용성을 고려한 인프라 설계</v>
      </c>
      <c r="C19" s="213">
        <f t="shared" si="0"/>
        <v>22355999.999999996</v>
      </c>
      <c r="D19" s="201"/>
    </row>
    <row r="20" spans="1:4" ht="18" thickBot="1">
      <c r="A20" s="227">
        <f>SUM(A10:A19)</f>
        <v>0.99999999999999989</v>
      </c>
      <c r="B20" s="214" t="s">
        <v>167</v>
      </c>
      <c r="C20" s="215">
        <f>SUM(C10:C19)</f>
        <v>248400000</v>
      </c>
      <c r="D20" s="201"/>
    </row>
    <row r="21" spans="1:4" ht="18" thickBot="1">
      <c r="A21" s="194"/>
      <c r="C21" s="204"/>
      <c r="D21" s="201"/>
    </row>
    <row r="22" spans="1:4">
      <c r="A22" s="216">
        <v>0.105</v>
      </c>
      <c r="B22" s="218" t="str">
        <f>견적!D28</f>
        <v>분석 응용 프로그램 자원 동적 할당 시스템 구축</v>
      </c>
      <c r="C22" s="217">
        <f>$C$5*A22</f>
        <v>24948000</v>
      </c>
      <c r="D22" s="201"/>
    </row>
    <row r="23" spans="1:4">
      <c r="A23" s="212">
        <v>0.115</v>
      </c>
      <c r="B23" s="202" t="str">
        <f>견적!D29</f>
        <v>분석 응용 단계별 산출물 관리</v>
      </c>
      <c r="C23" s="213">
        <f t="shared" ref="C23:C31" si="1">$C$5*A23</f>
        <v>27324000</v>
      </c>
    </row>
    <row r="24" spans="1:4">
      <c r="A24" s="212">
        <v>0.09</v>
      </c>
      <c r="B24" s="202" t="str">
        <f>견적!D30</f>
        <v>성능 모니터링 및 최적화 도구 제공</v>
      </c>
      <c r="C24" s="213">
        <f t="shared" si="1"/>
        <v>21384000</v>
      </c>
    </row>
    <row r="25" spans="1:4">
      <c r="A25" s="212">
        <v>0.1</v>
      </c>
      <c r="B25" s="202" t="str">
        <f>견적!D31</f>
        <v>바이오 빅데이터 처리 결과 전달을 위한 메시징 시스템 구축</v>
      </c>
      <c r="C25" s="213">
        <f t="shared" si="1"/>
        <v>23760000</v>
      </c>
    </row>
    <row r="26" spans="1:4">
      <c r="A26" s="212">
        <v>0.11</v>
      </c>
      <c r="B26" s="202" t="str">
        <f>견적!D32</f>
        <v>HPC 산출물 관리 프로세스 구축</v>
      </c>
      <c r="C26" s="213">
        <f t="shared" si="1"/>
        <v>26136000</v>
      </c>
    </row>
    <row r="27" spans="1:4">
      <c r="A27" s="212">
        <v>8.5000000000000006E-2</v>
      </c>
      <c r="B27" s="202" t="str">
        <f>견적!D33</f>
        <v>바이오 빅데이터 처리 시스템 모니터링 및 알람 시스템 구현</v>
      </c>
      <c r="C27" s="213">
        <f t="shared" si="1"/>
        <v>20196000</v>
      </c>
    </row>
    <row r="28" spans="1:4">
      <c r="A28" s="212">
        <v>0.08</v>
      </c>
      <c r="B28" s="202" t="str">
        <f>견적!D34</f>
        <v>분석응용 실행 결과 상태 리포팅기능 제공</v>
      </c>
      <c r="C28" s="213">
        <f t="shared" si="1"/>
        <v>19008000</v>
      </c>
    </row>
    <row r="29" spans="1:4">
      <c r="A29" s="212">
        <v>0.105</v>
      </c>
      <c r="B29" s="202" t="str">
        <f>견적!D35</f>
        <v>분석응용 산출물 데이터 관리 기능 제공</v>
      </c>
      <c r="C29" s="213">
        <f t="shared" si="1"/>
        <v>24948000</v>
      </c>
    </row>
    <row r="30" spans="1:4">
      <c r="A30" s="212">
        <v>0.11</v>
      </c>
      <c r="B30" s="202" t="str">
        <f>견적!D36</f>
        <v>분석응용 버전 정보 확인 기능 제공</v>
      </c>
      <c r="C30" s="213">
        <f t="shared" si="1"/>
        <v>26136000</v>
      </c>
    </row>
    <row r="31" spans="1:4">
      <c r="A31" s="212">
        <v>0.1</v>
      </c>
      <c r="B31" s="202" t="str">
        <f>견적!D37</f>
        <v>인실리코 분석응용 버전 관리 및 업데이트 시스템 구축</v>
      </c>
      <c r="C31" s="213">
        <f t="shared" si="1"/>
        <v>23760000</v>
      </c>
    </row>
    <row r="32" spans="1:4" ht="18" thickBot="1">
      <c r="A32" s="227">
        <f>SUM(A22:A31)</f>
        <v>0.99999999999999989</v>
      </c>
      <c r="B32" s="214" t="s">
        <v>167</v>
      </c>
      <c r="C32" s="219">
        <f>SUM(C22:C31)</f>
        <v>237600000</v>
      </c>
    </row>
    <row r="33" spans="1:5" ht="18" thickBot="1"/>
    <row r="34" spans="1:5" ht="18" thickBot="1">
      <c r="A34" s="216">
        <v>8.2000000000000003E-2</v>
      </c>
      <c r="B34" s="218" t="str">
        <f>견적!D39</f>
        <v>병렬 분산처리 라이브러리 버전 리스트 문서 제공</v>
      </c>
      <c r="C34" s="217">
        <f>$C$6*A34</f>
        <v>19188000</v>
      </c>
    </row>
    <row r="35" spans="1:5" ht="18" thickBot="1">
      <c r="A35" s="216">
        <v>8.8999999999999996E-2</v>
      </c>
      <c r="B35" s="202" t="str">
        <f>견적!D40</f>
        <v>병렬 라이브러리에 대한 교육 및 문서 지원</v>
      </c>
      <c r="C35" s="213">
        <f t="shared" ref="C35:C43" si="2">$C$6*A35</f>
        <v>20826000</v>
      </c>
    </row>
    <row r="36" spans="1:5" ht="18" thickBot="1">
      <c r="A36" s="216">
        <v>0.105</v>
      </c>
      <c r="B36" s="202" t="str">
        <f>견적!D41</f>
        <v>병렬 분산 라이브러리 접근권한 설정 기능 제공</v>
      </c>
      <c r="C36" s="213">
        <f t="shared" si="2"/>
        <v>24570000</v>
      </c>
    </row>
    <row r="37" spans="1:5" ht="18" thickBot="1">
      <c r="A37" s="216">
        <v>0.104</v>
      </c>
      <c r="B37" s="202" t="str">
        <f>견적!D42</f>
        <v>병렬 라이브러리 패키지 업데이트 및 유지보수 시스템 구축</v>
      </c>
      <c r="C37" s="213">
        <f t="shared" si="2"/>
        <v>24336000</v>
      </c>
    </row>
    <row r="38" spans="1:5" ht="18" thickBot="1">
      <c r="A38" s="216">
        <v>0.106</v>
      </c>
      <c r="B38" s="202" t="str">
        <f>견적!D43</f>
        <v>분산처리 라이브러리에 대한 성능 벤치마킹 도구 제공</v>
      </c>
      <c r="C38" s="213">
        <f t="shared" si="2"/>
        <v>24804000</v>
      </c>
    </row>
    <row r="39" spans="1:5" ht="18" thickBot="1">
      <c r="A39" s="216">
        <v>0.09</v>
      </c>
      <c r="B39" s="202" t="str">
        <f>견적!D44</f>
        <v>분산처리 라이브러리 사용자 인터뷰를 통한 요구사항 적용</v>
      </c>
      <c r="C39" s="213">
        <f t="shared" si="2"/>
        <v>21060000</v>
      </c>
    </row>
    <row r="40" spans="1:5" ht="18" thickBot="1">
      <c r="A40" s="216">
        <v>0.107</v>
      </c>
      <c r="B40" s="202" t="str">
        <f>견적!D45</f>
        <v>별령 분산처리 운영 환경_x0008_및 개발 환경 구축</v>
      </c>
      <c r="C40" s="213">
        <f t="shared" si="2"/>
        <v>25038000</v>
      </c>
    </row>
    <row r="41" spans="1:5" ht="18" thickBot="1">
      <c r="A41" s="216">
        <v>0.109</v>
      </c>
      <c r="B41" s="202" t="str">
        <f>견적!D46</f>
        <v>병렬 라이브러리 사용을 위한 샘플 코드 및 튜토리얼 제공</v>
      </c>
      <c r="C41" s="213">
        <f t="shared" si="2"/>
        <v>25506000</v>
      </c>
      <c r="D41" s="196"/>
      <c r="E41" s="43"/>
    </row>
    <row r="42" spans="1:5">
      <c r="A42" s="216">
        <v>0.10299999999999999</v>
      </c>
      <c r="B42" s="202" t="str">
        <f>견적!D47</f>
        <v>지속적인 통합배포 프로세스 구축</v>
      </c>
      <c r="C42" s="213">
        <f t="shared" si="2"/>
        <v>24102000</v>
      </c>
      <c r="D42" s="196"/>
      <c r="E42" s="42"/>
    </row>
    <row r="43" spans="1:5">
      <c r="A43" s="212">
        <v>0.105</v>
      </c>
      <c r="B43" s="202" t="str">
        <f>견적!D48</f>
        <v>병렬 컴퓨팅 하드웨어 자원 추가 프로세스 구축</v>
      </c>
      <c r="C43" s="213">
        <f t="shared" si="2"/>
        <v>24570000</v>
      </c>
      <c r="D43" s="198"/>
      <c r="E43" s="42"/>
    </row>
    <row r="44" spans="1:5" ht="18" thickBot="1">
      <c r="A44" s="227">
        <f>SUM(A34:A43)</f>
        <v>0.99999999999999989</v>
      </c>
      <c r="B44" s="214" t="s">
        <v>167</v>
      </c>
      <c r="C44" s="219">
        <f>SUM(C34:C43)</f>
        <v>234000000</v>
      </c>
      <c r="D44" s="196"/>
      <c r="E44" s="42"/>
    </row>
    <row r="45" spans="1:5">
      <c r="E45" s="197"/>
    </row>
    <row r="46" spans="1:5">
      <c r="B46" s="42" t="s">
        <v>168</v>
      </c>
      <c r="C46" s="206">
        <f>SUM(C44,C32,C20)</f>
        <v>720000000</v>
      </c>
      <c r="E46" s="197"/>
    </row>
    <row r="47" spans="1:5">
      <c r="E47" s="197"/>
    </row>
    <row r="48" spans="1:5">
      <c r="E48" s="197"/>
    </row>
    <row r="49" spans="1:5">
      <c r="E49" s="197"/>
    </row>
    <row r="50" spans="1:5">
      <c r="E50" s="197"/>
    </row>
    <row r="51" spans="1:5">
      <c r="A51" s="195"/>
      <c r="C51" s="199"/>
      <c r="E51" s="197"/>
    </row>
    <row r="52" spans="1:5">
      <c r="D52" s="196"/>
      <c r="E52" s="43"/>
    </row>
    <row r="53" spans="1:5">
      <c r="D53" s="196"/>
      <c r="E53" s="42"/>
    </row>
    <row r="54" spans="1:5">
      <c r="D54" s="198"/>
      <c r="E54" s="198"/>
    </row>
    <row r="55" spans="1:5">
      <c r="D55" s="196"/>
      <c r="E55" s="42"/>
    </row>
    <row r="56" spans="1:5">
      <c r="E56" s="197"/>
    </row>
    <row r="57" spans="1:5">
      <c r="E57" s="197"/>
    </row>
    <row r="58" spans="1:5">
      <c r="E58" s="197"/>
    </row>
    <row r="59" spans="1:5">
      <c r="E59" s="197"/>
    </row>
    <row r="60" spans="1:5">
      <c r="E60" s="197"/>
    </row>
    <row r="61" spans="1:5">
      <c r="E61" s="197"/>
    </row>
    <row r="62" spans="1:5">
      <c r="A62" s="19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견적</vt:lpstr>
      <vt:lpstr>1</vt:lpstr>
      <vt:lpstr>2</vt:lpstr>
      <vt:lpstr>3</vt:lpstr>
      <vt:lpstr>Sheet6</vt:lpstr>
      <vt:lpstr>'1'!Print_Area</vt:lpstr>
      <vt:lpstr>'2'!Print_Area</vt:lpstr>
      <vt:lpstr>'3'!Print_Area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2023-06-01T01:36:12Z</cp:lastPrinted>
  <dcterms:created xsi:type="dcterms:W3CDTF">2016-06-28T02:01:49Z</dcterms:created>
  <dcterms:modified xsi:type="dcterms:W3CDTF">2023-06-01T02:13:25Z</dcterms:modified>
</cp:coreProperties>
</file>