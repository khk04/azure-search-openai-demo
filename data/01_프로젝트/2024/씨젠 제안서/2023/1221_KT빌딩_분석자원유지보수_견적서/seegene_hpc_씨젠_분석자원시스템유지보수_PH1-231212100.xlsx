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khk/Library/CloudStorage/GoogleDrive-khkraining@falinux.com/.shortcut-targets-by-id/11ceC0g-I0klPgGkSZLyz0DLqJ5fVQSEO/씨젠 제안서/2023/1212_KT빌딩_분석자원유지보수_견적서/"/>
    </mc:Choice>
  </mc:AlternateContent>
  <xr:revisionPtr revIDLastSave="0" documentId="13_ncr:1_{BE166F0C-A8BE-5047-A8AD-784843A1BFDB}" xr6:coauthVersionLast="47" xr6:coauthVersionMax="47" xr10:uidLastSave="{00000000-0000-0000-0000-000000000000}"/>
  <bookViews>
    <workbookView xWindow="0" yWindow="-21100" windowWidth="38400" windowHeight="21100" xr2:uid="{00000000-000D-0000-FFFF-FFFF00000000}"/>
  </bookViews>
  <sheets>
    <sheet name="견적" sheetId="2" r:id="rId1"/>
  </sheets>
  <definedNames>
    <definedName name="_xlnm.Print_Area" localSheetId="0">견적!$A$1:$H$81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42" i="2" l="1"/>
  <c r="G17" i="2"/>
  <c r="H42" i="2" l="1"/>
  <c r="E78" i="2" l="1"/>
  <c r="H17" i="2"/>
  <c r="H78" i="2" l="1"/>
  <c r="D14" i="2" l="1"/>
  <c r="D15" i="2"/>
</calcChain>
</file>

<file path=xl/sharedStrings.xml><?xml version="1.0" encoding="utf-8"?>
<sst xmlns="http://schemas.openxmlformats.org/spreadsheetml/2006/main" count="97" uniqueCount="73">
  <si>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</si>
  <si>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</si>
  <si>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</si>
  <si>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</si>
  <si>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</si>
  <si>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</si>
  <si>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</si>
  <si>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</si>
  <si>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</si>
  <si>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</si>
  <si>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>견적번호</t>
    <phoneticPr fontId="11" type="noConversion"/>
  </si>
  <si>
    <t>유효기간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</si>
  <si>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</si>
  <si>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</si>
  <si>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</si>
  <si>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</si>
  <si>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</si>
  <si>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</si>
  <si>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</si>
  <si>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</si>
  <si>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</si>
  <si>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</si>
  <si>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</si>
  <si>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</si>
  <si>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</si>
  <si>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</si>
  <si>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</si>
  <si>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</si>
  <si>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</si>
  <si>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</si>
  <si>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</si>
  <si>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</si>
  <si>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</si>
  <si>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</si>
  <si>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</si>
  <si>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</si>
  <si>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</si>
  <si>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</si>
  <si>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</si>
  <si>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</si>
  <si>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</si>
  <si>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</si>
  <si>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</si>
  <si>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</si>
  <si>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합계</t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</si>
  <si>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</si>
  <si>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</si>
  <si>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</si>
  <si>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</si>
  <si>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t xml:space="preserve">  02-2195-6266 / 010-8682-1192</t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</si>
  <si>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</si>
  <si>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,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 xml:space="preserve">현장지원, </t>
    </r>
    <r>
      <rPr>
        <sz val="11"/>
        <color theme="1"/>
        <rFont val="Calibri"/>
        <family val="2"/>
      </rPr>
      <t>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</si>
  <si>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t>견적일로부터 30일</t>
    <phoneticPr fontId="11" type="noConversion"/>
  </si>
  <si>
    <t>씨젠 HPC 시스템 하드웨어 관리/운영/장애복구  (12개월)</t>
    <phoneticPr fontId="5" type="noConversion"/>
  </si>
  <si>
    <r>
      <rPr>
        <b/>
        <sz val="11"/>
        <color theme="1"/>
        <rFont val="Malgun Gothic"/>
        <family val="2"/>
        <charset val="129"/>
      </rPr>
      <t>씨젠</t>
    </r>
    <r>
      <rPr>
        <b/>
        <sz val="11"/>
        <color theme="1"/>
        <rFont val="Calibri"/>
        <family val="2"/>
      </rPr>
      <t xml:space="preserve"> HPC </t>
    </r>
    <r>
      <rPr>
        <b/>
        <sz val="11"/>
        <color theme="1"/>
        <rFont val="Malgun Gothic"/>
        <family val="2"/>
        <charset val="129"/>
      </rPr>
      <t>시스템 소프트웨어 관리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Malgun Gothic"/>
        <family val="2"/>
        <charset val="129"/>
      </rPr>
      <t>운영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Malgun Gothic"/>
        <family val="2"/>
        <charset val="129"/>
      </rPr>
      <t>장애복구</t>
    </r>
    <r>
      <rPr>
        <b/>
        <sz val="11"/>
        <color theme="1"/>
        <rFont val="Calibri"/>
        <family val="2"/>
      </rPr>
      <t xml:space="preserve">  (12 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</si>
  <si>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t>Computing Cluster</t>
    <phoneticPr fontId="5" type="noConversion"/>
  </si>
  <si>
    <r>
      <rPr>
        <sz val="11"/>
        <rFont val="Calibri"/>
        <family val="2"/>
        <scheme val="minor"/>
      </rPr>
      <t xml:space="preserve">HPE Apollo  </t>
    </r>
    <r>
      <rPr>
        <sz val="11"/>
        <rFont val="Malgun Gothic"/>
        <family val="2"/>
      </rPr>
      <t>연산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노드</t>
    </r>
    <r>
      <rPr>
        <sz val="11"/>
        <rFont val="Calibri"/>
        <family val="2"/>
        <scheme val="minor"/>
      </rPr>
      <t xml:space="preserve">  8</t>
    </r>
    <r>
      <rPr>
        <sz val="11"/>
        <rFont val="Malgun Gothic"/>
        <family val="2"/>
      </rPr>
      <t>식</t>
    </r>
    <phoneticPr fontId="5" type="noConversion"/>
  </si>
  <si>
    <t>Lustre Storage</t>
    <phoneticPr fontId="5" type="noConversion"/>
  </si>
  <si>
    <t>Cray ClusterStorage - 1 식</t>
    <phoneticPr fontId="5" type="noConversion"/>
  </si>
  <si>
    <t>IB &amp; Ethernet Network</t>
    <phoneticPr fontId="5" type="noConversion"/>
  </si>
  <si>
    <t>HPE FlexNetwork 5140 &amp; Mellanox infiniBand switch - 2식</t>
    <phoneticPr fontId="5" type="noConversion"/>
  </si>
  <si>
    <t>Login / Mgmt Servers</t>
    <phoneticPr fontId="5" type="noConversion"/>
  </si>
  <si>
    <r>
      <t xml:space="preserve">HPE ProLiant </t>
    </r>
    <r>
      <rPr>
        <sz val="11"/>
        <rFont val="Malgun Gothic"/>
        <family val="2"/>
      </rPr>
      <t>로그인</t>
    </r>
    <r>
      <rPr>
        <sz val="11"/>
        <rFont val="Calibri"/>
        <family val="2"/>
        <scheme val="minor"/>
      </rPr>
      <t xml:space="preserve"> / </t>
    </r>
    <r>
      <rPr>
        <sz val="11"/>
        <rFont val="Malgun Gothic"/>
        <family val="2"/>
      </rPr>
      <t>관리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노드</t>
    </r>
    <r>
      <rPr>
        <sz val="11"/>
        <rFont val="Calibri"/>
        <family val="2"/>
        <scheme val="minor"/>
      </rPr>
      <t xml:space="preserve"> - 2</t>
    </r>
    <r>
      <rPr>
        <sz val="11"/>
        <rFont val="Malgun Gothic"/>
        <family val="2"/>
      </rPr>
      <t>식</t>
    </r>
    <phoneticPr fontId="5" type="noConversion"/>
  </si>
  <si>
    <t>API Server</t>
    <phoneticPr fontId="5" type="noConversion"/>
  </si>
  <si>
    <t>HPE ProLiant API 노드 - 4식</t>
    <phoneticPr fontId="5" type="noConversion"/>
  </si>
  <si>
    <t>기타</t>
    <phoneticPr fontId="5" type="noConversion"/>
  </si>
  <si>
    <t>HPE shock Rack &amp; OEM SW</t>
    <phoneticPr fontId="5" type="noConversion"/>
  </si>
  <si>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, </t>
    </r>
    <r>
      <rPr>
        <sz val="11"/>
        <rFont val="Malgun Gothic"/>
        <family val="2"/>
      </rPr>
      <t>스토리지</t>
    </r>
    <r>
      <rPr>
        <sz val="11"/>
        <rFont val="Calibri"/>
        <family val="2"/>
        <scheme val="minor"/>
      </rPr>
      <t xml:space="preserve"> 1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, </t>
    </r>
    <r>
      <rPr>
        <sz val="11"/>
        <rFont val="Malgun Gothic"/>
        <family val="2"/>
      </rPr>
      <t>네트워크</t>
    </r>
    <r>
      <rPr>
        <sz val="11"/>
        <rFont val="Calibri"/>
        <family val="2"/>
        <scheme val="minor"/>
      </rPr>
      <t xml:space="preserve"> 2</t>
    </r>
    <r>
      <rPr>
        <sz val="11"/>
        <rFont val="Malgun Gothic"/>
        <family val="2"/>
      </rPr>
      <t>식</t>
    </r>
    <r>
      <rPr>
        <sz val="11"/>
        <rFont val="Calibri"/>
        <family val="2"/>
        <charset val="129"/>
        <scheme val="minor"/>
      </rPr>
      <t>, OEM</t>
    </r>
    <r>
      <rPr>
        <sz val="11"/>
        <rFont val="Calibri"/>
        <family val="2"/>
        <scheme val="minor"/>
      </rPr>
      <t xml:space="preserve"> SW </t>
    </r>
    <r>
      <rPr>
        <sz val="11"/>
        <rFont val="Malgun Gothic"/>
        <family val="2"/>
      </rPr>
      <t>및 Rack</t>
    </r>
    <phoneticPr fontId="5" type="noConversion"/>
  </si>
  <si>
    <r>
      <t xml:space="preserve">  </t>
    </r>
    <r>
      <rPr>
        <sz val="10"/>
        <rFont val="Malgun Gothic"/>
        <family val="2"/>
      </rPr>
      <t>담</t>
    </r>
    <r>
      <rPr>
        <sz val="10"/>
        <rFont val="Calibri"/>
        <family val="2"/>
        <scheme val="minor"/>
      </rPr>
      <t xml:space="preserve">  </t>
    </r>
    <r>
      <rPr>
        <sz val="10"/>
        <rFont val="Malgun Gothic"/>
        <family val="2"/>
      </rPr>
      <t>당</t>
    </r>
    <r>
      <rPr>
        <sz val="10"/>
        <rFont val="Calibri"/>
        <family val="2"/>
        <scheme val="minor"/>
      </rPr>
      <t xml:space="preserve"> : </t>
    </r>
    <r>
      <rPr>
        <sz val="10"/>
        <rFont val="Malgun Gothic"/>
        <family val="2"/>
      </rPr>
      <t>박진호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이사</t>
    </r>
    <phoneticPr fontId="11" type="noConversion"/>
  </si>
  <si>
    <t xml:space="preserve">  E-mail : jhpark@falinux.com</t>
    <phoneticPr fontId="11" type="noConversion"/>
  </si>
  <si>
    <r>
      <t xml:space="preserve">  </t>
    </r>
    <r>
      <rPr>
        <sz val="10"/>
        <rFont val="Malgun Gothic"/>
        <family val="2"/>
      </rPr>
      <t>연락처</t>
    </r>
    <r>
      <rPr>
        <sz val="10"/>
        <rFont val="Calibri"/>
        <family val="2"/>
        <scheme val="minor"/>
      </rPr>
      <t xml:space="preserve"> : 070-7862-5148/010-5487-2319</t>
    </r>
    <phoneticPr fontId="11" type="noConversion"/>
  </si>
  <si>
    <t>PH1-231212100</t>
    <phoneticPr fontId="5" type="noConversion"/>
  </si>
  <si>
    <r>
      <rPr>
        <sz val="10"/>
        <rFont val="Malgun Gothic"/>
        <family val="2"/>
      </rPr>
      <t>분석자원 시스템 유지보수</t>
    </r>
    <r>
      <rPr>
        <sz val="10"/>
        <rFont val="Calibri"/>
        <family val="2"/>
        <scheme val="minor"/>
      </rPr>
      <t xml:space="preserve"> (12</t>
    </r>
    <r>
      <rPr>
        <sz val="10"/>
        <rFont val="Malgun Gothic"/>
        <family val="2"/>
      </rPr>
      <t>개월: 24-01-02 ~ 24-12-31</t>
    </r>
    <r>
      <rPr>
        <sz val="10"/>
        <rFont val="Calibri"/>
        <family val="2"/>
        <scheme val="minor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</si>
</sst>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33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1"/>
      <name val="Malgun Gothic"/>
      <family val="2"/>
    </font>
    <font>
      <sz val="10"/>
      <name val="Malgun Gothic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59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0" fillId="0" borderId="11" xfId="1" applyFont="1" applyBorder="1" applyAlignment="1" applyProtection="1">
      <alignment horizontal="left" vertical="center"/>
      <protection locked="0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14" fontId="7" fillId="0" borderId="29" xfId="1" applyNumberFormat="1" applyFont="1" applyBorder="1">
      <alignment vertical="center"/>
    </xf>
    <xf numFmtId="0" fontId="7" fillId="0" borderId="30" xfId="1" applyFont="1" applyBorder="1">
      <alignment vertical="center"/>
    </xf>
    <xf numFmtId="0" fontId="8" fillId="0" borderId="31" xfId="1" applyFont="1" applyBorder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9" fillId="0" borderId="31" xfId="1" applyFont="1" applyBorder="1" applyAlignment="1" applyProtection="1">
      <alignment horizontal="centerContinuous" vertical="center"/>
      <protection locked="0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9" fillId="0" borderId="32" xfId="1" applyFont="1" applyBorder="1" applyAlignment="1">
      <alignment horizontal="centerContinuous" vertical="center"/>
    </xf>
    <xf numFmtId="0" fontId="10" fillId="0" borderId="27" xfId="1" applyFont="1" applyBorder="1" applyAlignment="1" applyProtection="1">
      <alignment horizontal="left" vertical="center"/>
      <protection locked="0"/>
    </xf>
    <xf numFmtId="0" fontId="10" fillId="0" borderId="0" xfId="1" applyFont="1">
      <alignment vertical="center"/>
    </xf>
    <xf numFmtId="0" fontId="10" fillId="0" borderId="32" xfId="1" applyFont="1" applyBorder="1">
      <alignment vertical="center"/>
    </xf>
    <xf numFmtId="0" fontId="17" fillId="0" borderId="34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177" fontId="15" fillId="4" borderId="33" xfId="3" applyNumberFormat="1" applyFont="1" applyFill="1" applyBorder="1" applyAlignment="1">
      <alignment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0" fontId="15" fillId="0" borderId="40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2" fillId="0" borderId="13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176" fontId="12" fillId="0" borderId="12" xfId="2" applyNumberFormat="1" applyFont="1" applyBorder="1" applyAlignment="1">
      <alignment horizontal="left" vertical="center" wrapText="1"/>
    </xf>
    <xf numFmtId="0" fontId="27" fillId="0" borderId="13" xfId="1" applyFont="1" applyBorder="1" applyAlignment="1">
      <alignment horizontal="center" vertical="center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4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2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178" fontId="4" fillId="0" borderId="12" xfId="0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8" fontId="32" fillId="5" borderId="3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178" fontId="21" fillId="5" borderId="3" xfId="0" applyNumberFormat="1" applyFont="1" applyFill="1" applyBorder="1" applyAlignment="1">
      <alignment horizontal="center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0" fontId="15" fillId="6" borderId="6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6" fontId="26" fillId="0" borderId="13" xfId="2" applyNumberFormat="1" applyFont="1" applyBorder="1" applyAlignment="1">
      <alignment vertical="center" wrapText="1"/>
    </xf>
    <xf numFmtId="176" fontId="26" fillId="0" borderId="15" xfId="2" applyNumberFormat="1" applyFont="1" applyBorder="1" applyAlignment="1">
      <alignment vertical="center" wrapText="1"/>
    </xf>
    <xf numFmtId="0" fontId="15" fillId="0" borderId="13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7" fillId="4" borderId="40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177" fontId="15" fillId="0" borderId="35" xfId="3" applyNumberFormat="1" applyFont="1" applyFill="1" applyBorder="1" applyAlignment="1">
      <alignment horizontal="center" vertical="center"/>
    </xf>
    <xf numFmtId="177" fontId="15" fillId="0" borderId="41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15" xfId="1" applyFont="1" applyBorder="1" applyAlignment="1" applyProtection="1">
      <alignment horizontal="center" vertical="center"/>
      <protection locked="0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27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22" xfId="0" applyNumberFormat="1" applyFont="1" applyBorder="1" applyAlignment="1">
      <alignment horizontal="center" vertical="center"/>
    </xf>
    <xf numFmtId="177" fontId="15" fillId="0" borderId="37" xfId="3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35" xfId="1" applyNumberFormat="1" applyFont="1" applyBorder="1" applyAlignment="1">
      <alignment horizontal="center" vertical="center"/>
    </xf>
    <xf numFmtId="3" fontId="15" fillId="0" borderId="37" xfId="1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8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178" fontId="2" fillId="0" borderId="12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0" fontId="19" fillId="0" borderId="31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32" xfId="1" quotePrefix="1" applyFont="1" applyBorder="1" applyAlignment="1">
      <alignment horizontal="left" vertical="center"/>
    </xf>
    <xf numFmtId="0" fontId="19" fillId="0" borderId="42" xfId="1" applyFont="1" applyBorder="1">
      <alignment vertical="center"/>
    </xf>
    <xf numFmtId="0" fontId="19" fillId="0" borderId="17" xfId="1" applyFont="1" applyBorder="1">
      <alignment vertical="center"/>
    </xf>
    <xf numFmtId="0" fontId="19" fillId="0" borderId="43" xfId="1" applyFont="1" applyBorder="1">
      <alignment vertical="center"/>
    </xf>
    <xf numFmtId="178" fontId="21" fillId="0" borderId="12" xfId="0" applyNumberFormat="1" applyFont="1" applyBorder="1" applyAlignment="1">
      <alignment horizontal="left" vertical="center" wrapText="1"/>
    </xf>
    <xf numFmtId="0" fontId="15" fillId="0" borderId="25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0" fontId="25" fillId="0" borderId="12" xfId="1" applyFont="1" applyBorder="1" applyAlignment="1" applyProtection="1">
      <alignment horizontal="center" vertical="center"/>
      <protection locked="0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34" xfId="1" applyFont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2" fillId="0" borderId="33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33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0" fontId="10" fillId="0" borderId="33" xfId="1" applyFont="1" applyBorder="1" applyAlignment="1" applyProtection="1">
      <alignment horizontal="left" vertical="center"/>
      <protection locked="0"/>
    </xf>
    <xf numFmtId="14" fontId="25" fillId="0" borderId="12" xfId="1" applyNumberFormat="1" applyFont="1" applyBorder="1" applyAlignment="1" applyProtection="1">
      <alignment horizontal="center" vertical="center"/>
      <protection locked="0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75</xdr:row>
      <xdr:rowOff>14654</xdr:rowOff>
    </xdr:from>
    <xdr:to>
      <xdr:col>3</xdr:col>
      <xdr:colOff>2736673</xdr:colOff>
      <xdr:row>76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79</xdr:row>
      <xdr:rowOff>50823</xdr:rowOff>
    </xdr:from>
    <xdr:to>
      <xdr:col>7</xdr:col>
      <xdr:colOff>870191</xdr:colOff>
      <xdr:row>80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5990" y="28575"/>
          <a:ext cx="932658" cy="703902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05"/>
  <sheetViews>
    <sheetView tabSelected="1" topLeftCell="A51" zoomScale="170" zoomScaleNormal="180" zoomScaleSheetLayoutView="70" workbookViewId="0">
      <selection activeCell="A67" sqref="A67:D67"/>
    </sheetView>
  </sheetViews>
  <sheetFormatPr baseColWidth="10" defaultColWidth="9" defaultRowHeight="14"/>
  <cols>
    <col min="1" max="1" width="3.5" style="3" customWidth="1"/>
    <col min="2" max="2" width="16.1640625" style="3" customWidth="1"/>
    <col min="3" max="3" width="16.6640625" style="3" customWidth="1"/>
    <col min="4" max="4" width="43.1640625" style="3" customWidth="1"/>
    <col min="5" max="5" width="2.6640625" style="3" customWidth="1"/>
    <col min="6" max="6" width="3.83203125" style="3" customWidth="1"/>
    <col min="7" max="7" width="13.5" style="3" customWidth="1"/>
    <col min="8" max="8" width="13.33203125" style="3" customWidth="1"/>
    <col min="9" max="9" width="14.1640625" style="9" customWidth="1"/>
    <col min="10" max="10" width="44.83203125" style="9" bestFit="1" customWidth="1"/>
    <col min="11" max="11" width="17.6640625" style="9" customWidth="1"/>
    <col min="12" max="12" width="16.1640625" style="9" customWidth="1"/>
    <col min="13" max="13" width="7" style="9" bestFit="1" customWidth="1"/>
    <col min="14" max="14" width="44.83203125" style="9" bestFit="1" customWidth="1"/>
    <col min="15" max="15" width="15.33203125" style="9" bestFit="1" customWidth="1"/>
    <col min="16" max="16384" width="9" style="9"/>
  </cols>
  <sheetData>
    <row r="1" spans="1:8" s="3" customFormat="1" ht="14" customHeight="1">
      <c r="A1" s="30"/>
      <c r="B1" s="31"/>
      <c r="C1" s="31"/>
      <c r="D1" s="32"/>
      <c r="E1" s="31"/>
      <c r="F1" s="31"/>
      <c r="G1" s="31"/>
      <c r="H1" s="33"/>
    </row>
    <row r="2" spans="1:8" s="3" customFormat="1" ht="30.75" customHeight="1">
      <c r="A2" s="34" t="s">
        <v>1</v>
      </c>
      <c r="B2" s="35"/>
      <c r="C2" s="35"/>
      <c r="D2" s="35"/>
      <c r="E2" s="35"/>
      <c r="F2" s="35"/>
      <c r="G2" s="35"/>
      <c r="H2" s="36"/>
    </row>
    <row r="3" spans="1:8" s="3" customFormat="1" ht="14" customHeight="1">
      <c r="A3" s="37"/>
      <c r="B3" s="38"/>
      <c r="C3" s="38"/>
      <c r="D3" s="38"/>
      <c r="E3" s="39"/>
      <c r="F3" s="39"/>
      <c r="G3" s="39"/>
      <c r="H3" s="40"/>
    </row>
    <row r="4" spans="1:8" s="3" customFormat="1" ht="20" customHeight="1">
      <c r="A4" s="106" t="s">
        <v>47</v>
      </c>
      <c r="B4" s="107"/>
      <c r="C4" s="146" t="s">
        <v>2</v>
      </c>
      <c r="D4" s="146"/>
      <c r="E4" s="154" t="s">
        <v>3</v>
      </c>
      <c r="F4" s="154"/>
      <c r="G4" s="154"/>
      <c r="H4" s="155"/>
    </row>
    <row r="5" spans="1:8" s="3" customFormat="1" ht="20" customHeight="1">
      <c r="A5" s="108"/>
      <c r="B5" s="109"/>
      <c r="C5" s="146" t="s">
        <v>48</v>
      </c>
      <c r="D5" s="146"/>
      <c r="E5" s="156" t="s">
        <v>4</v>
      </c>
      <c r="F5" s="156"/>
      <c r="G5" s="156"/>
      <c r="H5" s="157"/>
    </row>
    <row r="6" spans="1:8" s="3" customFormat="1" ht="20" customHeight="1">
      <c r="A6" s="147" t="s">
        <v>5</v>
      </c>
      <c r="B6" s="148"/>
      <c r="C6" s="146" t="s">
        <v>49</v>
      </c>
      <c r="D6" s="146"/>
      <c r="E6" s="154" t="s">
        <v>6</v>
      </c>
      <c r="F6" s="154"/>
      <c r="G6" s="154"/>
      <c r="H6" s="155"/>
    </row>
    <row r="7" spans="1:8" s="3" customFormat="1" ht="20" customHeight="1">
      <c r="A7" s="147" t="s">
        <v>7</v>
      </c>
      <c r="B7" s="148"/>
      <c r="C7" s="104"/>
      <c r="D7" s="105"/>
      <c r="E7" s="154" t="s">
        <v>8</v>
      </c>
      <c r="F7" s="154"/>
      <c r="G7" s="154"/>
      <c r="H7" s="155"/>
    </row>
    <row r="8" spans="1:8" s="3" customFormat="1" ht="20" customHeight="1">
      <c r="A8" s="147" t="s">
        <v>9</v>
      </c>
      <c r="B8" s="148"/>
      <c r="C8" s="158">
        <v>45272</v>
      </c>
      <c r="D8" s="146"/>
      <c r="E8" s="154" t="s">
        <v>68</v>
      </c>
      <c r="F8" s="154"/>
      <c r="G8" s="154"/>
      <c r="H8" s="155"/>
    </row>
    <row r="9" spans="1:8" s="3" customFormat="1" ht="20" customHeight="1">
      <c r="A9" s="147" t="s">
        <v>10</v>
      </c>
      <c r="B9" s="148"/>
      <c r="C9" s="146" t="s">
        <v>71</v>
      </c>
      <c r="D9" s="146"/>
      <c r="E9" s="154" t="s">
        <v>70</v>
      </c>
      <c r="F9" s="154"/>
      <c r="G9" s="154"/>
      <c r="H9" s="155"/>
    </row>
    <row r="10" spans="1:8" s="3" customFormat="1" ht="20" customHeight="1">
      <c r="A10" s="147" t="s">
        <v>11</v>
      </c>
      <c r="B10" s="148"/>
      <c r="C10" s="146" t="s">
        <v>52</v>
      </c>
      <c r="D10" s="146"/>
      <c r="E10" s="154" t="s">
        <v>69</v>
      </c>
      <c r="F10" s="154"/>
      <c r="G10" s="154"/>
      <c r="H10" s="155"/>
    </row>
    <row r="11" spans="1:8" s="3" customFormat="1" ht="5" customHeight="1">
      <c r="A11" s="41"/>
      <c r="B11" s="4"/>
      <c r="C11" s="4"/>
      <c r="D11" s="4"/>
      <c r="E11" s="26"/>
      <c r="F11" s="42"/>
      <c r="G11" s="42"/>
      <c r="H11" s="43"/>
    </row>
    <row r="12" spans="1:8" s="3" customFormat="1" ht="20" customHeight="1">
      <c r="A12" s="149" t="s">
        <v>12</v>
      </c>
      <c r="B12" s="150"/>
      <c r="C12" s="150"/>
      <c r="D12" s="151" t="s">
        <v>72</v>
      </c>
      <c r="E12" s="152"/>
      <c r="F12" s="152"/>
      <c r="G12" s="152"/>
      <c r="H12" s="153"/>
    </row>
    <row r="13" spans="1:8" s="3" customFormat="1" ht="20" customHeight="1">
      <c r="A13" s="149" t="s">
        <v>13</v>
      </c>
      <c r="B13" s="150"/>
      <c r="C13" s="150"/>
      <c r="D13" s="151" t="s">
        <v>21</v>
      </c>
      <c r="E13" s="152"/>
      <c r="F13" s="152"/>
      <c r="G13" s="152"/>
      <c r="H13" s="153"/>
    </row>
    <row r="14" spans="1:8" s="3" customFormat="1" ht="20" customHeight="1">
      <c r="A14" s="63" t="s">
        <v>14</v>
      </c>
      <c r="B14" s="64"/>
      <c r="C14" s="65"/>
      <c r="D14" s="69" t="str">
        <f>TEXT(H78,"일금 [DBNum4][$-412]G/표준원정(")&amp;TEXT(H78,"###,### - VAT별도 )")</f>
        <v>일금 일억이천만원정(120,000,000 - VAT별도 )</v>
      </c>
      <c r="E14" s="70"/>
      <c r="F14" s="70"/>
      <c r="G14" s="70"/>
      <c r="H14" s="71"/>
    </row>
    <row r="15" spans="1:8" s="3" customFormat="1" ht="20" customHeight="1">
      <c r="A15" s="66"/>
      <c r="B15" s="67"/>
      <c r="C15" s="68"/>
      <c r="D15" s="69" t="str">
        <f>TEXT(H78+(H78/10),"일금 [DBNum4][$-412]G/표준원정(")&amp;TEXT(H78+(H78/10),"###,### - VAT포함 )")</f>
        <v>일금 일억삼천이백만원정(132,000,000 - VAT포함 )</v>
      </c>
      <c r="E15" s="70"/>
      <c r="F15" s="70"/>
      <c r="G15" s="70"/>
      <c r="H15" s="71"/>
    </row>
    <row r="16" spans="1:8" s="3" customFormat="1" ht="20" customHeight="1">
      <c r="A16" s="44" t="s">
        <v>0</v>
      </c>
      <c r="B16" s="6" t="s">
        <v>15</v>
      </c>
      <c r="C16" s="6"/>
      <c r="D16" s="5" t="s">
        <v>16</v>
      </c>
      <c r="E16" s="6" t="s">
        <v>17</v>
      </c>
      <c r="F16" s="6"/>
      <c r="G16" s="5" t="s">
        <v>18</v>
      </c>
      <c r="H16" s="45" t="s">
        <v>19</v>
      </c>
    </row>
    <row r="17" spans="1:15" s="3" customFormat="1" ht="16" customHeight="1">
      <c r="A17" s="83" t="s">
        <v>53</v>
      </c>
      <c r="B17" s="79"/>
      <c r="C17" s="79"/>
      <c r="D17" s="79"/>
      <c r="E17" s="110">
        <v>1</v>
      </c>
      <c r="F17" s="111"/>
      <c r="G17" s="114">
        <f>120000000*55%</f>
        <v>66000000.000000007</v>
      </c>
      <c r="H17" s="100">
        <f>E17*G17</f>
        <v>66000000.000000007</v>
      </c>
    </row>
    <row r="18" spans="1:15" s="3" customFormat="1" ht="16" customHeight="1">
      <c r="A18" s="80">
        <v>1</v>
      </c>
      <c r="B18" s="74" t="s">
        <v>22</v>
      </c>
      <c r="C18" s="73"/>
      <c r="D18" s="73"/>
      <c r="E18" s="112"/>
      <c r="F18" s="113"/>
      <c r="G18" s="115"/>
      <c r="H18" s="116"/>
      <c r="J18" s="9"/>
      <c r="K18" s="1"/>
      <c r="M18" s="10"/>
      <c r="O18" s="22"/>
    </row>
    <row r="19" spans="1:15" s="3" customFormat="1" ht="16" customHeight="1">
      <c r="A19" s="81"/>
      <c r="B19" s="72" t="s">
        <v>51</v>
      </c>
      <c r="C19" s="73"/>
      <c r="D19" s="73"/>
      <c r="E19" s="112"/>
      <c r="F19" s="113"/>
      <c r="G19" s="115"/>
      <c r="H19" s="116"/>
      <c r="M19" s="10"/>
      <c r="O19" s="23"/>
    </row>
    <row r="20" spans="1:15" s="3" customFormat="1" ht="16" customHeight="1">
      <c r="A20" s="82"/>
      <c r="B20" s="72" t="s">
        <v>50</v>
      </c>
      <c r="C20" s="73"/>
      <c r="D20" s="73"/>
      <c r="E20" s="112"/>
      <c r="F20" s="113"/>
      <c r="G20" s="115"/>
      <c r="H20" s="116"/>
      <c r="K20" s="1"/>
      <c r="M20" s="10"/>
      <c r="O20" s="22"/>
    </row>
    <row r="21" spans="1:15" s="3" customFormat="1" ht="16" customHeight="1">
      <c r="A21" s="80">
        <v>2</v>
      </c>
      <c r="B21" s="84" t="s">
        <v>41</v>
      </c>
      <c r="C21" s="73"/>
      <c r="D21" s="73"/>
      <c r="E21" s="112"/>
      <c r="F21" s="113"/>
      <c r="G21" s="115"/>
      <c r="H21" s="116"/>
      <c r="K21" s="1"/>
      <c r="O21" s="23"/>
    </row>
    <row r="22" spans="1:15" s="3" customFormat="1" ht="16" customHeight="1">
      <c r="A22" s="81"/>
      <c r="B22" s="72" t="s">
        <v>42</v>
      </c>
      <c r="C22" s="73"/>
      <c r="D22" s="73"/>
      <c r="E22" s="112"/>
      <c r="F22" s="113"/>
      <c r="G22" s="115"/>
      <c r="H22" s="116"/>
      <c r="O22" s="22"/>
    </row>
    <row r="23" spans="1:15" s="3" customFormat="1" ht="16" customHeight="1">
      <c r="A23" s="82"/>
      <c r="B23" s="72" t="s">
        <v>43</v>
      </c>
      <c r="C23" s="73"/>
      <c r="D23" s="73"/>
      <c r="E23" s="112"/>
      <c r="F23" s="113"/>
      <c r="G23" s="115"/>
      <c r="H23" s="116"/>
      <c r="K23" s="1"/>
      <c r="O23" s="23"/>
    </row>
    <row r="24" spans="1:15" s="3" customFormat="1" ht="16" customHeight="1">
      <c r="A24" s="80">
        <v>3</v>
      </c>
      <c r="B24" s="84" t="s">
        <v>23</v>
      </c>
      <c r="C24" s="73"/>
      <c r="D24" s="73"/>
      <c r="E24" s="112"/>
      <c r="F24" s="113"/>
      <c r="G24" s="115"/>
      <c r="H24" s="116"/>
      <c r="J24" s="123"/>
      <c r="K24" s="123"/>
      <c r="L24" s="123"/>
    </row>
    <row r="25" spans="1:15" s="3" customFormat="1" ht="16" customHeight="1">
      <c r="A25" s="81"/>
      <c r="B25" s="128" t="s">
        <v>24</v>
      </c>
      <c r="C25" s="73"/>
      <c r="D25" s="73"/>
      <c r="E25" s="112"/>
      <c r="F25" s="113"/>
      <c r="G25" s="115"/>
      <c r="H25" s="116"/>
      <c r="J25" s="124"/>
      <c r="K25" s="124"/>
      <c r="L25" s="124"/>
      <c r="O25" s="24"/>
    </row>
    <row r="26" spans="1:15" s="3" customFormat="1" ht="16" customHeight="1">
      <c r="A26" s="81"/>
      <c r="B26" s="72" t="s">
        <v>25</v>
      </c>
      <c r="C26" s="72"/>
      <c r="D26" s="72"/>
      <c r="E26" s="112"/>
      <c r="F26" s="113"/>
      <c r="G26" s="115"/>
      <c r="H26" s="116"/>
      <c r="J26" s="125"/>
      <c r="K26" s="126"/>
      <c r="L26" s="127"/>
    </row>
    <row r="27" spans="1:15" s="3" customFormat="1" ht="16" customHeight="1">
      <c r="A27" s="82"/>
      <c r="B27" s="72" t="s">
        <v>26</v>
      </c>
      <c r="C27" s="73"/>
      <c r="D27" s="73"/>
      <c r="E27" s="112"/>
      <c r="F27" s="113"/>
      <c r="G27" s="115"/>
      <c r="H27" s="116"/>
    </row>
    <row r="28" spans="1:15" s="3" customFormat="1" ht="16" customHeight="1">
      <c r="A28" s="80">
        <v>4</v>
      </c>
      <c r="B28" s="138" t="s">
        <v>27</v>
      </c>
      <c r="C28" s="73"/>
      <c r="D28" s="73"/>
      <c r="E28" s="112"/>
      <c r="F28" s="113"/>
      <c r="G28" s="115"/>
      <c r="H28" s="116"/>
    </row>
    <row r="29" spans="1:15" s="3" customFormat="1" ht="16" customHeight="1">
      <c r="A29" s="81"/>
      <c r="B29" s="72" t="s">
        <v>28</v>
      </c>
      <c r="C29" s="73"/>
      <c r="D29" s="73"/>
      <c r="E29" s="112"/>
      <c r="F29" s="113"/>
      <c r="G29" s="115"/>
      <c r="H29" s="116"/>
    </row>
    <row r="30" spans="1:15" s="3" customFormat="1" ht="16" customHeight="1">
      <c r="A30" s="81"/>
      <c r="B30" s="72" t="s">
        <v>29</v>
      </c>
      <c r="C30" s="73"/>
      <c r="D30" s="73"/>
      <c r="E30" s="112"/>
      <c r="F30" s="113"/>
      <c r="G30" s="115"/>
      <c r="H30" s="116"/>
    </row>
    <row r="31" spans="1:15" s="3" customFormat="1" ht="16" customHeight="1">
      <c r="A31" s="82"/>
      <c r="B31" s="72" t="s">
        <v>30</v>
      </c>
      <c r="C31" s="72"/>
      <c r="D31" s="72"/>
      <c r="E31" s="112"/>
      <c r="F31" s="113"/>
      <c r="G31" s="115"/>
      <c r="H31" s="116"/>
    </row>
    <row r="32" spans="1:15" s="3" customFormat="1" ht="16" customHeight="1">
      <c r="A32" s="80">
        <v>5</v>
      </c>
      <c r="B32" s="74" t="s">
        <v>31</v>
      </c>
      <c r="C32" s="73"/>
      <c r="D32" s="73"/>
      <c r="E32" s="112"/>
      <c r="F32" s="113"/>
      <c r="G32" s="115"/>
      <c r="H32" s="116"/>
      <c r="J32" s="9"/>
    </row>
    <row r="33" spans="1:16" s="3" customFormat="1" ht="16" customHeight="1">
      <c r="A33" s="81"/>
      <c r="B33" s="72" t="s">
        <v>32</v>
      </c>
      <c r="C33" s="73"/>
      <c r="D33" s="73"/>
      <c r="E33" s="112"/>
      <c r="F33" s="113"/>
      <c r="G33" s="115"/>
      <c r="H33" s="116"/>
      <c r="J33" s="9"/>
    </row>
    <row r="34" spans="1:16" s="3" customFormat="1" ht="16" customHeight="1">
      <c r="A34" s="81"/>
      <c r="B34" s="72" t="s">
        <v>33</v>
      </c>
      <c r="C34" s="73"/>
      <c r="D34" s="73"/>
      <c r="E34" s="112"/>
      <c r="F34" s="113"/>
      <c r="G34" s="115"/>
      <c r="H34" s="116"/>
      <c r="J34" s="9"/>
    </row>
    <row r="35" spans="1:16" s="3" customFormat="1" ht="16" customHeight="1">
      <c r="A35" s="81"/>
      <c r="B35" s="72" t="s">
        <v>34</v>
      </c>
      <c r="C35" s="73"/>
      <c r="D35" s="73"/>
      <c r="E35" s="112"/>
      <c r="F35" s="113"/>
      <c r="G35" s="115"/>
      <c r="H35" s="116"/>
      <c r="J35" s="9"/>
    </row>
    <row r="36" spans="1:16" s="3" customFormat="1" ht="16" customHeight="1">
      <c r="A36" s="81"/>
      <c r="B36" s="72" t="s">
        <v>35</v>
      </c>
      <c r="C36" s="73"/>
      <c r="D36" s="73"/>
      <c r="E36" s="112"/>
      <c r="F36" s="113"/>
      <c r="G36" s="115"/>
      <c r="H36" s="116"/>
      <c r="J36" s="9"/>
    </row>
    <row r="37" spans="1:16" s="3" customFormat="1" ht="16" customHeight="1">
      <c r="A37" s="81"/>
      <c r="B37" s="72" t="s">
        <v>36</v>
      </c>
      <c r="C37" s="73"/>
      <c r="D37" s="73"/>
      <c r="E37" s="112"/>
      <c r="F37" s="113"/>
      <c r="G37" s="115"/>
      <c r="H37" s="116"/>
      <c r="J37" s="9"/>
    </row>
    <row r="38" spans="1:16" s="3" customFormat="1" ht="16" customHeight="1">
      <c r="A38" s="81"/>
      <c r="B38" s="72" t="s">
        <v>37</v>
      </c>
      <c r="C38" s="73"/>
      <c r="D38" s="73"/>
      <c r="E38" s="112"/>
      <c r="F38" s="113"/>
      <c r="G38" s="115"/>
      <c r="H38" s="116"/>
      <c r="J38" s="9"/>
    </row>
    <row r="39" spans="1:16" s="3" customFormat="1" ht="16" customHeight="1">
      <c r="A39" s="81"/>
      <c r="B39" s="72" t="s">
        <v>38</v>
      </c>
      <c r="C39" s="73"/>
      <c r="D39" s="73"/>
      <c r="E39" s="112"/>
      <c r="F39" s="113"/>
      <c r="G39" s="115"/>
      <c r="H39" s="116"/>
      <c r="J39" s="9"/>
    </row>
    <row r="40" spans="1:16" s="3" customFormat="1" ht="16" customHeight="1">
      <c r="A40" s="81"/>
      <c r="B40" s="72" t="s">
        <v>39</v>
      </c>
      <c r="C40" s="73"/>
      <c r="D40" s="73"/>
      <c r="E40" s="112"/>
      <c r="F40" s="113"/>
      <c r="G40" s="115"/>
      <c r="H40" s="116"/>
      <c r="J40" s="9"/>
      <c r="K40" s="2"/>
    </row>
    <row r="41" spans="1:16" s="3" customFormat="1" ht="16" customHeight="1">
      <c r="A41" s="82"/>
      <c r="B41" s="55" t="s">
        <v>40</v>
      </c>
      <c r="C41" s="55"/>
      <c r="D41" s="55"/>
      <c r="E41" s="112"/>
      <c r="F41" s="113"/>
      <c r="G41" s="115"/>
      <c r="H41" s="116"/>
      <c r="M41" s="11"/>
      <c r="N41" s="7"/>
      <c r="O41" s="8"/>
      <c r="P41" s="8"/>
    </row>
    <row r="42" spans="1:16" s="3" customFormat="1" ht="16" customHeight="1">
      <c r="A42" s="78" t="s">
        <v>54</v>
      </c>
      <c r="B42" s="79"/>
      <c r="C42" s="79"/>
      <c r="D42" s="79"/>
      <c r="E42" s="94">
        <v>1</v>
      </c>
      <c r="F42" s="95"/>
      <c r="G42" s="119">
        <f>120000000*45%</f>
        <v>54000000</v>
      </c>
      <c r="H42" s="121">
        <f>E42*G42</f>
        <v>54000000</v>
      </c>
      <c r="M42" s="25"/>
      <c r="N42" s="26"/>
      <c r="O42" s="27"/>
      <c r="P42" s="27"/>
    </row>
    <row r="43" spans="1:16" s="3" customFormat="1" ht="16" customHeight="1">
      <c r="A43" s="80">
        <v>1</v>
      </c>
      <c r="B43" s="74" t="s">
        <v>22</v>
      </c>
      <c r="C43" s="73"/>
      <c r="D43" s="73"/>
      <c r="E43" s="117"/>
      <c r="F43" s="118"/>
      <c r="G43" s="120"/>
      <c r="H43" s="122"/>
      <c r="M43" s="25"/>
      <c r="N43" s="26"/>
      <c r="O43" s="27"/>
      <c r="P43" s="27"/>
    </row>
    <row r="44" spans="1:16" s="3" customFormat="1" ht="16" customHeight="1">
      <c r="A44" s="81"/>
      <c r="B44" s="72" t="s">
        <v>51</v>
      </c>
      <c r="C44" s="73"/>
      <c r="D44" s="73"/>
      <c r="E44" s="117"/>
      <c r="F44" s="118"/>
      <c r="G44" s="120"/>
      <c r="H44" s="122"/>
      <c r="M44" s="25"/>
      <c r="N44" s="26"/>
      <c r="O44" s="27"/>
      <c r="P44" s="27"/>
    </row>
    <row r="45" spans="1:16" s="3" customFormat="1" ht="16" customHeight="1">
      <c r="A45" s="82"/>
      <c r="B45" s="72" t="s">
        <v>50</v>
      </c>
      <c r="C45" s="73"/>
      <c r="D45" s="73"/>
      <c r="E45" s="117"/>
      <c r="F45" s="118"/>
      <c r="G45" s="120"/>
      <c r="H45" s="122"/>
      <c r="M45" s="25"/>
      <c r="N45" s="26"/>
      <c r="O45" s="27"/>
      <c r="P45" s="27"/>
    </row>
    <row r="46" spans="1:16" s="3" customFormat="1" ht="16" customHeight="1">
      <c r="A46" s="80">
        <v>2</v>
      </c>
      <c r="B46" s="75" t="s">
        <v>41</v>
      </c>
      <c r="C46" s="76"/>
      <c r="D46" s="77"/>
      <c r="E46" s="117"/>
      <c r="F46" s="118"/>
      <c r="G46" s="120"/>
      <c r="H46" s="122"/>
      <c r="M46" s="25"/>
      <c r="N46" s="26"/>
      <c r="O46" s="27"/>
      <c r="P46" s="27"/>
    </row>
    <row r="47" spans="1:16" s="3" customFormat="1" ht="16" customHeight="1">
      <c r="A47" s="81"/>
      <c r="B47" s="47" t="s">
        <v>42</v>
      </c>
      <c r="C47" s="48"/>
      <c r="D47" s="49"/>
      <c r="E47" s="117"/>
      <c r="F47" s="118"/>
      <c r="G47" s="120"/>
      <c r="H47" s="122"/>
      <c r="M47" s="25"/>
      <c r="N47" s="26"/>
      <c r="O47" s="27"/>
      <c r="P47" s="27"/>
    </row>
    <row r="48" spans="1:16" s="3" customFormat="1" ht="16" customHeight="1">
      <c r="A48" s="82"/>
      <c r="B48" s="47" t="s">
        <v>43</v>
      </c>
      <c r="C48" s="48"/>
      <c r="D48" s="49"/>
      <c r="E48" s="117"/>
      <c r="F48" s="118"/>
      <c r="G48" s="120"/>
      <c r="H48" s="122"/>
      <c r="M48" s="25"/>
      <c r="N48" s="26"/>
      <c r="O48" s="27"/>
      <c r="P48" s="27"/>
    </row>
    <row r="49" spans="1:16" s="3" customFormat="1" ht="16" customHeight="1">
      <c r="A49" s="80">
        <v>3</v>
      </c>
      <c r="B49" s="75" t="s">
        <v>23</v>
      </c>
      <c r="C49" s="76"/>
      <c r="D49" s="77"/>
      <c r="E49" s="117"/>
      <c r="F49" s="118"/>
      <c r="G49" s="120"/>
      <c r="H49" s="122"/>
      <c r="M49" s="25"/>
      <c r="N49" s="26"/>
      <c r="O49" s="27"/>
      <c r="P49" s="27"/>
    </row>
    <row r="50" spans="1:16" s="3" customFormat="1" ht="16" customHeight="1">
      <c r="A50" s="81"/>
      <c r="B50" s="143" t="s">
        <v>24</v>
      </c>
      <c r="C50" s="144"/>
      <c r="D50" s="145"/>
      <c r="E50" s="117"/>
      <c r="F50" s="118"/>
      <c r="G50" s="120"/>
      <c r="H50" s="122"/>
      <c r="M50" s="25"/>
      <c r="N50" s="26"/>
      <c r="O50" s="27"/>
      <c r="P50" s="27"/>
    </row>
    <row r="51" spans="1:16" s="3" customFormat="1" ht="16" customHeight="1">
      <c r="A51" s="81"/>
      <c r="B51" s="47" t="s">
        <v>25</v>
      </c>
      <c r="C51" s="48"/>
      <c r="D51" s="49"/>
      <c r="E51" s="117"/>
      <c r="F51" s="118"/>
      <c r="G51" s="120"/>
      <c r="H51" s="122"/>
      <c r="M51" s="25"/>
      <c r="N51" s="26"/>
      <c r="O51" s="27"/>
      <c r="P51" s="27"/>
    </row>
    <row r="52" spans="1:16" s="3" customFormat="1" ht="16" customHeight="1">
      <c r="A52" s="82"/>
      <c r="B52" s="47" t="s">
        <v>26</v>
      </c>
      <c r="C52" s="48"/>
      <c r="D52" s="49"/>
      <c r="E52" s="117"/>
      <c r="F52" s="118"/>
      <c r="G52" s="120"/>
      <c r="H52" s="122"/>
      <c r="M52" s="25"/>
      <c r="N52" s="26"/>
      <c r="O52" s="27"/>
      <c r="P52" s="27"/>
    </row>
    <row r="53" spans="1:16" s="3" customFormat="1" ht="16" customHeight="1">
      <c r="A53" s="80">
        <v>4</v>
      </c>
      <c r="B53" s="129" t="s">
        <v>27</v>
      </c>
      <c r="C53" s="130"/>
      <c r="D53" s="131"/>
      <c r="E53" s="117"/>
      <c r="F53" s="118"/>
      <c r="G53" s="120"/>
      <c r="H53" s="122"/>
      <c r="M53" s="25"/>
      <c r="N53" s="26"/>
      <c r="O53" s="27"/>
      <c r="P53" s="27"/>
    </row>
    <row r="54" spans="1:16" s="3" customFormat="1" ht="16" customHeight="1">
      <c r="A54" s="81"/>
      <c r="B54" s="47" t="s">
        <v>28</v>
      </c>
      <c r="C54" s="48"/>
      <c r="D54" s="49"/>
      <c r="E54" s="117"/>
      <c r="F54" s="118"/>
      <c r="G54" s="120"/>
      <c r="H54" s="122"/>
      <c r="M54" s="25"/>
      <c r="N54" s="26"/>
      <c r="O54" s="27"/>
      <c r="P54" s="27"/>
    </row>
    <row r="55" spans="1:16" s="3" customFormat="1" ht="16" customHeight="1">
      <c r="A55" s="81"/>
      <c r="B55" s="47" t="s">
        <v>29</v>
      </c>
      <c r="C55" s="48"/>
      <c r="D55" s="49"/>
      <c r="E55" s="117"/>
      <c r="F55" s="118"/>
      <c r="G55" s="120"/>
      <c r="H55" s="122"/>
      <c r="M55" s="25"/>
      <c r="N55" s="26"/>
      <c r="O55" s="27"/>
      <c r="P55" s="27"/>
    </row>
    <row r="56" spans="1:16" s="3" customFormat="1" ht="16" customHeight="1">
      <c r="A56" s="82"/>
      <c r="B56" s="47" t="s">
        <v>30</v>
      </c>
      <c r="C56" s="48"/>
      <c r="D56" s="49"/>
      <c r="E56" s="117"/>
      <c r="F56" s="118"/>
      <c r="G56" s="120"/>
      <c r="H56" s="122"/>
      <c r="M56" s="25"/>
      <c r="N56" s="26"/>
      <c r="O56" s="27"/>
      <c r="P56" s="27"/>
    </row>
    <row r="57" spans="1:16" s="3" customFormat="1" ht="16" customHeight="1">
      <c r="A57" s="80">
        <v>5</v>
      </c>
      <c r="B57" s="60" t="s">
        <v>31</v>
      </c>
      <c r="C57" s="61"/>
      <c r="D57" s="62"/>
      <c r="E57" s="117"/>
      <c r="F57" s="118"/>
      <c r="G57" s="120"/>
      <c r="H57" s="122"/>
      <c r="M57" s="25"/>
      <c r="N57" s="26"/>
      <c r="O57" s="27"/>
      <c r="P57" s="27"/>
    </row>
    <row r="58" spans="1:16" s="3" customFormat="1" ht="16" customHeight="1">
      <c r="A58" s="81"/>
      <c r="B58" s="47" t="s">
        <v>32</v>
      </c>
      <c r="C58" s="48"/>
      <c r="D58" s="49"/>
      <c r="E58" s="117"/>
      <c r="F58" s="118"/>
      <c r="G58" s="120"/>
      <c r="H58" s="122"/>
      <c r="M58" s="25"/>
      <c r="N58" s="26"/>
      <c r="O58" s="27"/>
      <c r="P58" s="27"/>
    </row>
    <row r="59" spans="1:16" s="3" customFormat="1" ht="16" customHeight="1">
      <c r="A59" s="81"/>
      <c r="B59" s="47" t="s">
        <v>33</v>
      </c>
      <c r="C59" s="48"/>
      <c r="D59" s="49"/>
      <c r="E59" s="117"/>
      <c r="F59" s="118"/>
      <c r="G59" s="120"/>
      <c r="H59" s="122"/>
      <c r="M59" s="25"/>
      <c r="N59" s="26"/>
      <c r="O59" s="27"/>
      <c r="P59" s="27"/>
    </row>
    <row r="60" spans="1:16" s="3" customFormat="1" ht="16" customHeight="1">
      <c r="A60" s="81"/>
      <c r="B60" s="47" t="s">
        <v>34</v>
      </c>
      <c r="C60" s="48"/>
      <c r="D60" s="49"/>
      <c r="E60" s="117"/>
      <c r="F60" s="118"/>
      <c r="G60" s="120"/>
      <c r="H60" s="122"/>
      <c r="M60" s="25"/>
      <c r="N60" s="26"/>
      <c r="O60" s="27"/>
      <c r="P60" s="27"/>
    </row>
    <row r="61" spans="1:16" s="3" customFormat="1" ht="16" customHeight="1">
      <c r="A61" s="81"/>
      <c r="B61" s="47" t="s">
        <v>35</v>
      </c>
      <c r="C61" s="48"/>
      <c r="D61" s="49"/>
      <c r="E61" s="117"/>
      <c r="F61" s="118"/>
      <c r="G61" s="120"/>
      <c r="H61" s="122"/>
      <c r="M61" s="25"/>
      <c r="N61" s="26"/>
      <c r="O61" s="27"/>
      <c r="P61" s="27"/>
    </row>
    <row r="62" spans="1:16" s="3" customFormat="1" ht="16" customHeight="1">
      <c r="A62" s="81"/>
      <c r="B62" s="47" t="s">
        <v>36</v>
      </c>
      <c r="C62" s="48"/>
      <c r="D62" s="49"/>
      <c r="E62" s="117"/>
      <c r="F62" s="118"/>
      <c r="G62" s="120"/>
      <c r="H62" s="122"/>
      <c r="M62" s="25"/>
      <c r="N62" s="26"/>
      <c r="O62" s="27"/>
      <c r="P62" s="27"/>
    </row>
    <row r="63" spans="1:16" s="3" customFormat="1" ht="16" customHeight="1">
      <c r="A63" s="81"/>
      <c r="B63" s="47" t="s">
        <v>37</v>
      </c>
      <c r="C63" s="48"/>
      <c r="D63" s="49"/>
      <c r="E63" s="117"/>
      <c r="F63" s="118"/>
      <c r="G63" s="120"/>
      <c r="H63" s="122"/>
      <c r="M63" s="25"/>
      <c r="N63" s="26"/>
      <c r="O63" s="27"/>
      <c r="P63" s="27"/>
    </row>
    <row r="64" spans="1:16" s="3" customFormat="1" ht="16" customHeight="1">
      <c r="A64" s="81"/>
      <c r="B64" s="47" t="s">
        <v>38</v>
      </c>
      <c r="C64" s="48"/>
      <c r="D64" s="49"/>
      <c r="E64" s="117"/>
      <c r="F64" s="118"/>
      <c r="G64" s="120"/>
      <c r="H64" s="122"/>
      <c r="M64" s="25"/>
      <c r="N64" s="26"/>
      <c r="O64" s="27"/>
      <c r="P64" s="27"/>
    </row>
    <row r="65" spans="1:16" s="3" customFormat="1" ht="16" customHeight="1">
      <c r="A65" s="81"/>
      <c r="B65" s="47" t="s">
        <v>39</v>
      </c>
      <c r="C65" s="48"/>
      <c r="D65" s="49"/>
      <c r="E65" s="117"/>
      <c r="F65" s="118"/>
      <c r="G65" s="120"/>
      <c r="H65" s="122"/>
      <c r="M65" s="25"/>
      <c r="N65" s="26"/>
      <c r="O65" s="27"/>
      <c r="P65" s="27"/>
    </row>
    <row r="66" spans="1:16" s="3" customFormat="1" ht="16" customHeight="1">
      <c r="A66" s="82"/>
      <c r="B66" s="57" t="s">
        <v>40</v>
      </c>
      <c r="C66" s="58"/>
      <c r="D66" s="59"/>
      <c r="E66" s="117"/>
      <c r="F66" s="118"/>
      <c r="G66" s="120"/>
      <c r="H66" s="122"/>
      <c r="M66" s="25"/>
      <c r="N66" s="26"/>
      <c r="O66" s="27"/>
      <c r="P66" s="27"/>
    </row>
    <row r="67" spans="1:16" s="3" customFormat="1" ht="16" customHeight="1">
      <c r="A67" s="50" t="s">
        <v>45</v>
      </c>
      <c r="B67" s="51"/>
      <c r="C67" s="51"/>
      <c r="D67" s="52"/>
      <c r="E67" s="117"/>
      <c r="F67" s="118"/>
      <c r="G67" s="120"/>
      <c r="H67" s="122"/>
      <c r="M67" s="25"/>
      <c r="N67" s="26"/>
      <c r="O67" s="27"/>
      <c r="P67" s="27"/>
    </row>
    <row r="68" spans="1:16" s="3" customFormat="1" ht="15" customHeight="1">
      <c r="A68" s="85" t="s">
        <v>46</v>
      </c>
      <c r="B68" s="86"/>
      <c r="C68" s="86"/>
      <c r="D68" s="86"/>
      <c r="E68" s="117"/>
      <c r="F68" s="118"/>
      <c r="G68" s="120"/>
      <c r="H68" s="122"/>
      <c r="M68" s="25"/>
      <c r="N68" s="26"/>
      <c r="O68" s="27"/>
      <c r="P68" s="27"/>
    </row>
    <row r="69" spans="1:16" s="3" customFormat="1" ht="15" customHeight="1">
      <c r="A69" s="56" t="s">
        <v>55</v>
      </c>
      <c r="B69" s="54"/>
      <c r="C69" s="87" t="s">
        <v>56</v>
      </c>
      <c r="D69" s="88"/>
      <c r="E69" s="117"/>
      <c r="F69" s="118"/>
      <c r="G69" s="120"/>
      <c r="H69" s="122"/>
      <c r="M69" s="25"/>
      <c r="N69" s="26"/>
      <c r="O69" s="27"/>
      <c r="P69" s="27"/>
    </row>
    <row r="70" spans="1:16" s="3" customFormat="1" ht="15" customHeight="1">
      <c r="A70" s="53" t="s">
        <v>57</v>
      </c>
      <c r="B70" s="54"/>
      <c r="C70" s="87" t="s">
        <v>58</v>
      </c>
      <c r="D70" s="88"/>
      <c r="E70" s="117"/>
      <c r="F70" s="118"/>
      <c r="G70" s="120"/>
      <c r="H70" s="122"/>
      <c r="M70" s="25"/>
      <c r="N70" s="26"/>
      <c r="O70" s="27"/>
      <c r="P70" s="27"/>
    </row>
    <row r="71" spans="1:16" s="3" customFormat="1" ht="15" customHeight="1">
      <c r="A71" s="53" t="s">
        <v>59</v>
      </c>
      <c r="B71" s="54"/>
      <c r="C71" s="87" t="s">
        <v>60</v>
      </c>
      <c r="D71" s="88"/>
      <c r="E71" s="117"/>
      <c r="F71" s="118"/>
      <c r="G71" s="120"/>
      <c r="H71" s="122"/>
      <c r="M71" s="25"/>
      <c r="N71" s="26"/>
      <c r="O71" s="27"/>
      <c r="P71" s="27"/>
    </row>
    <row r="72" spans="1:16" s="3" customFormat="1" ht="15" customHeight="1">
      <c r="A72" s="53" t="s">
        <v>61</v>
      </c>
      <c r="B72" s="54"/>
      <c r="C72" s="87" t="s">
        <v>62</v>
      </c>
      <c r="D72" s="88"/>
      <c r="E72" s="117"/>
      <c r="F72" s="118"/>
      <c r="G72" s="120"/>
      <c r="H72" s="122"/>
      <c r="M72" s="25"/>
      <c r="N72" s="26"/>
      <c r="O72" s="27"/>
      <c r="P72" s="27"/>
    </row>
    <row r="73" spans="1:16" s="3" customFormat="1" ht="15" customHeight="1">
      <c r="A73" s="53" t="s">
        <v>63</v>
      </c>
      <c r="B73" s="54"/>
      <c r="C73" s="87" t="s">
        <v>64</v>
      </c>
      <c r="D73" s="88"/>
      <c r="E73" s="117"/>
      <c r="F73" s="118"/>
      <c r="G73" s="120"/>
      <c r="H73" s="122"/>
      <c r="M73" s="25"/>
      <c r="N73" s="26"/>
      <c r="O73" s="27"/>
      <c r="P73" s="27"/>
    </row>
    <row r="74" spans="1:16" s="3" customFormat="1" ht="15" customHeight="1">
      <c r="A74" s="53" t="s">
        <v>65</v>
      </c>
      <c r="B74" s="54"/>
      <c r="C74" s="87" t="s">
        <v>66</v>
      </c>
      <c r="D74" s="88"/>
      <c r="E74" s="117"/>
      <c r="F74" s="118"/>
      <c r="G74" s="120"/>
      <c r="H74" s="122"/>
      <c r="M74" s="25"/>
      <c r="N74" s="26"/>
      <c r="O74" s="27"/>
      <c r="P74" s="27"/>
    </row>
    <row r="75" spans="1:16" s="3" customFormat="1" ht="15" customHeight="1">
      <c r="A75" s="89" t="s">
        <v>44</v>
      </c>
      <c r="B75" s="90"/>
      <c r="C75" s="87" t="s">
        <v>67</v>
      </c>
      <c r="D75" s="88"/>
      <c r="E75" s="117"/>
      <c r="F75" s="118"/>
      <c r="G75" s="120"/>
      <c r="H75" s="122"/>
      <c r="M75" s="25"/>
      <c r="N75" s="26"/>
      <c r="O75" s="27"/>
      <c r="P75" s="27"/>
    </row>
    <row r="76" spans="1:16" s="3" customFormat="1" ht="15" customHeight="1">
      <c r="A76" s="139"/>
      <c r="B76" s="140"/>
      <c r="C76" s="140"/>
      <c r="D76" s="95"/>
      <c r="E76" s="94"/>
      <c r="F76" s="95"/>
      <c r="G76" s="98"/>
      <c r="H76" s="100"/>
      <c r="J76" s="9"/>
    </row>
    <row r="77" spans="1:16" s="3" customFormat="1" ht="15" customHeight="1">
      <c r="A77" s="141"/>
      <c r="B77" s="142"/>
      <c r="C77" s="142"/>
      <c r="D77" s="97"/>
      <c r="E77" s="96"/>
      <c r="F77" s="97"/>
      <c r="G77" s="99"/>
      <c r="H77" s="101"/>
      <c r="J77" s="9"/>
    </row>
    <row r="78" spans="1:16" s="3" customFormat="1" ht="23.25" customHeight="1">
      <c r="A78" s="91" t="s">
        <v>20</v>
      </c>
      <c r="B78" s="92"/>
      <c r="C78" s="92"/>
      <c r="D78" s="93"/>
      <c r="E78" s="102">
        <f>SUM(E17:F77)</f>
        <v>2</v>
      </c>
      <c r="F78" s="103"/>
      <c r="G78" s="29"/>
      <c r="H78" s="46">
        <f>ROUND(SUM(H17:H77),0)</f>
        <v>120000000</v>
      </c>
    </row>
    <row r="79" spans="1:16" s="3" customFormat="1" ht="16.5" customHeight="1">
      <c r="A79" s="132"/>
      <c r="B79" s="133"/>
      <c r="C79" s="133"/>
      <c r="D79" s="133"/>
      <c r="E79" s="133"/>
      <c r="F79" s="133"/>
      <c r="G79" s="133"/>
      <c r="H79" s="134"/>
    </row>
    <row r="80" spans="1:16">
      <c r="A80" s="132"/>
      <c r="B80" s="133"/>
      <c r="C80" s="133"/>
      <c r="D80" s="133"/>
      <c r="E80" s="133"/>
      <c r="F80" s="133"/>
      <c r="G80" s="133"/>
      <c r="H80" s="134"/>
      <c r="J80" s="28"/>
    </row>
    <row r="81" spans="1:8" ht="15" thickBot="1">
      <c r="A81" s="135"/>
      <c r="B81" s="136"/>
      <c r="C81" s="136"/>
      <c r="D81" s="136"/>
      <c r="E81" s="136"/>
      <c r="F81" s="136"/>
      <c r="G81" s="136"/>
      <c r="H81" s="137"/>
    </row>
    <row r="82" spans="1:8" ht="15">
      <c r="A82" s="12"/>
    </row>
    <row r="83" spans="1:8" ht="15">
      <c r="A83" s="12"/>
    </row>
    <row r="85" spans="1:8">
      <c r="E85" s="13"/>
    </row>
    <row r="86" spans="1:8">
      <c r="E86" s="13"/>
    </row>
    <row r="87" spans="1:8">
      <c r="E87" s="13"/>
    </row>
    <row r="88" spans="1:8">
      <c r="E88" s="13"/>
    </row>
    <row r="89" spans="1:8">
      <c r="E89" s="13"/>
    </row>
    <row r="90" spans="1:8">
      <c r="E90" s="13"/>
    </row>
    <row r="91" spans="1:8" ht="15">
      <c r="E91" s="13"/>
      <c r="H91" s="14"/>
    </row>
    <row r="92" spans="1:8" ht="15">
      <c r="E92" s="15"/>
      <c r="F92" s="15"/>
      <c r="H92" s="16"/>
    </row>
    <row r="93" spans="1:8" ht="15">
      <c r="C93" s="14"/>
      <c r="D93" s="17"/>
      <c r="E93" s="15"/>
      <c r="F93" s="15"/>
      <c r="H93" s="16"/>
    </row>
    <row r="94" spans="1:8" ht="15">
      <c r="C94" s="14"/>
      <c r="D94" s="17"/>
      <c r="E94" s="15"/>
      <c r="F94" s="15"/>
      <c r="H94" s="16"/>
    </row>
    <row r="95" spans="1:8" ht="15">
      <c r="C95" s="14"/>
      <c r="D95" s="17"/>
      <c r="E95" s="15"/>
      <c r="F95" s="15"/>
      <c r="H95" s="16"/>
    </row>
    <row r="96" spans="1:8" s="21" customFormat="1" ht="16" thickBot="1">
      <c r="A96" s="18"/>
      <c r="B96" s="18"/>
      <c r="C96" s="18"/>
      <c r="D96" s="18"/>
      <c r="E96" s="19"/>
      <c r="F96" s="19"/>
      <c r="G96" s="18"/>
      <c r="H96" s="20"/>
    </row>
    <row r="97" spans="4:10" ht="15">
      <c r="E97" s="15"/>
      <c r="F97" s="15"/>
      <c r="H97" s="16"/>
    </row>
    <row r="98" spans="4:10" ht="15">
      <c r="D98" s="13"/>
      <c r="E98" s="14"/>
      <c r="F98" s="14"/>
      <c r="H98" s="10"/>
    </row>
    <row r="99" spans="4:10" ht="15">
      <c r="E99" s="14"/>
      <c r="F99" s="14"/>
      <c r="H99" s="10"/>
    </row>
    <row r="100" spans="4:10">
      <c r="E100" s="13"/>
    </row>
    <row r="101" spans="4:10">
      <c r="E101" s="13"/>
    </row>
    <row r="102" spans="4:10">
      <c r="E102" s="13"/>
    </row>
    <row r="103" spans="4:10" s="3" customFormat="1">
      <c r="E103" s="13"/>
      <c r="I103" s="9"/>
      <c r="J103" s="9"/>
    </row>
    <row r="104" spans="4:10" s="3" customFormat="1">
      <c r="E104" s="13"/>
      <c r="I104" s="9"/>
      <c r="J104" s="9"/>
    </row>
    <row r="105" spans="4:10" s="3" customFormat="1">
      <c r="E105" s="13"/>
      <c r="I105" s="9"/>
      <c r="J105" s="9"/>
    </row>
  </sheetData>
  <mergeCells count="121">
    <mergeCell ref="A75:B75"/>
    <mergeCell ref="C75:D75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68:D68"/>
    <mergeCell ref="A67:D67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79:H79"/>
    <mergeCell ref="A80:H80"/>
    <mergeCell ref="A81:H81"/>
    <mergeCell ref="B27:D27"/>
    <mergeCell ref="B28:D28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54:D54"/>
    <mergeCell ref="B49:D49"/>
    <mergeCell ref="A76:D77"/>
    <mergeCell ref="B64:D64"/>
    <mergeCell ref="B55:D55"/>
    <mergeCell ref="B48:D48"/>
    <mergeCell ref="B50:D50"/>
    <mergeCell ref="B51:D51"/>
    <mergeCell ref="J24:L24"/>
    <mergeCell ref="J25:L25"/>
    <mergeCell ref="J26:L26"/>
    <mergeCell ref="B29:D29"/>
    <mergeCell ref="B30:D30"/>
    <mergeCell ref="B24:D24"/>
    <mergeCell ref="B25:D25"/>
    <mergeCell ref="A24:A27"/>
    <mergeCell ref="B26:D26"/>
    <mergeCell ref="B53:D53"/>
    <mergeCell ref="A78:D78"/>
    <mergeCell ref="E76:F77"/>
    <mergeCell ref="G76:G77"/>
    <mergeCell ref="H76:H77"/>
    <mergeCell ref="E78:F78"/>
    <mergeCell ref="C7:D7"/>
    <mergeCell ref="A4:B5"/>
    <mergeCell ref="A18:A20"/>
    <mergeCell ref="E17:F41"/>
    <mergeCell ref="G17:G41"/>
    <mergeCell ref="H17:H41"/>
    <mergeCell ref="E42:F75"/>
    <mergeCell ref="G42:G75"/>
    <mergeCell ref="H42:H75"/>
    <mergeCell ref="A43:A45"/>
    <mergeCell ref="A46:A48"/>
    <mergeCell ref="A49:A52"/>
    <mergeCell ref="A53:A56"/>
    <mergeCell ref="A57:A66"/>
    <mergeCell ref="A32:A41"/>
    <mergeCell ref="A28:A31"/>
    <mergeCell ref="B65:D65"/>
    <mergeCell ref="B60:D60"/>
    <mergeCell ref="B61:D61"/>
    <mergeCell ref="A14:C15"/>
    <mergeCell ref="D14:H14"/>
    <mergeCell ref="D15:H15"/>
    <mergeCell ref="B47:D47"/>
    <mergeCell ref="B45:D45"/>
    <mergeCell ref="B44:D44"/>
    <mergeCell ref="B43:D43"/>
    <mergeCell ref="B46:D46"/>
    <mergeCell ref="A42:D42"/>
    <mergeCell ref="A21:A23"/>
    <mergeCell ref="A17:D17"/>
    <mergeCell ref="B18:D18"/>
    <mergeCell ref="B20:D20"/>
    <mergeCell ref="B21:D21"/>
    <mergeCell ref="B22:D22"/>
    <mergeCell ref="B23:D23"/>
    <mergeCell ref="B19:D19"/>
    <mergeCell ref="B52:D52"/>
    <mergeCell ref="B66:D66"/>
    <mergeCell ref="B56:D56"/>
    <mergeCell ref="B57:D57"/>
    <mergeCell ref="B58:D58"/>
    <mergeCell ref="B59:D59"/>
    <mergeCell ref="B62:D62"/>
    <mergeCell ref="B63:D63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김 현기</cp:lastModifiedBy>
  <cp:lastPrinted>2023-04-04T06:34:45Z</cp:lastPrinted>
  <dcterms:created xsi:type="dcterms:W3CDTF">2016-06-28T02:01:49Z</dcterms:created>
  <dcterms:modified xsi:type="dcterms:W3CDTF">2023-12-12T06:19:18Z</dcterms:modified>
</cp:coreProperties>
</file>